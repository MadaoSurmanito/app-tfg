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kinarxius\MarketingGlobal\1. TARIFAS &amp; HOJAS DE PEDIDO\1. HOJAS DE PEDIDO\1. NACIONAL\2026\2. FEBRERO 2026\"/>
    </mc:Choice>
  </mc:AlternateContent>
  <xr:revisionPtr revIDLastSave="0" documentId="13_ncr:1_{73687F13-5947-46B7-87E9-1AED4B49FBE4}" xr6:coauthVersionLast="47" xr6:coauthVersionMax="47" xr10:uidLastSave="{00000000-0000-0000-0000-000000000000}"/>
  <bookViews>
    <workbookView xWindow="-120" yWindow="-120" windowWidth="29040" windowHeight="15720" tabRatio="660" activeTab="3" xr2:uid="{00000000-000D-0000-FFFF-FFFF00000000}"/>
  </bookViews>
  <sheets>
    <sheet name="RESUMEN PEDIDO" sheetId="13" r:id="rId1"/>
    <sheet name="PRODUCTO TÉCNICO" sheetId="5" r:id="rId2"/>
    <sheet name="PRODUCTO REVENTA" sheetId="6" r:id="rId3"/>
    <sheet name="MATERIAL MARKETING" sheetId="22" r:id="rId4"/>
    <sheet name="PRODUCTO OUTLET" sheetId="15" r:id="rId5"/>
    <sheet name="MATERIAL MKT OUTLET" sheetId="16" r:id="rId6"/>
    <sheet name="EAN" sheetId="17" state="hidden" r:id="rId7"/>
    <sheet name="BBDD ACTUALITZADA" sheetId="20" state="hidden" r:id="rId8"/>
    <sheet name="T.P." sheetId="19" state="hidden" r:id="rId9"/>
  </sheets>
  <externalReferences>
    <externalReference r:id="rId10"/>
  </externalReferences>
  <definedNames>
    <definedName name="_xlnm._FilterDatabase" localSheetId="3" hidden="1">'MATERIAL MARKETING'!$A$8:$IM$148</definedName>
    <definedName name="_xlnm._FilterDatabase" localSheetId="5" hidden="1">'MATERIAL MKT OUTLET'!$A$8:$IM$30</definedName>
    <definedName name="_xlnm._FilterDatabase" localSheetId="4" hidden="1">'PRODUCTO OUTLET'!$A$8:$WVR$8</definedName>
    <definedName name="_xlnm._FilterDatabase" localSheetId="2" hidden="1">'PRODUCTO REVENTA'!$A$8:$IM$101</definedName>
    <definedName name="_xlnm._FilterDatabase" localSheetId="1" hidden="1">'PRODUCTO TÉCNICO'!$A$8:$IO$310</definedName>
    <definedName name="_xlnm.Print_Area" localSheetId="3">'MATERIAL MARKETING'!$A$1:$H$149</definedName>
    <definedName name="_xlnm.Print_Area" localSheetId="5">'MATERIAL MKT OUTLET'!$A$1:$G$31</definedName>
    <definedName name="_xlnm.Print_Area" localSheetId="4">'PRODUCTO OUTLET'!$A$1:$J$26</definedName>
    <definedName name="_xlnm.Print_Area" localSheetId="2">'PRODUCTO REVENTA'!$A$1:$M$102</definedName>
    <definedName name="_xlnm.Print_Area" localSheetId="1">'PRODUCTO TÉCNICO'!$A$1:$M$311</definedName>
    <definedName name="_xlnm.Print_Area" localSheetId="0">'RESUMEN PEDIDO'!$A$1:$J$77</definedName>
    <definedName name="BBDD" localSheetId="3">[1]BBDD!$A$2:$W$109</definedName>
    <definedName name="BBDD">#REF!</definedName>
    <definedName name="EAN" localSheetId="3">[1]EAN!$A$3:$C$8547</definedName>
    <definedName name="EAN">EAN!$A$3:$C$8547</definedName>
    <definedName name="ENVIO" localSheetId="3">#REF!</definedName>
    <definedName name="ENVIO">#REF!</definedName>
    <definedName name="PVP" localSheetId="3">#REF!</definedName>
    <definedName name="PVP">#REF!</definedName>
    <definedName name="TP" localSheetId="3">'[1]T.P.'!$A$2:$B$3</definedName>
    <definedName name="TP">'T.P.'!$A$2:$B$3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22" l="1"/>
  <c r="H34" i="22" s="1"/>
  <c r="D7" i="16"/>
  <c r="G10" i="16"/>
  <c r="G7" i="16" s="1"/>
  <c r="J223" i="5"/>
  <c r="D223" i="5"/>
  <c r="J240" i="5"/>
  <c r="J249" i="5"/>
  <c r="J252" i="5"/>
  <c r="J302" i="5"/>
  <c r="J279" i="5"/>
  <c r="J277" i="5"/>
  <c r="J260" i="5"/>
  <c r="J271" i="5"/>
  <c r="J267" i="5"/>
  <c r="L269" i="5"/>
  <c r="K269" i="5"/>
  <c r="M269" i="5" s="1"/>
  <c r="J269" i="5"/>
  <c r="L95" i="6"/>
  <c r="K95" i="6"/>
  <c r="M95" i="6" s="1"/>
  <c r="J95" i="6"/>
  <c r="L82" i="6"/>
  <c r="K82" i="6"/>
  <c r="M82" i="6" s="1"/>
  <c r="J82" i="6"/>
  <c r="G82" i="6"/>
  <c r="J228" i="5"/>
  <c r="K228" i="5"/>
  <c r="M228" i="5" s="1"/>
  <c r="L228" i="5"/>
  <c r="G35" i="22"/>
  <c r="H35" i="22" s="1"/>
  <c r="G113" i="22"/>
  <c r="H113" i="22" s="1"/>
  <c r="G114" i="22"/>
  <c r="H114" i="22" s="1"/>
  <c r="G115" i="22"/>
  <c r="H115" i="22" s="1"/>
  <c r="G116" i="22"/>
  <c r="H116" i="22" s="1"/>
  <c r="G117" i="22"/>
  <c r="H117" i="22" s="1"/>
  <c r="J54" i="6"/>
  <c r="K54" i="6"/>
  <c r="L54" i="6"/>
  <c r="J55" i="6"/>
  <c r="K55" i="6"/>
  <c r="L55" i="6"/>
  <c r="J56" i="6"/>
  <c r="K56" i="6"/>
  <c r="L56" i="6"/>
  <c r="G94" i="22"/>
  <c r="H94" i="22" s="1"/>
  <c r="G93" i="22"/>
  <c r="H93" i="22" s="1"/>
  <c r="G27" i="22"/>
  <c r="H27" i="22" s="1"/>
  <c r="D279" i="5"/>
  <c r="D267" i="5"/>
  <c r="G145" i="22"/>
  <c r="H145" i="22" s="1"/>
  <c r="G144" i="22"/>
  <c r="H144" i="22" s="1"/>
  <c r="G112" i="22"/>
  <c r="H112" i="22" s="1"/>
  <c r="G111" i="22"/>
  <c r="H111" i="22" s="1"/>
  <c r="G110" i="22"/>
  <c r="H110" i="22" s="1"/>
  <c r="G95" i="22"/>
  <c r="H95" i="22" s="1"/>
  <c r="G84" i="22"/>
  <c r="H84" i="22" s="1"/>
  <c r="G51" i="22"/>
  <c r="H51" i="22" s="1"/>
  <c r="G45" i="22"/>
  <c r="H45" i="22" s="1"/>
  <c r="D90" i="6"/>
  <c r="L91" i="6"/>
  <c r="K91" i="6"/>
  <c r="J91" i="6"/>
  <c r="J92" i="6"/>
  <c r="K92" i="6"/>
  <c r="L92" i="6"/>
  <c r="L96" i="6"/>
  <c r="K96" i="6"/>
  <c r="J96" i="6"/>
  <c r="L94" i="6"/>
  <c r="K94" i="6"/>
  <c r="J94" i="6"/>
  <c r="L93" i="6"/>
  <c r="K93" i="6"/>
  <c r="J93" i="6"/>
  <c r="L52" i="6"/>
  <c r="K52" i="6"/>
  <c r="J52" i="6"/>
  <c r="L48" i="6"/>
  <c r="K48" i="6"/>
  <c r="J48" i="6"/>
  <c r="L39" i="6"/>
  <c r="K39" i="6"/>
  <c r="J39" i="6"/>
  <c r="L35" i="6"/>
  <c r="K35" i="6"/>
  <c r="J35" i="6"/>
  <c r="L31" i="6"/>
  <c r="K31" i="6"/>
  <c r="J31" i="6"/>
  <c r="L27" i="6"/>
  <c r="K27" i="6"/>
  <c r="J27" i="6"/>
  <c r="L28" i="6"/>
  <c r="K28" i="6"/>
  <c r="J28" i="6"/>
  <c r="L26" i="6"/>
  <c r="K26" i="6"/>
  <c r="J26" i="6"/>
  <c r="G68" i="22"/>
  <c r="H68" i="22" s="1"/>
  <c r="G67" i="22"/>
  <c r="H67" i="22" s="1"/>
  <c r="G66" i="22"/>
  <c r="H66" i="22" s="1"/>
  <c r="G64" i="22"/>
  <c r="H64" i="22" s="1"/>
  <c r="G62" i="22"/>
  <c r="H62" i="22" s="1"/>
  <c r="G21" i="22"/>
  <c r="H21" i="22" s="1"/>
  <c r="G22" i="22"/>
  <c r="H22" i="22" s="1"/>
  <c r="D20" i="6"/>
  <c r="L57" i="6"/>
  <c r="K57" i="6"/>
  <c r="J57" i="6"/>
  <c r="L62" i="6"/>
  <c r="K62" i="6"/>
  <c r="J62" i="6"/>
  <c r="L61" i="6"/>
  <c r="K61" i="6"/>
  <c r="J61" i="6"/>
  <c r="L60" i="6"/>
  <c r="K60" i="6"/>
  <c r="J60" i="6"/>
  <c r="L59" i="6"/>
  <c r="K59" i="6"/>
  <c r="J59" i="6"/>
  <c r="L58" i="6"/>
  <c r="K58" i="6"/>
  <c r="J58" i="6"/>
  <c r="L301" i="5"/>
  <c r="K301" i="5"/>
  <c r="J301" i="5"/>
  <c r="L300" i="5"/>
  <c r="K300" i="5"/>
  <c r="J300" i="5"/>
  <c r="L299" i="5"/>
  <c r="K299" i="5"/>
  <c r="J299" i="5"/>
  <c r="D9" i="5"/>
  <c r="L132" i="5"/>
  <c r="K132" i="5"/>
  <c r="J132" i="5"/>
  <c r="L131" i="5"/>
  <c r="K131" i="5"/>
  <c r="J131" i="5"/>
  <c r="L130" i="5"/>
  <c r="K130" i="5"/>
  <c r="J130" i="5"/>
  <c r="C19" i="13"/>
  <c r="M54" i="6" l="1"/>
  <c r="M56" i="6"/>
  <c r="M91" i="6"/>
  <c r="M92" i="6"/>
  <c r="M94" i="6"/>
  <c r="M35" i="6"/>
  <c r="M93" i="6"/>
  <c r="M96" i="6"/>
  <c r="M39" i="6"/>
  <c r="M26" i="6"/>
  <c r="M48" i="6"/>
  <c r="M27" i="6"/>
  <c r="M28" i="6"/>
  <c r="M31" i="6"/>
  <c r="M52" i="6"/>
  <c r="M300" i="5"/>
  <c r="M299" i="5"/>
  <c r="M301" i="5"/>
  <c r="M57" i="6"/>
  <c r="M61" i="6"/>
  <c r="M60" i="6"/>
  <c r="M59" i="6"/>
  <c r="M58" i="6"/>
  <c r="M62" i="6"/>
  <c r="M132" i="5"/>
  <c r="M130" i="5"/>
  <c r="M131" i="5"/>
  <c r="G40" i="22" l="1"/>
  <c r="H40" i="22" s="1"/>
  <c r="G33" i="22"/>
  <c r="H33" i="22" s="1"/>
  <c r="G36" i="22"/>
  <c r="H36" i="22" s="1"/>
  <c r="G104" i="22"/>
  <c r="H104" i="22" s="1"/>
  <c r="G105" i="22"/>
  <c r="G106" i="22"/>
  <c r="G107" i="22"/>
  <c r="G108" i="22"/>
  <c r="G109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18" i="22"/>
  <c r="G119" i="22"/>
  <c r="G120" i="22"/>
  <c r="G121" i="22"/>
  <c r="G122" i="22"/>
  <c r="G123" i="22"/>
  <c r="G124" i="22"/>
  <c r="G125" i="22"/>
  <c r="G126" i="22"/>
  <c r="G141" i="22"/>
  <c r="G142" i="22"/>
  <c r="G143" i="22"/>
  <c r="G147" i="22"/>
  <c r="G146" i="22"/>
  <c r="G23" i="22"/>
  <c r="H23" i="22" s="1"/>
  <c r="G57" i="22"/>
  <c r="H57" i="22" s="1"/>
  <c r="G55" i="22"/>
  <c r="H55" i="22" s="1"/>
  <c r="G56" i="22"/>
  <c r="H56" i="22" s="1"/>
  <c r="G83" i="22" l="1"/>
  <c r="H83" i="22" s="1"/>
  <c r="G82" i="22"/>
  <c r="H82" i="22" s="1"/>
  <c r="G81" i="22"/>
  <c r="H81" i="22" s="1"/>
  <c r="D17" i="15"/>
  <c r="I20" i="15"/>
  <c r="J20" i="15"/>
  <c r="I21" i="15"/>
  <c r="J21" i="15"/>
  <c r="I22" i="15"/>
  <c r="J22" i="15"/>
  <c r="I23" i="15"/>
  <c r="J23" i="15"/>
  <c r="M55" i="6"/>
  <c r="D260" i="5"/>
  <c r="J265" i="5"/>
  <c r="J266" i="5"/>
  <c r="L266" i="5"/>
  <c r="K266" i="5"/>
  <c r="L265" i="5"/>
  <c r="K265" i="5"/>
  <c r="L264" i="5"/>
  <c r="K264" i="5"/>
  <c r="J264" i="5"/>
  <c r="L263" i="5"/>
  <c r="K263" i="5"/>
  <c r="J263" i="5"/>
  <c r="L262" i="5"/>
  <c r="K262" i="5"/>
  <c r="J262" i="5"/>
  <c r="L261" i="5"/>
  <c r="K261" i="5"/>
  <c r="J261" i="5"/>
  <c r="G13" i="22"/>
  <c r="H13" i="22" s="1"/>
  <c r="L47" i="6"/>
  <c r="L49" i="6"/>
  <c r="L50" i="6"/>
  <c r="L51" i="6"/>
  <c r="L53" i="6"/>
  <c r="L296" i="5"/>
  <c r="J18" i="6"/>
  <c r="H133" i="22"/>
  <c r="M263" i="5" l="1"/>
  <c r="M266" i="5"/>
  <c r="M262" i="5"/>
  <c r="M265" i="5"/>
  <c r="M261" i="5"/>
  <c r="M264" i="5"/>
  <c r="G100" i="22"/>
  <c r="H100" i="22" s="1"/>
  <c r="G29" i="22"/>
  <c r="H29" i="22" s="1"/>
  <c r="H146" i="22"/>
  <c r="H147" i="22"/>
  <c r="H143" i="22"/>
  <c r="H142" i="22"/>
  <c r="H141" i="22"/>
  <c r="H126" i="22"/>
  <c r="H125" i="22"/>
  <c r="H124" i="22"/>
  <c r="H123" i="22"/>
  <c r="H122" i="22"/>
  <c r="H121" i="22"/>
  <c r="H120" i="22"/>
  <c r="H119" i="22"/>
  <c r="H118" i="22"/>
  <c r="H140" i="22"/>
  <c r="H139" i="22"/>
  <c r="H138" i="22"/>
  <c r="H137" i="22"/>
  <c r="H136" i="22"/>
  <c r="H135" i="22"/>
  <c r="H134" i="22"/>
  <c r="H132" i="22"/>
  <c r="H131" i="22"/>
  <c r="H130" i="22"/>
  <c r="H129" i="22"/>
  <c r="H128" i="22"/>
  <c r="H127" i="22"/>
  <c r="H109" i="22"/>
  <c r="H108" i="22"/>
  <c r="H107" i="22"/>
  <c r="H106" i="22"/>
  <c r="H105" i="22"/>
  <c r="G103" i="22"/>
  <c r="H103" i="22" s="1"/>
  <c r="G102" i="22"/>
  <c r="H102" i="22" s="1"/>
  <c r="G101" i="22"/>
  <c r="H101" i="22" s="1"/>
  <c r="G98" i="22"/>
  <c r="H98" i="22" s="1"/>
  <c r="G97" i="22"/>
  <c r="H97" i="22" s="1"/>
  <c r="G96" i="22"/>
  <c r="H96" i="22" s="1"/>
  <c r="G91" i="22"/>
  <c r="H91" i="22" s="1"/>
  <c r="G86" i="22"/>
  <c r="H86" i="22" s="1"/>
  <c r="G89" i="22"/>
  <c r="H89" i="22" s="1"/>
  <c r="G88" i="22"/>
  <c r="H88" i="22" s="1"/>
  <c r="G87" i="22"/>
  <c r="H87" i="22" s="1"/>
  <c r="G85" i="22"/>
  <c r="H85" i="22" s="1"/>
  <c r="G79" i="22"/>
  <c r="H79" i="22" s="1"/>
  <c r="G78" i="22"/>
  <c r="H78" i="22" s="1"/>
  <c r="G63" i="22"/>
  <c r="H63" i="22" s="1"/>
  <c r="G65" i="22"/>
  <c r="H65" i="22" s="1"/>
  <c r="G77" i="22"/>
  <c r="H77" i="22" s="1"/>
  <c r="G76" i="22"/>
  <c r="H76" i="22" s="1"/>
  <c r="G75" i="22"/>
  <c r="H75" i="22" s="1"/>
  <c r="G74" i="22"/>
  <c r="H74" i="22" s="1"/>
  <c r="G73" i="22"/>
  <c r="H73" i="22" s="1"/>
  <c r="G72" i="22"/>
  <c r="H72" i="22" s="1"/>
  <c r="G71" i="22"/>
  <c r="H71" i="22" s="1"/>
  <c r="G70" i="22"/>
  <c r="H70" i="22" s="1"/>
  <c r="G69" i="22"/>
  <c r="H69" i="22" s="1"/>
  <c r="G61" i="22"/>
  <c r="H61" i="22" s="1"/>
  <c r="G60" i="22"/>
  <c r="H60" i="22" s="1"/>
  <c r="G59" i="22"/>
  <c r="H59" i="22" s="1"/>
  <c r="G58" i="22"/>
  <c r="H58" i="22" s="1"/>
  <c r="G52" i="22"/>
  <c r="H52" i="22" s="1"/>
  <c r="G54" i="22"/>
  <c r="H54" i="22" s="1"/>
  <c r="G53" i="22"/>
  <c r="H53" i="22" s="1"/>
  <c r="G90" i="22"/>
  <c r="H90" i="22" s="1"/>
  <c r="G48" i="22"/>
  <c r="H48" i="22" s="1"/>
  <c r="G49" i="22"/>
  <c r="H49" i="22" s="1"/>
  <c r="G50" i="22"/>
  <c r="H50" i="22" s="1"/>
  <c r="G47" i="22"/>
  <c r="H47" i="22" s="1"/>
  <c r="G46" i="22"/>
  <c r="H46" i="22" s="1"/>
  <c r="G44" i="22"/>
  <c r="H44" i="22" s="1"/>
  <c r="G43" i="22"/>
  <c r="H43" i="22" s="1"/>
  <c r="G42" i="22"/>
  <c r="H42" i="22" s="1"/>
  <c r="G41" i="22"/>
  <c r="H41" i="22" s="1"/>
  <c r="G39" i="22"/>
  <c r="H39" i="22" s="1"/>
  <c r="G38" i="22"/>
  <c r="H38" i="22" s="1"/>
  <c r="G37" i="22"/>
  <c r="H37" i="22" s="1"/>
  <c r="G31" i="22"/>
  <c r="H31" i="22" s="1"/>
  <c r="G30" i="22"/>
  <c r="H30" i="22" s="1"/>
  <c r="G28" i="22"/>
  <c r="H28" i="22" s="1"/>
  <c r="G26" i="22"/>
  <c r="H26" i="22" s="1"/>
  <c r="G25" i="22"/>
  <c r="H25" i="22" s="1"/>
  <c r="G24" i="22"/>
  <c r="H24" i="22" s="1"/>
  <c r="G20" i="22"/>
  <c r="H20" i="22" s="1"/>
  <c r="G19" i="22"/>
  <c r="H19" i="22" s="1"/>
  <c r="G18" i="22"/>
  <c r="H18" i="22" s="1"/>
  <c r="G17" i="22"/>
  <c r="H17" i="22" s="1"/>
  <c r="G16" i="22"/>
  <c r="H16" i="22" s="1"/>
  <c r="G15" i="22"/>
  <c r="H15" i="22" s="1"/>
  <c r="G11" i="22"/>
  <c r="H11" i="22" s="1"/>
  <c r="G10" i="22"/>
  <c r="H10" i="22" s="1"/>
  <c r="D7" i="22"/>
  <c r="H2" i="22"/>
  <c r="H7" i="22" l="1"/>
  <c r="E26" i="13"/>
  <c r="C26" i="13"/>
  <c r="C22" i="13"/>
  <c r="J21" i="13"/>
  <c r="C21" i="13"/>
  <c r="C16" i="13"/>
  <c r="J15" i="13"/>
  <c r="C15" i="13"/>
  <c r="J14" i="13"/>
  <c r="C14" i="13"/>
  <c r="C13" i="13"/>
  <c r="E12" i="13"/>
  <c r="J66" i="13"/>
  <c r="G21" i="16" l="1"/>
  <c r="L298" i="5"/>
  <c r="K298" i="5"/>
  <c r="J298" i="5"/>
  <c r="K53" i="6"/>
  <c r="M53" i="6" s="1"/>
  <c r="J53" i="6"/>
  <c r="K296" i="5"/>
  <c r="M296" i="5" s="1"/>
  <c r="K297" i="5"/>
  <c r="J296" i="5"/>
  <c r="J297" i="5"/>
  <c r="K47" i="6"/>
  <c r="M47" i="6" s="1"/>
  <c r="K49" i="6"/>
  <c r="M49" i="6" s="1"/>
  <c r="K50" i="6"/>
  <c r="M50" i="6" s="1"/>
  <c r="K51" i="6"/>
  <c r="M51" i="6" s="1"/>
  <c r="J36" i="6"/>
  <c r="J37" i="6"/>
  <c r="J38" i="6"/>
  <c r="J40" i="6"/>
  <c r="J41" i="6"/>
  <c r="J42" i="6"/>
  <c r="J43" i="6"/>
  <c r="J44" i="6"/>
  <c r="J45" i="6"/>
  <c r="J46" i="6"/>
  <c r="J47" i="6"/>
  <c r="J49" i="6"/>
  <c r="J50" i="6"/>
  <c r="J51" i="6"/>
  <c r="J270" i="5"/>
  <c r="K270" i="5"/>
  <c r="L270" i="5"/>
  <c r="L295" i="5"/>
  <c r="K295" i="5"/>
  <c r="J295" i="5"/>
  <c r="L294" i="5"/>
  <c r="K294" i="5"/>
  <c r="M298" i="5" l="1"/>
  <c r="M270" i="5"/>
  <c r="M294" i="5"/>
  <c r="M295" i="5"/>
  <c r="D133" i="5"/>
  <c r="L46" i="6"/>
  <c r="K46" i="6"/>
  <c r="L45" i="6"/>
  <c r="K45" i="6"/>
  <c r="L297" i="5"/>
  <c r="L293" i="5"/>
  <c r="K293" i="5"/>
  <c r="J293" i="5"/>
  <c r="D277" i="5"/>
  <c r="L268" i="5"/>
  <c r="K268" i="5"/>
  <c r="J268" i="5"/>
  <c r="L202" i="5"/>
  <c r="K202" i="5"/>
  <c r="J202" i="5"/>
  <c r="G27" i="16"/>
  <c r="G28" i="16"/>
  <c r="L201" i="5"/>
  <c r="K201" i="5"/>
  <c r="J201" i="5"/>
  <c r="J290" i="5"/>
  <c r="K289" i="5"/>
  <c r="L289" i="5"/>
  <c r="K290" i="5"/>
  <c r="L290" i="5"/>
  <c r="J289" i="5"/>
  <c r="K37" i="6"/>
  <c r="L37" i="6"/>
  <c r="K36" i="6"/>
  <c r="L36" i="6"/>
  <c r="K10" i="6"/>
  <c r="M46" i="6" l="1"/>
  <c r="M45" i="6"/>
  <c r="M37" i="6"/>
  <c r="M293" i="5"/>
  <c r="M297" i="5"/>
  <c r="M202" i="5"/>
  <c r="M268" i="5"/>
  <c r="M289" i="5"/>
  <c r="M201" i="5"/>
  <c r="M290" i="5"/>
  <c r="M36" i="6"/>
  <c r="C20" i="13"/>
  <c r="K38" i="6" l="1"/>
  <c r="L38" i="6"/>
  <c r="M38" i="6" l="1"/>
  <c r="L44" i="6"/>
  <c r="K44" i="6"/>
  <c r="L43" i="6"/>
  <c r="K43" i="6"/>
  <c r="L292" i="5"/>
  <c r="K292" i="5"/>
  <c r="M43" i="6" l="1"/>
  <c r="M44" i="6"/>
  <c r="M292" i="5"/>
  <c r="K40" i="6"/>
  <c r="L40" i="6"/>
  <c r="K41" i="6"/>
  <c r="L41" i="6"/>
  <c r="L291" i="5"/>
  <c r="K291" i="5"/>
  <c r="J291" i="5"/>
  <c r="L255" i="5"/>
  <c r="K255" i="5"/>
  <c r="J255" i="5"/>
  <c r="D81" i="6"/>
  <c r="M41" i="6" l="1"/>
  <c r="M40" i="6"/>
  <c r="M291" i="5"/>
  <c r="M255" i="5"/>
  <c r="L251" i="5"/>
  <c r="K251" i="5"/>
  <c r="J251" i="5"/>
  <c r="L250" i="5"/>
  <c r="K250" i="5"/>
  <c r="J250" i="5"/>
  <c r="D249" i="5"/>
  <c r="L218" i="5"/>
  <c r="K218" i="5"/>
  <c r="J218" i="5"/>
  <c r="L217" i="5"/>
  <c r="K217" i="5"/>
  <c r="J217" i="5"/>
  <c r="L216" i="5"/>
  <c r="K216" i="5"/>
  <c r="J216" i="5"/>
  <c r="L215" i="5"/>
  <c r="K215" i="5"/>
  <c r="J215" i="5"/>
  <c r="L214" i="5"/>
  <c r="K214" i="5"/>
  <c r="J214" i="5"/>
  <c r="L213" i="5"/>
  <c r="K213" i="5"/>
  <c r="J213" i="5"/>
  <c r="L212" i="5"/>
  <c r="K212" i="5"/>
  <c r="J212" i="5"/>
  <c r="L211" i="5"/>
  <c r="K211" i="5"/>
  <c r="J211" i="5"/>
  <c r="L210" i="5"/>
  <c r="K210" i="5"/>
  <c r="J210" i="5"/>
  <c r="L209" i="5"/>
  <c r="K209" i="5"/>
  <c r="J209" i="5"/>
  <c r="L208" i="5"/>
  <c r="K208" i="5"/>
  <c r="J208" i="5"/>
  <c r="L207" i="5"/>
  <c r="K207" i="5"/>
  <c r="J207" i="5"/>
  <c r="L206" i="5"/>
  <c r="K206" i="5"/>
  <c r="J206" i="5"/>
  <c r="L205" i="5"/>
  <c r="K205" i="5"/>
  <c r="J205" i="5"/>
  <c r="L222" i="5"/>
  <c r="K222" i="5"/>
  <c r="J222" i="5"/>
  <c r="L221" i="5"/>
  <c r="K221" i="5"/>
  <c r="J221" i="5"/>
  <c r="L220" i="5"/>
  <c r="K220" i="5"/>
  <c r="J220" i="5"/>
  <c r="L219" i="5"/>
  <c r="K219" i="5"/>
  <c r="J219" i="5"/>
  <c r="L204" i="5"/>
  <c r="K204" i="5"/>
  <c r="J204" i="5"/>
  <c r="D203" i="5"/>
  <c r="J203" i="5" s="1"/>
  <c r="D63" i="6"/>
  <c r="L77" i="6"/>
  <c r="K77" i="6"/>
  <c r="J77" i="6"/>
  <c r="L76" i="6"/>
  <c r="K76" i="6"/>
  <c r="J76" i="6"/>
  <c r="L80" i="6"/>
  <c r="K80" i="6"/>
  <c r="J80" i="6"/>
  <c r="L79" i="6"/>
  <c r="K79" i="6"/>
  <c r="J79" i="6"/>
  <c r="L78" i="6"/>
  <c r="K78" i="6"/>
  <c r="J78" i="6"/>
  <c r="L42" i="6"/>
  <c r="K42" i="6"/>
  <c r="M42" i="6" l="1"/>
  <c r="M208" i="5"/>
  <c r="M216" i="5"/>
  <c r="M76" i="6"/>
  <c r="M206" i="5"/>
  <c r="M214" i="5"/>
  <c r="M212" i="5"/>
  <c r="M210" i="5"/>
  <c r="M218" i="5"/>
  <c r="M78" i="6"/>
  <c r="M77" i="6"/>
  <c r="M207" i="5"/>
  <c r="M211" i="5"/>
  <c r="M215" i="5"/>
  <c r="M251" i="5"/>
  <c r="M205" i="5"/>
  <c r="M209" i="5"/>
  <c r="M213" i="5"/>
  <c r="M217" i="5"/>
  <c r="M250" i="5"/>
  <c r="M221" i="5"/>
  <c r="M220" i="5"/>
  <c r="M204" i="5"/>
  <c r="M222" i="5"/>
  <c r="M219" i="5"/>
  <c r="M80" i="6"/>
  <c r="M79" i="6"/>
  <c r="K98" i="6" l="1"/>
  <c r="L98" i="6"/>
  <c r="J98" i="6"/>
  <c r="D99" i="6"/>
  <c r="G25" i="16"/>
  <c r="G24" i="16"/>
  <c r="G23" i="16"/>
  <c r="G22" i="16"/>
  <c r="I15" i="15"/>
  <c r="J15" i="15"/>
  <c r="I16" i="15"/>
  <c r="J16" i="15"/>
  <c r="J14" i="15"/>
  <c r="I14" i="15"/>
  <c r="D13" i="15"/>
  <c r="I13" i="15" s="1"/>
  <c r="F16" i="15"/>
  <c r="F15" i="15"/>
  <c r="F14" i="15"/>
  <c r="J75" i="6"/>
  <c r="K75" i="6"/>
  <c r="L75" i="6"/>
  <c r="J18" i="15"/>
  <c r="J19" i="15"/>
  <c r="I19" i="15"/>
  <c r="I18" i="15"/>
  <c r="F19" i="15"/>
  <c r="J21" i="6"/>
  <c r="K21" i="6"/>
  <c r="L21" i="6"/>
  <c r="J22" i="6"/>
  <c r="K22" i="6"/>
  <c r="L22" i="6"/>
  <c r="J23" i="6"/>
  <c r="K23" i="6"/>
  <c r="L23" i="6"/>
  <c r="J24" i="6"/>
  <c r="K24" i="6"/>
  <c r="L24" i="6"/>
  <c r="J25" i="6"/>
  <c r="K25" i="6"/>
  <c r="L25" i="6"/>
  <c r="J29" i="6"/>
  <c r="K29" i="6"/>
  <c r="L29" i="6"/>
  <c r="J30" i="6"/>
  <c r="K30" i="6"/>
  <c r="L30" i="6"/>
  <c r="J32" i="6"/>
  <c r="K32" i="6"/>
  <c r="L32" i="6"/>
  <c r="J33" i="6"/>
  <c r="K33" i="6"/>
  <c r="L33" i="6"/>
  <c r="J34" i="6"/>
  <c r="K34" i="6"/>
  <c r="L34" i="6"/>
  <c r="K280" i="5"/>
  <c r="L280" i="5"/>
  <c r="K281" i="5"/>
  <c r="L281" i="5"/>
  <c r="K282" i="5"/>
  <c r="L282" i="5"/>
  <c r="K283" i="5"/>
  <c r="L283" i="5"/>
  <c r="K284" i="5"/>
  <c r="L284" i="5"/>
  <c r="K285" i="5"/>
  <c r="L285" i="5"/>
  <c r="K286" i="5"/>
  <c r="L286" i="5"/>
  <c r="K287" i="5"/>
  <c r="L287" i="5"/>
  <c r="K288" i="5"/>
  <c r="L288" i="5"/>
  <c r="J280" i="5"/>
  <c r="J281" i="5"/>
  <c r="J282" i="5"/>
  <c r="J283" i="5"/>
  <c r="J284" i="5"/>
  <c r="J285" i="5"/>
  <c r="J286" i="5"/>
  <c r="J287" i="5"/>
  <c r="J288" i="5"/>
  <c r="G29" i="16"/>
  <c r="K199" i="5"/>
  <c r="L199" i="5"/>
  <c r="J133" i="5"/>
  <c r="G14" i="16"/>
  <c r="G13" i="16"/>
  <c r="G12" i="16"/>
  <c r="J20" i="6" l="1"/>
  <c r="M288" i="5"/>
  <c r="M98" i="6"/>
  <c r="M75" i="6"/>
  <c r="M284" i="5"/>
  <c r="M21" i="6"/>
  <c r="M287" i="5"/>
  <c r="M281" i="5"/>
  <c r="M280" i="5"/>
  <c r="M34" i="6"/>
  <c r="M23" i="6"/>
  <c r="M25" i="6"/>
  <c r="M22" i="6"/>
  <c r="M32" i="6"/>
  <c r="M286" i="5"/>
  <c r="M30" i="6"/>
  <c r="M29" i="6"/>
  <c r="M24" i="6"/>
  <c r="M283" i="5"/>
  <c r="M33" i="6"/>
  <c r="I17" i="15"/>
  <c r="M285" i="5"/>
  <c r="M282" i="5"/>
  <c r="M199" i="5"/>
  <c r="I10" i="15" l="1"/>
  <c r="J10" i="15"/>
  <c r="I11" i="15"/>
  <c r="J11" i="15"/>
  <c r="I12" i="15"/>
  <c r="J12" i="15"/>
  <c r="F12" i="15"/>
  <c r="F11" i="15"/>
  <c r="F10" i="15"/>
  <c r="D9" i="15"/>
  <c r="D7" i="15" s="1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24" i="5"/>
  <c r="G225" i="5"/>
  <c r="G226" i="5"/>
  <c r="G227" i="5"/>
  <c r="G229" i="5"/>
  <c r="G230" i="5"/>
  <c r="G232" i="5"/>
  <c r="G233" i="5"/>
  <c r="G234" i="5"/>
  <c r="G235" i="5"/>
  <c r="G236" i="5"/>
  <c r="G237" i="5"/>
  <c r="G238" i="5"/>
  <c r="G239" i="5"/>
  <c r="G241" i="5"/>
  <c r="G242" i="5"/>
  <c r="G243" i="5"/>
  <c r="G244" i="5"/>
  <c r="G245" i="5"/>
  <c r="G246" i="5"/>
  <c r="G247" i="5"/>
  <c r="G248" i="5"/>
  <c r="G253" i="5"/>
  <c r="G256" i="5"/>
  <c r="G257" i="5"/>
  <c r="G258" i="5"/>
  <c r="G272" i="5"/>
  <c r="G273" i="5"/>
  <c r="G274" i="5"/>
  <c r="G275" i="5"/>
  <c r="G276" i="5"/>
  <c r="G278" i="5"/>
  <c r="G303" i="5"/>
  <c r="G304" i="5"/>
  <c r="G305" i="5"/>
  <c r="G306" i="5"/>
  <c r="G307" i="5"/>
  <c r="G308" i="5"/>
  <c r="G309" i="5"/>
  <c r="G10" i="5"/>
  <c r="G64" i="6"/>
  <c r="G65" i="6"/>
  <c r="G66" i="6"/>
  <c r="G67" i="6"/>
  <c r="G68" i="6"/>
  <c r="G69" i="6"/>
  <c r="G70" i="6"/>
  <c r="G71" i="6"/>
  <c r="G72" i="6"/>
  <c r="G73" i="6"/>
  <c r="G74" i="6"/>
  <c r="G83" i="6"/>
  <c r="G87" i="6"/>
  <c r="G85" i="6"/>
  <c r="G86" i="6"/>
  <c r="G84" i="6"/>
  <c r="G88" i="6"/>
  <c r="G89" i="6"/>
  <c r="G97" i="6"/>
  <c r="G100" i="6"/>
  <c r="G17" i="6"/>
  <c r="G18" i="6"/>
  <c r="G19" i="6"/>
  <c r="G16" i="6"/>
  <c r="G11" i="6"/>
  <c r="G12" i="6"/>
  <c r="G13" i="6"/>
  <c r="G10" i="6"/>
  <c r="D15" i="6"/>
  <c r="D9" i="6"/>
  <c r="D302" i="5"/>
  <c r="D271" i="5"/>
  <c r="D252" i="5"/>
  <c r="D240" i="5"/>
  <c r="D231" i="5"/>
  <c r="D7" i="6" l="1"/>
  <c r="I9" i="15"/>
  <c r="I7" i="15" s="1"/>
  <c r="J7" i="15"/>
  <c r="J51" i="13" s="1"/>
  <c r="H54" i="13" s="1"/>
  <c r="G2" i="16" l="1"/>
  <c r="G20" i="16"/>
  <c r="G19" i="16"/>
  <c r="G18" i="16"/>
  <c r="G17" i="16"/>
  <c r="G16" i="16"/>
  <c r="G15" i="16"/>
  <c r="B64" i="13"/>
  <c r="H56" i="13" l="1"/>
  <c r="H58" i="13" s="1"/>
  <c r="G3" i="16" s="1"/>
  <c r="H43" i="13"/>
  <c r="H64" i="13" l="1"/>
  <c r="L141" i="5" l="1"/>
  <c r="K141" i="5"/>
  <c r="J141" i="5"/>
  <c r="L140" i="5"/>
  <c r="K140" i="5"/>
  <c r="J140" i="5"/>
  <c r="L139" i="5"/>
  <c r="K139" i="5"/>
  <c r="J139" i="5"/>
  <c r="J199" i="5"/>
  <c r="J22" i="13"/>
  <c r="C23" i="13"/>
  <c r="K71" i="6"/>
  <c r="K19" i="6"/>
  <c r="L19" i="6"/>
  <c r="J19" i="6"/>
  <c r="L118" i="5"/>
  <c r="K118" i="5"/>
  <c r="J118" i="5"/>
  <c r="L117" i="5"/>
  <c r="K117" i="5"/>
  <c r="J117" i="5"/>
  <c r="L116" i="5"/>
  <c r="K116" i="5"/>
  <c r="J116" i="5"/>
  <c r="L115" i="5"/>
  <c r="K115" i="5"/>
  <c r="J115" i="5"/>
  <c r="L114" i="5"/>
  <c r="K114" i="5"/>
  <c r="J114" i="5"/>
  <c r="L113" i="5"/>
  <c r="K113" i="5"/>
  <c r="J113" i="5"/>
  <c r="L112" i="5"/>
  <c r="K112" i="5"/>
  <c r="J112" i="5"/>
  <c r="L111" i="5"/>
  <c r="K111" i="5"/>
  <c r="J111" i="5"/>
  <c r="L110" i="5"/>
  <c r="K110" i="5"/>
  <c r="J110" i="5"/>
  <c r="L109" i="5"/>
  <c r="K109" i="5"/>
  <c r="J109" i="5"/>
  <c r="L108" i="5"/>
  <c r="K108" i="5"/>
  <c r="J108" i="5"/>
  <c r="L107" i="5"/>
  <c r="K107" i="5"/>
  <c r="J107" i="5"/>
  <c r="D7" i="5"/>
  <c r="L100" i="6"/>
  <c r="K100" i="6"/>
  <c r="K97" i="6"/>
  <c r="L97" i="6"/>
  <c r="K83" i="6"/>
  <c r="L83" i="6"/>
  <c r="K87" i="6"/>
  <c r="L87" i="6"/>
  <c r="K85" i="6"/>
  <c r="L85" i="6"/>
  <c r="K86" i="6"/>
  <c r="L86" i="6"/>
  <c r="K84" i="6"/>
  <c r="L84" i="6"/>
  <c r="K88" i="6"/>
  <c r="L88" i="6"/>
  <c r="K89" i="6"/>
  <c r="L89" i="6"/>
  <c r="K65" i="6"/>
  <c r="L65" i="6"/>
  <c r="K66" i="6"/>
  <c r="L66" i="6"/>
  <c r="K67" i="6"/>
  <c r="L67" i="6"/>
  <c r="K68" i="6"/>
  <c r="L68" i="6"/>
  <c r="K69" i="6"/>
  <c r="L69" i="6"/>
  <c r="K70" i="6"/>
  <c r="L70" i="6"/>
  <c r="L71" i="6"/>
  <c r="K72" i="6"/>
  <c r="L72" i="6"/>
  <c r="K73" i="6"/>
  <c r="L73" i="6"/>
  <c r="K74" i="6"/>
  <c r="L74" i="6"/>
  <c r="L64" i="6"/>
  <c r="K64" i="6"/>
  <c r="K17" i="6"/>
  <c r="L17" i="6"/>
  <c r="K18" i="6"/>
  <c r="L18" i="6"/>
  <c r="L16" i="6"/>
  <c r="K16" i="6"/>
  <c r="K11" i="6"/>
  <c r="L11" i="6"/>
  <c r="K12" i="6"/>
  <c r="L12" i="6"/>
  <c r="K13" i="6"/>
  <c r="L13" i="6"/>
  <c r="K14" i="6"/>
  <c r="L14" i="6"/>
  <c r="L10" i="6"/>
  <c r="M10" i="6" s="1"/>
  <c r="K304" i="5"/>
  <c r="L304" i="5"/>
  <c r="K305" i="5"/>
  <c r="L305" i="5"/>
  <c r="K306" i="5"/>
  <c r="L306" i="5"/>
  <c r="K307" i="5"/>
  <c r="L307" i="5"/>
  <c r="K308" i="5"/>
  <c r="L308" i="5"/>
  <c r="K309" i="5"/>
  <c r="L309" i="5"/>
  <c r="L303" i="5"/>
  <c r="K303" i="5"/>
  <c r="L278" i="5"/>
  <c r="K278" i="5"/>
  <c r="K273" i="5"/>
  <c r="L273" i="5"/>
  <c r="K274" i="5"/>
  <c r="L274" i="5"/>
  <c r="K275" i="5"/>
  <c r="L275" i="5"/>
  <c r="K276" i="5"/>
  <c r="L276" i="5"/>
  <c r="L272" i="5"/>
  <c r="K272" i="5"/>
  <c r="K254" i="5"/>
  <c r="L254" i="5"/>
  <c r="K256" i="5"/>
  <c r="L256" i="5"/>
  <c r="K257" i="5"/>
  <c r="L257" i="5"/>
  <c r="K258" i="5"/>
  <c r="L258" i="5"/>
  <c r="K259" i="5"/>
  <c r="L259" i="5"/>
  <c r="L253" i="5"/>
  <c r="K253" i="5"/>
  <c r="K242" i="5"/>
  <c r="L242" i="5"/>
  <c r="K243" i="5"/>
  <c r="L243" i="5"/>
  <c r="K244" i="5"/>
  <c r="L244" i="5"/>
  <c r="K245" i="5"/>
  <c r="L245" i="5"/>
  <c r="K246" i="5"/>
  <c r="L246" i="5"/>
  <c r="K247" i="5"/>
  <c r="L247" i="5"/>
  <c r="K248" i="5"/>
  <c r="L248" i="5"/>
  <c r="L241" i="5"/>
  <c r="K241" i="5"/>
  <c r="K237" i="5"/>
  <c r="L237" i="5"/>
  <c r="K238" i="5"/>
  <c r="L238" i="5"/>
  <c r="K239" i="5"/>
  <c r="L239" i="5"/>
  <c r="K232" i="5"/>
  <c r="L232" i="5"/>
  <c r="K233" i="5"/>
  <c r="L233" i="5"/>
  <c r="K234" i="5"/>
  <c r="L234" i="5"/>
  <c r="K235" i="5"/>
  <c r="L235" i="5"/>
  <c r="L236" i="5"/>
  <c r="K236" i="5"/>
  <c r="K225" i="5"/>
  <c r="L225" i="5"/>
  <c r="K226" i="5"/>
  <c r="L226" i="5"/>
  <c r="K227" i="5"/>
  <c r="L227" i="5"/>
  <c r="K229" i="5"/>
  <c r="L229" i="5"/>
  <c r="K230" i="5"/>
  <c r="L230" i="5"/>
  <c r="L224" i="5"/>
  <c r="K224" i="5"/>
  <c r="K135" i="5"/>
  <c r="L135" i="5"/>
  <c r="K136" i="5"/>
  <c r="L136" i="5"/>
  <c r="K137" i="5"/>
  <c r="L137" i="5"/>
  <c r="K138" i="5"/>
  <c r="L138" i="5"/>
  <c r="K142" i="5"/>
  <c r="L142" i="5"/>
  <c r="K143" i="5"/>
  <c r="L143" i="5"/>
  <c r="K144" i="5"/>
  <c r="L144" i="5"/>
  <c r="K145" i="5"/>
  <c r="L145" i="5"/>
  <c r="K146" i="5"/>
  <c r="L146" i="5"/>
  <c r="K147" i="5"/>
  <c r="L147" i="5"/>
  <c r="K148" i="5"/>
  <c r="L148" i="5"/>
  <c r="K149" i="5"/>
  <c r="L149" i="5"/>
  <c r="K150" i="5"/>
  <c r="L150" i="5"/>
  <c r="K151" i="5"/>
  <c r="L151" i="5"/>
  <c r="K152" i="5"/>
  <c r="L152" i="5"/>
  <c r="K153" i="5"/>
  <c r="L153" i="5"/>
  <c r="K154" i="5"/>
  <c r="L154" i="5"/>
  <c r="K155" i="5"/>
  <c r="L155" i="5"/>
  <c r="K156" i="5"/>
  <c r="L156" i="5"/>
  <c r="K157" i="5"/>
  <c r="L157" i="5"/>
  <c r="K158" i="5"/>
  <c r="L158" i="5"/>
  <c r="K159" i="5"/>
  <c r="L159" i="5"/>
  <c r="K160" i="5"/>
  <c r="L160" i="5"/>
  <c r="K161" i="5"/>
  <c r="L161" i="5"/>
  <c r="K162" i="5"/>
  <c r="L162" i="5"/>
  <c r="K163" i="5"/>
  <c r="L163" i="5"/>
  <c r="K164" i="5"/>
  <c r="L164" i="5"/>
  <c r="K165" i="5"/>
  <c r="L165" i="5"/>
  <c r="K166" i="5"/>
  <c r="L166" i="5"/>
  <c r="K167" i="5"/>
  <c r="L167" i="5"/>
  <c r="K168" i="5"/>
  <c r="L168" i="5"/>
  <c r="K169" i="5"/>
  <c r="L169" i="5"/>
  <c r="K170" i="5"/>
  <c r="L170" i="5"/>
  <c r="K171" i="5"/>
  <c r="L171" i="5"/>
  <c r="K172" i="5"/>
  <c r="L172" i="5"/>
  <c r="K173" i="5"/>
  <c r="L173" i="5"/>
  <c r="K174" i="5"/>
  <c r="L174" i="5"/>
  <c r="K175" i="5"/>
  <c r="L175" i="5"/>
  <c r="K176" i="5"/>
  <c r="L176" i="5"/>
  <c r="K177" i="5"/>
  <c r="L177" i="5"/>
  <c r="K178" i="5"/>
  <c r="L178" i="5"/>
  <c r="K179" i="5"/>
  <c r="L179" i="5"/>
  <c r="K180" i="5"/>
  <c r="L180" i="5"/>
  <c r="K181" i="5"/>
  <c r="L181" i="5"/>
  <c r="K182" i="5"/>
  <c r="L182" i="5"/>
  <c r="K183" i="5"/>
  <c r="L183" i="5"/>
  <c r="K184" i="5"/>
  <c r="L184" i="5"/>
  <c r="K185" i="5"/>
  <c r="L185" i="5"/>
  <c r="K186" i="5"/>
  <c r="L186" i="5"/>
  <c r="K187" i="5"/>
  <c r="L187" i="5"/>
  <c r="K188" i="5"/>
  <c r="L188" i="5"/>
  <c r="K189" i="5"/>
  <c r="L189" i="5"/>
  <c r="K190" i="5"/>
  <c r="L190" i="5"/>
  <c r="K191" i="5"/>
  <c r="L191" i="5"/>
  <c r="K192" i="5"/>
  <c r="L192" i="5"/>
  <c r="K193" i="5"/>
  <c r="L193" i="5"/>
  <c r="K194" i="5"/>
  <c r="L194" i="5"/>
  <c r="K195" i="5"/>
  <c r="L195" i="5"/>
  <c r="K196" i="5"/>
  <c r="L196" i="5"/>
  <c r="K197" i="5"/>
  <c r="L197" i="5"/>
  <c r="K198" i="5"/>
  <c r="L198" i="5"/>
  <c r="K200" i="5"/>
  <c r="L200" i="5"/>
  <c r="L134" i="5"/>
  <c r="K134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K33" i="5"/>
  <c r="L33" i="5"/>
  <c r="K34" i="5"/>
  <c r="L34" i="5"/>
  <c r="K35" i="5"/>
  <c r="L35" i="5"/>
  <c r="K36" i="5"/>
  <c r="L36" i="5"/>
  <c r="K37" i="5"/>
  <c r="L37" i="5"/>
  <c r="K38" i="5"/>
  <c r="L38" i="5"/>
  <c r="K39" i="5"/>
  <c r="L39" i="5"/>
  <c r="K40" i="5"/>
  <c r="L40" i="5"/>
  <c r="K41" i="5"/>
  <c r="L41" i="5"/>
  <c r="K42" i="5"/>
  <c r="L42" i="5"/>
  <c r="K43" i="5"/>
  <c r="L43" i="5"/>
  <c r="K44" i="5"/>
  <c r="L44" i="5"/>
  <c r="K45" i="5"/>
  <c r="L45" i="5"/>
  <c r="K46" i="5"/>
  <c r="L46" i="5"/>
  <c r="K47" i="5"/>
  <c r="L47" i="5"/>
  <c r="K48" i="5"/>
  <c r="L48" i="5"/>
  <c r="K49" i="5"/>
  <c r="L49" i="5"/>
  <c r="K50" i="5"/>
  <c r="L50" i="5"/>
  <c r="K51" i="5"/>
  <c r="L51" i="5"/>
  <c r="K52" i="5"/>
  <c r="L52" i="5"/>
  <c r="K53" i="5"/>
  <c r="L53" i="5"/>
  <c r="K54" i="5"/>
  <c r="L54" i="5"/>
  <c r="K55" i="5"/>
  <c r="L55" i="5"/>
  <c r="K56" i="5"/>
  <c r="L56" i="5"/>
  <c r="K57" i="5"/>
  <c r="L57" i="5"/>
  <c r="K58" i="5"/>
  <c r="L58" i="5"/>
  <c r="K59" i="5"/>
  <c r="L59" i="5"/>
  <c r="K60" i="5"/>
  <c r="L60" i="5"/>
  <c r="K61" i="5"/>
  <c r="L61" i="5"/>
  <c r="K62" i="5"/>
  <c r="L62" i="5"/>
  <c r="K63" i="5"/>
  <c r="L63" i="5"/>
  <c r="K64" i="5"/>
  <c r="L64" i="5"/>
  <c r="K65" i="5"/>
  <c r="L65" i="5"/>
  <c r="K66" i="5"/>
  <c r="L66" i="5"/>
  <c r="K67" i="5"/>
  <c r="L67" i="5"/>
  <c r="K68" i="5"/>
  <c r="L68" i="5"/>
  <c r="K69" i="5"/>
  <c r="L69" i="5"/>
  <c r="K70" i="5"/>
  <c r="L70" i="5"/>
  <c r="K71" i="5"/>
  <c r="L71" i="5"/>
  <c r="K72" i="5"/>
  <c r="L72" i="5"/>
  <c r="K73" i="5"/>
  <c r="L73" i="5"/>
  <c r="K74" i="5"/>
  <c r="L74" i="5"/>
  <c r="K75" i="5"/>
  <c r="L75" i="5"/>
  <c r="K76" i="5"/>
  <c r="L76" i="5"/>
  <c r="K77" i="5"/>
  <c r="L77" i="5"/>
  <c r="K78" i="5"/>
  <c r="L78" i="5"/>
  <c r="K79" i="5"/>
  <c r="L79" i="5"/>
  <c r="K80" i="5"/>
  <c r="L80" i="5"/>
  <c r="K81" i="5"/>
  <c r="L81" i="5"/>
  <c r="K82" i="5"/>
  <c r="L82" i="5"/>
  <c r="K83" i="5"/>
  <c r="L83" i="5"/>
  <c r="K84" i="5"/>
  <c r="L84" i="5"/>
  <c r="K85" i="5"/>
  <c r="L85" i="5"/>
  <c r="K86" i="5"/>
  <c r="L86" i="5"/>
  <c r="K87" i="5"/>
  <c r="L87" i="5"/>
  <c r="K88" i="5"/>
  <c r="L88" i="5"/>
  <c r="K89" i="5"/>
  <c r="L89" i="5"/>
  <c r="K90" i="5"/>
  <c r="L90" i="5"/>
  <c r="K91" i="5"/>
  <c r="L91" i="5"/>
  <c r="K92" i="5"/>
  <c r="L92" i="5"/>
  <c r="K93" i="5"/>
  <c r="L93" i="5"/>
  <c r="K94" i="5"/>
  <c r="L94" i="5"/>
  <c r="K95" i="5"/>
  <c r="L95" i="5"/>
  <c r="K96" i="5"/>
  <c r="L96" i="5"/>
  <c r="K97" i="5"/>
  <c r="L97" i="5"/>
  <c r="K98" i="5"/>
  <c r="L98" i="5"/>
  <c r="K99" i="5"/>
  <c r="L99" i="5"/>
  <c r="K100" i="5"/>
  <c r="L100" i="5"/>
  <c r="K101" i="5"/>
  <c r="L101" i="5"/>
  <c r="K102" i="5"/>
  <c r="L102" i="5"/>
  <c r="K103" i="5"/>
  <c r="L103" i="5"/>
  <c r="K104" i="5"/>
  <c r="L104" i="5"/>
  <c r="K105" i="5"/>
  <c r="L105" i="5"/>
  <c r="K106" i="5"/>
  <c r="L106" i="5"/>
  <c r="K119" i="5"/>
  <c r="L119" i="5"/>
  <c r="K120" i="5"/>
  <c r="L120" i="5"/>
  <c r="K121" i="5"/>
  <c r="L121" i="5"/>
  <c r="K122" i="5"/>
  <c r="L122" i="5"/>
  <c r="K123" i="5"/>
  <c r="L123" i="5"/>
  <c r="K124" i="5"/>
  <c r="L124" i="5"/>
  <c r="K125" i="5"/>
  <c r="L125" i="5"/>
  <c r="K126" i="5"/>
  <c r="L126" i="5"/>
  <c r="K127" i="5"/>
  <c r="L127" i="5"/>
  <c r="K128" i="5"/>
  <c r="L128" i="5"/>
  <c r="K129" i="5"/>
  <c r="L129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L10" i="5"/>
  <c r="K10" i="5"/>
  <c r="B9" i="13"/>
  <c r="J72" i="6"/>
  <c r="J73" i="6"/>
  <c r="J74" i="6"/>
  <c r="J71" i="6"/>
  <c r="J257" i="5"/>
  <c r="J10" i="6"/>
  <c r="J11" i="6"/>
  <c r="J12" i="6"/>
  <c r="J13" i="6"/>
  <c r="J14" i="6"/>
  <c r="J16" i="6"/>
  <c r="J17" i="6"/>
  <c r="J64" i="6"/>
  <c r="J65" i="6"/>
  <c r="J66" i="6"/>
  <c r="J67" i="6"/>
  <c r="J68" i="6"/>
  <c r="J69" i="6"/>
  <c r="J70" i="6"/>
  <c r="J83" i="6"/>
  <c r="J87" i="6"/>
  <c r="J85" i="6"/>
  <c r="J86" i="6"/>
  <c r="J84" i="6"/>
  <c r="J88" i="6"/>
  <c r="J89" i="6"/>
  <c r="J97" i="6"/>
  <c r="J100" i="6"/>
  <c r="J99" i="6" s="1"/>
  <c r="J10" i="5"/>
  <c r="J30" i="5"/>
  <c r="J52" i="5"/>
  <c r="J53" i="5"/>
  <c r="J66" i="5"/>
  <c r="J186" i="5"/>
  <c r="J256" i="5"/>
  <c r="J258" i="5"/>
  <c r="J254" i="5"/>
  <c r="J259" i="5"/>
  <c r="J181" i="5"/>
  <c r="J182" i="5"/>
  <c r="J184" i="5"/>
  <c r="J190" i="5"/>
  <c r="J192" i="5"/>
  <c r="J194" i="5"/>
  <c r="J195" i="5"/>
  <c r="J197" i="5"/>
  <c r="J200" i="5"/>
  <c r="J69" i="5"/>
  <c r="J70" i="5"/>
  <c r="J71" i="5"/>
  <c r="J72" i="5"/>
  <c r="J64" i="5"/>
  <c r="J65" i="5"/>
  <c r="J62" i="5"/>
  <c r="J63" i="5"/>
  <c r="J67" i="5"/>
  <c r="J68" i="5"/>
  <c r="J73" i="5"/>
  <c r="J74" i="5"/>
  <c r="J50" i="5"/>
  <c r="J51" i="5"/>
  <c r="J54" i="5"/>
  <c r="J55" i="5"/>
  <c r="J56" i="5"/>
  <c r="J57" i="5"/>
  <c r="J58" i="5"/>
  <c r="J59" i="5"/>
  <c r="J60" i="5"/>
  <c r="J61" i="5"/>
  <c r="J22" i="5"/>
  <c r="J23" i="5"/>
  <c r="J24" i="5"/>
  <c r="J25" i="5"/>
  <c r="J26" i="5"/>
  <c r="J27" i="5"/>
  <c r="J28" i="5"/>
  <c r="J29" i="5"/>
  <c r="J11" i="5"/>
  <c r="J12" i="5"/>
  <c r="J13" i="5"/>
  <c r="J14" i="5"/>
  <c r="J15" i="5"/>
  <c r="J16" i="5"/>
  <c r="J17" i="5"/>
  <c r="J18" i="5"/>
  <c r="J19" i="5"/>
  <c r="J20" i="5"/>
  <c r="J21" i="5"/>
  <c r="J31" i="5"/>
  <c r="J32" i="5"/>
  <c r="J33" i="5"/>
  <c r="J34" i="5"/>
  <c r="J35" i="5"/>
  <c r="J36" i="5"/>
  <c r="J37" i="5"/>
  <c r="J106" i="5"/>
  <c r="J119" i="5"/>
  <c r="J38" i="5"/>
  <c r="J39" i="5"/>
  <c r="J40" i="5"/>
  <c r="J41" i="5"/>
  <c r="J43" i="5"/>
  <c r="J42" i="5"/>
  <c r="J44" i="5"/>
  <c r="J45" i="5"/>
  <c r="J46" i="5"/>
  <c r="J47" i="5"/>
  <c r="J48" i="5"/>
  <c r="J49" i="5"/>
  <c r="J128" i="5"/>
  <c r="J129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26" i="5"/>
  <c r="J127" i="5"/>
  <c r="J120" i="5"/>
  <c r="J121" i="5"/>
  <c r="J122" i="5"/>
  <c r="J123" i="5"/>
  <c r="J124" i="5"/>
  <c r="J125" i="5"/>
  <c r="J134" i="5"/>
  <c r="J135" i="5"/>
  <c r="J136" i="5"/>
  <c r="J137" i="5"/>
  <c r="J138" i="5"/>
  <c r="J142" i="5"/>
  <c r="J143" i="5"/>
  <c r="J144" i="5"/>
  <c r="J145" i="5"/>
  <c r="J154" i="5"/>
  <c r="J156" i="5"/>
  <c r="J161" i="5"/>
  <c r="J162" i="5"/>
  <c r="J167" i="5"/>
  <c r="J168" i="5"/>
  <c r="J169" i="5"/>
  <c r="J172" i="5"/>
  <c r="J176" i="5"/>
  <c r="J179" i="5"/>
  <c r="J180" i="5"/>
  <c r="J146" i="5"/>
  <c r="J147" i="5"/>
  <c r="J148" i="5"/>
  <c r="J149" i="5"/>
  <c r="J150" i="5"/>
  <c r="J151" i="5"/>
  <c r="J152" i="5"/>
  <c r="J153" i="5"/>
  <c r="J155" i="5"/>
  <c r="J157" i="5"/>
  <c r="J158" i="5"/>
  <c r="J159" i="5"/>
  <c r="J160" i="5"/>
  <c r="J163" i="5"/>
  <c r="J164" i="5"/>
  <c r="J165" i="5"/>
  <c r="J166" i="5"/>
  <c r="J170" i="5"/>
  <c r="J171" i="5"/>
  <c r="J173" i="5"/>
  <c r="J174" i="5"/>
  <c r="J175" i="5"/>
  <c r="J177" i="5"/>
  <c r="J178" i="5"/>
  <c r="J183" i="5"/>
  <c r="J185" i="5"/>
  <c r="J187" i="5"/>
  <c r="J188" i="5"/>
  <c r="J189" i="5"/>
  <c r="J191" i="5"/>
  <c r="J193" i="5"/>
  <c r="J196" i="5"/>
  <c r="J198" i="5"/>
  <c r="J224" i="5"/>
  <c r="J225" i="5"/>
  <c r="J226" i="5"/>
  <c r="J227" i="5"/>
  <c r="J229" i="5"/>
  <c r="J239" i="5"/>
  <c r="J232" i="5"/>
  <c r="J233" i="5"/>
  <c r="J234" i="5"/>
  <c r="J236" i="5"/>
  <c r="J237" i="5"/>
  <c r="J238" i="5"/>
  <c r="J235" i="5"/>
  <c r="J246" i="5"/>
  <c r="J247" i="5"/>
  <c r="J248" i="5"/>
  <c r="J241" i="5"/>
  <c r="J242" i="5"/>
  <c r="J243" i="5"/>
  <c r="J244" i="5"/>
  <c r="J245" i="5"/>
  <c r="J253" i="5"/>
  <c r="J230" i="5"/>
  <c r="J272" i="5"/>
  <c r="J273" i="5"/>
  <c r="J274" i="5"/>
  <c r="J275" i="5"/>
  <c r="J276" i="5"/>
  <c r="J278" i="5"/>
  <c r="J303" i="5"/>
  <c r="J304" i="5"/>
  <c r="J305" i="5"/>
  <c r="J306" i="5"/>
  <c r="J307" i="5"/>
  <c r="J308" i="5"/>
  <c r="J309" i="5"/>
  <c r="J7" i="5" l="1"/>
  <c r="J63" i="6"/>
  <c r="J90" i="6"/>
  <c r="M18" i="6"/>
  <c r="J15" i="6"/>
  <c r="J231" i="5"/>
  <c r="J9" i="5"/>
  <c r="J9" i="6"/>
  <c r="J81" i="6"/>
  <c r="M141" i="5"/>
  <c r="M139" i="5"/>
  <c r="M65" i="6"/>
  <c r="M140" i="5"/>
  <c r="M152" i="5"/>
  <c r="M96" i="5"/>
  <c r="M76" i="5"/>
  <c r="M25" i="5"/>
  <c r="M197" i="5"/>
  <c r="M173" i="5"/>
  <c r="M169" i="5"/>
  <c r="M161" i="5"/>
  <c r="M157" i="5"/>
  <c r="M123" i="5"/>
  <c r="M47" i="5"/>
  <c r="M39" i="5"/>
  <c r="M35" i="5"/>
  <c r="M31" i="5"/>
  <c r="M182" i="5"/>
  <c r="M174" i="5"/>
  <c r="M142" i="5"/>
  <c r="M248" i="5"/>
  <c r="M244" i="5"/>
  <c r="M272" i="5"/>
  <c r="M41" i="5"/>
  <c r="M37" i="5"/>
  <c r="M33" i="5"/>
  <c r="M195" i="5"/>
  <c r="M187" i="5"/>
  <c r="M175" i="5"/>
  <c r="M167" i="5"/>
  <c r="M163" i="5"/>
  <c r="M159" i="5"/>
  <c r="M127" i="5"/>
  <c r="M23" i="5"/>
  <c r="M233" i="5"/>
  <c r="M58" i="5"/>
  <c r="M42" i="5"/>
  <c r="M184" i="5"/>
  <c r="M180" i="5"/>
  <c r="M176" i="5"/>
  <c r="M242" i="5"/>
  <c r="M258" i="5"/>
  <c r="M275" i="5"/>
  <c r="M278" i="5"/>
  <c r="M11" i="5"/>
  <c r="M308" i="5"/>
  <c r="M306" i="5"/>
  <c r="M17" i="5"/>
  <c r="M13" i="5"/>
  <c r="M124" i="5"/>
  <c r="M101" i="5"/>
  <c r="M79" i="5"/>
  <c r="M69" i="5"/>
  <c r="M227" i="5"/>
  <c r="M235" i="5"/>
  <c r="M243" i="5"/>
  <c r="M78" i="5"/>
  <c r="M56" i="5"/>
  <c r="M50" i="5"/>
  <c r="M239" i="5"/>
  <c r="M102" i="5"/>
  <c r="M54" i="5"/>
  <c r="M44" i="5"/>
  <c r="M230" i="5"/>
  <c r="M120" i="5"/>
  <c r="M100" i="5"/>
  <c r="M52" i="5"/>
  <c r="M20" i="5"/>
  <c r="M129" i="5"/>
  <c r="M34" i="5"/>
  <c r="M32" i="5"/>
  <c r="M196" i="5"/>
  <c r="M194" i="5"/>
  <c r="M190" i="5"/>
  <c r="M156" i="5"/>
  <c r="M150" i="5"/>
  <c r="M148" i="5"/>
  <c r="M146" i="5"/>
  <c r="M144" i="5"/>
  <c r="M309" i="5"/>
  <c r="M307" i="5"/>
  <c r="M305" i="5"/>
  <c r="M10" i="5"/>
  <c r="M99" i="5"/>
  <c r="M97" i="5"/>
  <c r="M95" i="5"/>
  <c r="M85" i="5"/>
  <c r="M83" i="5"/>
  <c r="M81" i="5"/>
  <c r="M73" i="5"/>
  <c r="M71" i="5"/>
  <c r="M57" i="5"/>
  <c r="M51" i="5"/>
  <c r="M193" i="5"/>
  <c r="M147" i="5"/>
  <c r="M234" i="5"/>
  <c r="M232" i="5"/>
  <c r="M303" i="5"/>
  <c r="M100" i="6"/>
  <c r="M107" i="5"/>
  <c r="M111" i="5"/>
  <c r="M115" i="5"/>
  <c r="M94" i="5"/>
  <c r="M92" i="5"/>
  <c r="M90" i="5"/>
  <c r="M88" i="5"/>
  <c r="M86" i="5"/>
  <c r="M80" i="5"/>
  <c r="M68" i="5"/>
  <c r="M66" i="5"/>
  <c r="M64" i="5"/>
  <c r="M60" i="5"/>
  <c r="M55" i="5"/>
  <c r="M49" i="5"/>
  <c r="M38" i="5"/>
  <c r="M29" i="5"/>
  <c r="M27" i="5"/>
  <c r="M198" i="5"/>
  <c r="M178" i="5"/>
  <c r="M172" i="5"/>
  <c r="M168" i="5"/>
  <c r="M166" i="5"/>
  <c r="M162" i="5"/>
  <c r="M160" i="5"/>
  <c r="M155" i="5"/>
  <c r="M151" i="5"/>
  <c r="M229" i="5"/>
  <c r="M225" i="5"/>
  <c r="M246" i="5"/>
  <c r="M273" i="5"/>
  <c r="M304" i="5"/>
  <c r="M128" i="5"/>
  <c r="M121" i="5"/>
  <c r="M119" i="5"/>
  <c r="M105" i="5"/>
  <c r="M63" i="5"/>
  <c r="M59" i="5"/>
  <c r="M30" i="5"/>
  <c r="M26" i="5"/>
  <c r="M24" i="5"/>
  <c r="J58" i="13" s="1"/>
  <c r="M189" i="5"/>
  <c r="M185" i="5"/>
  <c r="M183" i="5"/>
  <c r="M179" i="5"/>
  <c r="M177" i="5"/>
  <c r="M136" i="5"/>
  <c r="M236" i="5"/>
  <c r="M245" i="5"/>
  <c r="M253" i="5"/>
  <c r="M276" i="5"/>
  <c r="M274" i="5"/>
  <c r="M85" i="6"/>
  <c r="M109" i="5"/>
  <c r="M113" i="5"/>
  <c r="M117" i="5"/>
  <c r="M12" i="5"/>
  <c r="M122" i="5"/>
  <c r="M134" i="5"/>
  <c r="M238" i="5"/>
  <c r="M64" i="6"/>
  <c r="M68" i="6"/>
  <c r="M66" i="6"/>
  <c r="M88" i="6"/>
  <c r="M86" i="6"/>
  <c r="M83" i="6"/>
  <c r="M84" i="6"/>
  <c r="M87" i="6"/>
  <c r="M70" i="6"/>
  <c r="M18" i="5"/>
  <c r="M67" i="5"/>
  <c r="M65" i="5"/>
  <c r="M200" i="5"/>
  <c r="M181" i="5"/>
  <c r="M170" i="5"/>
  <c r="M158" i="5"/>
  <c r="M149" i="5"/>
  <c r="M16" i="5"/>
  <c r="M103" i="5"/>
  <c r="M87" i="5"/>
  <c r="M84" i="5"/>
  <c r="M82" i="5"/>
  <c r="M70" i="5"/>
  <c r="M46" i="5"/>
  <c r="M36" i="5"/>
  <c r="M21" i="5"/>
  <c r="M67" i="6"/>
  <c r="M126" i="5"/>
  <c r="M53" i="5"/>
  <c r="M153" i="5"/>
  <c r="M138" i="5"/>
  <c r="M224" i="5"/>
  <c r="M259" i="5"/>
  <c r="M257" i="5"/>
  <c r="M256" i="5"/>
  <c r="M11" i="6"/>
  <c r="M17" i="6"/>
  <c r="M72" i="6"/>
  <c r="M108" i="5"/>
  <c r="M112" i="5"/>
  <c r="M116" i="5"/>
  <c r="M19" i="5"/>
  <c r="M15" i="5"/>
  <c r="M125" i="5"/>
  <c r="M106" i="5"/>
  <c r="M104" i="5"/>
  <c r="M93" i="5"/>
  <c r="M91" i="5"/>
  <c r="M89" i="5"/>
  <c r="M77" i="5"/>
  <c r="M75" i="5"/>
  <c r="M61" i="5"/>
  <c r="M45" i="5"/>
  <c r="M43" i="5"/>
  <c r="M40" i="5"/>
  <c r="M22" i="5"/>
  <c r="M191" i="5"/>
  <c r="M188" i="5"/>
  <c r="M186" i="5"/>
  <c r="M171" i="5"/>
  <c r="M165" i="5"/>
  <c r="M154" i="5"/>
  <c r="M145" i="5"/>
  <c r="M143" i="5"/>
  <c r="M137" i="5"/>
  <c r="M135" i="5"/>
  <c r="M226" i="5"/>
  <c r="M254" i="5"/>
  <c r="M12" i="6"/>
  <c r="M97" i="6"/>
  <c r="M110" i="5"/>
  <c r="M114" i="5"/>
  <c r="M118" i="5"/>
  <c r="M62" i="5"/>
  <c r="M48" i="5"/>
  <c r="M192" i="5"/>
  <c r="M237" i="5"/>
  <c r="M14" i="5"/>
  <c r="M98" i="5"/>
  <c r="M74" i="5"/>
  <c r="M72" i="5"/>
  <c r="M28" i="5"/>
  <c r="M164" i="5"/>
  <c r="M241" i="5"/>
  <c r="M247" i="5"/>
  <c r="M16" i="6"/>
  <c r="M69" i="6"/>
  <c r="M89" i="6"/>
  <c r="M71" i="6"/>
  <c r="M14" i="6"/>
  <c r="M13" i="6"/>
  <c r="M73" i="6"/>
  <c r="M19" i="6"/>
  <c r="M74" i="6"/>
  <c r="M7" i="6" l="1"/>
  <c r="J36" i="13" s="1"/>
  <c r="J7" i="6"/>
  <c r="M7" i="5"/>
  <c r="J35" i="13" s="1"/>
  <c r="J37" i="13" l="1"/>
  <c r="H41" i="13" l="1"/>
  <c r="H45" i="13" s="1"/>
  <c r="H3" i="22" s="1"/>
  <c r="J62" i="13"/>
  <c r="J45" i="13" l="1"/>
  <c r="C64" i="13" l="1"/>
  <c r="D64" i="13" s="1"/>
  <c r="G64" i="13" s="1"/>
  <c r="J64" i="13" l="1"/>
</calcChain>
</file>

<file path=xl/sharedStrings.xml><?xml version="1.0" encoding="utf-8"?>
<sst xmlns="http://schemas.openxmlformats.org/spreadsheetml/2006/main" count="19909" uniqueCount="15209">
  <si>
    <t>Unidades</t>
  </si>
  <si>
    <t>*TOTAL MATERIAL DE MARKETING</t>
  </si>
  <si>
    <t>Ref.</t>
  </si>
  <si>
    <t>Descripción</t>
  </si>
  <si>
    <t>Packing</t>
  </si>
  <si>
    <t>Precio Tarifa</t>
  </si>
  <si>
    <t>Cajas</t>
  </si>
  <si>
    <t>Dto. 1%</t>
  </si>
  <si>
    <t>Dto. 2%</t>
  </si>
  <si>
    <t>Subtotal</t>
  </si>
  <si>
    <t>Formato</t>
  </si>
  <si>
    <t>3 x 60 ml</t>
  </si>
  <si>
    <t>KINESSENCES BLONDES 01 PINK</t>
  </si>
  <si>
    <t>KINESSENCES BLONDES 02 PEACH</t>
  </si>
  <si>
    <t>KINESSENCES BLONDES 03 SAND</t>
  </si>
  <si>
    <t>KINESSENCES BLONDES 04 LILAC</t>
  </si>
  <si>
    <t>KINESSENCES BLONDES 05 STEEL</t>
  </si>
  <si>
    <t xml:space="preserve">KINESSENCES COLOR 4.0 </t>
  </si>
  <si>
    <t xml:space="preserve">KINESSENCES COLOR 5.0 </t>
  </si>
  <si>
    <t xml:space="preserve">KINESSENCES COLOR 6.0 </t>
  </si>
  <si>
    <t xml:space="preserve">KINESSENCES COLOR 7.0 </t>
  </si>
  <si>
    <t xml:space="preserve">KINESSENCES COLOR 8.0 </t>
  </si>
  <si>
    <t>KINESSENCES COLOR 6.77</t>
  </si>
  <si>
    <t>1.000 ml</t>
  </si>
  <si>
    <t>500 gr</t>
  </si>
  <si>
    <t>KINBLOND BLEACHING POWDER SOBRES</t>
  </si>
  <si>
    <t>KINESSENCES BLONDES BLEACHING CREAM</t>
  </si>
  <si>
    <t>200 ml</t>
  </si>
  <si>
    <t>KINMASTER EQUILIBRANT SHAMPOO</t>
  </si>
  <si>
    <t>KINMASTER DEEP CLEANSING SHAMPOO</t>
  </si>
  <si>
    <t>KINMASTER NO YELLOW SHAMPOO</t>
  </si>
  <si>
    <t>75 ml</t>
  </si>
  <si>
    <t>2 x 50 ml</t>
  </si>
  <si>
    <t>KINMASTER COLOR CLEANSER</t>
  </si>
  <si>
    <t>KINMASTER COLOR REMOVER</t>
  </si>
  <si>
    <t>900 ml</t>
  </si>
  <si>
    <t>KINMEN FORCE TONIC</t>
  </si>
  <si>
    <t>125 ml</t>
  </si>
  <si>
    <t>250 ml</t>
  </si>
  <si>
    <t>KINMEN BEARD CREAM</t>
  </si>
  <si>
    <t>50 ml</t>
  </si>
  <si>
    <t>100 ml</t>
  </si>
  <si>
    <t>PVP</t>
  </si>
  <si>
    <t>150 ml</t>
  </si>
  <si>
    <t>12 x 6 ml</t>
  </si>
  <si>
    <t>KINACTIF PURITY TONIC</t>
  </si>
  <si>
    <t>KINACTIF BALANCE TONIC</t>
  </si>
  <si>
    <t>300 ml</t>
  </si>
  <si>
    <t>30 ml</t>
  </si>
  <si>
    <t>KINESSENCES RESTORE OVERNIGHT INFUSION</t>
  </si>
  <si>
    <t>400 ml</t>
  </si>
  <si>
    <t>KINSTYLE MAKING WAVES</t>
  </si>
  <si>
    <t>KINSTYLE ESSENTIAL HAIRSPRAY</t>
  </si>
  <si>
    <t>KINSTYLE EXTREME HAIRSPRAY</t>
  </si>
  <si>
    <t>KINSTYLE ESSENTIAL MOUSSE</t>
  </si>
  <si>
    <t>KINSTYLE EXTREME MOUSSE</t>
  </si>
  <si>
    <t>KINSTYLE RADICAL VOLUME</t>
  </si>
  <si>
    <t>KINSTYLE CRYSTAL JELLY</t>
  </si>
  <si>
    <t>KINSTYLE MAT GUM</t>
  </si>
  <si>
    <t>KINSTYLE THERMIC SPRAY</t>
  </si>
  <si>
    <t>KINSTYLE CURLY CREAM</t>
  </si>
  <si>
    <t>KINSTYLE POTION CREAM</t>
  </si>
  <si>
    <t>RESUMEN PEDIDO</t>
  </si>
  <si>
    <t>FECHA PEDIDO</t>
  </si>
  <si>
    <t>ASESOR COMERCIAL</t>
  </si>
  <si>
    <t>CÓDIGO</t>
  </si>
  <si>
    <t>NOMBRE</t>
  </si>
  <si>
    <t>DATOS CLIENTE</t>
  </si>
  <si>
    <t>DIRECCIÓN</t>
  </si>
  <si>
    <t>POBLACIÓN</t>
  </si>
  <si>
    <t>PROVÍNCIA</t>
  </si>
  <si>
    <t>TELÉFONO</t>
  </si>
  <si>
    <t>DESCUENTO CLIENTE</t>
  </si>
  <si>
    <t>DESCUENTO 1</t>
  </si>
  <si>
    <t>DESCUENTO 2</t>
  </si>
  <si>
    <t>DATOS</t>
  </si>
  <si>
    <t>FONT FORTUNY, ANNA MARIA</t>
  </si>
  <si>
    <t>1004D</t>
  </si>
  <si>
    <t>CAMBRILS</t>
  </si>
  <si>
    <t>TARRAGONA</t>
  </si>
  <si>
    <t>PRODUCTO TÉCNICO</t>
  </si>
  <si>
    <t>PRODUCTO REVENTA</t>
  </si>
  <si>
    <t>SUBTOTAL PRODUCTO REVENTA</t>
  </si>
  <si>
    <t>SUBTOTAL PRODUCTO TÉCNICO</t>
  </si>
  <si>
    <t>SUBTOTAL PEDIDO</t>
  </si>
  <si>
    <t>DESCUENTO P.P.</t>
  </si>
  <si>
    <t>C.P.</t>
  </si>
  <si>
    <t>BASE IMPONIBLE</t>
  </si>
  <si>
    <t>IVA %</t>
  </si>
  <si>
    <t>R.E.</t>
  </si>
  <si>
    <t>TOTAL PEDIDO</t>
  </si>
  <si>
    <t>CÓD. CLIENTE</t>
  </si>
  <si>
    <t>Nº PEDIDO:</t>
  </si>
  <si>
    <t>Nº FACTURA:</t>
  </si>
  <si>
    <t>FECHA FACTURA:</t>
  </si>
  <si>
    <t>CRÉDITO EN MATERIAL DE MARKETING</t>
  </si>
  <si>
    <t>CRÉDITO EN MATERIAL DE MARKETING GASTADO</t>
  </si>
  <si>
    <t>*El importe pendiente a compensar, no es acumulativo y tampoco se abona.</t>
  </si>
  <si>
    <t>TIJERA QUEEN PLUS ARTERO PARA KIN 5"</t>
  </si>
  <si>
    <t>TIJERA QUEEN PLUS ARTERO PARA KIN 5.5"</t>
  </si>
  <si>
    <t>TIJERA QUEEN PLUS ARTERO PARA KIN 6"</t>
  </si>
  <si>
    <t>SECADOR HP 3.7 LIM FUCSIA</t>
  </si>
  <si>
    <t>DIFUSOR UNIVERSAL LIM</t>
  </si>
  <si>
    <t>TIJERA ONE ARTERO 6"</t>
  </si>
  <si>
    <t>TIJERA ONE ARTERO 7"</t>
  </si>
  <si>
    <t>TIJERA ONE ARTERO 8"</t>
  </si>
  <si>
    <t>PEINE GUÍA G45 YS PARK BLANCO</t>
  </si>
  <si>
    <t>MATERIAL PROMOCIONAL / DESECHABLES</t>
  </si>
  <si>
    <t>MATERIAL PROMOCIONAL / UTENSILIOS</t>
  </si>
  <si>
    <t>MATERIAL PROMOCIONAL / COMUNICACIÓN</t>
  </si>
  <si>
    <t>MATERIAL PROMOCIONAL / EXPOSICIÓN</t>
  </si>
  <si>
    <t>MATERIAL PROMOCIONAL / REVENTA</t>
  </si>
  <si>
    <t>MATERIAL PROMOCIONAL / REGALOS</t>
  </si>
  <si>
    <t>MATERIAL MARKETING</t>
  </si>
  <si>
    <t>COMENTARIOS:</t>
  </si>
  <si>
    <t>SUBTOTAL PRODUCTOS</t>
  </si>
  <si>
    <t>SUBTOTAL MATERIAL MARKETING</t>
  </si>
  <si>
    <t>Caja 50 uds.</t>
  </si>
  <si>
    <t>Bolsa 50 uds.</t>
  </si>
  <si>
    <t>Unidad</t>
  </si>
  <si>
    <t>A4</t>
  </si>
  <si>
    <t>24 x 40 cm</t>
  </si>
  <si>
    <t>26,5 x 22,5 x 3 cm</t>
  </si>
  <si>
    <t>66 x 96 cm</t>
  </si>
  <si>
    <t>9 x 16 cm</t>
  </si>
  <si>
    <t>24 x 8 ml</t>
  </si>
  <si>
    <t>CIF/NIF</t>
  </si>
  <si>
    <t>DIST.CAROBEL'S CATALUÑA, S.L.</t>
  </si>
  <si>
    <t>B59945725</t>
  </si>
  <si>
    <t>NACIONAL</t>
  </si>
  <si>
    <t>SANTA COLOMA DE GRAMENET</t>
  </si>
  <si>
    <t>BARCELONA</t>
  </si>
  <si>
    <t>CL RELOJ, 7-9</t>
  </si>
  <si>
    <t>+34 933929352</t>
  </si>
  <si>
    <t/>
  </si>
  <si>
    <t>EXCLUSIVAS NEGREDO S.L.</t>
  </si>
  <si>
    <t>B20223178</t>
  </si>
  <si>
    <t>GUIPUZCOA</t>
  </si>
  <si>
    <t>CL/ IRIBAR 6 C8-C9 POL.A.E. NEINOR</t>
  </si>
  <si>
    <t>+34 943492554</t>
  </si>
  <si>
    <t>COMERCIAL PUJANTE S.L.</t>
  </si>
  <si>
    <t>B30094338</t>
  </si>
  <si>
    <t>MURCIA</t>
  </si>
  <si>
    <t>EXCLUSIVAS LADY'S S.L.</t>
  </si>
  <si>
    <t>B18089235</t>
  </si>
  <si>
    <t>PELIGROS</t>
  </si>
  <si>
    <t>GRANADA</t>
  </si>
  <si>
    <t>CL CASTILLA 39-40</t>
  </si>
  <si>
    <t>+34 958400177</t>
  </si>
  <si>
    <t>LARA SANCHEZ, FRANCISCO</t>
  </si>
  <si>
    <t>34010807V</t>
  </si>
  <si>
    <t>BENAMEJI</t>
  </si>
  <si>
    <t>CORDOBA</t>
  </si>
  <si>
    <t>AV LAS VENTAS 35</t>
  </si>
  <si>
    <t>+34 629888997</t>
  </si>
  <si>
    <t>dislapefla@hotmail.com</t>
  </si>
  <si>
    <t>EXCLUSIVAS J.J. SANCHEZ, S.L.</t>
  </si>
  <si>
    <t>B33805110</t>
  </si>
  <si>
    <t>GIJON</t>
  </si>
  <si>
    <t>ASTURIAS</t>
  </si>
  <si>
    <t>CL CORTES DE CADIZ 6 BIS BJ</t>
  </si>
  <si>
    <t>+34 985338175</t>
  </si>
  <si>
    <t>exclusivasjjsanchez@gmail.com</t>
  </si>
  <si>
    <t>COMERCIAL LOMARK, S.C.P.</t>
  </si>
  <si>
    <t>J60955119</t>
  </si>
  <si>
    <t>MOLINS DE REI</t>
  </si>
  <si>
    <t>CL/ CARRIL,17-19,4-BIS</t>
  </si>
  <si>
    <t>+34 936683653</t>
  </si>
  <si>
    <t>comerciallomark@gmail.com</t>
  </si>
  <si>
    <t>CEBRIAN, C.B.</t>
  </si>
  <si>
    <t>E02243426</t>
  </si>
  <si>
    <t>NACREQ</t>
  </si>
  <si>
    <t>ALBACETE</t>
  </si>
  <si>
    <t>CL PEDRO MARTINEZ GUTIERREZ 2</t>
  </si>
  <si>
    <t>+34 967190388</t>
  </si>
  <si>
    <t>cebriancb@outlook.com</t>
  </si>
  <si>
    <t>PIQUET ORTEGA, SILVIA</t>
  </si>
  <si>
    <t>40992757H</t>
  </si>
  <si>
    <t>CL VALENCIA 571</t>
  </si>
  <si>
    <t>+34 932462948</t>
  </si>
  <si>
    <t>silviapiquet22@hotmail.com</t>
  </si>
  <si>
    <t>DOMINGUEZ RIVAS, Mª CARMEN</t>
  </si>
  <si>
    <t>46637143C</t>
  </si>
  <si>
    <t>SANT ANDREU DE LA BARCA</t>
  </si>
  <si>
    <t>lalunacomercial96@gmail.com</t>
  </si>
  <si>
    <t>+34 981160055</t>
  </si>
  <si>
    <t>COOP. PELUQUEROS PALENTINOS</t>
  </si>
  <si>
    <t>F34152694</t>
  </si>
  <si>
    <t>PALENCIA</t>
  </si>
  <si>
    <t>AV CARDENAL CISNEROS 22</t>
  </si>
  <si>
    <t>+34 979710187</t>
  </si>
  <si>
    <t>copepale@gmail.com</t>
  </si>
  <si>
    <t>CIAL. JACINTO CANALES, S.L.</t>
  </si>
  <si>
    <t>B61805560</t>
  </si>
  <si>
    <t>CL PADILLA 220</t>
  </si>
  <si>
    <t>+34 932451001</t>
  </si>
  <si>
    <t>HERNANDEZ SANCHEZ, FILOMENA</t>
  </si>
  <si>
    <t>37658447H</t>
  </si>
  <si>
    <t>PLATJA D'ARO</t>
  </si>
  <si>
    <t>GIRONA</t>
  </si>
  <si>
    <t>CL EDIF.EUROCENTER ILLA 2 LOCAL 53.</t>
  </si>
  <si>
    <t>+34 972818664</t>
  </si>
  <si>
    <t>comercialbahi@yahoo.es</t>
  </si>
  <si>
    <t>DIFUSIO 9, S.A.</t>
  </si>
  <si>
    <t>A17118092</t>
  </si>
  <si>
    <t>CL SEQUIA 22</t>
  </si>
  <si>
    <t>+34 972219237</t>
  </si>
  <si>
    <t>difusio9@difusio9.es</t>
  </si>
  <si>
    <t>ALVAREZ URRUELA, JESUS</t>
  </si>
  <si>
    <t>30656921Z</t>
  </si>
  <si>
    <t>ZALLA</t>
  </si>
  <si>
    <t>BIZKAIA</t>
  </si>
  <si>
    <t>AV LANZAGORTA 18</t>
  </si>
  <si>
    <t>+34 946390612</t>
  </si>
  <si>
    <t>LA LINEA DE LA CONCEPCION</t>
  </si>
  <si>
    <t>CADIZ</t>
  </si>
  <si>
    <t>ALTA COSMETICA GABOR, S.L.</t>
  </si>
  <si>
    <t>B13345988</t>
  </si>
  <si>
    <t>CIUDAD REAL</t>
  </si>
  <si>
    <t>CL ALFONSO X EL SABIO 11</t>
  </si>
  <si>
    <t>+34 926216391</t>
  </si>
  <si>
    <t>cosmeticagabor@hotmail.com</t>
  </si>
  <si>
    <t>ATHISS EIVISSA, SL</t>
  </si>
  <si>
    <t>B57097065</t>
  </si>
  <si>
    <t>EIVISSA</t>
  </si>
  <si>
    <t>BALEARES</t>
  </si>
  <si>
    <t>CL AGAPITO LLOBET, 5 LOCAL</t>
  </si>
  <si>
    <t>+34 971398830</t>
  </si>
  <si>
    <t>mathissibiza@gmail.com</t>
  </si>
  <si>
    <t>RUIZ BACAS, MARIA FELICIDAD</t>
  </si>
  <si>
    <t>38823219R</t>
  </si>
  <si>
    <t>MATARO</t>
  </si>
  <si>
    <t>+34 937575211</t>
  </si>
  <si>
    <t>labotigadeltint@hotmail.com</t>
  </si>
  <si>
    <t>JARA MARTIN, RICARDO J.</t>
  </si>
  <si>
    <t>33925815X</t>
  </si>
  <si>
    <t>BADALONA</t>
  </si>
  <si>
    <t>AV/ ALFONSO XIII, 610-BAJO</t>
  </si>
  <si>
    <t>+34 625030893</t>
  </si>
  <si>
    <t>rjara5168@gmail.com</t>
  </si>
  <si>
    <t>PERRINO CASARES, JOSE MANUEL</t>
  </si>
  <si>
    <t>12309330Y</t>
  </si>
  <si>
    <t>SALAMANCA</t>
  </si>
  <si>
    <t>AV ITALIA 28</t>
  </si>
  <si>
    <t>+34 923124076</t>
  </si>
  <si>
    <t>teresafrailemartin@gmail.com</t>
  </si>
  <si>
    <t>PIERINO COSMETICS S.L.U.</t>
  </si>
  <si>
    <t>B37416773</t>
  </si>
  <si>
    <t>VILLARES DE LA REINA</t>
  </si>
  <si>
    <t>CL/ CAÑO DE LAS PIMIENTAS,58</t>
  </si>
  <si>
    <t>+34 923203339</t>
  </si>
  <si>
    <t>GRAS SUREDA, GEMMA</t>
  </si>
  <si>
    <t>38815457J</t>
  </si>
  <si>
    <t>TORDERA</t>
  </si>
  <si>
    <t>+34 937641244</t>
  </si>
  <si>
    <t>g.gras.sureda@gmail.com</t>
  </si>
  <si>
    <t>SABADELL</t>
  </si>
  <si>
    <t>+34 937238389</t>
  </si>
  <si>
    <t>noemi1979@live.com</t>
  </si>
  <si>
    <t>LAJE COSMETICS, S.L.</t>
  </si>
  <si>
    <t>B64030539</t>
  </si>
  <si>
    <t>GRANOLLERS</t>
  </si>
  <si>
    <t>CL/ GIRONA 2</t>
  </si>
  <si>
    <t>+34 938702200</t>
  </si>
  <si>
    <t>info@lajecosmetics.com</t>
  </si>
  <si>
    <t>APARICIO XARAU, SILVIA</t>
  </si>
  <si>
    <t>38089626Q</t>
  </si>
  <si>
    <t>CALDES DE MONTBUI</t>
  </si>
  <si>
    <t>CL/ HOMS,1 - LOCAL 3</t>
  </si>
  <si>
    <t>+34 938622033</t>
  </si>
  <si>
    <t>QUAFURG BCN S.C.C.L.</t>
  </si>
  <si>
    <t>F62128186</t>
  </si>
  <si>
    <t>CL VALENCIA 392 LOCAL 3</t>
  </si>
  <si>
    <t>+34 932080274</t>
  </si>
  <si>
    <t>quafurg@gmail.com</t>
  </si>
  <si>
    <t>LOLA'S ROCRUES S.L.</t>
  </si>
  <si>
    <t>B11477304</t>
  </si>
  <si>
    <t>CL/ SALVADOR DALI,2</t>
  </si>
  <si>
    <t>+34 956174427</t>
  </si>
  <si>
    <t>comercialolas@hotmail.com</t>
  </si>
  <si>
    <t>HURCAL BEAUTY, S.L.</t>
  </si>
  <si>
    <t>B53382735</t>
  </si>
  <si>
    <t>ELCHE</t>
  </si>
  <si>
    <t>ALICANTE</t>
  </si>
  <si>
    <t>CL/ CAÑADA,12</t>
  </si>
  <si>
    <t>+34 965461560</t>
  </si>
  <si>
    <t>carloshurtado@hurcal.com</t>
  </si>
  <si>
    <t>SERRANO BLANCH, SILVIA</t>
  </si>
  <si>
    <t>52179059V</t>
  </si>
  <si>
    <t>LA LLAGOSTA</t>
  </si>
  <si>
    <t>PZ/ PEDRO IV,6-LOCAL 10</t>
  </si>
  <si>
    <t>+34 935742585</t>
  </si>
  <si>
    <t>comercialserrano08120@yahoo.es</t>
  </si>
  <si>
    <t>BERCHE JIMENEZ, MARINA</t>
  </si>
  <si>
    <t>47726653C</t>
  </si>
  <si>
    <t>AV. PI I MARAGALL 92</t>
  </si>
  <si>
    <t>+34 931869990</t>
  </si>
  <si>
    <t>jordi.duque@hotmail.com</t>
  </si>
  <si>
    <t>COMERCIAL GARCIA CASACUBERTA S.L.</t>
  </si>
  <si>
    <t>B65214355</t>
  </si>
  <si>
    <t>TERRASSA</t>
  </si>
  <si>
    <t>CL NICOLAU TALLO 70 LOCAL 1</t>
  </si>
  <si>
    <t>comercialbrumen@gmail.com</t>
  </si>
  <si>
    <t>PONTEVEDRA</t>
  </si>
  <si>
    <t>VARGAS BARRAGAN, AGUSTINA</t>
  </si>
  <si>
    <t>33897942J</t>
  </si>
  <si>
    <t>MOLLET DEL VALLES</t>
  </si>
  <si>
    <t>AV JAUME I, 96</t>
  </si>
  <si>
    <t>+34 625135007</t>
  </si>
  <si>
    <t>famiruizvargas@hotmail.com</t>
  </si>
  <si>
    <t>DCV01 S.L.</t>
  </si>
  <si>
    <t>B26325845</t>
  </si>
  <si>
    <t>LOGROÑO</t>
  </si>
  <si>
    <t>LA RIOJA</t>
  </si>
  <si>
    <t>CL FUNDICION 4</t>
  </si>
  <si>
    <t>+34 649498616</t>
  </si>
  <si>
    <t>info@domekavera.es</t>
  </si>
  <si>
    <t>EXPOSITO PEDROSA, DAVID</t>
  </si>
  <si>
    <t>47151592M</t>
  </si>
  <si>
    <t>CL BALAGUER 9</t>
  </si>
  <si>
    <t>+34 937160697</t>
  </si>
  <si>
    <t>RUIZ SANCHEZ, SILVIA</t>
  </si>
  <si>
    <t>52205184Z</t>
  </si>
  <si>
    <t>SANT BOI DE LLOBREGAT</t>
  </si>
  <si>
    <t>C/ MONTMANY 17, LOCAL</t>
  </si>
  <si>
    <t>+34 931825730</t>
  </si>
  <si>
    <t>silviaruizsanchez@gmail.com</t>
  </si>
  <si>
    <t>CASALS DISPRO, S.L.</t>
  </si>
  <si>
    <t>B65932436</t>
  </si>
  <si>
    <t>GURB</t>
  </si>
  <si>
    <t>CL SAN ROC, 27</t>
  </si>
  <si>
    <t>+34 938833577</t>
  </si>
  <si>
    <t>ORENSANA DE SERVICIOS COSMETICOS S.L.</t>
  </si>
  <si>
    <t>B32434995</t>
  </si>
  <si>
    <t>OURENSE</t>
  </si>
  <si>
    <t>ORENSE/OURENSE</t>
  </si>
  <si>
    <t>RUA STO. DOMINGO - GALERIAS SOL-LOCAL 38 S/N</t>
  </si>
  <si>
    <t>+34 988218258</t>
  </si>
  <si>
    <t>sercosourense@gmail.com</t>
  </si>
  <si>
    <t>RODRIGUEZ CENDRERO, MIGUEL ANGEL</t>
  </si>
  <si>
    <t>52624863N</t>
  </si>
  <si>
    <t>ESPLUGUES DE LLOBREGAT</t>
  </si>
  <si>
    <t>CL RICARD GUELL 2, 1-4</t>
  </si>
  <si>
    <t>+34 630462689</t>
  </si>
  <si>
    <t>edursami@gmail.com</t>
  </si>
  <si>
    <t>+34 605964771</t>
  </si>
  <si>
    <t>alberto@comercialhgarcia.com</t>
  </si>
  <si>
    <t>AMOR GONZALEZ, RICARD</t>
  </si>
  <si>
    <t>77883724C</t>
  </si>
  <si>
    <t>MAHON/MAO</t>
  </si>
  <si>
    <t>+34 971381232</t>
  </si>
  <si>
    <t>ricardoamorg@yahoo.es</t>
  </si>
  <si>
    <t>ROBLES GARZON, NOELIA</t>
  </si>
  <si>
    <t>03882251N</t>
  </si>
  <si>
    <t>TORRIJOS</t>
  </si>
  <si>
    <t>TOLEDO</t>
  </si>
  <si>
    <t>CL JABONERIAS 6</t>
  </si>
  <si>
    <t>+34 925762742</t>
  </si>
  <si>
    <t>noeliaperfil@yahoo.es</t>
  </si>
  <si>
    <t>SUÑER VERGES, MARGA</t>
  </si>
  <si>
    <t>40436005G</t>
  </si>
  <si>
    <t>FIGUERES</t>
  </si>
  <si>
    <t>CL GERMANES MASSANET 5</t>
  </si>
  <si>
    <t>+34 661648424</t>
  </si>
  <si>
    <t>narcisqb67@live.com</t>
  </si>
  <si>
    <t>DOMINGUEZ GARCIA, ANDRES JULIO</t>
  </si>
  <si>
    <t>44305686G</t>
  </si>
  <si>
    <t>NAC_CAN</t>
  </si>
  <si>
    <t>LAS PALMAS DE GRAN CANARIA</t>
  </si>
  <si>
    <t>LAS PALMAS</t>
  </si>
  <si>
    <t>CL OBISPO ENCINA 1 LCL 2</t>
  </si>
  <si>
    <t>+34 928232013</t>
  </si>
  <si>
    <t>SOLE MELENDEZ, CRISTINA</t>
  </si>
  <si>
    <t>47770350V</t>
  </si>
  <si>
    <t>MONTFERRI</t>
  </si>
  <si>
    <t>CL MAJOR 35</t>
  </si>
  <si>
    <t>CODISARPEL S.A.</t>
  </si>
  <si>
    <t>A81510604</t>
  </si>
  <si>
    <t>ALCALA DE HENARES</t>
  </si>
  <si>
    <t>MADRID</t>
  </si>
  <si>
    <t>CL FRANCISCO ALONSO 3 NAVE 23-24</t>
  </si>
  <si>
    <t>+34 918023728</t>
  </si>
  <si>
    <t>codisarpel@codisarpel.com</t>
  </si>
  <si>
    <t>LIU, HONG YING</t>
  </si>
  <si>
    <t>X7550042Q</t>
  </si>
  <si>
    <t>+34 877052806</t>
  </si>
  <si>
    <t>ok2704@hotmail.com</t>
  </si>
  <si>
    <t>SARDA RAMIREZ, NEREIDA</t>
  </si>
  <si>
    <t>46722961W</t>
  </si>
  <si>
    <t>CL GENERAL O DONELL 33</t>
  </si>
  <si>
    <t>+34 931421679</t>
  </si>
  <si>
    <t>sardanereida@gmail.com</t>
  </si>
  <si>
    <t>ROVIRA NOGUE, MERCE</t>
  </si>
  <si>
    <t>40432290S</t>
  </si>
  <si>
    <t>RAMBLA 18</t>
  </si>
  <si>
    <t>+34 618549744</t>
  </si>
  <si>
    <t>kbellsfigueres@gmail.com</t>
  </si>
  <si>
    <t>FRAERSA PRODUCTOS COSMETICOS S.L.</t>
  </si>
  <si>
    <t>B66792656</t>
  </si>
  <si>
    <t>AV ABAD MARCET 329</t>
  </si>
  <si>
    <t>+34 937880216</t>
  </si>
  <si>
    <t>fraersa@fraersa.com</t>
  </si>
  <si>
    <t>LLORENS ROS, MONICA</t>
  </si>
  <si>
    <t>43675857F</t>
  </si>
  <si>
    <t>BLANES</t>
  </si>
  <si>
    <t>CL TORDERA 5</t>
  </si>
  <si>
    <t>+34 972355001</t>
  </si>
  <si>
    <t>monicallorensros1969@gmail.com</t>
  </si>
  <si>
    <t>PECO RUIZ, ANA ISABEL</t>
  </si>
  <si>
    <t>05684246A</t>
  </si>
  <si>
    <t>BOLAÑOS DE CALATRAVA</t>
  </si>
  <si>
    <t>CL FRAY LUIS DE BOLAÑOS, 46-48</t>
  </si>
  <si>
    <t>+34 926709965</t>
  </si>
  <si>
    <t>comercialpeisbel@gmail.com</t>
  </si>
  <si>
    <t>PINEDO VILLA S.L.</t>
  </si>
  <si>
    <t>B47526496</t>
  </si>
  <si>
    <t>VALLADOLID</t>
  </si>
  <si>
    <t>CALLE GONDOMAR 1</t>
  </si>
  <si>
    <t>+34 983253006</t>
  </si>
  <si>
    <t>pinedoyvilla@pinedoyvilla.com</t>
  </si>
  <si>
    <t>LORENTE MORENO, SANDRA</t>
  </si>
  <si>
    <t>46056790A</t>
  </si>
  <si>
    <t>RONDA SANT PERE 51</t>
  </si>
  <si>
    <t>+34 932323508</t>
  </si>
  <si>
    <t>sandralorente@hotmail.es</t>
  </si>
  <si>
    <t>COM. DE PERRUQUERIA I ESTETICA EFREN S.L.</t>
  </si>
  <si>
    <t>B66926734</t>
  </si>
  <si>
    <t>IGUALADA</t>
  </si>
  <si>
    <t>RB SANT FERRAN 25</t>
  </si>
  <si>
    <t>+34 938042256</t>
  </si>
  <si>
    <t>comercialefren@gmail.com</t>
  </si>
  <si>
    <t>VALLES DIEGO, MERCEDES</t>
  </si>
  <si>
    <t>38434330L</t>
  </si>
  <si>
    <t>PARETS DEL VALLES</t>
  </si>
  <si>
    <t>AV CATALUNYA 104</t>
  </si>
  <si>
    <t>+34 935624179</t>
  </si>
  <si>
    <t>LA BISBAL D'EMPORDA</t>
  </si>
  <si>
    <t>+34 972646855</t>
  </si>
  <si>
    <t>ESTIMA'T - PERFIL SCP</t>
  </si>
  <si>
    <t>J66356874</t>
  </si>
  <si>
    <t>BARBERA DEL VALLES</t>
  </si>
  <si>
    <t>CL PINTOR FORTUNY 90</t>
  </si>
  <si>
    <t>+34 937293728</t>
  </si>
  <si>
    <t>info@perfil-estimat.com</t>
  </si>
  <si>
    <t>DIVA HAIR CARE SL</t>
  </si>
  <si>
    <t>B66564295</t>
  </si>
  <si>
    <t>CALELLA</t>
  </si>
  <si>
    <t>CL ESGLESIA 295</t>
  </si>
  <si>
    <t>+34 937697148</t>
  </si>
  <si>
    <t>divahaircare2015@gmail.com</t>
  </si>
  <si>
    <t>PALPELO GIRONA S.L.</t>
  </si>
  <si>
    <t>B86087319</t>
  </si>
  <si>
    <t>SALT</t>
  </si>
  <si>
    <t>AVDA CAMÍ DELS CARLINS 10</t>
  </si>
  <si>
    <t>+34 630032840</t>
  </si>
  <si>
    <t>gestionpalpelo@gmail.com</t>
  </si>
  <si>
    <t>SEGURA GOMEZ, FRANCISCA</t>
  </si>
  <si>
    <t>46647458P</t>
  </si>
  <si>
    <t>CERDANYOLA DEL VALLES</t>
  </si>
  <si>
    <t>AV. PRIMAVERA 11-15 (GALERÍAS UNICENTRO LOC. 18-19</t>
  </si>
  <si>
    <t>+34 657977645</t>
  </si>
  <si>
    <t>GARRIGA SOLA, JOSEP</t>
  </si>
  <si>
    <t>47708612B</t>
  </si>
  <si>
    <t>CL CALABRIA 67</t>
  </si>
  <si>
    <t>+34 931897264</t>
  </si>
  <si>
    <t>kabellsitints@hotmail.com</t>
  </si>
  <si>
    <t>MARQUEZ CACENAVES, MERCEDES</t>
  </si>
  <si>
    <t>46224503T</t>
  </si>
  <si>
    <t>EL PRAT DE LLOBREGAT</t>
  </si>
  <si>
    <t>AVDA VERGE DE MONTSERRAT 211</t>
  </si>
  <si>
    <t>mercedes@grupobelleza.com</t>
  </si>
  <si>
    <t>MASIP NATURALNESS SL</t>
  </si>
  <si>
    <t>B66522350</t>
  </si>
  <si>
    <t>MARTORELL</t>
  </si>
  <si>
    <t>AV ST ANTONI Mª CLARET 4B</t>
  </si>
  <si>
    <t>+34 937742657</t>
  </si>
  <si>
    <t>maribel@masipnaturalness.com</t>
  </si>
  <si>
    <t>RIZOS S.C.P.</t>
  </si>
  <si>
    <t>J60201753</t>
  </si>
  <si>
    <t>VILADECANS</t>
  </si>
  <si>
    <t>CL DR. REIG 40</t>
  </si>
  <si>
    <t>+34 932694674</t>
  </si>
  <si>
    <t>direccionfinancierajs@gmail.com</t>
  </si>
  <si>
    <t>X PELS LA BOTIGUETA DELS CABELLS SL</t>
  </si>
  <si>
    <t>B66555129</t>
  </si>
  <si>
    <t>DE LA FONT, 21</t>
  </si>
  <si>
    <t>+34 687560504</t>
  </si>
  <si>
    <t>carlos@tiendaxpels.com</t>
  </si>
  <si>
    <t>B11941812</t>
  </si>
  <si>
    <t>JEREZ DE LA FRONTERA</t>
  </si>
  <si>
    <t>AV BUQUE JUAN SEBASTIAN EL CANO Nº 67</t>
  </si>
  <si>
    <t>+34 626469206</t>
  </si>
  <si>
    <t>CORCHERO CONDE, JOSE MIGUEL</t>
  </si>
  <si>
    <t>44216862Y</t>
  </si>
  <si>
    <t>SAN JUAN DEL PUERTO</t>
  </si>
  <si>
    <t>HUELVA</t>
  </si>
  <si>
    <t>CL PUERTO RICO, 7</t>
  </si>
  <si>
    <t>+34 959367615</t>
  </si>
  <si>
    <t>decondepeluqueriayestetica@gmail.com</t>
  </si>
  <si>
    <t>GALA GALLARDO, OBDULIA</t>
  </si>
  <si>
    <t>38430415Z</t>
  </si>
  <si>
    <t>CORNELLA DE LLOBREGAT</t>
  </si>
  <si>
    <t>CL BONESTAR 26-28</t>
  </si>
  <si>
    <t>+34 933765289</t>
  </si>
  <si>
    <t>GOMEZ CEREZO, OSCAR</t>
  </si>
  <si>
    <t>46680678Q</t>
  </si>
  <si>
    <t>CERVELLO</t>
  </si>
  <si>
    <t>CL MAJOR 74, LOCAL 1</t>
  </si>
  <si>
    <t>+34 936600783</t>
  </si>
  <si>
    <t>BEAUTY FAIR COSMETIC SL</t>
  </si>
  <si>
    <t>B55097794</t>
  </si>
  <si>
    <t>CL ANGEL GUIMERA 72, BJ</t>
  </si>
  <si>
    <t>+34 972242052</t>
  </si>
  <si>
    <t>beautyfair2011@yahoo.com</t>
  </si>
  <si>
    <t>39650185W</t>
  </si>
  <si>
    <t>CL CONSOLAD DE MAR, 19</t>
  </si>
  <si>
    <t>+34 97736007</t>
  </si>
  <si>
    <t>perfumeriafortuny@gmail.com</t>
  </si>
  <si>
    <t>MIRAND &amp; BELL PROFESSIONAL, S.L.</t>
  </si>
  <si>
    <t>B65091001</t>
  </si>
  <si>
    <t>SITGES</t>
  </si>
  <si>
    <t>CR SANT JOSEP 27</t>
  </si>
  <si>
    <t>+34 938110196</t>
  </si>
  <si>
    <t>mirandbell@mirandbell.com</t>
  </si>
  <si>
    <t>RABADAN HERRAIZ, GEMA</t>
  </si>
  <si>
    <t>46637514T</t>
  </si>
  <si>
    <t>CL 8 DE MARZO, 45</t>
  </si>
  <si>
    <t>+34 932527417</t>
  </si>
  <si>
    <t>ainagor14@gmail.com</t>
  </si>
  <si>
    <t>FERNANDEZ MARTINEZ, PATRICIA</t>
  </si>
  <si>
    <t>43551022Q</t>
  </si>
  <si>
    <t>MALGRAT DE MAR</t>
  </si>
  <si>
    <t>CL MEDITERRANI 44</t>
  </si>
  <si>
    <t>+34 937610348</t>
  </si>
  <si>
    <t>jofermalgrat@outlook.es</t>
  </si>
  <si>
    <t>RAMIREZ GARCIA, MARINA</t>
  </si>
  <si>
    <t>52421282G</t>
  </si>
  <si>
    <t>VILANOVA I LA GELTRU</t>
  </si>
  <si>
    <t>RAMBLA SAMA 25</t>
  </si>
  <si>
    <t>+34 938934018</t>
  </si>
  <si>
    <t>colucci_@hotmail.es</t>
  </si>
  <si>
    <t>GRAN MOLINARI, JAIME</t>
  </si>
  <si>
    <t>77299379J</t>
  </si>
  <si>
    <t>VILAFRANCA DEL PENEDES</t>
  </si>
  <si>
    <t>CL SANT PERE 26</t>
  </si>
  <si>
    <t>+34 938170292</t>
  </si>
  <si>
    <t>OLIVERAS CLADELLAS, MERITXELL</t>
  </si>
  <si>
    <t>52141553R</t>
  </si>
  <si>
    <t>LES FRANQUESES</t>
  </si>
  <si>
    <t>+34 938491157</t>
  </si>
  <si>
    <t>meritxell_oliveras@hotmail.com</t>
  </si>
  <si>
    <t>CASTILLO ARQUES, INES</t>
  </si>
  <si>
    <t>46063498H</t>
  </si>
  <si>
    <t>SANT CELONI</t>
  </si>
  <si>
    <t>CL GERMÀ JULIÀ 7</t>
  </si>
  <si>
    <t>+34 938486799</t>
  </si>
  <si>
    <t>eddincosmetics@gmail.com</t>
  </si>
  <si>
    <t>ZUBIZARRETA CARBAJO, CAROLINA</t>
  </si>
  <si>
    <t>13305159G</t>
  </si>
  <si>
    <t>MIRANDA DE EBRO</t>
  </si>
  <si>
    <t>BURGOS</t>
  </si>
  <si>
    <t>CL REP. ARGENTINA 67</t>
  </si>
  <si>
    <t>+34 600700641</t>
  </si>
  <si>
    <t>alfredopestanabonachia@gmail.com</t>
  </si>
  <si>
    <t>OLIVERAS CLADELLAS, JAUME</t>
  </si>
  <si>
    <t>52141552T</t>
  </si>
  <si>
    <t>LES FRANQUESES DEL VALLES</t>
  </si>
  <si>
    <t>CL ROSSELLO 8</t>
  </si>
  <si>
    <t>DUQUE SANCHEZ, JORDI</t>
  </si>
  <si>
    <t>53028887H</t>
  </si>
  <si>
    <t>+34 600732895</t>
  </si>
  <si>
    <t>REUS</t>
  </si>
  <si>
    <t>KIN COSMETICS, S.A.U.</t>
  </si>
  <si>
    <t>HOJA DE PEDIDO DISTRIBUIDOR</t>
  </si>
  <si>
    <t>RUST COLLECTION BY KINESSENCES COLOR / COLORACIÓN</t>
  </si>
  <si>
    <t>CANDY COLORS / COLORACIÓN</t>
  </si>
  <si>
    <t>KINMASTER / COMPLEMENTOS COLORACIÓN</t>
  </si>
  <si>
    <t>KINBLOND / DECOLORACIÓN</t>
  </si>
  <si>
    <t>KINMEN / TRATAMIENTOS TÉCNICOS</t>
  </si>
  <si>
    <t>KINACTIF / TRATAMIENTOS TÉCNICOS</t>
  </si>
  <si>
    <t>KINMEN / TRATAMIENTOS</t>
  </si>
  <si>
    <t>KINMEN / STYLING</t>
  </si>
  <si>
    <t>KINACTIF / TRATAMIENTOS</t>
  </si>
  <si>
    <t>KINSTYLE / STYLING</t>
  </si>
  <si>
    <t>HAUTE BY KINSTYLE / STYLING</t>
  </si>
  <si>
    <t>KINWORKS / STYLING</t>
  </si>
  <si>
    <t>18 x 28 cm</t>
  </si>
  <si>
    <t>8 x 10 cm</t>
  </si>
  <si>
    <t>CRÉDITO</t>
  </si>
  <si>
    <t>DIFERENCIA</t>
  </si>
  <si>
    <t>SUBTOTAL PROMOCIONES (no acumula para Material Marketing)</t>
  </si>
  <si>
    <t>(*) Hasta fin de existencias.</t>
  </si>
  <si>
    <t>GORROS DESECHABLES MECHAS KIN WE LOVE HAIR (*)</t>
  </si>
  <si>
    <t>PAÍS</t>
  </si>
  <si>
    <t>NAVARRO JIMENEZ, LORENA</t>
  </si>
  <si>
    <t>45790475M</t>
  </si>
  <si>
    <t>BEGUES</t>
  </si>
  <si>
    <t>CL MAJOR 50</t>
  </si>
  <si>
    <t>+34 611472749</t>
  </si>
  <si>
    <t>info@scissorsperruqueria.com</t>
  </si>
  <si>
    <t>3 x 100 ml</t>
  </si>
  <si>
    <t xml:space="preserve">KINCREM COLOR 1.0 </t>
  </si>
  <si>
    <t xml:space="preserve">KINCREM COLOR 2.0 </t>
  </si>
  <si>
    <t xml:space="preserve">KINCREM COLOR 3.0 </t>
  </si>
  <si>
    <t xml:space="preserve">KINCREM COLOR 4.0 </t>
  </si>
  <si>
    <t xml:space="preserve">KINCREM COLOR 5.0 </t>
  </si>
  <si>
    <t xml:space="preserve">KINCREM COLOR 6.0 </t>
  </si>
  <si>
    <t xml:space="preserve">KINCREM COLOR 7.0 </t>
  </si>
  <si>
    <t xml:space="preserve">KINCREM COLOR 8.0 </t>
  </si>
  <si>
    <t xml:space="preserve">KINCREM COLOR 9.0 </t>
  </si>
  <si>
    <t xml:space="preserve">KINCREM COLOR 10.0 </t>
  </si>
  <si>
    <t xml:space="preserve">KINCREM COLOR 4.00 </t>
  </si>
  <si>
    <t xml:space="preserve">KINCREM COLOR 5.00 </t>
  </si>
  <si>
    <t xml:space="preserve">KINCREM COLOR 6.00 </t>
  </si>
  <si>
    <t xml:space="preserve">KINCREM COLOR 7.00 </t>
  </si>
  <si>
    <t xml:space="preserve">KINCREM COLOR 8.00 </t>
  </si>
  <si>
    <t xml:space="preserve">KINCREM COLOR 9.00 </t>
  </si>
  <si>
    <t xml:space="preserve">KINCREM COLOR 10.00 </t>
  </si>
  <si>
    <t xml:space="preserve">KINCREM COLOR 4.08 </t>
  </si>
  <si>
    <t xml:space="preserve">KINCREM COLOR 5.08  </t>
  </si>
  <si>
    <t xml:space="preserve">KINCREM COLOR 6.08 </t>
  </si>
  <si>
    <t xml:space="preserve">KINCREM COLOR 7.08 </t>
  </si>
  <si>
    <t xml:space="preserve">KINCREM COLOR 8.08 </t>
  </si>
  <si>
    <t xml:space="preserve">KINCREM COLOR 1.1 </t>
  </si>
  <si>
    <t xml:space="preserve">KINCREM COLOR 5.1 </t>
  </si>
  <si>
    <t xml:space="preserve">KINCREM COLOR 6.1 </t>
  </si>
  <si>
    <t xml:space="preserve">KINCREM COLOR 7.1 </t>
  </si>
  <si>
    <t xml:space="preserve">KINCREM COLOR 8.1 </t>
  </si>
  <si>
    <t xml:space="preserve">KINCREM COLOR 9.1 </t>
  </si>
  <si>
    <t xml:space="preserve">KINCREM COLOR 10.1 </t>
  </si>
  <si>
    <t xml:space="preserve">KINCREM COLOR 6.12 </t>
  </si>
  <si>
    <t xml:space="preserve">KINCREM COLOR 7.12 </t>
  </si>
  <si>
    <t xml:space="preserve">KINCREM COLOR 8.12 </t>
  </si>
  <si>
    <t xml:space="preserve">KINCREM COLOR 9.12 </t>
  </si>
  <si>
    <t xml:space="preserve">KINCREM COLOR 8.13 </t>
  </si>
  <si>
    <t xml:space="preserve">KINCREM COLOR 9.13 </t>
  </si>
  <si>
    <t xml:space="preserve">KINCREM COLOR 10.13 </t>
  </si>
  <si>
    <t xml:space="preserve">KINCREM COLOR 9.2 </t>
  </si>
  <si>
    <t xml:space="preserve">KINCREM COLOR 10.2 </t>
  </si>
  <si>
    <t xml:space="preserve">KINCREM COLOR 8.21 </t>
  </si>
  <si>
    <t xml:space="preserve">KINCREM COLOR 9.21 </t>
  </si>
  <si>
    <t xml:space="preserve">KINCREM COLOR 10.21 </t>
  </si>
  <si>
    <t xml:space="preserve">KINCREM COLOR 4.3 </t>
  </si>
  <si>
    <t xml:space="preserve">KINCREM COLOR 5.3 </t>
  </si>
  <si>
    <t xml:space="preserve">KINCREM COLOR 6.3 </t>
  </si>
  <si>
    <t xml:space="preserve">KINCREM COLOR 7.3 </t>
  </si>
  <si>
    <t xml:space="preserve">KINCREM COLOR 8.3 </t>
  </si>
  <si>
    <t xml:space="preserve">KINCREM COLOR 9.3 </t>
  </si>
  <si>
    <t xml:space="preserve">KINCREM COLOR 10.3 </t>
  </si>
  <si>
    <t xml:space="preserve">KINCREM COLOR 7.31 </t>
  </si>
  <si>
    <t xml:space="preserve">KINCREM COLOR 8.31 </t>
  </si>
  <si>
    <t xml:space="preserve">KINCREM COLOR 9.31 </t>
  </si>
  <si>
    <t xml:space="preserve">KINCREM COLOR 6.32 </t>
  </si>
  <si>
    <t xml:space="preserve">KINCREM COLOR 7.32 </t>
  </si>
  <si>
    <t xml:space="preserve">KINCREM COLOR 8.32 </t>
  </si>
  <si>
    <t xml:space="preserve">KINCREM COLOR 9.32 </t>
  </si>
  <si>
    <t xml:space="preserve">KINCREM COLOR 10.32 </t>
  </si>
  <si>
    <t xml:space="preserve">KINCREM COLOR 6.34 </t>
  </si>
  <si>
    <t xml:space="preserve">KINCREM COLOR 7.34 </t>
  </si>
  <si>
    <t xml:space="preserve">KINCREM COLOR 8.34 </t>
  </si>
  <si>
    <t xml:space="preserve">KINCREM COLOR 5.4 </t>
  </si>
  <si>
    <t xml:space="preserve">KINCREM COLOR 7.4 </t>
  </si>
  <si>
    <t xml:space="preserve">KINCREM COLOR 6.43 </t>
  </si>
  <si>
    <t xml:space="preserve">KINCREM COLOR 8.43 </t>
  </si>
  <si>
    <t xml:space="preserve">KINCREM COLOR 6.44 </t>
  </si>
  <si>
    <t xml:space="preserve">KINCREM COLOR 7.44 </t>
  </si>
  <si>
    <t xml:space="preserve">KINCREM COLOR 8.44 </t>
  </si>
  <si>
    <t xml:space="preserve">KINCREM COLOR 5.45 </t>
  </si>
  <si>
    <t xml:space="preserve">KINCREM COLOR 6.45 </t>
  </si>
  <si>
    <t xml:space="preserve">KINCREM COLOR 7.45 </t>
  </si>
  <si>
    <t xml:space="preserve">KINCREM COLOR 8.45 </t>
  </si>
  <si>
    <t xml:space="preserve">KINCREM COLOR 4.50 </t>
  </si>
  <si>
    <t xml:space="preserve">KINCREM COLOR 5.50 </t>
  </si>
  <si>
    <t xml:space="preserve">KINCREM COLOR 6.50 </t>
  </si>
  <si>
    <t xml:space="preserve">KINCREM COLOR 7.50 </t>
  </si>
  <si>
    <t xml:space="preserve">KINCREM COLOR 4.51 </t>
  </si>
  <si>
    <t xml:space="preserve">KINCREM COLOR 5.51 </t>
  </si>
  <si>
    <t xml:space="preserve">KINCREM COLOR 6.51 </t>
  </si>
  <si>
    <t xml:space="preserve">KINCREM COLOR 7.51 </t>
  </si>
  <si>
    <t xml:space="preserve">KINCREM COLOR 8.51 </t>
  </si>
  <si>
    <t xml:space="preserve">KINCREM COLOR 5.52 </t>
  </si>
  <si>
    <t xml:space="preserve">KINCREM COLOR 6.52 </t>
  </si>
  <si>
    <t xml:space="preserve">KINCREM COLOR 7.52 </t>
  </si>
  <si>
    <t xml:space="preserve">KINCREM COLOR 4.53 </t>
  </si>
  <si>
    <t xml:space="preserve">KINCREM COLOR 5.53 </t>
  </si>
  <si>
    <t xml:space="preserve">KINCREM COLOR 6.53 </t>
  </si>
  <si>
    <t xml:space="preserve">KINCREM COLOR 7.53 </t>
  </si>
  <si>
    <t xml:space="preserve">KINCREM COLOR 8.53 </t>
  </si>
  <si>
    <t xml:space="preserve">KINCREM COLOR 6.54 </t>
  </si>
  <si>
    <t xml:space="preserve">KINCREM COLOR 8.54 </t>
  </si>
  <si>
    <t xml:space="preserve">KINCREM COLOR 3.56 </t>
  </si>
  <si>
    <t xml:space="preserve">KINCREM COLOR 4.56 </t>
  </si>
  <si>
    <t xml:space="preserve">KINCREM COLOR 5.56 </t>
  </si>
  <si>
    <t xml:space="preserve">KINCREM COLOR 6.56 </t>
  </si>
  <si>
    <t xml:space="preserve">KINCREM COLOR 7.56 </t>
  </si>
  <si>
    <t xml:space="preserve">KINCREM COLOR 7.64 </t>
  </si>
  <si>
    <t xml:space="preserve">KINCREM COLOR 6.66 </t>
  </si>
  <si>
    <t xml:space="preserve">KINCREM COLOR 7.66 </t>
  </si>
  <si>
    <t xml:space="preserve">KINCREM COLOR 4.67 </t>
  </si>
  <si>
    <t xml:space="preserve">KINCREM COLOR 5.67 </t>
  </si>
  <si>
    <t xml:space="preserve">KINCREM COLOR 6.67 </t>
  </si>
  <si>
    <t xml:space="preserve">KINCREM COLOR 4.77 </t>
  </si>
  <si>
    <t xml:space="preserve">KINCREM COLOR 6.77 </t>
  </si>
  <si>
    <t xml:space="preserve">KINCREM COLOR 7.77 </t>
  </si>
  <si>
    <t xml:space="preserve">KINCREM COLOR 7.9 </t>
  </si>
  <si>
    <t xml:space="preserve">KINCREM COLOR 9.9 </t>
  </si>
  <si>
    <t xml:space="preserve">KINCREM COLOR 11.0 </t>
  </si>
  <si>
    <t xml:space="preserve">KINCREM COLOR 12.0 </t>
  </si>
  <si>
    <t xml:space="preserve">KINCREM COLOR 11.1 </t>
  </si>
  <si>
    <t xml:space="preserve">KINCREM COLOR 12.1 </t>
  </si>
  <si>
    <t xml:space="preserve">KINCREM COLOR 11.12 </t>
  </si>
  <si>
    <t xml:space="preserve">KINCREM COLOR 11.32 </t>
  </si>
  <si>
    <t xml:space="preserve">KINCREM COLOR M/00 </t>
  </si>
  <si>
    <t xml:space="preserve">KINCREM COLOR M/11 </t>
  </si>
  <si>
    <t xml:space="preserve">KINCREM COLOR M/33 </t>
  </si>
  <si>
    <t xml:space="preserve">KINCREM COLOR M/44 </t>
  </si>
  <si>
    <t xml:space="preserve">KINCREM COLOR M/66 </t>
  </si>
  <si>
    <t xml:space="preserve">KINCREM COLOR M/77 </t>
  </si>
  <si>
    <t xml:space="preserve">KINCREM COLOR M/88 </t>
  </si>
  <si>
    <t xml:space="preserve">KINCREM COLOR M/99 </t>
  </si>
  <si>
    <t>KINMEN SILVER SHAMPOO (*)</t>
  </si>
  <si>
    <t>ESPEJO KIN WE LOVE HAIR (*)</t>
  </si>
  <si>
    <t>50 x 110 cm</t>
  </si>
  <si>
    <t>40 x 24 cm</t>
  </si>
  <si>
    <t>80 ml</t>
  </si>
  <si>
    <t>DHABBI TRADING S.L.</t>
  </si>
  <si>
    <t>B04956744</t>
  </si>
  <si>
    <t>C/ PUERTO DE USED 13</t>
  </si>
  <si>
    <t>+34 633623476</t>
  </si>
  <si>
    <t>danirojo14@icloud.com</t>
  </si>
  <si>
    <t>KINCREM COLOR / COLORACIÓN</t>
  </si>
  <si>
    <t>KINCREM COLOR / COMPLEMENTOS COLORACIÓN</t>
  </si>
  <si>
    <t>KINMASTER NO ORANGE SHAMPOO</t>
  </si>
  <si>
    <t>HAUTE THICKENING CREAM</t>
  </si>
  <si>
    <t>HAUTE BLOW DRY HAIRSPRAY</t>
  </si>
  <si>
    <t>FOLDER TÉCNICO KINCREM COLOR</t>
  </si>
  <si>
    <t>26,5 x 30 x 21 cm</t>
  </si>
  <si>
    <t>12 x 8 ml</t>
  </si>
  <si>
    <t>CARRO CLASSIC N CODISARPEL</t>
  </si>
  <si>
    <t xml:space="preserve">KINPERM SHAPING LOTION Nº 2 </t>
  </si>
  <si>
    <t xml:space="preserve">KINPERM SHAPING LOTION Nº 3 </t>
  </si>
  <si>
    <t>KINPERM NEUTRALIZING LOTION</t>
  </si>
  <si>
    <t>PACK SACHETS KINSTYLE MAKING WAVES</t>
  </si>
  <si>
    <t>MARTINEZ FRESNO, MARIA CARMEN</t>
  </si>
  <si>
    <t>45543586K</t>
  </si>
  <si>
    <t>CARRER BALMES 79 LOCAL 3</t>
  </si>
  <si>
    <t>+34 931153494</t>
  </si>
  <si>
    <t>info@biomaimar.com</t>
  </si>
  <si>
    <t>XIAO QIAN CHEN</t>
  </si>
  <si>
    <t>X9788283N</t>
  </si>
  <si>
    <t>PASSEIG PRIM 13 BAJO 1</t>
  </si>
  <si>
    <t>+34 688006706</t>
  </si>
  <si>
    <t>lindachen2486@gmail.com</t>
  </si>
  <si>
    <t>FOLDER TÉCNICO KINPERM</t>
  </si>
  <si>
    <t>KB EMPORDÀ SL</t>
  </si>
  <si>
    <t>B67902361</t>
  </si>
  <si>
    <t>CL AIGÜETA, 86</t>
  </si>
  <si>
    <t>INVERSIONES ZAROCA SL</t>
  </si>
  <si>
    <t>B16691263</t>
  </si>
  <si>
    <t>RONDA SANT PAU 35</t>
  </si>
  <si>
    <t>+34 682889008</t>
  </si>
  <si>
    <t>zarzaraquel@hotmail.com</t>
  </si>
  <si>
    <t xml:space="preserve">KINESSENCES COLOR 1.0 </t>
  </si>
  <si>
    <t>KINESSENCES COLOR 3.0</t>
  </si>
  <si>
    <t xml:space="preserve">KINESSENCES COLOR 9.0 </t>
  </si>
  <si>
    <t xml:space="preserve">KINESSENCES COLOR 10.0 </t>
  </si>
  <si>
    <t xml:space="preserve">KINESSENCES COLOR 6.02 </t>
  </si>
  <si>
    <t xml:space="preserve">KINESSENCES COLOR 7.02 </t>
  </si>
  <si>
    <t xml:space="preserve">KINESSENCES COLOR 8.02 </t>
  </si>
  <si>
    <t xml:space="preserve">KINESSENCES COLOR 9.02 </t>
  </si>
  <si>
    <t xml:space="preserve">KINESSENCES COLOR 1.1 </t>
  </si>
  <si>
    <t xml:space="preserve">KINESSENCES COLOR 6.1 </t>
  </si>
  <si>
    <t xml:space="preserve">KINESSENCES COLOR 7.1 </t>
  </si>
  <si>
    <t xml:space="preserve">KINESSENCES COLOR 8.1 </t>
  </si>
  <si>
    <t xml:space="preserve">KINESSENCES COLOR 9.1 </t>
  </si>
  <si>
    <t xml:space="preserve">KINESSENCES COLOR 10.1 </t>
  </si>
  <si>
    <t xml:space="preserve">KINESSENCES COLOR 9.21 </t>
  </si>
  <si>
    <t xml:space="preserve">KINESSENCES COLOR 7.23 </t>
  </si>
  <si>
    <t xml:space="preserve">KINESSENCES COLOR 9.23 </t>
  </si>
  <si>
    <t xml:space="preserve">KINESSENCES COLOR 6.3 </t>
  </si>
  <si>
    <t xml:space="preserve">KINESSENCES COLOR 7.3 </t>
  </si>
  <si>
    <t xml:space="preserve">KINESSENCES COLOR 8.3 </t>
  </si>
  <si>
    <t xml:space="preserve">KINESSENCES COLOR 9.3 </t>
  </si>
  <si>
    <t xml:space="preserve">KINESSENCES COLOR 7.32 </t>
  </si>
  <si>
    <t xml:space="preserve">KINESSENCES COLOR 8.32 </t>
  </si>
  <si>
    <t xml:space="preserve">KINESSENCES COLOR 9.32 </t>
  </si>
  <si>
    <t xml:space="preserve">KINESSENCES COLOR 10.32 </t>
  </si>
  <si>
    <t xml:space="preserve">KINESSENCES COLOR 6.34 </t>
  </si>
  <si>
    <t xml:space="preserve">KINESSENCES COLOR 8.34 </t>
  </si>
  <si>
    <t xml:space="preserve">KINESSENCES COLOR 7.4 </t>
  </si>
  <si>
    <t xml:space="preserve">KINESSENCES COLOR 6.43 </t>
  </si>
  <si>
    <t xml:space="preserve">KINESSENCES COLOR 8.43 </t>
  </si>
  <si>
    <t xml:space="preserve">KINESSENCES COLOR 7.44 </t>
  </si>
  <si>
    <t xml:space="preserve">KINESSENCES COLOR 8.44 </t>
  </si>
  <si>
    <t xml:space="preserve">KINESSENCES COLOR 4.50 </t>
  </si>
  <si>
    <t xml:space="preserve">KINESSENCES COLOR 5.50 </t>
  </si>
  <si>
    <t xml:space="preserve">KINESSENCES COLOR 6.50 </t>
  </si>
  <si>
    <t xml:space="preserve">KINESSENCES COLOR 7.50 </t>
  </si>
  <si>
    <t xml:space="preserve">KINESSENCES COLOR 4.51 </t>
  </si>
  <si>
    <t xml:space="preserve">KINESSENCES COLOR 5.51 </t>
  </si>
  <si>
    <t xml:space="preserve">KINESSENCES COLOR 6.51 </t>
  </si>
  <si>
    <t xml:space="preserve">KINESSENCES COLOR 7.51 </t>
  </si>
  <si>
    <t xml:space="preserve">KINESSENCES COLOR 8.51 </t>
  </si>
  <si>
    <t xml:space="preserve">KINESSENCES COLOR 6.53 </t>
  </si>
  <si>
    <t xml:space="preserve">KINESSENCES COLOR 7.53 </t>
  </si>
  <si>
    <t xml:space="preserve">KINESSENCES COLOR 5.56 </t>
  </si>
  <si>
    <t xml:space="preserve">KINESSENCES COLOR 6.66 </t>
  </si>
  <si>
    <t xml:space="preserve">KINESSENCES COLOR 7.66 </t>
  </si>
  <si>
    <t xml:space="preserve">KINESSENCES COLOR 5.67 </t>
  </si>
  <si>
    <t xml:space="preserve">KINESSENCES COLOR 6.67 </t>
  </si>
  <si>
    <t xml:space="preserve">KINESSENCES COLOR 4.77 </t>
  </si>
  <si>
    <t xml:space="preserve">KINCREM COLOR ACTIVE CREAM OXIDANT 10 VOL. </t>
  </si>
  <si>
    <t>KINCREM COLOR ACTIVE CREAM OXIDANT 20 VOL.</t>
  </si>
  <si>
    <t xml:space="preserve">KINCREM COLOR ACTIVE CREAM OXIDANT 30 VOL. </t>
  </si>
  <si>
    <t xml:space="preserve">KINCREM COLOR ACTIVE CREAM OXIDANT 40 VOL. </t>
  </si>
  <si>
    <t xml:space="preserve">KINCREM COLOR ACTIVE CREAM OXIDANT 20 VOL. </t>
  </si>
  <si>
    <t>KINESSENCES COLOR ACTIVE CREAM DEVELOPER 6 VOL.</t>
  </si>
  <si>
    <t>KINESSENCES COLOR ACTIVE CREAM DEVELOPER 12 VOL.</t>
  </si>
  <si>
    <t>KINESSENCES COLOR ACTIVE CREAM DEVELOPER 24 VOL.</t>
  </si>
  <si>
    <t>KINESSENCES COLOR ACTIVE CREAM DEVELOPER 36 VOL.</t>
  </si>
  <si>
    <t>TORRAS HERNANDEZ, CB</t>
  </si>
  <si>
    <t>MONES FILOSES, S.L.</t>
  </si>
  <si>
    <t>B65175028</t>
  </si>
  <si>
    <t>CL LEPANT 296, PLANTA BAIXA, PORTA 2</t>
  </si>
  <si>
    <t>+34 647849469</t>
  </si>
  <si>
    <t>90 x 65 cm</t>
  </si>
  <si>
    <t>KINESSENCES NOURISH GENTLE SHAMPOO</t>
  </si>
  <si>
    <t>KINESSENCES NOURISH INTENSE MASK</t>
  </si>
  <si>
    <t>KINESSENCES ANTIOX GENTLE SHAMPOO</t>
  </si>
  <si>
    <t>KINESSENCES ANTIOX INTENSE MASK</t>
  </si>
  <si>
    <t>KINESSENCES RESTORE GENTLE SHAMPOO</t>
  </si>
  <si>
    <t xml:space="preserve">KINESSENCES RESTORE INTENSE MASK </t>
  </si>
  <si>
    <t>KINESSENCES RESTORE REPAIRING BOOSTER</t>
  </si>
  <si>
    <t xml:space="preserve">KINESSENCES NOURISH GENTLE SHAMPOO </t>
  </si>
  <si>
    <t xml:space="preserve">KINESSENCES NOURISH INTENSE MASK </t>
  </si>
  <si>
    <t xml:space="preserve">KINESSENCES NOURISH OIL </t>
  </si>
  <si>
    <t>KINESSENCES NOURISH OIL CREAM</t>
  </si>
  <si>
    <t xml:space="preserve">KINESSENCES ANTIOX INTENSE MASK </t>
  </si>
  <si>
    <t>KINESSENCES ANTIOX SMOOTHIE</t>
  </si>
  <si>
    <t>KINESSENCES ANTIOX NECTAR</t>
  </si>
  <si>
    <t xml:space="preserve">KINESSENCES RESTORE GENTLE SHAMPOO </t>
  </si>
  <si>
    <t>KINMEN FORCE SHAMPOO</t>
  </si>
  <si>
    <t>KINMEN SILVER SHAMPOO</t>
  </si>
  <si>
    <t xml:space="preserve">KINMEN 3-IN-1 SHAMPOO </t>
  </si>
  <si>
    <t xml:space="preserve">KINMEN HAIR MATTE CLAY </t>
  </si>
  <si>
    <t xml:space="preserve">KINMEN HAIR WET GEL </t>
  </si>
  <si>
    <t xml:space="preserve">KINMEN POWER GEL </t>
  </si>
  <si>
    <t xml:space="preserve">KINPERM / FORMA </t>
  </si>
  <si>
    <t>39 x 39 x 130 cm</t>
  </si>
  <si>
    <t>KINESSENCES COLOR 5.02</t>
  </si>
  <si>
    <t>KINESSENCES COLOR 6.02</t>
  </si>
  <si>
    <t>KINESSENCES COLOR 7.02</t>
  </si>
  <si>
    <t>KINESSENCES COLOR 8.02</t>
  </si>
  <si>
    <t>KINESSENCES COLOR 9.02</t>
  </si>
  <si>
    <t>KINESSENCES COLOR 6.1</t>
  </si>
  <si>
    <t>KINESSENCES COLOR 7.1</t>
  </si>
  <si>
    <t>KINESSENCES COLOR 9.1</t>
  </si>
  <si>
    <t>KINESSENCES COLOR 9.21</t>
  </si>
  <si>
    <t>KINESSENCES COLOR 7.23</t>
  </si>
  <si>
    <t>KINESSENCES COLOR 9.23</t>
  </si>
  <si>
    <t>KINESSENCES COLOR 6.3</t>
  </si>
  <si>
    <t>KINESSENCES COLOR 9.3</t>
  </si>
  <si>
    <t>KINESSENCES COLOR 7.31</t>
  </si>
  <si>
    <t>KINESSENCES COLOR 8.31</t>
  </si>
  <si>
    <t>KINESSENCES COLOR 10.32</t>
  </si>
  <si>
    <t>KINESSENCES COLOR 6.34</t>
  </si>
  <si>
    <t>KINESSENCES COLOR 7.4</t>
  </si>
  <si>
    <t>KINESSENCES COLOR 6.43</t>
  </si>
  <si>
    <t>KINESSENCES COLOR 8.43</t>
  </si>
  <si>
    <t>KINESSENCES COLOR 7.44</t>
  </si>
  <si>
    <t>KINESSENCES COLOR 8.44</t>
  </si>
  <si>
    <t>KINESSENCES COLOR 4.50</t>
  </si>
  <si>
    <t>KINESSENCES COLOR 5.51</t>
  </si>
  <si>
    <t>KINESSENCES COLOR 7.51</t>
  </si>
  <si>
    <t>KINESSENCES COLOR 6.52</t>
  </si>
  <si>
    <t>KINESSENCES COLOR 7.52</t>
  </si>
  <si>
    <t>KINESSENCES COLOR 5.53</t>
  </si>
  <si>
    <t>KINESSENCES COLOR 7.53</t>
  </si>
  <si>
    <t>KINESSENCES COLOR 5.56</t>
  </si>
  <si>
    <t>KINESSENCES COLOR 7.66</t>
  </si>
  <si>
    <t>KINESSENCES COLOR 6.67</t>
  </si>
  <si>
    <t>300636</t>
  </si>
  <si>
    <t>300639</t>
  </si>
  <si>
    <t>300735</t>
  </si>
  <si>
    <t>300521</t>
  </si>
  <si>
    <t>300524</t>
  </si>
  <si>
    <t>300549</t>
  </si>
  <si>
    <t>10,5 x 15 cm</t>
  </si>
  <si>
    <t>Precio Neto</t>
  </si>
  <si>
    <t>Precio Outlet</t>
  </si>
  <si>
    <t>RESUMEN PEDIDO OUTLET</t>
  </si>
  <si>
    <t>Código EAN</t>
  </si>
  <si>
    <t>CÓDIGOS EAN</t>
  </si>
  <si>
    <t>Nº producto</t>
  </si>
  <si>
    <t>Descripción Producto</t>
  </si>
  <si>
    <t>Nº referencia cruzada</t>
  </si>
  <si>
    <t>AGUA DESIONIZADA  Lts.</t>
  </si>
  <si>
    <t>LIAGUA</t>
  </si>
  <si>
    <t>CARBOPOL 980</t>
  </si>
  <si>
    <t>SPC940</t>
  </si>
  <si>
    <t>11002</t>
  </si>
  <si>
    <t>EASYCOL ES27</t>
  </si>
  <si>
    <t>TESDSS</t>
  </si>
  <si>
    <t>DABEERSEN NA4 C2 / NA4 TD</t>
  </si>
  <si>
    <t>CNDANA</t>
  </si>
  <si>
    <t>JAGUAR C-13 SH</t>
  </si>
  <si>
    <t>POJA13</t>
  </si>
  <si>
    <t>11005</t>
  </si>
  <si>
    <t>EASYLAN LS / NEOWAX SX/W</t>
  </si>
  <si>
    <t>MIRASIL 60000</t>
  </si>
  <si>
    <t>TES600</t>
  </si>
  <si>
    <t>DUB DSEG25</t>
  </si>
  <si>
    <t>EMETDS</t>
  </si>
  <si>
    <t>COMPERLAND LD</t>
  </si>
  <si>
    <t>TECOLD</t>
  </si>
  <si>
    <t>PROPILENGLICOL USP</t>
  </si>
  <si>
    <t>LIPROP</t>
  </si>
  <si>
    <t>PHENONIP</t>
  </si>
  <si>
    <t>CNSEHB</t>
  </si>
  <si>
    <t>NIPAGUARD DMDMH</t>
  </si>
  <si>
    <t>CNMADM</t>
  </si>
  <si>
    <t>LAIT DE PALMA  1,5 PS</t>
  </si>
  <si>
    <t>PALEPA</t>
  </si>
  <si>
    <t>HYDROTRITICUM QM NSP-LQ(WD)</t>
  </si>
  <si>
    <t>PAHYQM</t>
  </si>
  <si>
    <t>PYRIDOXINE HYDROCHLORIDE</t>
  </si>
  <si>
    <t>PAPIRI</t>
  </si>
  <si>
    <t>ACIDO CITRICO 1-H ALIM</t>
  </si>
  <si>
    <t>SPACCI</t>
  </si>
  <si>
    <t>REWOTERIC AM 2C NM</t>
  </si>
  <si>
    <t>TEAM2C</t>
  </si>
  <si>
    <t>11017</t>
  </si>
  <si>
    <t>NIPAGIN M</t>
  </si>
  <si>
    <t>CNNIPA</t>
  </si>
  <si>
    <t>XM MEM-0949 EMULSION</t>
  </si>
  <si>
    <t>TES929</t>
  </si>
  <si>
    <t>XIAMETER PMX-1403/BRB 1736</t>
  </si>
  <si>
    <t>TESIQ2</t>
  </si>
  <si>
    <t>XIAMETER(R) OFX-0193 FLUID</t>
  </si>
  <si>
    <t>TES193</t>
  </si>
  <si>
    <t>XM PMX-200 SIL FLUID .65CS 15K</t>
  </si>
  <si>
    <t>TES200</t>
  </si>
  <si>
    <t>DOW CORNING 556 FLUID</t>
  </si>
  <si>
    <t>TES556</t>
  </si>
  <si>
    <t>METHOCEL E 4M PREMIUM</t>
  </si>
  <si>
    <t>SPMETO</t>
  </si>
  <si>
    <t>11026</t>
  </si>
  <si>
    <t>NIPASOL M</t>
  </si>
  <si>
    <t>CNSOLP</t>
  </si>
  <si>
    <t>GLICERINA USP VEGETAL</t>
  </si>
  <si>
    <t>LIGLIC</t>
  </si>
  <si>
    <t>MONOETANOLAMINA EXENTA FE</t>
  </si>
  <si>
    <t>LIMONO</t>
  </si>
  <si>
    <t>CELLOSIZE QP 4400 HEC</t>
  </si>
  <si>
    <t>POHEC4</t>
  </si>
  <si>
    <t>BETAINA / EMPIGEN BSFA</t>
  </si>
  <si>
    <t>TETEBE</t>
  </si>
  <si>
    <t>SIMULSOL 1293</t>
  </si>
  <si>
    <t>TESIMU</t>
  </si>
  <si>
    <t>CELQUAT L-200</t>
  </si>
  <si>
    <t>POCEL2</t>
  </si>
  <si>
    <t>11033</t>
  </si>
  <si>
    <t>AMPHOMER HC</t>
  </si>
  <si>
    <t>POVE90</t>
  </si>
  <si>
    <t>SEPIGEL 305</t>
  </si>
  <si>
    <t>POSEPI</t>
  </si>
  <si>
    <t>LECHE BABASSU 1,5 PS</t>
  </si>
  <si>
    <t>PALEBA</t>
  </si>
  <si>
    <t>LAIT AVOCAT 1,5PS</t>
  </si>
  <si>
    <t>PALEAG</t>
  </si>
  <si>
    <t>APRICOT MILK 1,5PS</t>
  </si>
  <si>
    <t>PALEAL</t>
  </si>
  <si>
    <t>MANDARIN MILK 1,5PS</t>
  </si>
  <si>
    <t>PALEMA</t>
  </si>
  <si>
    <t>FUCOGEL 1000 PP</t>
  </si>
  <si>
    <t>PAFUCO</t>
  </si>
  <si>
    <t>CRYOLIDONE</t>
  </si>
  <si>
    <t>PACRYO</t>
  </si>
  <si>
    <t>11041</t>
  </si>
  <si>
    <t>EXT. TAMARINDO ESP</t>
  </si>
  <si>
    <t>PAEXTA</t>
  </si>
  <si>
    <t>GLYCOLYSAT OF PAPAYA UP</t>
  </si>
  <si>
    <t>PAEXPA</t>
  </si>
  <si>
    <t>ZINCIDONE</t>
  </si>
  <si>
    <t>PAZINC</t>
  </si>
  <si>
    <t>ISCAGUARD CMI</t>
  </si>
  <si>
    <t>CNKACG</t>
  </si>
  <si>
    <t>PANTOTENATO CALCIO</t>
  </si>
  <si>
    <t>PAPACA</t>
  </si>
  <si>
    <t>MENTOL CRISTAL</t>
  </si>
  <si>
    <t>PAMENT</t>
  </si>
  <si>
    <t>NICOTINAMIDA PH EUR</t>
  </si>
  <si>
    <t>PAVIPP</t>
  </si>
  <si>
    <t>ACIDO FOSFORICO 85% ALIM.</t>
  </si>
  <si>
    <t>SPACFO</t>
  </si>
  <si>
    <t>D-PANTHENOL</t>
  </si>
  <si>
    <t>PAPANT</t>
  </si>
  <si>
    <t>DL-PANTHENOL</t>
  </si>
  <si>
    <t>PAPADL</t>
  </si>
  <si>
    <t>BENTONITA SODICA</t>
  </si>
  <si>
    <t>SPBESO</t>
  </si>
  <si>
    <t>ACIDO SALICILICO</t>
  </si>
  <si>
    <t>SPACSA</t>
  </si>
  <si>
    <t>KAOLIN LAVADO</t>
  </si>
  <si>
    <t>SPKAOL</t>
  </si>
  <si>
    <t>FENACETINA</t>
  </si>
  <si>
    <t>CNFENA</t>
  </si>
  <si>
    <t>DEHYQUART SP</t>
  </si>
  <si>
    <t>TEDESP</t>
  </si>
  <si>
    <t>ESTEARATO ALUMINIO</t>
  </si>
  <si>
    <t>SPESAL</t>
  </si>
  <si>
    <t>PLANTACARE 2000 UP</t>
  </si>
  <si>
    <t>TEPLAN</t>
  </si>
  <si>
    <t>AC2000</t>
  </si>
  <si>
    <t>SOSA CITRATO PH EUR</t>
  </si>
  <si>
    <t>SPCISO</t>
  </si>
  <si>
    <t>VITAMINA E ACETATO CARE</t>
  </si>
  <si>
    <t>PAVITE</t>
  </si>
  <si>
    <t>NEO PCL HIDROSOLUBLE N</t>
  </si>
  <si>
    <t>TENPCL</t>
  </si>
  <si>
    <t>ISOADIPATE</t>
  </si>
  <si>
    <t>LIISOA</t>
  </si>
  <si>
    <t>OCTILDIMETILPABA</t>
  </si>
  <si>
    <t>PAOCTI</t>
  </si>
  <si>
    <t>DEHYQUART H-81</t>
  </si>
  <si>
    <t>POPOLY</t>
  </si>
  <si>
    <t>ANTIOXIDANTE BHT</t>
  </si>
  <si>
    <t>CNABHT</t>
  </si>
  <si>
    <t>ALANTOINA PH EUR</t>
  </si>
  <si>
    <t>PAALAN</t>
  </si>
  <si>
    <t>DISPONIL 286</t>
  </si>
  <si>
    <t>TEDISP</t>
  </si>
  <si>
    <t>PCL LIQUIDO</t>
  </si>
  <si>
    <t>AGPCLL</t>
  </si>
  <si>
    <t>COMPERLAN ODV</t>
  </si>
  <si>
    <t>TEEMPD</t>
  </si>
  <si>
    <t>EMPIWAX CL</t>
  </si>
  <si>
    <t>EMD390</t>
  </si>
  <si>
    <t>EMPILAN KM25FK/CESTOPAL 25 M</t>
  </si>
  <si>
    <t>EMEMKM</t>
  </si>
  <si>
    <t>EMPICOL LX/B</t>
  </si>
  <si>
    <t>SPLSSP</t>
  </si>
  <si>
    <t>EMPILAN CME/T</t>
  </si>
  <si>
    <t>EMEMPI</t>
  </si>
  <si>
    <t>NAFOL 1618 H</t>
  </si>
  <si>
    <t>EMNAFH</t>
  </si>
  <si>
    <t>ESTEARATO SODIO COSMETICO</t>
  </si>
  <si>
    <t>SPESSO</t>
  </si>
  <si>
    <t>CROQUAT WKP PE-LQ(wd)</t>
  </si>
  <si>
    <t>PACROQ</t>
  </si>
  <si>
    <t>ACEITE VASELINA LIQUIDA  V-80</t>
  </si>
  <si>
    <t>AGACVA</t>
  </si>
  <si>
    <t>EASYLAN NI</t>
  </si>
  <si>
    <t>EMGANI</t>
  </si>
  <si>
    <t>GANDAK SX</t>
  </si>
  <si>
    <t>EMGASX</t>
  </si>
  <si>
    <t>MACTAN LC-52 B25</t>
  </si>
  <si>
    <t>PAMAFL</t>
  </si>
  <si>
    <t>EMPIGEN BB</t>
  </si>
  <si>
    <t>TEEMBB</t>
  </si>
  <si>
    <t>EXTRACTO GENCIANA H.G.</t>
  </si>
  <si>
    <t>PAEXGE</t>
  </si>
  <si>
    <t>PRONALEN FRUIT ACIDS AHA 5</t>
  </si>
  <si>
    <t>PAPRFR</t>
  </si>
  <si>
    <t>COMPLEJO CAPILAR</t>
  </si>
  <si>
    <t>PACOCA</t>
  </si>
  <si>
    <t>PRONALEN GINSENG HSC</t>
  </si>
  <si>
    <t>PAGINS</t>
  </si>
  <si>
    <t>ACEITE GERMEN DE TRIGO</t>
  </si>
  <si>
    <t>AGACGT</t>
  </si>
  <si>
    <t>HIDROQUERATINA NATURAL</t>
  </si>
  <si>
    <t>PAHINA</t>
  </si>
  <si>
    <t>BENZOFENONA-4</t>
  </si>
  <si>
    <t>PABENZ</t>
  </si>
  <si>
    <t>ISOASCORBATE ACID</t>
  </si>
  <si>
    <t>SPISAC</t>
  </si>
  <si>
    <t>PRESERVATIVE A15</t>
  </si>
  <si>
    <t>CNBIOP</t>
  </si>
  <si>
    <t>PERSULFATO AMONICO</t>
  </si>
  <si>
    <t>SPPEAM</t>
  </si>
  <si>
    <t>PERSULFATO POTASICO</t>
  </si>
  <si>
    <t>SPPEPO</t>
  </si>
  <si>
    <t>ALCOHOL ETILIC ABSOLUT 99º  LT</t>
  </si>
  <si>
    <t>ALETAB</t>
  </si>
  <si>
    <t>REWOMID IPP-240 MB</t>
  </si>
  <si>
    <t>TEREIP</t>
  </si>
  <si>
    <t>REWOPAL PEG 6000 DS A</t>
  </si>
  <si>
    <t>EM6000</t>
  </si>
  <si>
    <t>REWOTERIC AMCAS</t>
  </si>
  <si>
    <t>TEAMCA</t>
  </si>
  <si>
    <t>LANTROL AWS</t>
  </si>
  <si>
    <t>TELAWS</t>
  </si>
  <si>
    <t>BONDEMINOX B-280</t>
  </si>
  <si>
    <t>TEREWO</t>
  </si>
  <si>
    <t>MACKAMINE  SO</t>
  </si>
  <si>
    <t>BONDEMINOX B280</t>
  </si>
  <si>
    <t>SILKPRO F</t>
  </si>
  <si>
    <t>PASILK</t>
  </si>
  <si>
    <t>GAFQUAT 755 NO</t>
  </si>
  <si>
    <t>POG755</t>
  </si>
  <si>
    <t>GAFQUAT 734</t>
  </si>
  <si>
    <t>POG734</t>
  </si>
  <si>
    <t>EXTRACTO SEMBURI BG-100</t>
  </si>
  <si>
    <t>PAEXSE</t>
  </si>
  <si>
    <t>COMPLEJO CAPILAR ANTI-CAIDA PF</t>
  </si>
  <si>
    <t>PABIOP</t>
  </si>
  <si>
    <t>CEGABA POLVO 97%</t>
  </si>
  <si>
    <t>PACEGA</t>
  </si>
  <si>
    <t>BAMBOO EXTRACT EA141600</t>
  </si>
  <si>
    <t>PAEXBA</t>
  </si>
  <si>
    <t>THIOSOME P</t>
  </si>
  <si>
    <t>PATHIO</t>
  </si>
  <si>
    <t>VITAMINA F HIDROS CLR</t>
  </si>
  <si>
    <t>PAVIFH</t>
  </si>
  <si>
    <t>MILK PEPTIDE PROTEIN  (Grams)</t>
  </si>
  <si>
    <t>PAMPCO</t>
  </si>
  <si>
    <t>GANTREZ ES 425</t>
  </si>
  <si>
    <t>POGAES</t>
  </si>
  <si>
    <t>LUVISKOL K-90</t>
  </si>
  <si>
    <t>POPK90</t>
  </si>
  <si>
    <t>PVP   K/90</t>
  </si>
  <si>
    <t>PVP  K/90</t>
  </si>
  <si>
    <t>ANTARA 430</t>
  </si>
  <si>
    <t>POA430</t>
  </si>
  <si>
    <t>PVP/VA E-635</t>
  </si>
  <si>
    <t>POE635</t>
  </si>
  <si>
    <t>COPOLYMER VC-713</t>
  </si>
  <si>
    <t>POCOVC</t>
  </si>
  <si>
    <t>LUVISKOL K-30</t>
  </si>
  <si>
    <t>POPK30</t>
  </si>
  <si>
    <t>HIDROLIZED WHEAT PROTEIN</t>
  </si>
  <si>
    <t>PAHIWP</t>
  </si>
  <si>
    <t>FIJADOR HC</t>
  </si>
  <si>
    <t>TEFIHC</t>
  </si>
  <si>
    <t>HUMECTANTE T</t>
  </si>
  <si>
    <t>TEHUMT</t>
  </si>
  <si>
    <t>LUVIQUAT FC 370</t>
  </si>
  <si>
    <t>POLUVI</t>
  </si>
  <si>
    <t>DABEERSEN 503 LIQUID</t>
  </si>
  <si>
    <t>CND503</t>
  </si>
  <si>
    <t>DABEERSEN H Tecnico</t>
  </si>
  <si>
    <t>CNDABH</t>
  </si>
  <si>
    <t>11125</t>
  </si>
  <si>
    <t>EMULSOGEN DTC 70</t>
  </si>
  <si>
    <t>TESAND</t>
  </si>
  <si>
    <t>11126</t>
  </si>
  <si>
    <t>UCARE (TM) POLYMER JR-400</t>
  </si>
  <si>
    <t>POJR40</t>
  </si>
  <si>
    <t>UCARE (TM) POLYMER JR-30M</t>
  </si>
  <si>
    <t>POJR30</t>
  </si>
  <si>
    <t>JAGUAR HP-105 ESPECS</t>
  </si>
  <si>
    <t>POJAHP</t>
  </si>
  <si>
    <t>PIROCTONE OLAMINE</t>
  </si>
  <si>
    <t>PAOCTO</t>
  </si>
  <si>
    <t>OCTO PYRION</t>
  </si>
  <si>
    <t>OCTOPIROX</t>
  </si>
  <si>
    <t>MERQUAT 100</t>
  </si>
  <si>
    <t>POMERQ</t>
  </si>
  <si>
    <t>MERQUAT 2001</t>
  </si>
  <si>
    <t>POME20</t>
  </si>
  <si>
    <t>GIFRAN  2 M</t>
  </si>
  <si>
    <t>TENEMC</t>
  </si>
  <si>
    <t>MONESTRIOL EN-A</t>
  </si>
  <si>
    <t>EMMENA</t>
  </si>
  <si>
    <t>OLEFAT - 12</t>
  </si>
  <si>
    <t>DERVACID 3290</t>
  </si>
  <si>
    <t>LUVISKOL K90</t>
  </si>
  <si>
    <t>OLEFAT-12</t>
  </si>
  <si>
    <t>HPC N-11</t>
  </si>
  <si>
    <t>PAHPCN</t>
  </si>
  <si>
    <t>QUARTAMIN 60W25</t>
  </si>
  <si>
    <t>TEQU60</t>
  </si>
  <si>
    <t>ECOROL 16/98  P</t>
  </si>
  <si>
    <t>EMPU16</t>
  </si>
  <si>
    <t>EUR-AMID PK</t>
  </si>
  <si>
    <t>TEB112</t>
  </si>
  <si>
    <t>CARBON.MAGNESIA Lig.Imp.</t>
  </si>
  <si>
    <t>SPCMLI</t>
  </si>
  <si>
    <t>AEROSIL N-20</t>
  </si>
  <si>
    <t>SPAE20</t>
  </si>
  <si>
    <t>PEG-40 CASTOR OIL</t>
  </si>
  <si>
    <t>TEMUEL</t>
  </si>
  <si>
    <t>HALLSTAR SAB-2N</t>
  </si>
  <si>
    <t>TESTEP</t>
  </si>
  <si>
    <t>WHITE CLAY SF</t>
  </si>
  <si>
    <t>SPARCI</t>
  </si>
  <si>
    <t>11148</t>
  </si>
  <si>
    <t>TIMIRON SUPERSHEEN MP-1001</t>
  </si>
  <si>
    <t>TIOGLICOLATO AMONICO SOL. 59%</t>
  </si>
  <si>
    <t>LITIAM</t>
  </si>
  <si>
    <t>EUSOLEX 2292</t>
  </si>
  <si>
    <t>PAEU22</t>
  </si>
  <si>
    <t>TEGIN Pellets MB</t>
  </si>
  <si>
    <t>TETEGI</t>
  </si>
  <si>
    <t>SULFITO SOSA ANHIDRO ALIM.</t>
  </si>
  <si>
    <t>SPSUSO</t>
  </si>
  <si>
    <t>SAL VACCUM EXTSEC ALIM.269B7A</t>
  </si>
  <si>
    <t>SPSAVA</t>
  </si>
  <si>
    <t>AMONIACO 24 BÚ 25%</t>
  </si>
  <si>
    <t>LIAMON</t>
  </si>
  <si>
    <t>ESTANNATO SODICO</t>
  </si>
  <si>
    <t>SPESTA</t>
  </si>
  <si>
    <t>HIDROSULFITO SÓDICO EN DF</t>
  </si>
  <si>
    <t>SPHISO</t>
  </si>
  <si>
    <t>OXIGENADA 50%</t>
  </si>
  <si>
    <t>LIOXIG</t>
  </si>
  <si>
    <t>AMP - 90</t>
  </si>
  <si>
    <t>LIAMP9</t>
  </si>
  <si>
    <t>11161</t>
  </si>
  <si>
    <t>POLYSORBATE 80 E433</t>
  </si>
  <si>
    <t>AMINODERMIN CLR (Grams)</t>
  </si>
  <si>
    <t>PAAMIN</t>
  </si>
  <si>
    <t>GAFQUAT PL (HS-100)</t>
  </si>
  <si>
    <t>POGAPL</t>
  </si>
  <si>
    <t>SODIO PIROFOSFATO TETRABASICO</t>
  </si>
  <si>
    <t>SPPITE</t>
  </si>
  <si>
    <t>PROMOIS WG</t>
  </si>
  <si>
    <t>PAPRWG</t>
  </si>
  <si>
    <t>VILVANOLIN CAB</t>
  </si>
  <si>
    <t>AGACAB</t>
  </si>
  <si>
    <t>METASILICATO SODICO (SIMET AP)</t>
  </si>
  <si>
    <t>SPMESO</t>
  </si>
  <si>
    <t>CIRE DE LANOL CTO</t>
  </si>
  <si>
    <t>EMLCTO</t>
  </si>
  <si>
    <t>DEPURCAL</t>
  </si>
  <si>
    <t>DEDEPU</t>
  </si>
  <si>
    <t>BD DEPURAL S</t>
  </si>
  <si>
    <t>DESUAL</t>
  </si>
  <si>
    <t>XM PMX-0245 CYCLOPENTASILOXANE</t>
  </si>
  <si>
    <t>TES245</t>
  </si>
  <si>
    <t>SF 1202</t>
  </si>
  <si>
    <t>MACADAMIA NUT OIL CP RBD</t>
  </si>
  <si>
    <t>PAACMA</t>
  </si>
  <si>
    <t>MIRASIL CDM-L</t>
  </si>
  <si>
    <t>TE1501</t>
  </si>
  <si>
    <t>COSMOFERM MIX III</t>
  </si>
  <si>
    <t>PADE10</t>
  </si>
  <si>
    <t>PROMOIS WK-F</t>
  </si>
  <si>
    <t>PAPRWK</t>
  </si>
  <si>
    <t>NEQUAT 22 PF</t>
  </si>
  <si>
    <t>MERQUAT 280</t>
  </si>
  <si>
    <t>NEQUAT 22</t>
  </si>
  <si>
    <t>ORANGE PEEL WAX</t>
  </si>
  <si>
    <t>PACENA</t>
  </si>
  <si>
    <t>EUROPERL 900</t>
  </si>
  <si>
    <t>DEE900</t>
  </si>
  <si>
    <t>ANTIESPUMANTE DMS</t>
  </si>
  <si>
    <t>DEADMS</t>
  </si>
  <si>
    <t>EMPIGEN OB EB</t>
  </si>
  <si>
    <t>TEEMOB</t>
  </si>
  <si>
    <t>LUVISKOL VA 64 POWDER</t>
  </si>
  <si>
    <t>POL64P</t>
  </si>
  <si>
    <t>SIMULSOL 98</t>
  </si>
  <si>
    <t>TESI98</t>
  </si>
  <si>
    <t>RICINO H 25 M</t>
  </si>
  <si>
    <t>TESI12</t>
  </si>
  <si>
    <t>SIMULSOL 1292</t>
  </si>
  <si>
    <t>ACULYN 22</t>
  </si>
  <si>
    <t>POAC22</t>
  </si>
  <si>
    <t>SORBITOL 70%</t>
  </si>
  <si>
    <t>LISORB</t>
  </si>
  <si>
    <t>CUTINA HR FLAKES</t>
  </si>
  <si>
    <t>AGCUHR</t>
  </si>
  <si>
    <t>ESTEARINA C</t>
  </si>
  <si>
    <t>EMESTE</t>
  </si>
  <si>
    <t>SP PROCETYL AWS MBAL-LQ-(RB)</t>
  </si>
  <si>
    <t>EMPRAW</t>
  </si>
  <si>
    <t>DUB IPM</t>
  </si>
  <si>
    <t>AGISMI</t>
  </si>
  <si>
    <t>CARBOPOL AQUA SF-1 POLYMER</t>
  </si>
  <si>
    <t>POCAAQ</t>
  </si>
  <si>
    <t>CASTOR OIL REFINED</t>
  </si>
  <si>
    <t>AGACRI</t>
  </si>
  <si>
    <t>ACEITE DE RECINO</t>
  </si>
  <si>
    <t>PERMULGIN 3500</t>
  </si>
  <si>
    <t>AGP350</t>
  </si>
  <si>
    <t>PERMULGIN 3220</t>
  </si>
  <si>
    <t>AGP322</t>
  </si>
  <si>
    <t>SODIO HIDRÓXIDO Lentejas</t>
  </si>
  <si>
    <t>SPSOHY</t>
  </si>
  <si>
    <t>LANOLIN WAX</t>
  </si>
  <si>
    <t>AGLAWA</t>
  </si>
  <si>
    <t>BRIJ  IC20</t>
  </si>
  <si>
    <t>EMAR20</t>
  </si>
  <si>
    <t>BRIJ 02</t>
  </si>
  <si>
    <t>EMBR92</t>
  </si>
  <si>
    <t>GLUCAM E-20</t>
  </si>
  <si>
    <t>LIGE20</t>
  </si>
  <si>
    <t>REWOPAL PIB-1000</t>
  </si>
  <si>
    <t>AGRPIB</t>
  </si>
  <si>
    <t>CROTHIX MBAL-PA-(MH)</t>
  </si>
  <si>
    <t>EMCROT</t>
  </si>
  <si>
    <t>POLYOX WSR 301</t>
  </si>
  <si>
    <t>POP301</t>
  </si>
  <si>
    <t>SIMULSOL 165</t>
  </si>
  <si>
    <t>TES165</t>
  </si>
  <si>
    <t>GERMALL- II</t>
  </si>
  <si>
    <t>CNGEII</t>
  </si>
  <si>
    <t>ARQUAD PC HTB 75</t>
  </si>
  <si>
    <t>TEAHTB</t>
  </si>
  <si>
    <t>CERA CANDELILLA</t>
  </si>
  <si>
    <t>AGCECA</t>
  </si>
  <si>
    <t>DUB PO</t>
  </si>
  <si>
    <t>AGDUPO</t>
  </si>
  <si>
    <t>VARISOFT BT 85</t>
  </si>
  <si>
    <t>TEVABT</t>
  </si>
  <si>
    <t>BRIJ S2-SO-(SG)</t>
  </si>
  <si>
    <t>EMBR72</t>
  </si>
  <si>
    <t>SAEOIL APRICOT KERNEL</t>
  </si>
  <si>
    <t>AGSAAP</t>
  </si>
  <si>
    <t>COSMEDIA CTH (E)</t>
  </si>
  <si>
    <t>PORCTH</t>
  </si>
  <si>
    <t>ALLIANZ OPT</t>
  </si>
  <si>
    <t>POAOPT</t>
  </si>
  <si>
    <t>BRIJ 03 ( VOLPO N3)</t>
  </si>
  <si>
    <t>TEVON3</t>
  </si>
  <si>
    <t>CRODAFOS O10 A</t>
  </si>
  <si>
    <t>TEN10A</t>
  </si>
  <si>
    <t>GLUCAMATE LT</t>
  </si>
  <si>
    <t>EMGLLT</t>
  </si>
  <si>
    <t>BRIJ 05</t>
  </si>
  <si>
    <t>TEVON5</t>
  </si>
  <si>
    <t>CRODAFOS O3A-LQ</t>
  </si>
  <si>
    <t>TECN3A</t>
  </si>
  <si>
    <t>BEESWAX  WHITE</t>
  </si>
  <si>
    <t>AGP155</t>
  </si>
  <si>
    <t>HIPOCLORITO SODICO 130</t>
  </si>
  <si>
    <t>DEHISO</t>
  </si>
  <si>
    <t>HYDAGEN CAT</t>
  </si>
  <si>
    <t>POHYDA</t>
  </si>
  <si>
    <t>PURAC HI PURE 90</t>
  </si>
  <si>
    <t>SPPUPH</t>
  </si>
  <si>
    <t>MASSOCARE HD</t>
  </si>
  <si>
    <t>AGARHD</t>
  </si>
  <si>
    <t>FLEXAN II</t>
  </si>
  <si>
    <t>POFLII</t>
  </si>
  <si>
    <t>AMPHOMER 28-4910</t>
  </si>
  <si>
    <t>POAM28</t>
  </si>
  <si>
    <t>FORMOL 40%</t>
  </si>
  <si>
    <t>CNFORM</t>
  </si>
  <si>
    <t>STRUCTURE PLUS 25-3802</t>
  </si>
  <si>
    <t>POSTPL</t>
  </si>
  <si>
    <t>STENCO B-25</t>
  </si>
  <si>
    <t>DESB25</t>
  </si>
  <si>
    <t>STENCO C-706</t>
  </si>
  <si>
    <t>DEC706</t>
  </si>
  <si>
    <t>COPOLYMER 845</t>
  </si>
  <si>
    <t>POC845</t>
  </si>
  <si>
    <t>LUVISET CA 66</t>
  </si>
  <si>
    <t>POLUCA</t>
  </si>
  <si>
    <t>CARBOPOL ULTREZ 21 POLYMER</t>
  </si>
  <si>
    <t>POUL21</t>
  </si>
  <si>
    <t>CRODAMOL STS-LQ-(MH)</t>
  </si>
  <si>
    <t>POCSTS</t>
  </si>
  <si>
    <t>DC 8500 CONDITIONIG AGENT</t>
  </si>
  <si>
    <t>TE8500</t>
  </si>
  <si>
    <t>CRODAZOSOFT DBQ MBAL-PA(MH)</t>
  </si>
  <si>
    <t>TECRDB</t>
  </si>
  <si>
    <t>INCROQUAT BEHE. TMS-50-PA-(MH)</t>
  </si>
  <si>
    <t>TEINTM</t>
  </si>
  <si>
    <t>ABILQUAT 3474</t>
  </si>
  <si>
    <t>TEAB34</t>
  </si>
  <si>
    <t>VEGEBIOS OF HORSETAIL</t>
  </si>
  <si>
    <t>EVVEHO</t>
  </si>
  <si>
    <t>TRIETANOLAMINA 99%</t>
  </si>
  <si>
    <t>LITR99</t>
  </si>
  <si>
    <t>OLIGOGELINE</t>
  </si>
  <si>
    <t>EVOLIG</t>
  </si>
  <si>
    <t>BIOTINA   (Grams)</t>
  </si>
  <si>
    <t>PABIOT</t>
  </si>
  <si>
    <t>ISOGIFRAN 111/11M 100%</t>
  </si>
  <si>
    <t>TEGENA</t>
  </si>
  <si>
    <t>STRUCTURE XL</t>
  </si>
  <si>
    <t>POSTXL</t>
  </si>
  <si>
    <t>HYDROTRITICUM WQ PE-LQ-(WD)</t>
  </si>
  <si>
    <t>PAHIWQ</t>
  </si>
  <si>
    <t>AC OLIGOLIDE M</t>
  </si>
  <si>
    <t>PAOLIM</t>
  </si>
  <si>
    <t>PHANILIGNE 2</t>
  </si>
  <si>
    <t>PAPHNA</t>
  </si>
  <si>
    <t>TEGO AMID S 18</t>
  </si>
  <si>
    <t>TETS18</t>
  </si>
  <si>
    <t>STENCO 1130</t>
  </si>
  <si>
    <t>DE1130</t>
  </si>
  <si>
    <t>HAIRSPA</t>
  </si>
  <si>
    <t>PAHAIR</t>
  </si>
  <si>
    <t>REWOTERIC AM KSF 40</t>
  </si>
  <si>
    <t>TEAMKS</t>
  </si>
  <si>
    <t>XIAM PMX200 SILICONE FL 350 CS</t>
  </si>
  <si>
    <t>TE2350</t>
  </si>
  <si>
    <t>ECOROL 68/30 P</t>
  </si>
  <si>
    <t>EMGANO</t>
  </si>
  <si>
    <t>ACEITE ALMENDRAS DULCES</t>
  </si>
  <si>
    <t>AGACAD</t>
  </si>
  <si>
    <t>ACEITE DE JOJOBA</t>
  </si>
  <si>
    <t>AGACJO</t>
  </si>
  <si>
    <t>aceite oliva(anul.lat)</t>
  </si>
  <si>
    <t>AGACOL</t>
  </si>
  <si>
    <t>POLIPLANT 18 HIERBAS</t>
  </si>
  <si>
    <t>PAPO18</t>
  </si>
  <si>
    <t>ACEITE DE KARITE</t>
  </si>
  <si>
    <t>AGACKA</t>
  </si>
  <si>
    <t>EXTRACTO DE TE VERDE</t>
  </si>
  <si>
    <t>PAEXTV</t>
  </si>
  <si>
    <t>EXTRACTO MIEL DE ROMERO</t>
  </si>
  <si>
    <t>PAEXMR</t>
  </si>
  <si>
    <t>EXTRACTO TREBOL ROJO</t>
  </si>
  <si>
    <t>PAEXTR</t>
  </si>
  <si>
    <t>DEHYQUART A-CA</t>
  </si>
  <si>
    <t>TEDECA</t>
  </si>
  <si>
    <t>MIRASIL C-DMB</t>
  </si>
  <si>
    <t>TESF12</t>
  </si>
  <si>
    <t>ASTRO C-10</t>
  </si>
  <si>
    <t>CNAC10</t>
  </si>
  <si>
    <t>STENCO B-35</t>
  </si>
  <si>
    <t>DESB35</t>
  </si>
  <si>
    <t>ELFACOS T212</t>
  </si>
  <si>
    <t>TET212</t>
  </si>
  <si>
    <t>POTASA SORBATO</t>
  </si>
  <si>
    <t>SPPOSO</t>
  </si>
  <si>
    <t>KELTROL CG-SFT</t>
  </si>
  <si>
    <t>POKECGSF</t>
  </si>
  <si>
    <t>SILCARE SILICONE 41M90</t>
  </si>
  <si>
    <t>TESI41M9</t>
  </si>
  <si>
    <t>UREA GRANULADA Q.P.</t>
  </si>
  <si>
    <t>SPUREAG</t>
  </si>
  <si>
    <t>ORAMIX CG-110</t>
  </si>
  <si>
    <t>TEORCG11</t>
  </si>
  <si>
    <t>SODIO FORMALDEHYDESULFINATE</t>
  </si>
  <si>
    <t>SPSFSD</t>
  </si>
  <si>
    <t>CERAMIDE II  CQ U/A</t>
  </si>
  <si>
    <t>CERAMIDE</t>
  </si>
  <si>
    <t>PACERAII</t>
  </si>
  <si>
    <t>EXTRACTO DE CENTAURA</t>
  </si>
  <si>
    <t>PAEXCE</t>
  </si>
  <si>
    <t>EXTRACTO DE MANZANILLA</t>
  </si>
  <si>
    <t>PAEXMA</t>
  </si>
  <si>
    <t>EXTRACTO DE HENNA</t>
  </si>
  <si>
    <t>PAEXHE</t>
  </si>
  <si>
    <t>EXTRACTO TE NEGRO H.G.</t>
  </si>
  <si>
    <t>PAEXTN</t>
  </si>
  <si>
    <t>SAL VACUUM PASTILLAS BROXO 6-15 S/25 KGS</t>
  </si>
  <si>
    <t>DESAVA</t>
  </si>
  <si>
    <t>AGUA TERMAL CONCENTRADA</t>
  </si>
  <si>
    <t>LIAGTC</t>
  </si>
  <si>
    <t>ACEITE DE SESAMO</t>
  </si>
  <si>
    <t>AGACAS</t>
  </si>
  <si>
    <t>SILICONA BC 2275</t>
  </si>
  <si>
    <t>TEBC22</t>
  </si>
  <si>
    <t>11282</t>
  </si>
  <si>
    <t>NEO HELIOPAN BB</t>
  </si>
  <si>
    <t>PABENZ3</t>
  </si>
  <si>
    <t>JAGUAR C-162</t>
  </si>
  <si>
    <t>POJA62</t>
  </si>
  <si>
    <t>EXTRACTO DE BARDANA</t>
  </si>
  <si>
    <t>PAEXBR</t>
  </si>
  <si>
    <t>HIDROLIZADO DE SEDA 3331001 P</t>
  </si>
  <si>
    <t>PAHISE</t>
  </si>
  <si>
    <t>EXTRAC GIRASOL PETALOS H.G.</t>
  </si>
  <si>
    <t>PAEXGI</t>
  </si>
  <si>
    <t>EXTRACTO GINSENG 4289001 P</t>
  </si>
  <si>
    <t>PAEXGS</t>
  </si>
  <si>
    <t>DYNAM X</t>
  </si>
  <si>
    <t>PODYNA</t>
  </si>
  <si>
    <t>VASELINA FIL. MEDICINAL SD-50</t>
  </si>
  <si>
    <t>AGVAFM</t>
  </si>
  <si>
    <t>MICROCARE ZP</t>
  </si>
  <si>
    <t>PAMIZP</t>
  </si>
  <si>
    <t>PHENONIP ME</t>
  </si>
  <si>
    <t>CNMIPM2</t>
  </si>
  <si>
    <t>MICROCARE PM2</t>
  </si>
  <si>
    <t>MICROCARE MEM</t>
  </si>
  <si>
    <t>CNMIMEM</t>
  </si>
  <si>
    <t>CRODAROM TEAK</t>
  </si>
  <si>
    <t>EVCRTE</t>
  </si>
  <si>
    <t>CRODAROM BOSWELLIA</t>
  </si>
  <si>
    <t>EVCRBO</t>
  </si>
  <si>
    <t>CRODASINIC LS30/NT MBAL-LQ(RB)</t>
  </si>
  <si>
    <t>TECRLS</t>
  </si>
  <si>
    <t>PROCAPIL</t>
  </si>
  <si>
    <t>PAPROC</t>
  </si>
  <si>
    <t>EXTRACTO GUARANA</t>
  </si>
  <si>
    <t>EVPHGU</t>
  </si>
  <si>
    <t>SAECARE PQ-37</t>
  </si>
  <si>
    <t>POPQ37</t>
  </si>
  <si>
    <t>POLYSUGA SIL C-35P</t>
  </si>
  <si>
    <t>TEPOLY35</t>
  </si>
  <si>
    <t>PECOSIL PAN-1218Q</t>
  </si>
  <si>
    <t>TEP1218Q</t>
  </si>
  <si>
    <t>LEVENOL H&amp;B BD</t>
  </si>
  <si>
    <t>AGLEHB</t>
  </si>
  <si>
    <t>AMILITE ACS-12</t>
  </si>
  <si>
    <t>TEAMIL</t>
  </si>
  <si>
    <t>HAIRDENSYL</t>
  </si>
  <si>
    <t>PAHACO</t>
  </si>
  <si>
    <t>STENCO B - 90</t>
  </si>
  <si>
    <t>DESB90</t>
  </si>
  <si>
    <t>POLIELECTROLIT ANFP</t>
  </si>
  <si>
    <t>DEPOANFP</t>
  </si>
  <si>
    <t>MICROCARE QUAT</t>
  </si>
  <si>
    <t>8014493</t>
  </si>
  <si>
    <t>TBHQ-25</t>
  </si>
  <si>
    <t>QUATAMIN AB</t>
  </si>
  <si>
    <t>11339</t>
  </si>
  <si>
    <t>LIPOVOL GTB</t>
  </si>
  <si>
    <t>11349</t>
  </si>
  <si>
    <t>MASSOCARE CP</t>
  </si>
  <si>
    <t>11359</t>
  </si>
  <si>
    <t>DAPRACARE GMS-35-SE</t>
  </si>
  <si>
    <t>QUINOA PRO NPNF</t>
  </si>
  <si>
    <t>11401</t>
  </si>
  <si>
    <t>DAPRACARE GMS 35 SE (ES 11359)</t>
  </si>
  <si>
    <t>RESORCINOL TECH.GRADE FLAKES</t>
  </si>
  <si>
    <t>RODOL</t>
  </si>
  <si>
    <t>JARCOCOL</t>
  </si>
  <si>
    <t>CORESO</t>
  </si>
  <si>
    <t>RODOL 4BXN</t>
  </si>
  <si>
    <t>CO4BXN</t>
  </si>
  <si>
    <t>LOWACRYL BLUE 7</t>
  </si>
  <si>
    <t>COBLU7</t>
  </si>
  <si>
    <t>LOWACRYL BLUE 9</t>
  </si>
  <si>
    <t>COBLU9</t>
  </si>
  <si>
    <t>RODOL GRAY HED</t>
  </si>
  <si>
    <t>COGRHE</t>
  </si>
  <si>
    <t>HC BLUE 2 CP</t>
  </si>
  <si>
    <t>COHCB2</t>
  </si>
  <si>
    <t>HC RED 3</t>
  </si>
  <si>
    <t>COHCR3</t>
  </si>
  <si>
    <t>HC YELLOW 4</t>
  </si>
  <si>
    <t>COHCY4</t>
  </si>
  <si>
    <t>HC YELLOW 5</t>
  </si>
  <si>
    <t>COHCY5</t>
  </si>
  <si>
    <t>LOWADENE BLUE 61505</t>
  </si>
  <si>
    <t>COLOBL</t>
  </si>
  <si>
    <t>RODOL MPDS</t>
  </si>
  <si>
    <t>COMPDS</t>
  </si>
  <si>
    <t>RODOL PAOC</t>
  </si>
  <si>
    <t>COPAOC</t>
  </si>
  <si>
    <t>RODOL 26 PYRS</t>
  </si>
  <si>
    <t>COPYRS</t>
  </si>
  <si>
    <t>RODOL 2G</t>
  </si>
  <si>
    <t>CORD2G</t>
  </si>
  <si>
    <t>LOWACRYL RED 22</t>
  </si>
  <si>
    <t>CORE22</t>
  </si>
  <si>
    <t>LOWACRYL RED 2</t>
  </si>
  <si>
    <t>CORED2</t>
  </si>
  <si>
    <t>RODOL ERN</t>
  </si>
  <si>
    <t>CORERN</t>
  </si>
  <si>
    <t>RODOL BROWN 2R</t>
  </si>
  <si>
    <t>CORO2R</t>
  </si>
  <si>
    <t>RODOL 4JP</t>
  </si>
  <si>
    <t>CORO4J</t>
  </si>
  <si>
    <t>RODOL 9R</t>
  </si>
  <si>
    <t>CORO9R</t>
  </si>
  <si>
    <t>RODOL D  "DJ"</t>
  </si>
  <si>
    <t>CORODD</t>
  </si>
  <si>
    <t>RODOL P Base</t>
  </si>
  <si>
    <t>CORODP</t>
  </si>
  <si>
    <t>RODOL EG</t>
  </si>
  <si>
    <t>COROEG</t>
  </si>
  <si>
    <t>RODOL PM</t>
  </si>
  <si>
    <t>COROPM</t>
  </si>
  <si>
    <t>RODOL PMP</t>
  </si>
  <si>
    <t>CORPMP</t>
  </si>
  <si>
    <t>LOWACRYL VIOLET 14</t>
  </si>
  <si>
    <t>COVI14</t>
  </si>
  <si>
    <t>LOWALAN VIOLET 43(concentrado)</t>
  </si>
  <si>
    <t>COVI43</t>
  </si>
  <si>
    <t>ROSA BRILL. ACIDO A.C.</t>
  </si>
  <si>
    <t>COROBR</t>
  </si>
  <si>
    <t>AZUL BRILLANTE FCF</t>
  </si>
  <si>
    <t>COAZFC</t>
  </si>
  <si>
    <t>BRUN 8001</t>
  </si>
  <si>
    <t>COBRUN</t>
  </si>
  <si>
    <t>NEGRO BRILLANTE BN</t>
  </si>
  <si>
    <t>CONEBN</t>
  </si>
  <si>
    <t>TARTRACINA</t>
  </si>
  <si>
    <t>COTART</t>
  </si>
  <si>
    <t>ROJO 10B ALTA CONC.</t>
  </si>
  <si>
    <t>CORO10</t>
  </si>
  <si>
    <t>ROJO VIVO 2G A.C.</t>
  </si>
  <si>
    <t>CORO2G</t>
  </si>
  <si>
    <t>AZUL CARMIN ALTA CONC.</t>
  </si>
  <si>
    <t>COAZDV</t>
  </si>
  <si>
    <t>00032</t>
  </si>
  <si>
    <t>URSOL 3GA</t>
  </si>
  <si>
    <t>COU3GA</t>
  </si>
  <si>
    <t>NEGRO VITROLANA WA 145%</t>
  </si>
  <si>
    <t>CONEVI</t>
  </si>
  <si>
    <t>JAROCOL STRAW YELLOW</t>
  </si>
  <si>
    <t>COYE57</t>
  </si>
  <si>
    <t>JAROCOL STEEL BLUE</t>
  </si>
  <si>
    <t>COBL99</t>
  </si>
  <si>
    <t>JAROCOL SIENNA BROWN</t>
  </si>
  <si>
    <t>COBR17</t>
  </si>
  <si>
    <t>JAROCOL MAHOGANY</t>
  </si>
  <si>
    <t>COBR16</t>
  </si>
  <si>
    <t>JAROCOL MADDER RED</t>
  </si>
  <si>
    <t>CORE76</t>
  </si>
  <si>
    <t>AZULETE</t>
  </si>
  <si>
    <t>COAZUL</t>
  </si>
  <si>
    <t>JAROCOL TDS</t>
  </si>
  <si>
    <t>COBLFX</t>
  </si>
  <si>
    <t>RODOL MRP-N</t>
  </si>
  <si>
    <t>CORMRP</t>
  </si>
  <si>
    <t>RODOL PAOX - JAROCOL 2M5HEAP</t>
  </si>
  <si>
    <t>COPAOX</t>
  </si>
  <si>
    <t>RODOL 24 DAPE</t>
  </si>
  <si>
    <t>CO24DA</t>
  </si>
  <si>
    <t>HC YELLOW 2</t>
  </si>
  <si>
    <t>COHCY2</t>
  </si>
  <si>
    <t>LOWACRYL ORANGE 31</t>
  </si>
  <si>
    <t>COOR31</t>
  </si>
  <si>
    <t>LOWACRYL RED 51</t>
  </si>
  <si>
    <t>CORE51</t>
  </si>
  <si>
    <t>LOWACRYL YELLOW 87</t>
  </si>
  <si>
    <t>COYE87</t>
  </si>
  <si>
    <t>LOWACRYL VIOLET 2</t>
  </si>
  <si>
    <t>COVIO2</t>
  </si>
  <si>
    <t>ANARANJADO A-1 SUPER</t>
  </si>
  <si>
    <t>COANAR</t>
  </si>
  <si>
    <t>JAROCOL VIOLET 1,4 D</t>
  </si>
  <si>
    <t>COVIOL</t>
  </si>
  <si>
    <t>COLOREX 5A6COC</t>
  </si>
  <si>
    <t>COCO5A6C</t>
  </si>
  <si>
    <t>NARANJA II</t>
  </si>
  <si>
    <t>CONARA</t>
  </si>
  <si>
    <t>AMARILLO QUINOLEINA 70</t>
  </si>
  <si>
    <t>COAMQU</t>
  </si>
  <si>
    <t>NEGRO 7984 AC</t>
  </si>
  <si>
    <t>CONEAC</t>
  </si>
  <si>
    <t>NEGRO-AZUL 10B</t>
  </si>
  <si>
    <t>CONE1B</t>
  </si>
  <si>
    <t>AZUL SOLIDO RL</t>
  </si>
  <si>
    <t>COAZRL</t>
  </si>
  <si>
    <t>RODAMINA B500</t>
  </si>
  <si>
    <t>COROB5</t>
  </si>
  <si>
    <t>VIOLETA SOLUBLE 10BC</t>
  </si>
  <si>
    <t>COVIIB</t>
  </si>
  <si>
    <t>FOURAMINA J</t>
  </si>
  <si>
    <t>COFOUJ</t>
  </si>
  <si>
    <t>4-AMINO-3-METHYLPHENOL</t>
  </si>
  <si>
    <t>RODOL 3M4AP</t>
  </si>
  <si>
    <t>JAROCOL 4A3MP</t>
  </si>
  <si>
    <t>4-AMINO-3-METHYLPHEN</t>
  </si>
  <si>
    <t>RODOL 2A3 PYR</t>
  </si>
  <si>
    <t>SAE DYE 2A3HP</t>
  </si>
  <si>
    <t>12070</t>
  </si>
  <si>
    <t>4,5 PYRAZOL</t>
  </si>
  <si>
    <t>12071</t>
  </si>
  <si>
    <t>HC BLUE 7</t>
  </si>
  <si>
    <t>12074</t>
  </si>
  <si>
    <t>RODOL 2 MR</t>
  </si>
  <si>
    <t>FLORAVIA 78067</t>
  </si>
  <si>
    <t>PFFLOV</t>
  </si>
  <si>
    <t>THIO RENETTA 668982</t>
  </si>
  <si>
    <t>PFTHRE</t>
  </si>
  <si>
    <t>ESENCIA LAVANDA 0/217610</t>
  </si>
  <si>
    <t>PFESLA</t>
  </si>
  <si>
    <t>LILIE MARLENE R77708</t>
  </si>
  <si>
    <t>PFLIMA</t>
  </si>
  <si>
    <t>ANADIA 1614</t>
  </si>
  <si>
    <t>PFANAD</t>
  </si>
  <si>
    <t>CASTELLANA 582</t>
  </si>
  <si>
    <t>PFCAST</t>
  </si>
  <si>
    <t>PINAROM 2202</t>
  </si>
  <si>
    <t>PFPINA</t>
  </si>
  <si>
    <t>PINOLOR 2117</t>
  </si>
  <si>
    <t>PFPINO</t>
  </si>
  <si>
    <t>ALBARICOQUE 66488</t>
  </si>
  <si>
    <t>PFALBA</t>
  </si>
  <si>
    <t>HERBOFRESH 42.559</t>
  </si>
  <si>
    <t>PFHERF</t>
  </si>
  <si>
    <t>HIERBA 44260</t>
  </si>
  <si>
    <t>PFHIER</t>
  </si>
  <si>
    <t>LIMONFRESH 42555</t>
  </si>
  <si>
    <t>PFLIMO</t>
  </si>
  <si>
    <t>FANTASY  313950 NEW</t>
  </si>
  <si>
    <t>PFMARI</t>
  </si>
  <si>
    <t>SUAVIFLOR 57798</t>
  </si>
  <si>
    <t>PFSUAV</t>
  </si>
  <si>
    <t>VENUSIA 168/94</t>
  </si>
  <si>
    <t>PFVENU</t>
  </si>
  <si>
    <t>CONIFER  56637</t>
  </si>
  <si>
    <t>PFCONI</t>
  </si>
  <si>
    <t>DEW BERRY 63659</t>
  </si>
  <si>
    <t>PFDEWB</t>
  </si>
  <si>
    <t>FLORAFRUIT 63661</t>
  </si>
  <si>
    <t>PFFLOF</t>
  </si>
  <si>
    <t>KIWI 345588</t>
  </si>
  <si>
    <t>PFKIWI</t>
  </si>
  <si>
    <t>VERTFRESH 42.272</t>
  </si>
  <si>
    <t>PFVERT</t>
  </si>
  <si>
    <t>SLOOPY 152/11</t>
  </si>
  <si>
    <t>PFSLOO</t>
  </si>
  <si>
    <t>FRAMBUESA P200302</t>
  </si>
  <si>
    <t>PFFRAM</t>
  </si>
  <si>
    <t>VESENA-CH P3057974</t>
  </si>
  <si>
    <t>PFVESE</t>
  </si>
  <si>
    <t>GEL FRESCO P3055014</t>
  </si>
  <si>
    <t>PFGEFR</t>
  </si>
  <si>
    <t>SANTAL 3718/E</t>
  </si>
  <si>
    <t>PFSANT</t>
  </si>
  <si>
    <t>POMME EXOTIC SL 570.003-A</t>
  </si>
  <si>
    <t>PFPOMM</t>
  </si>
  <si>
    <t>LAIT 8129</t>
  </si>
  <si>
    <t>PFLAIT</t>
  </si>
  <si>
    <t>FRUTARON P207460</t>
  </si>
  <si>
    <t>PFFRUT</t>
  </si>
  <si>
    <t>MANDARINA P3024014</t>
  </si>
  <si>
    <t>PFMAND</t>
  </si>
  <si>
    <t>ASTORIA 986 DM5313</t>
  </si>
  <si>
    <t>PFASTO</t>
  </si>
  <si>
    <t>HERBALIN</t>
  </si>
  <si>
    <t>PFHERN</t>
  </si>
  <si>
    <t>TINTODOR</t>
  </si>
  <si>
    <t>PFTINT</t>
  </si>
  <si>
    <t>KIREI</t>
  </si>
  <si>
    <t>PFKIRE</t>
  </si>
  <si>
    <t>HAIRLAQUER 34</t>
  </si>
  <si>
    <t>PFHAIR</t>
  </si>
  <si>
    <t>PERF.COSMETICO 101</t>
  </si>
  <si>
    <t>PFPECO</t>
  </si>
  <si>
    <t>PERF.PERMANENTE 10505</t>
  </si>
  <si>
    <t>PFPEPE</t>
  </si>
  <si>
    <t>FRAGANCIA 391</t>
  </si>
  <si>
    <t>PFFRAG</t>
  </si>
  <si>
    <t>NEOPRON S.P. 609</t>
  </si>
  <si>
    <t>PFNEOP</t>
  </si>
  <si>
    <t>LIMON VERDE</t>
  </si>
  <si>
    <t>PFLIVE</t>
  </si>
  <si>
    <t>FLORAL 89236</t>
  </si>
  <si>
    <t>PFFLAL</t>
  </si>
  <si>
    <t>TROPIFRUIT 99485</t>
  </si>
  <si>
    <t>PFTROP</t>
  </si>
  <si>
    <t>COOLIVE NEW R90073</t>
  </si>
  <si>
    <t>PFTHCL</t>
  </si>
  <si>
    <t>CH 9181</t>
  </si>
  <si>
    <t>PFCH91</t>
  </si>
  <si>
    <t>CH ACOND. 11021</t>
  </si>
  <si>
    <t>PFCHAC</t>
  </si>
  <si>
    <t>ESENCIA EXOTIC KIWI refR17599</t>
  </si>
  <si>
    <t>PFESKI</t>
  </si>
  <si>
    <t>ESENCIA PANTHER MOD1-R121839</t>
  </si>
  <si>
    <t>PFESPA</t>
  </si>
  <si>
    <t>ABRICOT SL 310-966-B</t>
  </si>
  <si>
    <t>PFABRI</t>
  </si>
  <si>
    <t>FRAMBOKID</t>
  </si>
  <si>
    <t>PFFRID</t>
  </si>
  <si>
    <t>MORA 111062</t>
  </si>
  <si>
    <t>PFMORA</t>
  </si>
  <si>
    <t>ESENCIA BRISA</t>
  </si>
  <si>
    <t>PFESBR</t>
  </si>
  <si>
    <t>13062</t>
  </si>
  <si>
    <t>SPORT ENERGY  2049914</t>
  </si>
  <si>
    <t>PFSPEN</t>
  </si>
  <si>
    <t>13063</t>
  </si>
  <si>
    <t>MANZANA ACIDA 2002990</t>
  </si>
  <si>
    <t>PFMAAC</t>
  </si>
  <si>
    <t>ISLAND F. 2003346</t>
  </si>
  <si>
    <t>PFISLA</t>
  </si>
  <si>
    <t>FLORALINE 114300</t>
  </si>
  <si>
    <t>PFJACI</t>
  </si>
  <si>
    <t>BURSTIN BERRIES 2004468</t>
  </si>
  <si>
    <t>PFBUBE</t>
  </si>
  <si>
    <t>MORAMUSK 2003323</t>
  </si>
  <si>
    <t>PFMOMU</t>
  </si>
  <si>
    <t>COLLECTION- SA 2004471</t>
  </si>
  <si>
    <t>PFCOSA</t>
  </si>
  <si>
    <t>FUSION BERRIES 606206</t>
  </si>
  <si>
    <t>PFFUBE</t>
  </si>
  <si>
    <t>PLACERES F.B.A. 2004519</t>
  </si>
  <si>
    <t>PFPLAC</t>
  </si>
  <si>
    <t>KRONOS 2004515</t>
  </si>
  <si>
    <t>PFKRON</t>
  </si>
  <si>
    <t>TEA DELIGHT B.A. 2012441</t>
  </si>
  <si>
    <t>PFTEDE</t>
  </si>
  <si>
    <t>RASPBERRY EXOTIC 236054</t>
  </si>
  <si>
    <t>PFRAEX</t>
  </si>
  <si>
    <t>CONFITURE 2003544</t>
  </si>
  <si>
    <t>PFCONF</t>
  </si>
  <si>
    <t>ROCKIN PURO 2012495</t>
  </si>
  <si>
    <t>PFROCK</t>
  </si>
  <si>
    <t>TURRON 2012497</t>
  </si>
  <si>
    <t>PFTURR</t>
  </si>
  <si>
    <t>PERFUME TEI ORANGE</t>
  </si>
  <si>
    <t>PFTEOR</t>
  </si>
  <si>
    <t>PERFUME KIWI-POMME</t>
  </si>
  <si>
    <t>PFKIPO</t>
  </si>
  <si>
    <t>PERFUME PIMCO</t>
  </si>
  <si>
    <t>PFPIMC</t>
  </si>
  <si>
    <t>PERFUME NEW MARACUYA</t>
  </si>
  <si>
    <t>PFNEMA</t>
  </si>
  <si>
    <t>PERFUME ANNANAS KIWI</t>
  </si>
  <si>
    <t>PFANKI</t>
  </si>
  <si>
    <t>MARINADA 138523</t>
  </si>
  <si>
    <t>PFMADA</t>
  </si>
  <si>
    <t>FRUTALMASK 132673</t>
  </si>
  <si>
    <t>PFFRMA</t>
  </si>
  <si>
    <t>TINTE  345589</t>
  </si>
  <si>
    <t>PFTNTE</t>
  </si>
  <si>
    <t>PERFUME SOLEIL FPC024</t>
  </si>
  <si>
    <t>PFSOLE</t>
  </si>
  <si>
    <t>CHAMPUKIN 150738</t>
  </si>
  <si>
    <t>PFCHAM</t>
  </si>
  <si>
    <t>PERFUME LUXOR CITRUS 34886</t>
  </si>
  <si>
    <t>PFLUCI</t>
  </si>
  <si>
    <t>PERFUME EXTRA CAMOMILA</t>
  </si>
  <si>
    <t>PFEXCA</t>
  </si>
  <si>
    <t>PERFUME AMBER 2004747</t>
  </si>
  <si>
    <t>PFAMBE</t>
  </si>
  <si>
    <t>PERFUME NIPPER FRESH 5470K</t>
  </si>
  <si>
    <t>PERF FRESH BALSAM INC.2004858</t>
  </si>
  <si>
    <t>PFFRBA</t>
  </si>
  <si>
    <t>PERFUME NATURAL 2005388</t>
  </si>
  <si>
    <t>PFNATU</t>
  </si>
  <si>
    <t>PERFUME IRIS TINT 30130</t>
  </si>
  <si>
    <t>PFIRTI</t>
  </si>
  <si>
    <t>PERF. SH.NEW MARACUYA 21394</t>
  </si>
  <si>
    <t>PFNEMASH</t>
  </si>
  <si>
    <t>PERF. SH. TEI ORANGE 12072</t>
  </si>
  <si>
    <t>PFTEORSH</t>
  </si>
  <si>
    <t>HAVEN</t>
  </si>
  <si>
    <t>PFHAVE</t>
  </si>
  <si>
    <t>CUHERBAL 1104980</t>
  </si>
  <si>
    <t>PFCUHE</t>
  </si>
  <si>
    <t>HERBALFRESH 1119950</t>
  </si>
  <si>
    <t>PFHERB</t>
  </si>
  <si>
    <t>COOL M 2005072</t>
  </si>
  <si>
    <t>PFCOOL</t>
  </si>
  <si>
    <t>COOL BLUE 17673</t>
  </si>
  <si>
    <t>PFCLBL</t>
  </si>
  <si>
    <t>MINGUN 23602</t>
  </si>
  <si>
    <t>PFMING</t>
  </si>
  <si>
    <t>200001</t>
  </si>
  <si>
    <t>BOT. 1000 ML. AZUL NACAR KA</t>
  </si>
  <si>
    <t>BO10A</t>
  </si>
  <si>
    <t>200002</t>
  </si>
  <si>
    <t>BOT. 1000 ML. KA  AMARILLO</t>
  </si>
  <si>
    <t>BO10B</t>
  </si>
  <si>
    <t>200003</t>
  </si>
  <si>
    <t>BOT. CUTI FORTE SHAMP 1000 ml.</t>
  </si>
  <si>
    <t>BO10CFSH</t>
  </si>
  <si>
    <t>200004</t>
  </si>
  <si>
    <t>BOT. CUTI-GLOSS SHAMP 1000 ml.</t>
  </si>
  <si>
    <t>BO10CGSH</t>
  </si>
  <si>
    <t>200005</t>
  </si>
  <si>
    <t>BOT. CASP SECA SHAMP 1000 ml.</t>
  </si>
  <si>
    <t>BO10CSSH</t>
  </si>
  <si>
    <t>200006</t>
  </si>
  <si>
    <t>BOT. 1000 ML. KA GRIS PLATA</t>
  </si>
  <si>
    <t>BO10G</t>
  </si>
  <si>
    <t>200007</t>
  </si>
  <si>
    <t>BOT. CASPA GRASA SHAMP 1000 ml</t>
  </si>
  <si>
    <t>BO10GRSH</t>
  </si>
  <si>
    <t>200008</t>
  </si>
  <si>
    <t>BOT. LIS. INT GEL LISS 1000 ml</t>
  </si>
  <si>
    <t>BO10LIGL</t>
  </si>
  <si>
    <t>200009</t>
  </si>
  <si>
    <t>BOT. LISSAGE INT SHAMP 1000 ml</t>
  </si>
  <si>
    <t>BO10LISH</t>
  </si>
  <si>
    <t>200010</t>
  </si>
  <si>
    <t>BOT. NUTRI-REP. SHAMP 1.000 ml</t>
  </si>
  <si>
    <t>BO10NRSH</t>
  </si>
  <si>
    <t>200011</t>
  </si>
  <si>
    <t>BOT. NUTRI-SILK CONDIT 1000 ml</t>
  </si>
  <si>
    <t>BO10NSCO</t>
  </si>
  <si>
    <t>200012</t>
  </si>
  <si>
    <t>BOT. 1000 NUTRI-SILK SHAMP</t>
  </si>
  <si>
    <t>BO10NSSH</t>
  </si>
  <si>
    <t>200013</t>
  </si>
  <si>
    <t>BOT. 1000 ML. KA  ROJO CEREZA</t>
  </si>
  <si>
    <t>BO10R</t>
  </si>
  <si>
    <t>200014</t>
  </si>
  <si>
    <t>BOT. 1000 REGULIZE SHAMPOO</t>
  </si>
  <si>
    <t>BO10RESH</t>
  </si>
  <si>
    <t>200015</t>
  </si>
  <si>
    <t>BOT. 1000 SILVER COLOR SHAMPO</t>
  </si>
  <si>
    <t>BO10SCSH</t>
  </si>
  <si>
    <t>200016</t>
  </si>
  <si>
    <t>BOT. 1000 SENSITIVE SHAMPOO</t>
  </si>
  <si>
    <t>BO10SESH</t>
  </si>
  <si>
    <t>200017</t>
  </si>
  <si>
    <t>BOT. 1000 STIMULANT SHAMPOO</t>
  </si>
  <si>
    <t>BO10STSH</t>
  </si>
  <si>
    <t>200018</t>
  </si>
  <si>
    <t>BOT. 1000 LISS.INTEN LISS MASK</t>
  </si>
  <si>
    <t>BO10V</t>
  </si>
  <si>
    <t>200019</t>
  </si>
  <si>
    <t>BOT. 1000 VITAL COLOR CONDIT.</t>
  </si>
  <si>
    <t>BO10VCCO</t>
  </si>
  <si>
    <t>200020</t>
  </si>
  <si>
    <t>BOT. 1000 VITAL COLOR SHAMPOO</t>
  </si>
  <si>
    <t>BO10VCSH</t>
  </si>
  <si>
    <t>200021</t>
  </si>
  <si>
    <t>BOT. 1000 ML. KA VERDE NACAR</t>
  </si>
  <si>
    <t>BO10VE</t>
  </si>
  <si>
    <t>200022</t>
  </si>
  <si>
    <t>BOT. 1000 VIGOR PERM SHAMPOO</t>
  </si>
  <si>
    <t>BO10VPSH</t>
  </si>
  <si>
    <t>200023</t>
  </si>
  <si>
    <t>BOT. 100  AZUL CLARO NACAR</t>
  </si>
  <si>
    <t>BO1AN</t>
  </si>
  <si>
    <t>200024</t>
  </si>
  <si>
    <t>BOT. 100 VIOLETA NACAR Lissage</t>
  </si>
  <si>
    <t>BO1VN</t>
  </si>
  <si>
    <t>BOT. 100 ML. LILA</t>
  </si>
  <si>
    <t>200025</t>
  </si>
  <si>
    <t>BOT. 200 SETTING PLIS GRUESOS</t>
  </si>
  <si>
    <t>BO20SPCG</t>
  </si>
  <si>
    <t>200026</t>
  </si>
  <si>
    <t>BOT. 200 SETTING PLIS NATURAL</t>
  </si>
  <si>
    <t>BO20SPCN</t>
  </si>
  <si>
    <t>200027</t>
  </si>
  <si>
    <t>BOT. 250 ML. HUEVO AZUL NACAR</t>
  </si>
  <si>
    <t>BO2HA</t>
  </si>
  <si>
    <t>200028</t>
  </si>
  <si>
    <t>BOT. 250 HUEVO AMARILLO Nacar</t>
  </si>
  <si>
    <t>BO2HB</t>
  </si>
  <si>
    <t>200029</t>
  </si>
  <si>
    <t>BOT. 250 ML. HUEVO GRIS PLATA</t>
  </si>
  <si>
    <t>BO2HG</t>
  </si>
  <si>
    <t>200030</t>
  </si>
  <si>
    <t>BOT. 250 KAE HUEVO ROJO CEREZA</t>
  </si>
  <si>
    <t>BO2HR</t>
  </si>
  <si>
    <t>200031</t>
  </si>
  <si>
    <t>BOT. 250 HUEVO VIOLETA Nacar</t>
  </si>
  <si>
    <t>BO2HV</t>
  </si>
  <si>
    <t>200032</t>
  </si>
  <si>
    <t>BOT. 250 KA HUEVO VERDE Nacar</t>
  </si>
  <si>
    <t>BO2HVE</t>
  </si>
  <si>
    <t>200033</t>
  </si>
  <si>
    <t>BOT. 200 VALVULA AMARILLO Naca</t>
  </si>
  <si>
    <t>BO2VB</t>
  </si>
  <si>
    <t>200034</t>
  </si>
  <si>
    <t>BOT. 200 ML. VALVULA NATURAL</t>
  </si>
  <si>
    <t>BO2VN</t>
  </si>
  <si>
    <t>BOT.REF.- 3500478</t>
  </si>
  <si>
    <t>200035</t>
  </si>
  <si>
    <t>BOT. 200 VALVUL KA ROJO CEREZA</t>
  </si>
  <si>
    <t>BO2VR</t>
  </si>
  <si>
    <t>200036</t>
  </si>
  <si>
    <t>BOT. 200 VALVUL VIOLETA NACAR</t>
  </si>
  <si>
    <t>BO2VV</t>
  </si>
  <si>
    <t>BOT.REF.- 3500469</t>
  </si>
  <si>
    <t>200037</t>
  </si>
  <si>
    <t>BOT. 200 ML. KA VERDE NACAR</t>
  </si>
  <si>
    <t>BO2VVE</t>
  </si>
  <si>
    <t>200038</t>
  </si>
  <si>
    <t>BOT. 500 "S" TC NAT. BI-PHASE</t>
  </si>
  <si>
    <t>BO5BEQ</t>
  </si>
  <si>
    <t>200039</t>
  </si>
  <si>
    <t>BOT. 500 OVAL GRIS OSCURO</t>
  </si>
  <si>
    <t>BO5VG</t>
  </si>
  <si>
    <t>200040</t>
  </si>
  <si>
    <t>BOT. K.BLOND 40 VOL. 1 LT.</t>
  </si>
  <si>
    <t>BOB40L</t>
  </si>
  <si>
    <t>200041</t>
  </si>
  <si>
    <t>BOT. K.BLOND 180 ml.</t>
  </si>
  <si>
    <t>BOBL18</t>
  </si>
  <si>
    <t>200042</t>
  </si>
  <si>
    <t>BOT. 200 ml. COLOR CREAM</t>
  </si>
  <si>
    <t>BOCC20</t>
  </si>
  <si>
    <t>200043</t>
  </si>
  <si>
    <t>BOT CHAMPU K.PRESTIGE</t>
  </si>
  <si>
    <t>BOCHKP</t>
  </si>
  <si>
    <t>200044</t>
  </si>
  <si>
    <t>Bot. COLOR REMOVER 50 ml.</t>
  </si>
  <si>
    <t>BOCORE</t>
  </si>
  <si>
    <t>200045</t>
  </si>
  <si>
    <t>BOT. Color Vibrance</t>
  </si>
  <si>
    <t>BOCOVI</t>
  </si>
  <si>
    <t>200046</t>
  </si>
  <si>
    <t>BOT. 250 ml. COLOR SHAMPOO REF</t>
  </si>
  <si>
    <t>BOCS25</t>
  </si>
  <si>
    <t>200047</t>
  </si>
  <si>
    <t>BOT. 120 ML. DEVELOPER</t>
  </si>
  <si>
    <t>BOD12</t>
  </si>
  <si>
    <t>200048</t>
  </si>
  <si>
    <t>BOT. 1000 ML. DEVELOPER</t>
  </si>
  <si>
    <t>BODE1</t>
  </si>
  <si>
    <t>200049</t>
  </si>
  <si>
    <t>BOT. 120 DEVELOPER 'BLANCA'(no comprar mes)</t>
  </si>
  <si>
    <t>BODE12</t>
  </si>
  <si>
    <t>200050</t>
  </si>
  <si>
    <t>BOT. 1000 DEVELOPER INTENSE</t>
  </si>
  <si>
    <t>BODI1</t>
  </si>
  <si>
    <t>200051</t>
  </si>
  <si>
    <t>BOT. 75 ML. OXID. 'KF'</t>
  </si>
  <si>
    <t>BOKF75</t>
  </si>
  <si>
    <t>3500481</t>
  </si>
  <si>
    <t>200052</t>
  </si>
  <si>
    <t>Bot. 120 OXYDANT BLONDES 'KF'</t>
  </si>
  <si>
    <t>BOKFOB12</t>
  </si>
  <si>
    <t>200053</t>
  </si>
  <si>
    <t>Bot. 1000 OX. CREME 10 V. 'KF'</t>
  </si>
  <si>
    <t>BOKFOC10</t>
  </si>
  <si>
    <t>200054</t>
  </si>
  <si>
    <t>Bot. 1000 OX. CREME 20 V. 'KF'</t>
  </si>
  <si>
    <t>BOKFOC20</t>
  </si>
  <si>
    <t>200055</t>
  </si>
  <si>
    <t>Bot. 1000 OX. CREME 30 V. 'KF'</t>
  </si>
  <si>
    <t>BOKFOC30</t>
  </si>
  <si>
    <t>200056</t>
  </si>
  <si>
    <t>Bot. 1000 OX. CREME 40 V. 'KF'</t>
  </si>
  <si>
    <t>BOKFOC40</t>
  </si>
  <si>
    <t>200057</t>
  </si>
  <si>
    <t>Bot. 1000 OX. C.PLUS 10 V 'KF'</t>
  </si>
  <si>
    <t>BOKFOP10</t>
  </si>
  <si>
    <t>200058</t>
  </si>
  <si>
    <t>Bot. 1000 OX. C.PLUS 20 V 'KF'</t>
  </si>
  <si>
    <t>BOKFOP20</t>
  </si>
  <si>
    <t>200059</t>
  </si>
  <si>
    <t>Bot. 1000 OX. C.PLUS 30 V 'KF'</t>
  </si>
  <si>
    <t>BOKFOP30</t>
  </si>
  <si>
    <t>200060</t>
  </si>
  <si>
    <t>Bot. 1000 OXYDANT BLONDES 'KF'</t>
  </si>
  <si>
    <t>BOKFOXBL</t>
  </si>
  <si>
    <t>200061</t>
  </si>
  <si>
    <t>Bot. 1000 SHAMPOO EQUILIB 'KF'</t>
  </si>
  <si>
    <t>BOKFSHEQ</t>
  </si>
  <si>
    <t>200062</t>
  </si>
  <si>
    <t>BOT. 1000 KIN FIX Espumoso</t>
  </si>
  <si>
    <t>BOKIFI</t>
  </si>
  <si>
    <t>200064</t>
  </si>
  <si>
    <t>BOT. 200 ML. KINMEN WET GEL</t>
  </si>
  <si>
    <t>BOKM20</t>
  </si>
  <si>
    <t>200066</t>
  </si>
  <si>
    <t>BOT. 80 ml. KINPERM AZUL FUERT</t>
  </si>
  <si>
    <t>BOKPM8</t>
  </si>
  <si>
    <t>BOT. KINPERM 80 ML.</t>
  </si>
  <si>
    <t>200067</t>
  </si>
  <si>
    <t>BOT. 1000 KINPERM NEUTRALIZ.</t>
  </si>
  <si>
    <t>BOKPMN</t>
  </si>
  <si>
    <t>200068</t>
  </si>
  <si>
    <t>BOT. K.PRESTIGE 20 VOL. 1 LT.</t>
  </si>
  <si>
    <t>BOP20L</t>
  </si>
  <si>
    <t>200069</t>
  </si>
  <si>
    <t>BOT. K.PRESTIGE 30 VOL. 1 LT.</t>
  </si>
  <si>
    <t>BOP30L</t>
  </si>
  <si>
    <t>200070</t>
  </si>
  <si>
    <t>BOT. K.PRESTIGE 40 VOL. 1 LT.</t>
  </si>
  <si>
    <t>BOP40L</t>
  </si>
  <si>
    <t>200071</t>
  </si>
  <si>
    <t>BOT. 500 PERMANENTE CLASIC</t>
  </si>
  <si>
    <t>BOPC5</t>
  </si>
  <si>
    <t>200072</t>
  </si>
  <si>
    <t>BOT. K.ROUGE 20 VOL. 1 LT.</t>
  </si>
  <si>
    <t>BOR20L</t>
  </si>
  <si>
    <t>200073</t>
  </si>
  <si>
    <t>BOT. K.ROUGE 30 VOL. 1 LT.</t>
  </si>
  <si>
    <t>BOR30L</t>
  </si>
  <si>
    <t>200074</t>
  </si>
  <si>
    <t>BOT. REPARADOR PUNTAS</t>
  </si>
  <si>
    <t>BOREP</t>
  </si>
  <si>
    <t>200075</t>
  </si>
  <si>
    <t>BOT. REFLEJOS NEW COLOR</t>
  </si>
  <si>
    <t>BORNC</t>
  </si>
  <si>
    <t>200076</t>
  </si>
  <si>
    <t>BOT. 1000 SEDINOR Litro</t>
  </si>
  <si>
    <t>BOS10</t>
  </si>
  <si>
    <t>200077</t>
  </si>
  <si>
    <t>BOT. 125 ml BLANCO NACAR STYL.</t>
  </si>
  <si>
    <t>BOST1B</t>
  </si>
  <si>
    <t>200078</t>
  </si>
  <si>
    <t>BOT. 200 ml AZUL TRANSP. STYL.</t>
  </si>
  <si>
    <t>BOST2AT</t>
  </si>
  <si>
    <t>200079</t>
  </si>
  <si>
    <t>BOT. 200 ml VERDE TRANSP. STYL</t>
  </si>
  <si>
    <t>BOST2VT</t>
  </si>
  <si>
    <t>200080</t>
  </si>
  <si>
    <t>BOT. 150 ml AIRMOUSSE PUMP</t>
  </si>
  <si>
    <t>BOSTAI</t>
  </si>
  <si>
    <t>200081</t>
  </si>
  <si>
    <t>BOT. 200 ML. SUNCARE  NARANJA</t>
  </si>
  <si>
    <t>BOSU20</t>
  </si>
  <si>
    <t>200082</t>
  </si>
  <si>
    <t>BOT. SUNCARE 200 Coll GRAN</t>
  </si>
  <si>
    <t>BOSU20G</t>
  </si>
  <si>
    <t>200083</t>
  </si>
  <si>
    <t>BOT. SUNCARE 250 ML. NARANJA</t>
  </si>
  <si>
    <t>BOSU25</t>
  </si>
  <si>
    <t>200084</t>
  </si>
  <si>
    <t>BOT. KWORKS FIXING GEL EXTRAF.</t>
  </si>
  <si>
    <t>BOWFGE</t>
  </si>
  <si>
    <t>200085</t>
  </si>
  <si>
    <t>BOT. KWORKS FIXING GEL FUERTE</t>
  </si>
  <si>
    <t>BOWFGF</t>
  </si>
  <si>
    <t>200086</t>
  </si>
  <si>
    <t>BOT. 400 KINWORKS FIXING LAC E</t>
  </si>
  <si>
    <t>BOWFLE</t>
  </si>
  <si>
    <t>200087</t>
  </si>
  <si>
    <t>BOT. 400 KINWORKS FIXING LAC F</t>
  </si>
  <si>
    <t>BOWFLF</t>
  </si>
  <si>
    <t>200088</t>
  </si>
  <si>
    <t>BOT. 500 ml. "Anón."  SHAPING</t>
  </si>
  <si>
    <t>BOWSW5</t>
  </si>
  <si>
    <t>200089</t>
  </si>
  <si>
    <t>BOT. 400 KINWORKS TOUCHING</t>
  </si>
  <si>
    <t>BOWTOU</t>
  </si>
  <si>
    <t>200090</t>
  </si>
  <si>
    <t>Frasco COMPLEXE TRICO-ACTIVE</t>
  </si>
  <si>
    <t>FRCOTA</t>
  </si>
  <si>
    <t>200091</t>
  </si>
  <si>
    <t>Frasco N.REPAIR SERUM</t>
  </si>
  <si>
    <t>FRNRSE</t>
  </si>
  <si>
    <t>200092</t>
  </si>
  <si>
    <t>GARRAFA 5 LITROS INCOLORA</t>
  </si>
  <si>
    <t>GA05</t>
  </si>
  <si>
    <t>200093</t>
  </si>
  <si>
    <t>garrafa 5 lts. apilable</t>
  </si>
  <si>
    <t>GA05AP</t>
  </si>
  <si>
    <t>200094</t>
  </si>
  <si>
    <t>GARRAFA 5 LTS. BLANCA</t>
  </si>
  <si>
    <t>GA05BL</t>
  </si>
  <si>
    <t>200095</t>
  </si>
  <si>
    <t>GARRAFA 10 Lts. APILABLE</t>
  </si>
  <si>
    <t>GA10AP</t>
  </si>
  <si>
    <t>200096</t>
  </si>
  <si>
    <t>POT NEW COLOR 2000</t>
  </si>
  <si>
    <t>BOBMC</t>
  </si>
  <si>
    <t>200097</t>
  </si>
  <si>
    <t>POT KINWORKS FINISH EXTRAFUERT</t>
  </si>
  <si>
    <t>BOKWFE</t>
  </si>
  <si>
    <t>200098</t>
  </si>
  <si>
    <t>POT KINWORKS FINISH FUERTE</t>
  </si>
  <si>
    <t>BOKWFF</t>
  </si>
  <si>
    <t>200099</t>
  </si>
  <si>
    <t>POT 500 ml STYLIUM DYNAMIC</t>
  </si>
  <si>
    <t>BOSTDY</t>
  </si>
  <si>
    <t>200100</t>
  </si>
  <si>
    <t>POT 50 ml. STYLIUM DYNAMIC</t>
  </si>
  <si>
    <t>BOSTDYP</t>
  </si>
  <si>
    <t>200101</t>
  </si>
  <si>
    <t>POT 500 ml.  STYLIUM ENERGIC</t>
  </si>
  <si>
    <t>BOSTEN</t>
  </si>
  <si>
    <t>200102</t>
  </si>
  <si>
    <t>POT 50 ml. STYLIUM ENERGIC</t>
  </si>
  <si>
    <t>BOSTENP</t>
  </si>
  <si>
    <t>200103</t>
  </si>
  <si>
    <t>POT 300 ml. STYLIUM MODELE</t>
  </si>
  <si>
    <t>BOSTMO</t>
  </si>
  <si>
    <t>200104</t>
  </si>
  <si>
    <t>POT 50 ml. STYLIUM MODELE</t>
  </si>
  <si>
    <t>BOSTMOP</t>
  </si>
  <si>
    <t>200105</t>
  </si>
  <si>
    <t>POT 300 ml. STYLIUM VOLUME</t>
  </si>
  <si>
    <t>BOSTVO</t>
  </si>
  <si>
    <t>200106</t>
  </si>
  <si>
    <t>POT 50 ml. STYLIUM VOLUME</t>
  </si>
  <si>
    <t>BOSTVOP</t>
  </si>
  <si>
    <t>200107</t>
  </si>
  <si>
    <t>TARRO 250 ml. STYLIUM "anonimo</t>
  </si>
  <si>
    <t>TACJ25</t>
  </si>
  <si>
    <t>200108</t>
  </si>
  <si>
    <t>TARRO 75 ml. COLOR SCREEN</t>
  </si>
  <si>
    <t>TACOSC</t>
  </si>
  <si>
    <t>200109</t>
  </si>
  <si>
    <t>TARRO 75 ml. CRYSTAL JELLY</t>
  </si>
  <si>
    <t>TACRJE</t>
  </si>
  <si>
    <t>200110</t>
  </si>
  <si>
    <t>TARRO DEFINER (Groc)</t>
  </si>
  <si>
    <t>TADEFI</t>
  </si>
  <si>
    <t>200111</t>
  </si>
  <si>
    <t>TARRO FIBER (violeta)</t>
  </si>
  <si>
    <t>TAFIBE</t>
  </si>
  <si>
    <t>200112</t>
  </si>
  <si>
    <t>TARRO GLAZER (Blanc)</t>
  </si>
  <si>
    <t>TAGLAZ</t>
  </si>
  <si>
    <t>200113</t>
  </si>
  <si>
    <t>TARRO KINBLOND 1000 VELL</t>
  </si>
  <si>
    <t>TAKB</t>
  </si>
  <si>
    <t>200115</t>
  </si>
  <si>
    <t>TARRO 250 "ANONIM" KINMEN</t>
  </si>
  <si>
    <t>TAKM25</t>
  </si>
  <si>
    <t>200116</t>
  </si>
  <si>
    <t>TARRO 1500 ML. KINWORKS DECOLO</t>
  </si>
  <si>
    <t>TAKWDE</t>
  </si>
  <si>
    <t>200117</t>
  </si>
  <si>
    <t>TAKWDE2</t>
  </si>
  <si>
    <t>200118</t>
  </si>
  <si>
    <t>TARRO MOULDER (Vert)</t>
  </si>
  <si>
    <t>TAMOUL</t>
  </si>
  <si>
    <t>200119</t>
  </si>
  <si>
    <t>TARRO 1000 N.REPAIR  MASK</t>
  </si>
  <si>
    <t>TANRMF</t>
  </si>
  <si>
    <t>TANRMG</t>
  </si>
  <si>
    <t>8435057056069</t>
  </si>
  <si>
    <t>200121</t>
  </si>
  <si>
    <t>TARRO 500 N.REPAIR  MASK</t>
  </si>
  <si>
    <t>TANRMG5</t>
  </si>
  <si>
    <t>200122</t>
  </si>
  <si>
    <t>STICK 50 ml. Transparent(anul.</t>
  </si>
  <si>
    <t>TAST50</t>
  </si>
  <si>
    <t>200123</t>
  </si>
  <si>
    <t>AIRLESS  50 ML.</t>
  </si>
  <si>
    <t>TAST50S</t>
  </si>
  <si>
    <t>AIRLESS MEZZO 50 ML.</t>
  </si>
  <si>
    <t>200124</t>
  </si>
  <si>
    <t>STICK 75 ml. TRANSP.</t>
  </si>
  <si>
    <t>TAST75</t>
  </si>
  <si>
    <t>200125</t>
  </si>
  <si>
    <t>TARRO VITAL-COLOR C. MASK 1000</t>
  </si>
  <si>
    <t>TAVCCM</t>
  </si>
  <si>
    <t>200126</t>
  </si>
  <si>
    <t>TARRO VITAL-COLOR C. MASK 500</t>
  </si>
  <si>
    <t>TAVCCM5</t>
  </si>
  <si>
    <t>200127</t>
  </si>
  <si>
    <t>TUBO KINCREM CONTRAST 28 x 150</t>
  </si>
  <si>
    <t>TUKCCO</t>
  </si>
  <si>
    <t>200128</t>
  </si>
  <si>
    <t>Tubs KINCREM 'KF' BASICS</t>
  </si>
  <si>
    <t>TUKFBA</t>
  </si>
  <si>
    <t>200129</t>
  </si>
  <si>
    <t>Tubs KINCREM 'KF' BLONDES</t>
  </si>
  <si>
    <t>TUKFBL</t>
  </si>
  <si>
    <t>200130</t>
  </si>
  <si>
    <t>Tubs KINCREM 'KF' BROWNS</t>
  </si>
  <si>
    <t>TUKFBR</t>
  </si>
  <si>
    <t>200131</t>
  </si>
  <si>
    <t>Tubs KINCREM 'KF' ROUGES</t>
  </si>
  <si>
    <t>TUKFRO</t>
  </si>
  <si>
    <t>200132</t>
  </si>
  <si>
    <t>TUBO K.PRESTIGE ACLARANTS</t>
  </si>
  <si>
    <t>TUKPAC</t>
  </si>
  <si>
    <t>200133</t>
  </si>
  <si>
    <t>TUBO K.PRESTIGE NATURALS</t>
  </si>
  <si>
    <t>TUKPNA</t>
  </si>
  <si>
    <t>200134</t>
  </si>
  <si>
    <t>TUBO K.PRESTIGE ROJOS (antic)</t>
  </si>
  <si>
    <t>TUKPRO</t>
  </si>
  <si>
    <t>200135</t>
  </si>
  <si>
    <t>TUB MASSAGE SENSITIVE</t>
  </si>
  <si>
    <t>TUMASE</t>
  </si>
  <si>
    <t>200136</t>
  </si>
  <si>
    <t>TUBO NEW GLAMOUR</t>
  </si>
  <si>
    <t>TUNCGL</t>
  </si>
  <si>
    <t>200137</t>
  </si>
  <si>
    <t>Tub COLOR BALANCE 12 ml.</t>
  </si>
  <si>
    <t>TUCOBA</t>
  </si>
  <si>
    <t>200138</t>
  </si>
  <si>
    <t>Tub COLOR CLEANSER 75 ml.</t>
  </si>
  <si>
    <t>TUCOCL</t>
  </si>
  <si>
    <t>REF. 66028</t>
  </si>
  <si>
    <t>200139</t>
  </si>
  <si>
    <t>Tub DEEP COLOR 15 ml.</t>
  </si>
  <si>
    <t>TUDECO</t>
  </si>
  <si>
    <t>200140</t>
  </si>
  <si>
    <t>Tub DEEP ENERGY 15 ml.</t>
  </si>
  <si>
    <t>TUDEEN</t>
  </si>
  <si>
    <t>200141</t>
  </si>
  <si>
    <t>Tub DEEP REPAIR 15 ml.</t>
  </si>
  <si>
    <t>TUDERE</t>
  </si>
  <si>
    <t>200142</t>
  </si>
  <si>
    <t>Tub 150 GOOP</t>
  </si>
  <si>
    <t>TUGOOP</t>
  </si>
  <si>
    <t>200143</t>
  </si>
  <si>
    <t>Tub NORMALIZE PEELING GEL 50</t>
  </si>
  <si>
    <t>TUNOPGA</t>
  </si>
  <si>
    <t>200144</t>
  </si>
  <si>
    <t>Tub 150 N. REPAIR MASK</t>
  </si>
  <si>
    <t>TUNRMFA</t>
  </si>
  <si>
    <t>200145</t>
  </si>
  <si>
    <t>TUNRMGA</t>
  </si>
  <si>
    <t>200146</t>
  </si>
  <si>
    <t>Tub REGULIZE MASK REGUL 50</t>
  </si>
  <si>
    <t>TUREMR</t>
  </si>
  <si>
    <t>200147</t>
  </si>
  <si>
    <t>Tub 50 REGULIZE MASK REGUL</t>
  </si>
  <si>
    <t>TUREMRA</t>
  </si>
  <si>
    <t>200148</t>
  </si>
  <si>
    <t>Tub 50 MASSAGE SENSITIVE</t>
  </si>
  <si>
    <t>TUSEMS</t>
  </si>
  <si>
    <t>200149</t>
  </si>
  <si>
    <t>TUSEMSA</t>
  </si>
  <si>
    <t>200150</t>
  </si>
  <si>
    <t>Tub 50 SKULPTOR</t>
  </si>
  <si>
    <t>TUSKUL5A</t>
  </si>
  <si>
    <t>200151</t>
  </si>
  <si>
    <t>Tub 200 SKULPTOR "Base Oberta"</t>
  </si>
  <si>
    <t>TUSKULA</t>
  </si>
  <si>
    <t>200152</t>
  </si>
  <si>
    <t>Tub 150 SUNCARE CREAM</t>
  </si>
  <si>
    <t>TUSUCRA</t>
  </si>
  <si>
    <t>200153</t>
  </si>
  <si>
    <t>Tub 150 VITAL-COLOR COLOR MASK</t>
  </si>
  <si>
    <t>TUVCCMA</t>
  </si>
  <si>
    <t>200154</t>
  </si>
  <si>
    <t>Tub 150 WET &amp; SHINE</t>
  </si>
  <si>
    <t>TUWESH</t>
  </si>
  <si>
    <t>200155</t>
  </si>
  <si>
    <t>Tub 150 WET &amp; SHINE "Base Ober</t>
  </si>
  <si>
    <t>TUWESHA</t>
  </si>
  <si>
    <t>200156</t>
  </si>
  <si>
    <t>Tubo 200 X-LASTIC</t>
  </si>
  <si>
    <t>TUXLAS</t>
  </si>
  <si>
    <t>200157</t>
  </si>
  <si>
    <t>Tub 50 X-LASTIC</t>
  </si>
  <si>
    <t>TUXLAS5A</t>
  </si>
  <si>
    <t>200158</t>
  </si>
  <si>
    <t>TUBO  X-LASTIC  200</t>
  </si>
  <si>
    <t>TUXLASA</t>
  </si>
  <si>
    <t>200159</t>
  </si>
  <si>
    <t>BOT. TONIC KINMEN FORCE</t>
  </si>
  <si>
    <t>BOKM15FO</t>
  </si>
  <si>
    <t>200160</t>
  </si>
  <si>
    <t>BOT. TONIC KINMEN PURITY</t>
  </si>
  <si>
    <t>BOKM15PU</t>
  </si>
  <si>
    <t>200161</t>
  </si>
  <si>
    <t>BOT. SHAMPOO KINMEN PURITY</t>
  </si>
  <si>
    <t>BOKM25PU</t>
  </si>
  <si>
    <t>200162</t>
  </si>
  <si>
    <t>BOT. SHAMPOO KINMEN ENERGY</t>
  </si>
  <si>
    <t>BOKM25EN</t>
  </si>
  <si>
    <t>200163</t>
  </si>
  <si>
    <t>BOT. SHAMPOO KINMEN FORCE</t>
  </si>
  <si>
    <t>BOKM25FO</t>
  </si>
  <si>
    <t>200164</t>
  </si>
  <si>
    <t>TARRO KINMEN 100 ML.  MAT WAX</t>
  </si>
  <si>
    <t>TAKM10MW</t>
  </si>
  <si>
    <t>200165</t>
  </si>
  <si>
    <t>TARRO KINMEN 100 ML.WILD PASTE</t>
  </si>
  <si>
    <t>TAKM10WP</t>
  </si>
  <si>
    <t>EIEIII</t>
  </si>
  <si>
    <t>200169</t>
  </si>
  <si>
    <t>TARRO KINBLOND PERLA "Anónimo"</t>
  </si>
  <si>
    <t>FL1000PP/NA10000</t>
  </si>
  <si>
    <t>200170</t>
  </si>
  <si>
    <t>TAPA TARRO KINBLOND "PERLA"</t>
  </si>
  <si>
    <t>TP500PS/NA10000</t>
  </si>
  <si>
    <t>200171</t>
  </si>
  <si>
    <t>Frasco COMP.TRICO-ACT."FORCE"</t>
  </si>
  <si>
    <t>R1046003</t>
  </si>
  <si>
    <t>200172</t>
  </si>
  <si>
    <t>BOT. AIRLESS 150 ML. "EXTRACT"</t>
  </si>
  <si>
    <t>200173</t>
  </si>
  <si>
    <t>TARRO MASK COLOR 200 ML.</t>
  </si>
  <si>
    <t>200174</t>
  </si>
  <si>
    <t>TARRO MASK CURL  200 ML.</t>
  </si>
  <si>
    <t>200175</t>
  </si>
  <si>
    <t>TARRO MASK ENERGY  200 ML.</t>
  </si>
  <si>
    <t>200176</t>
  </si>
  <si>
    <t>TARRO MASK LISS 200 ML.</t>
  </si>
  <si>
    <t>200177</t>
  </si>
  <si>
    <t>TARRO MASK NUTRI 200 ML.</t>
  </si>
  <si>
    <t>200178</t>
  </si>
  <si>
    <t>TUB COLOR RECONST.  150 ml</t>
  </si>
  <si>
    <t>200179</t>
  </si>
  <si>
    <t>TUB NUTRI  RECONST. 150 ml</t>
  </si>
  <si>
    <t>200180</t>
  </si>
  <si>
    <t>TUB ENERGY RECONST. 150 M</t>
  </si>
  <si>
    <t>200181</t>
  </si>
  <si>
    <t>TUB COLOR 18 ML. "Injector"</t>
  </si>
  <si>
    <t>200182</t>
  </si>
  <si>
    <t>TUB NUTRI 18 ML."Injector"</t>
  </si>
  <si>
    <t>200183</t>
  </si>
  <si>
    <t>TUB ENERGY 18 ML. "Injector"</t>
  </si>
  <si>
    <t>200184</t>
  </si>
  <si>
    <t>TUB GEL PURITY 50 ML. "Inject"</t>
  </si>
  <si>
    <t>200185</t>
  </si>
  <si>
    <t>TUB REG.BALANCE CLAY 50 ML.</t>
  </si>
  <si>
    <t>200186</t>
  </si>
  <si>
    <t>TUB REG.CALM MASSAGE 50 ML.</t>
  </si>
  <si>
    <t>200187</t>
  </si>
  <si>
    <t>BOT. SHAMPOO COLOR 250 ML.</t>
  </si>
  <si>
    <t>200188</t>
  </si>
  <si>
    <t>BOT.SHAMPOO SILVER 250 ML.</t>
  </si>
  <si>
    <t>200189</t>
  </si>
  <si>
    <t>BOT. SHAMPOO CURL 250 ML.</t>
  </si>
  <si>
    <t>200190</t>
  </si>
  <si>
    <t>BOT. SHAMPOO ENERGY 250 ML.</t>
  </si>
  <si>
    <t>200191</t>
  </si>
  <si>
    <t>BOT. SHAMPOO LISS 250 ML.</t>
  </si>
  <si>
    <t>200192</t>
  </si>
  <si>
    <t>BOT. SHAMPOO NUTRI 1 SOFT 250</t>
  </si>
  <si>
    <t>200193</t>
  </si>
  <si>
    <t>BOT.SHAMPO NUTRI 2 RICH 250</t>
  </si>
  <si>
    <t>200194</t>
  </si>
  <si>
    <t>BOT.SHAMPOO NUTRI 3 INTEN 250</t>
  </si>
  <si>
    <t>200195</t>
  </si>
  <si>
    <t>BOT.CONDIT.COLOR 200 ML.</t>
  </si>
  <si>
    <t>200196</t>
  </si>
  <si>
    <t>BOT.CONDIT. LISS 200 ML.</t>
  </si>
  <si>
    <t>200197</t>
  </si>
  <si>
    <t>BOT.CONDIT.NUTRI 200 ML.</t>
  </si>
  <si>
    <t>200198</t>
  </si>
  <si>
    <t>BOT.SEALER COLOR 200 ML.</t>
  </si>
  <si>
    <t>200199</t>
  </si>
  <si>
    <t>BOT. ACTIVATOR CURL 200 ML.</t>
  </si>
  <si>
    <t>200200</t>
  </si>
  <si>
    <t>BOT. HYDRATOR NUTRI 200 ML.</t>
  </si>
  <si>
    <t>BOT. SERUM LISS 150 ML.</t>
  </si>
  <si>
    <t>200201LOBO</t>
  </si>
  <si>
    <t>200202</t>
  </si>
  <si>
    <t>BOT. TONIC FORCE 150 ML.</t>
  </si>
  <si>
    <t>200203</t>
  </si>
  <si>
    <t>BOT. TONIC PURITY 150 ML.</t>
  </si>
  <si>
    <t>200204</t>
  </si>
  <si>
    <t>BOT. TONIC BALANCE 150 ML.</t>
  </si>
  <si>
    <t>200205</t>
  </si>
  <si>
    <t>BOT. SHAMPOO FORCE 250 ML.</t>
  </si>
  <si>
    <t>200206</t>
  </si>
  <si>
    <t>BOT. SHAMPOO PURITY-DRY 250 ML</t>
  </si>
  <si>
    <t>200207</t>
  </si>
  <si>
    <t>BOT.SHAMPOO PURITY-OILY 250 M</t>
  </si>
  <si>
    <t>200208</t>
  </si>
  <si>
    <t>BOT. SHAMPOO BALANCE 250 ML.</t>
  </si>
  <si>
    <t>200209</t>
  </si>
  <si>
    <t>BOT. SHAMPOO CALM 250 ML.</t>
  </si>
  <si>
    <t>200210</t>
  </si>
  <si>
    <t>BOT.SHAMPOO COLOR 1000 ML.</t>
  </si>
  <si>
    <t>200211</t>
  </si>
  <si>
    <t>BOT.SHAMPOO SILVER 1000 ML.</t>
  </si>
  <si>
    <t>200212</t>
  </si>
  <si>
    <t>BOT. SHAMPOO CURL 1000 ML.</t>
  </si>
  <si>
    <t>200213</t>
  </si>
  <si>
    <t>BOT. SHAMPOO ENERGY 1000 ML.</t>
  </si>
  <si>
    <t>200214</t>
  </si>
  <si>
    <t>BOT. SHAMPOO LISS 1000 ML.</t>
  </si>
  <si>
    <t>200215</t>
  </si>
  <si>
    <t>BOT.SHAMPOO NUTRI SOFT 1000 ML</t>
  </si>
  <si>
    <t>200216</t>
  </si>
  <si>
    <t>BOT.SHAMPOO 2 RICH 1000 ML.</t>
  </si>
  <si>
    <t>200217</t>
  </si>
  <si>
    <t>BOT.SHAMPOO NUTRI INTENSE 1000</t>
  </si>
  <si>
    <t>200218</t>
  </si>
  <si>
    <t>BOT. CONDITIONER COLOR 1000 ml</t>
  </si>
  <si>
    <t>200219</t>
  </si>
  <si>
    <t>BOT.CONDITIONER NUTRI 1000 ml</t>
  </si>
  <si>
    <t>200220</t>
  </si>
  <si>
    <t>BOT.1000 MARFIL CUADR "ano"</t>
  </si>
  <si>
    <t>200221</t>
  </si>
  <si>
    <t>BOT.SHAMPOO FORCE 1000 ML.</t>
  </si>
  <si>
    <t>200222</t>
  </si>
  <si>
    <t>BOT.SH. PURITY "DRY" 1000 ML.</t>
  </si>
  <si>
    <t>200223</t>
  </si>
  <si>
    <t>BOT.SH. PURITY "OILY" 1000 ML.</t>
  </si>
  <si>
    <t>200224</t>
  </si>
  <si>
    <t>BOT.SHAMPOO BALANCE 1000 ML.</t>
  </si>
  <si>
    <t>200225</t>
  </si>
  <si>
    <t>BOT.SHAMPOO CALM 1000 ML.</t>
  </si>
  <si>
    <t>200226</t>
  </si>
  <si>
    <t>TARRO MASK COLOR 900 ML.</t>
  </si>
  <si>
    <t>200227</t>
  </si>
  <si>
    <t>TARRO MASK CURL 900 ML.</t>
  </si>
  <si>
    <t>200228</t>
  </si>
  <si>
    <t>TARRO MASK ENERGY 900 ML.</t>
  </si>
  <si>
    <t>200229</t>
  </si>
  <si>
    <t>TARRO MASK LISS 900 ML.</t>
  </si>
  <si>
    <t>200230</t>
  </si>
  <si>
    <t>TARRO MASK NUTRI 900 ML.</t>
  </si>
  <si>
    <t>200231</t>
  </si>
  <si>
    <t>TARRO MASK 200 ML."anonim"</t>
  </si>
  <si>
    <t>200232</t>
  </si>
  <si>
    <t>TARRO MASK 1000 ML.(Anonimo)</t>
  </si>
  <si>
    <t>200233</t>
  </si>
  <si>
    <t>BOT.200 ML.MARFIL-TAP FLIP TOP</t>
  </si>
  <si>
    <t>200234</t>
  </si>
  <si>
    <t>BOT.200 ML.MARFIL-TAP SPRAY(no comprar mes)</t>
  </si>
  <si>
    <t>200235</t>
  </si>
  <si>
    <t>BOT.KAE TONICS 150 ML.BEIGE(no comprar)</t>
  </si>
  <si>
    <t>200251</t>
  </si>
  <si>
    <t>TUB KINCREM 'CRK' BASICS</t>
  </si>
  <si>
    <t>BOTELLA BOLA NAVIDAD 6,5 diam.</t>
  </si>
  <si>
    <t>BOTLLE BALL 6,5 DIAM</t>
  </si>
  <si>
    <t>BOT. 1000 'BA' OX. 20 V. L.EDI</t>
  </si>
  <si>
    <t>REF.- 10031 B00</t>
  </si>
  <si>
    <t>BOT. 100 PET NATURAL</t>
  </si>
  <si>
    <t>REF.- 0613/2410/100</t>
  </si>
  <si>
    <t>BOT. 75 ml OXIDANT "BLANCA"</t>
  </si>
  <si>
    <t>3501229</t>
  </si>
  <si>
    <t>200296</t>
  </si>
  <si>
    <t>FRASCO 30 ML.KINESSENCES OLEO</t>
  </si>
  <si>
    <t>210001</t>
  </si>
  <si>
    <t>ETIQ. AIRMOUSSE</t>
  </si>
  <si>
    <t>ETAIRM</t>
  </si>
  <si>
    <t>210002</t>
  </si>
  <si>
    <t>ETIQ. BLANCA ENVIOS</t>
  </si>
  <si>
    <t>ETBLEN</t>
  </si>
  <si>
    <t>210003</t>
  </si>
  <si>
    <t>ETIQ. BRUSHING BRILLANTE</t>
  </si>
  <si>
    <t>ETBRBR</t>
  </si>
  <si>
    <t>210004</t>
  </si>
  <si>
    <t>ETIQ. BRUSHING CENIZA</t>
  </si>
  <si>
    <t>ETBRCE</t>
  </si>
  <si>
    <t>210005</t>
  </si>
  <si>
    <t>ETIQ. BRUSHING NACAR</t>
  </si>
  <si>
    <t>ETBRNA</t>
  </si>
  <si>
    <t>210006</t>
  </si>
  <si>
    <t>ETIQ. BRUSHING PERLA</t>
  </si>
  <si>
    <t>ETBRPE</t>
  </si>
  <si>
    <t>210007</t>
  </si>
  <si>
    <t>ETIQ. BRUSHING PLATA</t>
  </si>
  <si>
    <t>ETBRPL</t>
  </si>
  <si>
    <t>210008</t>
  </si>
  <si>
    <t>ETIQ. BRUSHING RUBIO SAFARI</t>
  </si>
  <si>
    <t>ETBRRS</t>
  </si>
  <si>
    <t>210009</t>
  </si>
  <si>
    <t>ETIQ. N.C. CREAM BEIGE</t>
  </si>
  <si>
    <t>ETCCBE</t>
  </si>
  <si>
    <t>210010</t>
  </si>
  <si>
    <t>ETIQ. N.C. CREAM CACAO</t>
  </si>
  <si>
    <t>ETCCCA</t>
  </si>
  <si>
    <t>210011</t>
  </si>
  <si>
    <t>ETIQ. N.C. CREAM CHERRY</t>
  </si>
  <si>
    <t>ETCCCH</t>
  </si>
  <si>
    <t>210012</t>
  </si>
  <si>
    <t>ETIQ. N.C. CREAM COPPER</t>
  </si>
  <si>
    <t>ETCCCO</t>
  </si>
  <si>
    <t>210013</t>
  </si>
  <si>
    <t>ETIQ. N.C. CREAM DORADO</t>
  </si>
  <si>
    <t>ETCCDO</t>
  </si>
  <si>
    <t>210014</t>
  </si>
  <si>
    <t>ETIQ. N.C. CREAM EBONY</t>
  </si>
  <si>
    <t>ETCCEB</t>
  </si>
  <si>
    <t>210015</t>
  </si>
  <si>
    <t>ETIQ. N.C. CREAM MOKA</t>
  </si>
  <si>
    <t>ETCCMO</t>
  </si>
  <si>
    <t>210016</t>
  </si>
  <si>
    <t>ETIQ. N.C. CREAM PLATINE</t>
  </si>
  <si>
    <t>ETCCPL</t>
  </si>
  <si>
    <t>210017</t>
  </si>
  <si>
    <t>ETIQ. N.C. CREAM PURPLE</t>
  </si>
  <si>
    <t>ETCCPU</t>
  </si>
  <si>
    <t>210018</t>
  </si>
  <si>
    <t>ETI. CUTI-FORTE ENERG EXTR. CA</t>
  </si>
  <si>
    <t>ETCFEX</t>
  </si>
  <si>
    <t>210019</t>
  </si>
  <si>
    <t>ETI. CUTI-FORTE ENERG EXT. DO</t>
  </si>
  <si>
    <t>ETCFEXD</t>
  </si>
  <si>
    <t>210020</t>
  </si>
  <si>
    <t>ETIQ. CUTI-FORTE SHAMPOO 250</t>
  </si>
  <si>
    <t>ETCFSH</t>
  </si>
  <si>
    <t>210021</t>
  </si>
  <si>
    <t>ETCFSHD</t>
  </si>
  <si>
    <t>210022</t>
  </si>
  <si>
    <t>ETIQ. CUTI-GLOSS SHAMPOO 250</t>
  </si>
  <si>
    <t>ETCGSH</t>
  </si>
  <si>
    <t>210023</t>
  </si>
  <si>
    <t>ETIQ. CUTI-GLOSS SHAMPOO 5</t>
  </si>
  <si>
    <t>ETCGSHB5</t>
  </si>
  <si>
    <t>210024</t>
  </si>
  <si>
    <t>ETCGSHD</t>
  </si>
  <si>
    <t>210025</t>
  </si>
  <si>
    <t>ETIQ. CHAMPU HIERBAS</t>
  </si>
  <si>
    <t>ETCH</t>
  </si>
  <si>
    <t>210026</t>
  </si>
  <si>
    <t>ETIQ. CRYSTAL JELLY 250</t>
  </si>
  <si>
    <t>ETCJ2I</t>
  </si>
  <si>
    <t>210027</t>
  </si>
  <si>
    <t>ETCJ2S</t>
  </si>
  <si>
    <t>210028</t>
  </si>
  <si>
    <t>ETIQ. Color REMOVER phase 1</t>
  </si>
  <si>
    <t>ETCORE1</t>
  </si>
  <si>
    <t>210029</t>
  </si>
  <si>
    <t>ETIQ. Color REMOVER phase 2</t>
  </si>
  <si>
    <t>ETCORE2</t>
  </si>
  <si>
    <t>210030</t>
  </si>
  <si>
    <t>ETIQ. CHAMPU PINO</t>
  </si>
  <si>
    <t>ETCP</t>
  </si>
  <si>
    <t>210031</t>
  </si>
  <si>
    <t>ETIQ. CURLY - Cara</t>
  </si>
  <si>
    <t>ETCURC</t>
  </si>
  <si>
    <t>210032</t>
  </si>
  <si>
    <t>ETIQ. CURLY - Dorso</t>
  </si>
  <si>
    <t>ETCURD</t>
  </si>
  <si>
    <t>210033</t>
  </si>
  <si>
    <t>ETIQ. COLOR VIBRANCE COPPER</t>
  </si>
  <si>
    <t>ETCVCO</t>
  </si>
  <si>
    <t>210034</t>
  </si>
  <si>
    <t>ETIQ. COLOR VIBRANCE PURPLE</t>
  </si>
  <si>
    <t>ETCVPU</t>
  </si>
  <si>
    <t>210035</t>
  </si>
  <si>
    <t>ETIQ. COLOR VIBRANCE RED</t>
  </si>
  <si>
    <t>ETCVRE</t>
  </si>
  <si>
    <t>210036</t>
  </si>
  <si>
    <t>ETIQ. DEVELOPER 120 ml.</t>
  </si>
  <si>
    <t>ETDE12</t>
  </si>
  <si>
    <t>210037</t>
  </si>
  <si>
    <t>ETIQ. DEVELOPER INTENSE 120 ml</t>
  </si>
  <si>
    <t>ETDI12</t>
  </si>
  <si>
    <t>210038</t>
  </si>
  <si>
    <t>ETIQ. EQUILIBRE BI-PHASE  Cara</t>
  </si>
  <si>
    <t>ETEQBP</t>
  </si>
  <si>
    <t>210039</t>
  </si>
  <si>
    <t>ETIQ. EQUILIBRE BI-PHASE  Dors</t>
  </si>
  <si>
    <t>ETEQBPD</t>
  </si>
  <si>
    <t>210040</t>
  </si>
  <si>
    <t>ETIQ. GLOSSY</t>
  </si>
  <si>
    <t>ETGLSY</t>
  </si>
  <si>
    <t>210041</t>
  </si>
  <si>
    <t>ETIQ. GUMMY STYLIUM</t>
  </si>
  <si>
    <t>ETGUMM</t>
  </si>
  <si>
    <t>210042</t>
  </si>
  <si>
    <t>ETIQ. KINCREM (19 * 25)</t>
  </si>
  <si>
    <t>ETKC</t>
  </si>
  <si>
    <t>210043</t>
  </si>
  <si>
    <t>Etiq. 60 ml OX.CREME 20 V.'KF'</t>
  </si>
  <si>
    <t>ETKFOC20</t>
  </si>
  <si>
    <t>210044</t>
  </si>
  <si>
    <t>Etiq. 60 ml OX.CREME 30 V.'KF'</t>
  </si>
  <si>
    <t>ETKFOC30</t>
  </si>
  <si>
    <t>210045</t>
  </si>
  <si>
    <t>Etiq. 60 ml OX.CREME 40 V.'KF'</t>
  </si>
  <si>
    <t>ETKFOC40</t>
  </si>
  <si>
    <t>210046</t>
  </si>
  <si>
    <t>Etiq. 60 ml OX.CPLUS 20 V.'KF'</t>
  </si>
  <si>
    <t>ETKFOP20</t>
  </si>
  <si>
    <t>210047</t>
  </si>
  <si>
    <t>Etiq. 60 ml OX.CPLUS 30 V.'KF'</t>
  </si>
  <si>
    <t>ETKFOP30</t>
  </si>
  <si>
    <t>210048</t>
  </si>
  <si>
    <t>ETIQ. KINPLIS CASTAÑO</t>
  </si>
  <si>
    <t>ETKICA</t>
  </si>
  <si>
    <t>210049</t>
  </si>
  <si>
    <t>ETIQ. KINPLIS CENIZA</t>
  </si>
  <si>
    <t>ETKICE</t>
  </si>
  <si>
    <t>210050</t>
  </si>
  <si>
    <t>ETIQ. KINPLIS CAB.GRASOS</t>
  </si>
  <si>
    <t>ETKICG</t>
  </si>
  <si>
    <t>210051</t>
  </si>
  <si>
    <t>ETIQ. KINPLIS CAB.NORMALES</t>
  </si>
  <si>
    <t>ETKICN</t>
  </si>
  <si>
    <t>210052</t>
  </si>
  <si>
    <t>ETIQ. KINPLIS CAB.SECOS</t>
  </si>
  <si>
    <t>ETKICS</t>
  </si>
  <si>
    <t>210053</t>
  </si>
  <si>
    <t>ETIQ. KINPLIS GRIS ESTELAR</t>
  </si>
  <si>
    <t>ETKIGE</t>
  </si>
  <si>
    <t>210054</t>
  </si>
  <si>
    <t>ETIQ. KINPLIS GRIS PERLA</t>
  </si>
  <si>
    <t>ETKIGP</t>
  </si>
  <si>
    <t>210055</t>
  </si>
  <si>
    <t>ETIQ. KINPLIS PLATA</t>
  </si>
  <si>
    <t>ETKIPL</t>
  </si>
  <si>
    <t>210056</t>
  </si>
  <si>
    <t>ETIQ. KINPERM nº 0 Cara</t>
  </si>
  <si>
    <t>ETKP0C</t>
  </si>
  <si>
    <t>210057</t>
  </si>
  <si>
    <t>ETIQ. KINPERM nº 0 Dorso</t>
  </si>
  <si>
    <t>ETKP0D</t>
  </si>
  <si>
    <t>210058</t>
  </si>
  <si>
    <t>ETIQ. KINPERM nº 1 Cara</t>
  </si>
  <si>
    <t>ETKP1C</t>
  </si>
  <si>
    <t>210059</t>
  </si>
  <si>
    <t>ETIQ. KINPERM nº 1 Dorso</t>
  </si>
  <si>
    <t>ETKP1D</t>
  </si>
  <si>
    <t>210060</t>
  </si>
  <si>
    <t>ETIQ. KINPERM nº 2 Cara</t>
  </si>
  <si>
    <t>ETKP2C</t>
  </si>
  <si>
    <t>210061</t>
  </si>
  <si>
    <t>ETIQ. KINPERM nº 2 Dorso</t>
  </si>
  <si>
    <t>ETKP2D</t>
  </si>
  <si>
    <t>210062</t>
  </si>
  <si>
    <t>ETIQ. KINPERM nº 3 Cara</t>
  </si>
  <si>
    <t>ETKP3C</t>
  </si>
  <si>
    <t>210063</t>
  </si>
  <si>
    <t>ETIQ. KINPERM nº 3 Dorso</t>
  </si>
  <si>
    <t>ETKP3D</t>
  </si>
  <si>
    <t>210064</t>
  </si>
  <si>
    <t>ETIQ. KINPERM NEUTRAL. Cara</t>
  </si>
  <si>
    <t>ETKPNC</t>
  </si>
  <si>
    <t>210065</t>
  </si>
  <si>
    <t>ETIQ. KINPERM NEUTRAL. Dorso</t>
  </si>
  <si>
    <t>ETKPND</t>
  </si>
  <si>
    <t>210066</t>
  </si>
  <si>
    <t>ETIQ. LISS INTEN FLUID CONTROL</t>
  </si>
  <si>
    <t>ETLIFL</t>
  </si>
  <si>
    <t>210067</t>
  </si>
  <si>
    <t>ETLIFLD</t>
  </si>
  <si>
    <t>210068</t>
  </si>
  <si>
    <t>ETIQ. LISSAGE INTENSE GEL LISS</t>
  </si>
  <si>
    <t>ETLIGL</t>
  </si>
  <si>
    <t>210069</t>
  </si>
  <si>
    <t>ETLIGLD</t>
  </si>
  <si>
    <t>210070</t>
  </si>
  <si>
    <t>ETIQ. LISSAGE INTENS LISS MASK</t>
  </si>
  <si>
    <t>ETLILM</t>
  </si>
  <si>
    <t>210071</t>
  </si>
  <si>
    <t>ETLILMD</t>
  </si>
  <si>
    <t>210072</t>
  </si>
  <si>
    <t>ETIQ. LISSAG INT. SHAMPOO 1000</t>
  </si>
  <si>
    <t>ETLIS1C</t>
  </si>
  <si>
    <t>210073</t>
  </si>
  <si>
    <t>ETLIS1D</t>
  </si>
  <si>
    <t>210074</t>
  </si>
  <si>
    <t>ETIQ. LISS INTENSE SHAMPOO 250</t>
  </si>
  <si>
    <t>ETLIS2C</t>
  </si>
  <si>
    <t>210075</t>
  </si>
  <si>
    <t>ETLIS2D</t>
  </si>
  <si>
    <t>210076</t>
  </si>
  <si>
    <t>ETLISH</t>
  </si>
  <si>
    <t>210077</t>
  </si>
  <si>
    <t>ETIQ. LISS INTENSE SHAMPOO 5</t>
  </si>
  <si>
    <t>ETLISHB5</t>
  </si>
  <si>
    <t>210078</t>
  </si>
  <si>
    <t>ETLISHD</t>
  </si>
  <si>
    <t>210079</t>
  </si>
  <si>
    <t>ETIQ. NEW COLOR 2000</t>
  </si>
  <si>
    <t>ETMC</t>
  </si>
  <si>
    <t>210080</t>
  </si>
  <si>
    <t>ETIQ. NORMALIZE SHAMPOO 250 C</t>
  </si>
  <si>
    <t>ETNOSHCG</t>
  </si>
  <si>
    <t>210081</t>
  </si>
  <si>
    <t>ETIQ. NORMALIZE SHAMPOO 250 D</t>
  </si>
  <si>
    <t>ETNOSHCGD</t>
  </si>
  <si>
    <t>210082</t>
  </si>
  <si>
    <t>ETNOSHCS</t>
  </si>
  <si>
    <t>210083</t>
  </si>
  <si>
    <t>ETNOSHCSD</t>
  </si>
  <si>
    <t>210084</t>
  </si>
  <si>
    <t>ETIQ. NORM TONIC PURIFICANT C</t>
  </si>
  <si>
    <t>ETNOTP</t>
  </si>
  <si>
    <t>210085</t>
  </si>
  <si>
    <t>ETIQ. NORM TONIC PURIFICANT D</t>
  </si>
  <si>
    <t>ETNOTPD</t>
  </si>
  <si>
    <t>210086</t>
  </si>
  <si>
    <t>ETIQ. NUTRI.REPAIR EXTRACT</t>
  </si>
  <si>
    <t>ETNREX</t>
  </si>
  <si>
    <t>210087</t>
  </si>
  <si>
    <t>ETIQ. NUTRI-REPAIR EXTRACT</t>
  </si>
  <si>
    <t>ETNREXD</t>
  </si>
  <si>
    <t>210088</t>
  </si>
  <si>
    <t>ETIQ. NUTRI-REPAIR SHAMPOO 250</t>
  </si>
  <si>
    <t>ETNRSH</t>
  </si>
  <si>
    <t>210089</t>
  </si>
  <si>
    <t>ETIQ. NUTRI REPAIR SHAMPOO 5</t>
  </si>
  <si>
    <t>ETNRSHB5</t>
  </si>
  <si>
    <t>210090</t>
  </si>
  <si>
    <t>ETNRSHD</t>
  </si>
  <si>
    <t>210091</t>
  </si>
  <si>
    <t>ETIQ. NUTRI-SILK CONDITIONER</t>
  </si>
  <si>
    <t>ETNSCO</t>
  </si>
  <si>
    <t>210092</t>
  </si>
  <si>
    <t>ETIQ. NUTRI-SILK CONDITIONER 5</t>
  </si>
  <si>
    <t>ETNSCOB5</t>
  </si>
  <si>
    <t>210093</t>
  </si>
  <si>
    <t>ETNSCOD</t>
  </si>
  <si>
    <t>210094</t>
  </si>
  <si>
    <t>ETIQ. NUTRI-SILK SHAMPOO 250</t>
  </si>
  <si>
    <t>ETNSSH</t>
  </si>
  <si>
    <t>210095</t>
  </si>
  <si>
    <t>ETIQ. NUTRI SILK SHAMPOO</t>
  </si>
  <si>
    <t>ETNSSHB5</t>
  </si>
  <si>
    <t>210096</t>
  </si>
  <si>
    <t>ETNSSHD</t>
  </si>
  <si>
    <t>210097</t>
  </si>
  <si>
    <t>ETIQ. OXID. PREST. 20 V. 60 ML</t>
  </si>
  <si>
    <t>ETP20I</t>
  </si>
  <si>
    <t>210098</t>
  </si>
  <si>
    <t>ETIQ. OX. PRESTIGE 20 V. 60 ML</t>
  </si>
  <si>
    <t>ETP20IV</t>
  </si>
  <si>
    <t>210099</t>
  </si>
  <si>
    <t>ETIQ. OXID. PREST. 30 V. 60 ML</t>
  </si>
  <si>
    <t>ETP30I</t>
  </si>
  <si>
    <t>210100</t>
  </si>
  <si>
    <t>ETIQ. OX. PRESTIGE 30 V. 60 ML</t>
  </si>
  <si>
    <t>ETP30IV</t>
  </si>
  <si>
    <t>210101</t>
  </si>
  <si>
    <t>ETIQ. OXID. PREST. 40 V. 60 ML</t>
  </si>
  <si>
    <t>ETP40I</t>
  </si>
  <si>
    <t>210102</t>
  </si>
  <si>
    <t>ETIQ. OX. PRESTIGE 40 V. 60 ML</t>
  </si>
  <si>
    <t>ETP40IV</t>
  </si>
  <si>
    <t>210103</t>
  </si>
  <si>
    <t>ETIQ. PERM. CLASSIC Nº 0</t>
  </si>
  <si>
    <t>ETPCN0</t>
  </si>
  <si>
    <t>210104</t>
  </si>
  <si>
    <t>ETIQ. PERM. CLASSIC Nº 1</t>
  </si>
  <si>
    <t>ETPCN1</t>
  </si>
  <si>
    <t>210105</t>
  </si>
  <si>
    <t>ETIQ. PERM. CLASSIC Nº 2</t>
  </si>
  <si>
    <t>ETPCN2</t>
  </si>
  <si>
    <t>210106</t>
  </si>
  <si>
    <t>ETIQ. PLIS MOLDEADOR</t>
  </si>
  <si>
    <t>ETPLMO</t>
  </si>
  <si>
    <t>210107</t>
  </si>
  <si>
    <t>ETIQ. PROTECTOR ACONDIC.</t>
  </si>
  <si>
    <t>ETPRAC</t>
  </si>
  <si>
    <t>210108</t>
  </si>
  <si>
    <t>ETIQ. Pac Tratam. Caspa Grasa</t>
  </si>
  <si>
    <t>ETPTCGBR</t>
  </si>
  <si>
    <t>210109</t>
  </si>
  <si>
    <t>ETIQ. OXID. ROUGE 20 V. 60 ML.</t>
  </si>
  <si>
    <t>ETR20I</t>
  </si>
  <si>
    <t>210110</t>
  </si>
  <si>
    <t>ETIQ. OX. ROUGE 20 V. 60 ML.</t>
  </si>
  <si>
    <t>ETR20IV</t>
  </si>
  <si>
    <t>210111</t>
  </si>
  <si>
    <t>ETIQ. OXID. ROUGE 30 V. 60 ML</t>
  </si>
  <si>
    <t>ETR30I</t>
  </si>
  <si>
    <t>210112</t>
  </si>
  <si>
    <t>ETIQ. OX. ROUGE 30 V. 60 ML.</t>
  </si>
  <si>
    <t>ETR30IV</t>
  </si>
  <si>
    <t>210113</t>
  </si>
  <si>
    <t>ETIQ. RADIANCE - Cara</t>
  </si>
  <si>
    <t>ETRADC</t>
  </si>
  <si>
    <t>210114</t>
  </si>
  <si>
    <t>ETIQ. RADIANCE - Dorso</t>
  </si>
  <si>
    <t>ETRADD</t>
  </si>
  <si>
    <t>210115</t>
  </si>
  <si>
    <t>ETIQ. REGULIZE SHAMPOO 250</t>
  </si>
  <si>
    <t>ETRESH</t>
  </si>
  <si>
    <t>210116</t>
  </si>
  <si>
    <t>ETRESHD</t>
  </si>
  <si>
    <t>210117</t>
  </si>
  <si>
    <t>ETIQ. REGULIZE TONIC REGUL</t>
  </si>
  <si>
    <t>ETRETR</t>
  </si>
  <si>
    <t>210118</t>
  </si>
  <si>
    <t>ETRETRD</t>
  </si>
  <si>
    <t>210119</t>
  </si>
  <si>
    <t>ETIQ. SILVER-COLOR SHAMPOO 250</t>
  </si>
  <si>
    <t>ETSCSH</t>
  </si>
  <si>
    <t>210120</t>
  </si>
  <si>
    <t>ETSCSHD</t>
  </si>
  <si>
    <t>210121</t>
  </si>
  <si>
    <t>ETIQ. SEDINOR LOCION</t>
  </si>
  <si>
    <t>ETSELO</t>
  </si>
  <si>
    <t>210122</t>
  </si>
  <si>
    <t>ETIQ. SENSITIVE SHAMPOO 250</t>
  </si>
  <si>
    <t>ETSESH</t>
  </si>
  <si>
    <t>210123</t>
  </si>
  <si>
    <t>ETSESHD</t>
  </si>
  <si>
    <t>210124</t>
  </si>
  <si>
    <t>ETIQ. N.C. SHAMPOO BEIGE</t>
  </si>
  <si>
    <t>ETSHBE</t>
  </si>
  <si>
    <t>210125</t>
  </si>
  <si>
    <t>ETIQ. N.C. SHAMPOO CACAO</t>
  </si>
  <si>
    <t>ETSHCA</t>
  </si>
  <si>
    <t>210126</t>
  </si>
  <si>
    <t>ETIQ. N.C. SHAMPOO CHERRY</t>
  </si>
  <si>
    <t>ETSHCH</t>
  </si>
  <si>
    <t>210127</t>
  </si>
  <si>
    <t>ETIQ. N.C. SHAMPOO COPPER</t>
  </si>
  <si>
    <t>ETSHCO</t>
  </si>
  <si>
    <t>210128</t>
  </si>
  <si>
    <t>ETIQ. N.C. SHAMPOO DORADO</t>
  </si>
  <si>
    <t>ETSHDO</t>
  </si>
  <si>
    <t>210129</t>
  </si>
  <si>
    <t>ETIQ. N.C. SHAMPOO EBONY</t>
  </si>
  <si>
    <t>ETSHEB</t>
  </si>
  <si>
    <t>210130</t>
  </si>
  <si>
    <t>ETIQ. N.C. SHAMPOO MOKA</t>
  </si>
  <si>
    <t>ETSHMO</t>
  </si>
  <si>
    <t>210131</t>
  </si>
  <si>
    <t>ETIQ. N.C. SHAMPOO PLATINE</t>
  </si>
  <si>
    <t>ETSHPL</t>
  </si>
  <si>
    <t>210132</t>
  </si>
  <si>
    <t>ETIQ. N.C. SHAMPOO PURPLE</t>
  </si>
  <si>
    <t>ETSHPU</t>
  </si>
  <si>
    <t>210133</t>
  </si>
  <si>
    <t>ETIQ. STICK STYLIUM</t>
  </si>
  <si>
    <t>ETSTIC</t>
  </si>
  <si>
    <t>210134</t>
  </si>
  <si>
    <t>ETIQ. STIMULANT SHAMPOO 250</t>
  </si>
  <si>
    <t>ETSTSH</t>
  </si>
  <si>
    <t>210135</t>
  </si>
  <si>
    <t>ETSTSHD</t>
  </si>
  <si>
    <t>210136</t>
  </si>
  <si>
    <t>ETIQ. STIMULANT TONIC ACTIVE</t>
  </si>
  <si>
    <t>ETSTTA</t>
  </si>
  <si>
    <t>210137</t>
  </si>
  <si>
    <t>ETSTTAD</t>
  </si>
  <si>
    <t>210138</t>
  </si>
  <si>
    <t>ETIQ. SUNCARE SHAMPOO - Cara</t>
  </si>
  <si>
    <t>ETSUSHC</t>
  </si>
  <si>
    <t>210139</t>
  </si>
  <si>
    <t>ETIQ. SUNCARE SHAMPOO - Dors</t>
  </si>
  <si>
    <t>ETSUSHD</t>
  </si>
  <si>
    <t>210140</t>
  </si>
  <si>
    <t>ETIQ. SUNCARE SPRAY - Cara</t>
  </si>
  <si>
    <t>ETSUSPC</t>
  </si>
  <si>
    <t>210141</t>
  </si>
  <si>
    <t>ETIQ. SUNCARE SPRAY - Dors</t>
  </si>
  <si>
    <t>ETSUSRD</t>
  </si>
  <si>
    <t>210142</t>
  </si>
  <si>
    <t>ETIQ. TARRO 75 CRYSTAL JELLY</t>
  </si>
  <si>
    <t>ETTCJI</t>
  </si>
  <si>
    <t>210143</t>
  </si>
  <si>
    <t>ETTCJS</t>
  </si>
  <si>
    <t>210144</t>
  </si>
  <si>
    <t>ETIQ. TARRO DEFINER Inferior</t>
  </si>
  <si>
    <t>ETTDEI</t>
  </si>
  <si>
    <t>210145</t>
  </si>
  <si>
    <t>ETIQ. TARRO DEFINER Superior</t>
  </si>
  <si>
    <t>ETTDES</t>
  </si>
  <si>
    <t>210146</t>
  </si>
  <si>
    <t>ETIQ. TARRO FIBER Inferior</t>
  </si>
  <si>
    <t>ETTFII</t>
  </si>
  <si>
    <t>210147</t>
  </si>
  <si>
    <t>ETIQ. TARRO FIBER Superior</t>
  </si>
  <si>
    <t>ETTFIS</t>
  </si>
  <si>
    <t>210148</t>
  </si>
  <si>
    <t>ETIQ. TARRO GLAZER Inferior</t>
  </si>
  <si>
    <t>ETTGLI</t>
  </si>
  <si>
    <t>210149</t>
  </si>
  <si>
    <t>ETIQ. TARRO GLAZER Superior</t>
  </si>
  <si>
    <t>ETTGLS</t>
  </si>
  <si>
    <t>210150</t>
  </si>
  <si>
    <t>ETIQ. THERMIC - Cara</t>
  </si>
  <si>
    <t>ETTHEC</t>
  </si>
  <si>
    <t>210151</t>
  </si>
  <si>
    <t>ETIQ. THERMIC - Dorso</t>
  </si>
  <si>
    <t>ETTHED</t>
  </si>
  <si>
    <t>210152</t>
  </si>
  <si>
    <t>ETIQ. TARRO MOULDER Inferior</t>
  </si>
  <si>
    <t>ETTMOI</t>
  </si>
  <si>
    <t>210153</t>
  </si>
  <si>
    <t>ETIQ. TARRO MOULDER Superior</t>
  </si>
  <si>
    <t>ETTMOS</t>
  </si>
  <si>
    <t>210154</t>
  </si>
  <si>
    <t>ETIQ. TAPA TEXTOS 38 * 21,2mm.</t>
  </si>
  <si>
    <t>ETTTKP</t>
  </si>
  <si>
    <t>210155</t>
  </si>
  <si>
    <t>ETIQ. VITAL-COLOR COL EXTRACT</t>
  </si>
  <si>
    <t>ETVCCE</t>
  </si>
  <si>
    <t>210156</t>
  </si>
  <si>
    <t>ETIQ. VITAL COLOR COL EXTRACT</t>
  </si>
  <si>
    <t>ETVCCED</t>
  </si>
  <si>
    <t>210157</t>
  </si>
  <si>
    <t>ETIQ. VITAL COLOR CONDITIONER</t>
  </si>
  <si>
    <t>ETVCCO</t>
  </si>
  <si>
    <t>210158</t>
  </si>
  <si>
    <t>ETIQ. VITAL-COLOR CONDITIONE 5</t>
  </si>
  <si>
    <t>ETVCCOB5</t>
  </si>
  <si>
    <t>210159</t>
  </si>
  <si>
    <t>ETVCCOD</t>
  </si>
  <si>
    <t>210160</t>
  </si>
  <si>
    <t>ETIQ. VITAL-COLOR SHAMPOO 250</t>
  </si>
  <si>
    <t>ETVCSH</t>
  </si>
  <si>
    <t>210161</t>
  </si>
  <si>
    <t>ETIQ. VITAL-COLOR SHAMPOO 5</t>
  </si>
  <si>
    <t>ETVCSHB5</t>
  </si>
  <si>
    <t>210162</t>
  </si>
  <si>
    <t>ETVCSHD</t>
  </si>
  <si>
    <t>210163</t>
  </si>
  <si>
    <t>ETIQ. VIGOR PERM CONDITIONER</t>
  </si>
  <si>
    <t>ETVPCO</t>
  </si>
  <si>
    <t>210164</t>
  </si>
  <si>
    <t>ETIQ. VIGOR-PERM CONDITIONER</t>
  </si>
  <si>
    <t>ETVPCOD</t>
  </si>
  <si>
    <t>210165</t>
  </si>
  <si>
    <t>ETIQ. VIGOR-PERM SHAMPOO 250</t>
  </si>
  <si>
    <t>ETVPSH</t>
  </si>
  <si>
    <t>210166</t>
  </si>
  <si>
    <t>ETVPSHD</t>
  </si>
  <si>
    <t>210167</t>
  </si>
  <si>
    <t>ETIQ. XPANSOR - Cara</t>
  </si>
  <si>
    <t>ETXPAC</t>
  </si>
  <si>
    <t>210168</t>
  </si>
  <si>
    <t>ETIQ. XPANSOR - Dorso</t>
  </si>
  <si>
    <t>ETXPAD</t>
  </si>
  <si>
    <t>210169</t>
  </si>
  <si>
    <t>ETIQ. X-TREM - Cara</t>
  </si>
  <si>
    <t>ETXTRC</t>
  </si>
  <si>
    <t>210170</t>
  </si>
  <si>
    <t>ETIQ. X-TREM - Dorso</t>
  </si>
  <si>
    <t>ETXTRD</t>
  </si>
  <si>
    <t>210171</t>
  </si>
  <si>
    <t>PROSPECTE COLOR REMOVER(ara 210439)</t>
  </si>
  <si>
    <t>PRCORE</t>
  </si>
  <si>
    <t>210172</t>
  </si>
  <si>
    <t>PROSPECTE COLOR VIBRANCE</t>
  </si>
  <si>
    <t>PRCOVI</t>
  </si>
  <si>
    <t>210173</t>
  </si>
  <si>
    <t>PROSPECTE DEEP</t>
  </si>
  <si>
    <t>PRDEEP</t>
  </si>
  <si>
    <t>210174</t>
  </si>
  <si>
    <t>PROSPECTO N COLOR GLAMOUR 1 T.</t>
  </si>
  <si>
    <t>PRGL</t>
  </si>
  <si>
    <t>210175</t>
  </si>
  <si>
    <t>Prospecto K.A. NORMALIZE</t>
  </si>
  <si>
    <t>PRKANO</t>
  </si>
  <si>
    <t>210176</t>
  </si>
  <si>
    <t>Prospecto K.A. REGULIZE</t>
  </si>
  <si>
    <t>PRKARE</t>
  </si>
  <si>
    <t>210177</t>
  </si>
  <si>
    <t>Prospecto K.A. STIM COMP. T.A.</t>
  </si>
  <si>
    <t>PRKAST</t>
  </si>
  <si>
    <t>210178</t>
  </si>
  <si>
    <t>PROSPECTO KC. CONTRAST</t>
  </si>
  <si>
    <t>PRKC</t>
  </si>
  <si>
    <t>210179</t>
  </si>
  <si>
    <t>Prospecto KINCREM 'CRK' nou</t>
  </si>
  <si>
    <t>PRKF</t>
  </si>
  <si>
    <t>210180</t>
  </si>
  <si>
    <t>PROSPECTO KINCREM PRESTIGE</t>
  </si>
  <si>
    <t>PRKP</t>
  </si>
  <si>
    <t>210181</t>
  </si>
  <si>
    <t>PROSPECTO KR CASPA (vell)</t>
  </si>
  <si>
    <t>PRKRCA</t>
  </si>
  <si>
    <t>210182</t>
  </si>
  <si>
    <t>PROSPECTO KR CAIDA (vell</t>
  </si>
  <si>
    <t>PRKRCD</t>
  </si>
  <si>
    <t>210183</t>
  </si>
  <si>
    <t>PROSPECTO KR C SENSIBLES (vell</t>
  </si>
  <si>
    <t>PRKRCS</t>
  </si>
  <si>
    <t>210184</t>
  </si>
  <si>
    <t>PROSPECTO KR GRASA (vell)</t>
  </si>
  <si>
    <t>PRKRGR</t>
  </si>
  <si>
    <t>210185</t>
  </si>
  <si>
    <t>PROSPECTO NEW COLOR 2000</t>
  </si>
  <si>
    <t>PRMC</t>
  </si>
  <si>
    <t>210186</t>
  </si>
  <si>
    <t>PROSPECTO NORM Tonic Purifican</t>
  </si>
  <si>
    <t>PRNORM</t>
  </si>
  <si>
    <t>210187</t>
  </si>
  <si>
    <t>PROSPECTO REGUL Tonic Regulize</t>
  </si>
  <si>
    <t>PRREGU</t>
  </si>
  <si>
    <t>210188</t>
  </si>
  <si>
    <t>PROSPECTO SENS Mass Sensitive</t>
  </si>
  <si>
    <t>PRSENS</t>
  </si>
  <si>
    <t>210189</t>
  </si>
  <si>
    <t>PROSPECTO STIM Tonico Active</t>
  </si>
  <si>
    <t>PRSTTA</t>
  </si>
  <si>
    <t>210190</t>
  </si>
  <si>
    <t>ETIQ.TARRO POWER JELLY Inferio</t>
  </si>
  <si>
    <t>ETTPJI</t>
  </si>
  <si>
    <t>210191</t>
  </si>
  <si>
    <t>ETIQ.TARRO POWER JELLY Superio</t>
  </si>
  <si>
    <t>ETTPJS</t>
  </si>
  <si>
    <t>210192</t>
  </si>
  <si>
    <t>ETIQ.TARRO MAT WAX Superior</t>
  </si>
  <si>
    <t>ETTMWS</t>
  </si>
  <si>
    <t>210193</t>
  </si>
  <si>
    <t>ETIQ.TARRO MAT WAX</t>
  </si>
  <si>
    <t>ETTMWI</t>
  </si>
  <si>
    <t>210194</t>
  </si>
  <si>
    <t>ETIQ.TARRO WILD PASTE Superior</t>
  </si>
  <si>
    <t>ETTWPS</t>
  </si>
  <si>
    <t>210195</t>
  </si>
  <si>
    <t>ETIQ.TARRO WILD PASTE</t>
  </si>
  <si>
    <t>ETTWPI</t>
  </si>
  <si>
    <t>210196</t>
  </si>
  <si>
    <t>ETIQ. TAPA  MASK COLOR 200 ml</t>
  </si>
  <si>
    <t>210197</t>
  </si>
  <si>
    <t>ETIQ. TAPA MASK CURL 200 ml.</t>
  </si>
  <si>
    <t>210198</t>
  </si>
  <si>
    <t>ETIQ.TAPA MASK ENERGY 200 ml.</t>
  </si>
  <si>
    <t>210199</t>
  </si>
  <si>
    <t>ETIQ. TAPA MASK LISS 200 ml.</t>
  </si>
  <si>
    <t>210200</t>
  </si>
  <si>
    <t>ETIQ.TAPA MASK NUTRI 200 ml.</t>
  </si>
  <si>
    <t>210201</t>
  </si>
  <si>
    <t>ETIQ. EXTRACT COLOR 150 ml.</t>
  </si>
  <si>
    <t>210202</t>
  </si>
  <si>
    <t>ETIQ. EXTRACT ENERGY 150 ml.</t>
  </si>
  <si>
    <t>210203</t>
  </si>
  <si>
    <t>ETIQ. EXTRACT LISS 150 ml.</t>
  </si>
  <si>
    <t>210204</t>
  </si>
  <si>
    <t>ETIQ. EXTRACT NUTRI 150 ml.</t>
  </si>
  <si>
    <t>210205</t>
  </si>
  <si>
    <t>ETIQ. SERUM NUTRI 50 ml.</t>
  </si>
  <si>
    <t>210206</t>
  </si>
  <si>
    <t>PROSPECTO MASSAGE CALM</t>
  </si>
  <si>
    <t>210207</t>
  </si>
  <si>
    <t>PROSPECTO  BALANCE</t>
  </si>
  <si>
    <t>210208</t>
  </si>
  <si>
    <t>PROSPECTO  PURITY</t>
  </si>
  <si>
    <t>210209</t>
  </si>
  <si>
    <t>PROSPECTO FORCE</t>
  </si>
  <si>
    <t>210210</t>
  </si>
  <si>
    <t>ETIQ. EST.PACK ANTIC.2011</t>
  </si>
  <si>
    <t>ET.NAVIDAD 2013 PERSONALIZABLE</t>
  </si>
  <si>
    <t>0000000210266</t>
  </si>
  <si>
    <t>CAIXA N' 1 IMPRESA</t>
  </si>
  <si>
    <t>CE01</t>
  </si>
  <si>
    <t>0000002200019</t>
  </si>
  <si>
    <t>CAIXA N' 7  IMPRESA KIN</t>
  </si>
  <si>
    <t>CE07</t>
  </si>
  <si>
    <t>0000002200026</t>
  </si>
  <si>
    <t>CAIXA N' 7  S/IMPRIMIR</t>
  </si>
  <si>
    <t>CE07S</t>
  </si>
  <si>
    <t>0000002200033</t>
  </si>
  <si>
    <t>CAIXA N' 10 SIN IMPRIMIR</t>
  </si>
  <si>
    <t>CE10</t>
  </si>
  <si>
    <t>0000002200040</t>
  </si>
  <si>
    <t>CAIXA N' 100 IMPRESA</t>
  </si>
  <si>
    <t>CE100</t>
  </si>
  <si>
    <t>0000002200057</t>
  </si>
  <si>
    <t>CAIXA N' 101 IMPRESA</t>
  </si>
  <si>
    <t>CE101</t>
  </si>
  <si>
    <t>0000002200064</t>
  </si>
  <si>
    <t>CAIXA N' 101A IMPRESA</t>
  </si>
  <si>
    <t>CE101A</t>
  </si>
  <si>
    <t>0000002200071</t>
  </si>
  <si>
    <t>CAIXA N' 102 IMPRESA</t>
  </si>
  <si>
    <t>CE102</t>
  </si>
  <si>
    <t>0000002200088</t>
  </si>
  <si>
    <t>220009</t>
  </si>
  <si>
    <t>CAIXA N' 103 IMPRESA</t>
  </si>
  <si>
    <t>CE103</t>
  </si>
  <si>
    <t>220010</t>
  </si>
  <si>
    <t>CAIXA N' 104 IMPRESA</t>
  </si>
  <si>
    <t>CE104</t>
  </si>
  <si>
    <t>CAIXA N' 105 IMPRESA</t>
  </si>
  <si>
    <t>CE105</t>
  </si>
  <si>
    <t>0000002200118</t>
  </si>
  <si>
    <t>CAIXA N' 106 IMP.CR.JELLY 250</t>
  </si>
  <si>
    <t>CE106</t>
  </si>
  <si>
    <t>0000002200125</t>
  </si>
  <si>
    <t>220013</t>
  </si>
  <si>
    <t>CAIXA N' 107 IMPRESA</t>
  </si>
  <si>
    <t>CE107</t>
  </si>
  <si>
    <t>220014</t>
  </si>
  <si>
    <t>CAIXA N' 108 IMPRESA</t>
  </si>
  <si>
    <t>CE108</t>
  </si>
  <si>
    <t>220015</t>
  </si>
  <si>
    <t>CAIXA N' 109 IMPRESA</t>
  </si>
  <si>
    <t>CE109</t>
  </si>
  <si>
    <t>220016</t>
  </si>
  <si>
    <t>CAIXA N' 110 IMPRESA</t>
  </si>
  <si>
    <t>CE110</t>
  </si>
  <si>
    <t>220017</t>
  </si>
  <si>
    <t>CAIXA N' 111 IMPRESA</t>
  </si>
  <si>
    <t>CE111</t>
  </si>
  <si>
    <t>220018</t>
  </si>
  <si>
    <t>CAIXA N' 112 IMPRESA</t>
  </si>
  <si>
    <t>CE112</t>
  </si>
  <si>
    <t>220019</t>
  </si>
  <si>
    <t>CAIXA 113 MASK TARRO 1000 ml.</t>
  </si>
  <si>
    <t>CE113</t>
  </si>
  <si>
    <t>CAIXA 114 EQUIL BI-PHASE 500</t>
  </si>
  <si>
    <t>CE114</t>
  </si>
  <si>
    <t>0000002200200</t>
  </si>
  <si>
    <t>CAIXA 115 FLUID CONTROL</t>
  </si>
  <si>
    <t>CE115</t>
  </si>
  <si>
    <t>0000002200217</t>
  </si>
  <si>
    <t>CAIXA 116 KW TOUCHING/FIXING</t>
  </si>
  <si>
    <t>CE116</t>
  </si>
  <si>
    <t>0000002200224</t>
  </si>
  <si>
    <t>220023</t>
  </si>
  <si>
    <t>CAIXA 117 KINWORKS DECOLORACIO</t>
  </si>
  <si>
    <t>CE117</t>
  </si>
  <si>
    <t>0000002200231</t>
  </si>
  <si>
    <t>220024</t>
  </si>
  <si>
    <t>CAIXA 118 OXIDANT BLOND 180 ML</t>
  </si>
  <si>
    <t>CE118</t>
  </si>
  <si>
    <t>CAIXA 119 KW FIXING GEL 500 ML</t>
  </si>
  <si>
    <t>CE119</t>
  </si>
  <si>
    <t>0000002200255</t>
  </si>
  <si>
    <t>220026</t>
  </si>
  <si>
    <t>CAIXA 120 DEEP EST. 4 TUBS</t>
  </si>
  <si>
    <t>CE120</t>
  </si>
  <si>
    <t>220027</t>
  </si>
  <si>
    <t>CAIXA 121 DEEP EST. 24 TUBS</t>
  </si>
  <si>
    <t>CE121</t>
  </si>
  <si>
    <t>CAIXA 122 LOTE DEEP</t>
  </si>
  <si>
    <t>CE122</t>
  </si>
  <si>
    <t>0000002200286</t>
  </si>
  <si>
    <t>CAIXA 123 NCOLOR SHAMPOO/CREAM</t>
  </si>
  <si>
    <t>CE123</t>
  </si>
  <si>
    <t>0000002200293</t>
  </si>
  <si>
    <t>CAIXA 124 LOT N.COLOR REFLECTS</t>
  </si>
  <si>
    <t>CE124</t>
  </si>
  <si>
    <t>0000002200309</t>
  </si>
  <si>
    <t>220031</t>
  </si>
  <si>
    <t>CAIXA 125 KINCREM 'KF' 36 PACS</t>
  </si>
  <si>
    <t>CE125</t>
  </si>
  <si>
    <t>0000002200316</t>
  </si>
  <si>
    <t>CAIXA 126 COLOR REMOVER</t>
  </si>
  <si>
    <t>CE126</t>
  </si>
  <si>
    <t>0000002200323</t>
  </si>
  <si>
    <t>CAIXA 127 CLEANSER Ref.220033</t>
  </si>
  <si>
    <t>CE127</t>
  </si>
  <si>
    <t>0000002200330</t>
  </si>
  <si>
    <t>CAIXA 128 COLOR BALANCE</t>
  </si>
  <si>
    <t>CE128</t>
  </si>
  <si>
    <t>0000002200347</t>
  </si>
  <si>
    <t>CAIXA 129 COLOR SCREEN</t>
  </si>
  <si>
    <t>CE129</t>
  </si>
  <si>
    <t>0000002200354</t>
  </si>
  <si>
    <t>CAIXA 130 FCO 1 LT 'KF' S/ROMB !!!!ojooooooo</t>
  </si>
  <si>
    <t>CE130</t>
  </si>
  <si>
    <t>0000002200361</t>
  </si>
  <si>
    <t>CAIXA 130A OXIDANTS 'KF' ROMBO !!!!ojoooooo</t>
  </si>
  <si>
    <t>CE130A</t>
  </si>
  <si>
    <t>0000002200378</t>
  </si>
  <si>
    <t>CAIXA 131 OXID 'KF' FC0. 60 ML</t>
  </si>
  <si>
    <t>CE131</t>
  </si>
  <si>
    <t>0000002200385</t>
  </si>
  <si>
    <t>CAIXA 132 OX.BLOND/DEVEL. 120</t>
  </si>
  <si>
    <t>CE132</t>
  </si>
  <si>
    <t>0000002200392</t>
  </si>
  <si>
    <t>CAIXA 133 BIDON 5 LTS.</t>
  </si>
  <si>
    <t>CE133</t>
  </si>
  <si>
    <t>0000002200408</t>
  </si>
  <si>
    <t>CAIXA 134 KWORKS SETTING PLIS</t>
  </si>
  <si>
    <t>CE134</t>
  </si>
  <si>
    <t>0000002200415</t>
  </si>
  <si>
    <t>220042</t>
  </si>
  <si>
    <t>CAIXA 135 MASK TARRO 500 ml.</t>
  </si>
  <si>
    <t>CE135</t>
  </si>
  <si>
    <t>220043</t>
  </si>
  <si>
    <t>CAIXA KINESSENCES BLONDE 36TUB</t>
  </si>
  <si>
    <t>CE136</t>
  </si>
  <si>
    <t>0000002200439</t>
  </si>
  <si>
    <t>CAIXA 137 DEVELOPER 120 ML</t>
  </si>
  <si>
    <t>CE137</t>
  </si>
  <si>
    <t>0000002200446</t>
  </si>
  <si>
    <t>CAIXA 138 COLOR VIBRANCE</t>
  </si>
  <si>
    <t>CE138</t>
  </si>
  <si>
    <t>0000002200453</t>
  </si>
  <si>
    <t>220046</t>
  </si>
  <si>
    <t>CAIXA 30 KHATIONS S/IMP.</t>
  </si>
  <si>
    <t>CE30</t>
  </si>
  <si>
    <t>CAIXA 42 BOT/ LITRO Kin</t>
  </si>
  <si>
    <t>CE42</t>
  </si>
  <si>
    <t>0000002200477</t>
  </si>
  <si>
    <t>CAIXA 42 BOT/ LITRO S/Imprimir</t>
  </si>
  <si>
    <t>CE42S</t>
  </si>
  <si>
    <t>0000002200484</t>
  </si>
  <si>
    <t>CAIXA 44 KINBLANC</t>
  </si>
  <si>
    <t>CE44</t>
  </si>
  <si>
    <t>0000002200491</t>
  </si>
  <si>
    <t>CAIXA 56 PERMAMENT CLASSIC</t>
  </si>
  <si>
    <t>CE56</t>
  </si>
  <si>
    <t>0000002200507</t>
  </si>
  <si>
    <t>CAIXA 57 NEW COLOR 2000</t>
  </si>
  <si>
    <t>CE57</t>
  </si>
  <si>
    <t>0000002200514</t>
  </si>
  <si>
    <t>220052</t>
  </si>
  <si>
    <t>CAIXA 72 K.PRESTIGE 36 PACS</t>
  </si>
  <si>
    <t>CE72</t>
  </si>
  <si>
    <t>220053</t>
  </si>
  <si>
    <t>CAIXA 76 K. CONTRAST</t>
  </si>
  <si>
    <t>CE76</t>
  </si>
  <si>
    <t>220054</t>
  </si>
  <si>
    <t>CAIXA 77 K. PRESTIGE 36 TUBOS</t>
  </si>
  <si>
    <t>CE77</t>
  </si>
  <si>
    <t>220055</t>
  </si>
  <si>
    <t>caixa 78 oxidant 60 ML.</t>
  </si>
  <si>
    <t>CE78</t>
  </si>
  <si>
    <t>220056</t>
  </si>
  <si>
    <t>CAIXA 81 FLUID CONTROL 100 ML.</t>
  </si>
  <si>
    <t>CE81</t>
  </si>
  <si>
    <t>220057</t>
  </si>
  <si>
    <t>CAIXA 82 LISSAGE INT. LOTE</t>
  </si>
  <si>
    <t>CE82</t>
  </si>
  <si>
    <t>CAIXA 83 NEW COLOR 12 Pacs</t>
  </si>
  <si>
    <t>CE83</t>
  </si>
  <si>
    <t>0000002200583</t>
  </si>
  <si>
    <t>220059</t>
  </si>
  <si>
    <t>CAIXA 84 DEVELOPER 120 ML.</t>
  </si>
  <si>
    <t>CE84</t>
  </si>
  <si>
    <t>CAIXA 86 KIN PERM</t>
  </si>
  <si>
    <t>CE86</t>
  </si>
  <si>
    <t>000000220060</t>
  </si>
  <si>
    <t>220061</t>
  </si>
  <si>
    <t>CAIXA 87 OXIDANT 1000 S/ ROMBO</t>
  </si>
  <si>
    <t>CE87</t>
  </si>
  <si>
    <t>220062</t>
  </si>
  <si>
    <t>CAIXA 87A OXIDANT 1000 'ROMBO'</t>
  </si>
  <si>
    <t>CE87A</t>
  </si>
  <si>
    <t>CAIXA 88 TARRO STYLIUM 50 ml.</t>
  </si>
  <si>
    <t>CE88</t>
  </si>
  <si>
    <t>0000002200637</t>
  </si>
  <si>
    <t>220064</t>
  </si>
  <si>
    <t>CAIXA 89 LOT EXPOSIT. STYLIUM</t>
  </si>
  <si>
    <t>CE89</t>
  </si>
  <si>
    <t>220065</t>
  </si>
  <si>
    <t>SEPARADOR LOT STYLIUM TARROS</t>
  </si>
  <si>
    <t>CE89.1</t>
  </si>
  <si>
    <t>220066</t>
  </si>
  <si>
    <t>SEPARADOR LOT STYLIUM</t>
  </si>
  <si>
    <t>CE89.2</t>
  </si>
  <si>
    <t>220067</t>
  </si>
  <si>
    <t>ENVOLTORI LOT STYLIUM 2</t>
  </si>
  <si>
    <t>CE89.3</t>
  </si>
  <si>
    <t>220068</t>
  </si>
  <si>
    <t>CAIXA 90 DISPLAY SUNCARE</t>
  </si>
  <si>
    <t>CE90</t>
  </si>
  <si>
    <t>CAIXA 91 STICK STYLIUM</t>
  </si>
  <si>
    <t>CE91</t>
  </si>
  <si>
    <t>0000002200699</t>
  </si>
  <si>
    <t>CAIXA 92 STYLIUM GUMMY/GLOSSY</t>
  </si>
  <si>
    <t>CE92</t>
  </si>
  <si>
    <t>0000002200705</t>
  </si>
  <si>
    <t>CAIXA 93 STYL GOOP/WET 150 ml.</t>
  </si>
  <si>
    <t>CE93</t>
  </si>
  <si>
    <t>0000002200712</t>
  </si>
  <si>
    <t>CAIXA 94 KIN WORKS LACA LITRO</t>
  </si>
  <si>
    <t>CE94</t>
  </si>
  <si>
    <t>0000002200729</t>
  </si>
  <si>
    <t>CAIXA 95 STYL LACA POT 500 ML.</t>
  </si>
  <si>
    <t>CE95</t>
  </si>
  <si>
    <t>CAJA EMB.Nº95 IMP.</t>
  </si>
  <si>
    <t>0000002200736</t>
  </si>
  <si>
    <t>CAIXA 96 STYL ESPUMA 300 ml.</t>
  </si>
  <si>
    <t>CE96</t>
  </si>
  <si>
    <t>0000002200743</t>
  </si>
  <si>
    <t>CAIXA 97 STYL XLAS/SKULP 200</t>
  </si>
  <si>
    <t>CE97</t>
  </si>
  <si>
    <t>0000002200750</t>
  </si>
  <si>
    <t>CAIXA 98 STYL THERM/XPA 200 ml</t>
  </si>
  <si>
    <t>CE98</t>
  </si>
  <si>
    <t>0000002200767</t>
  </si>
  <si>
    <t>CAIXA 99 STYL RADIANCE 100 ml.</t>
  </si>
  <si>
    <t>CE99</t>
  </si>
  <si>
    <t>0000002200774</t>
  </si>
  <si>
    <t>PRECINTO PP. IMPRESO KIN</t>
  </si>
  <si>
    <t>PREKIN</t>
  </si>
  <si>
    <t>PRECINTO TRANSP. PP 132x48</t>
  </si>
  <si>
    <t>PREANO</t>
  </si>
  <si>
    <t>220080</t>
  </si>
  <si>
    <t>SEPARADOR C/101-101A POT 50 ml</t>
  </si>
  <si>
    <t>CES101</t>
  </si>
  <si>
    <t>220081</t>
  </si>
  <si>
    <t>SEPARADOR C/102 TUB ST. 50 ml.</t>
  </si>
  <si>
    <t>CES102</t>
  </si>
  <si>
    <t>220082</t>
  </si>
  <si>
    <t>SEPARADOR C/123 NC CREAM</t>
  </si>
  <si>
    <t>CES123</t>
  </si>
  <si>
    <t>220083</t>
  </si>
  <si>
    <t>SEPARADOR C/129 C. SCREEN</t>
  </si>
  <si>
    <t>CES129</t>
  </si>
  <si>
    <t>220084</t>
  </si>
  <si>
    <t>SEPARADOR CAJA 76/77 KP/KCC</t>
  </si>
  <si>
    <t>CES76</t>
  </si>
  <si>
    <t>220085</t>
  </si>
  <si>
    <t>SEPARADOR C/131 OXIDANT 60 ML</t>
  </si>
  <si>
    <t>CES78</t>
  </si>
  <si>
    <t>220086</t>
  </si>
  <si>
    <t>SEPARADOR C/81 FLUID CONTROL</t>
  </si>
  <si>
    <t>CES81</t>
  </si>
  <si>
    <t>220087</t>
  </si>
  <si>
    <t>SEPARADOR C/82 LIS.INT. LOTE</t>
  </si>
  <si>
    <t>CES82</t>
  </si>
  <si>
    <t>220088</t>
  </si>
  <si>
    <t>SEPARADOR EXP. KAE MOSTRADOR</t>
  </si>
  <si>
    <t>CESKA</t>
  </si>
  <si>
    <t>220089</t>
  </si>
  <si>
    <t>BASES EST. KINPLIS/BRUSHING</t>
  </si>
  <si>
    <t>AVBAKB</t>
  </si>
  <si>
    <t>220090</t>
  </si>
  <si>
    <t>SEPARADOR EST. K/BRUSHING</t>
  </si>
  <si>
    <t>AVSEKB</t>
  </si>
  <si>
    <t>220091</t>
  </si>
  <si>
    <t>ESTUCHE L-33</t>
  </si>
  <si>
    <t>ES33</t>
  </si>
  <si>
    <t>220092</t>
  </si>
  <si>
    <t>BANDEJAS LOCION L-33</t>
  </si>
  <si>
    <t>ESBA</t>
  </si>
  <si>
    <t>220093</t>
  </si>
  <si>
    <t>BANDEJAS LOCIONS K.A.R.</t>
  </si>
  <si>
    <t>ESBKAR</t>
  </si>
  <si>
    <t>220094</t>
  </si>
  <si>
    <t>Estoig COLOR BALANCE 24 TUBS</t>
  </si>
  <si>
    <t>ESCOBA</t>
  </si>
  <si>
    <t>220095</t>
  </si>
  <si>
    <t>EST. COLOR REMOVER</t>
  </si>
  <si>
    <t>ESCORE</t>
  </si>
  <si>
    <t>220096</t>
  </si>
  <si>
    <t>EST. COM TRICOACTIVE 6 INYEC.(</t>
  </si>
  <si>
    <t>ESCOTR</t>
  </si>
  <si>
    <t>220097</t>
  </si>
  <si>
    <t>EST. COLOR VIBRANCE COPPER</t>
  </si>
  <si>
    <t>ESCVCO</t>
  </si>
  <si>
    <t>220098</t>
  </si>
  <si>
    <t>EST. COLOR VIBRANCE PURPLE</t>
  </si>
  <si>
    <t>ESCVPU</t>
  </si>
  <si>
    <t>220099</t>
  </si>
  <si>
    <t>EST. COLOR VIBRANCE RED</t>
  </si>
  <si>
    <t>ESCVRE</t>
  </si>
  <si>
    <t>220100</t>
  </si>
  <si>
    <t>EST. DEEP COLOR 4 TUBS</t>
  </si>
  <si>
    <t>ESDC04</t>
  </si>
  <si>
    <t>220101</t>
  </si>
  <si>
    <t>EST. DEEP COLOR 24 TUBS</t>
  </si>
  <si>
    <t>ESDC24</t>
  </si>
  <si>
    <t>220102</t>
  </si>
  <si>
    <t>EST. DEEP ENERGY 4 TUBS</t>
  </si>
  <si>
    <t>ESDE04</t>
  </si>
  <si>
    <t>220103</t>
  </si>
  <si>
    <t>EST. DEEP ENERGY 24 TUBS</t>
  </si>
  <si>
    <t>ESDE24</t>
  </si>
  <si>
    <t>220104</t>
  </si>
  <si>
    <t>DISPENSADOR COMPLEXE T.A.</t>
  </si>
  <si>
    <t>ESDISP</t>
  </si>
  <si>
    <t>220105</t>
  </si>
  <si>
    <t>EST. DEEP REPAIR 4 TUBS</t>
  </si>
  <si>
    <t>ESDR04</t>
  </si>
  <si>
    <t>220106</t>
  </si>
  <si>
    <t>EST. DEEP REPAIR 24 TUBS</t>
  </si>
  <si>
    <t>ESDR24</t>
  </si>
  <si>
    <t>220107</t>
  </si>
  <si>
    <t>ESTUCHE HULMA T.CREMA VI</t>
  </si>
  <si>
    <t>ESHS</t>
  </si>
  <si>
    <t>220108</t>
  </si>
  <si>
    <t>ESTUCHE KINPLIS/BRUSHING</t>
  </si>
  <si>
    <t>ESKB</t>
  </si>
  <si>
    <t>220109</t>
  </si>
  <si>
    <t>ESTUCHE KINCREM CONTRAST</t>
  </si>
  <si>
    <t>ESKCCO</t>
  </si>
  <si>
    <t>220110</t>
  </si>
  <si>
    <t>EST. K.PRESTIGE ACLARANTS</t>
  </si>
  <si>
    <t>ESKPAC</t>
  </si>
  <si>
    <t>220111</t>
  </si>
  <si>
    <t>EST. KINPERM nº 0</t>
  </si>
  <si>
    <t>ESKPM0</t>
  </si>
  <si>
    <t>220112</t>
  </si>
  <si>
    <t>EST. KINPERM nº 1</t>
  </si>
  <si>
    <t>ESKPM1</t>
  </si>
  <si>
    <t>220113</t>
  </si>
  <si>
    <t>EST. KINPERM nº 2</t>
  </si>
  <si>
    <t>ESKPM2</t>
  </si>
  <si>
    <t>220114</t>
  </si>
  <si>
    <t>EST. KINPERM nº 3</t>
  </si>
  <si>
    <t>ESKPM3</t>
  </si>
  <si>
    <t>220115</t>
  </si>
  <si>
    <t>EST. KINPERM NEUTRAL.</t>
  </si>
  <si>
    <t>ESKPMN</t>
  </si>
  <si>
    <t>220116</t>
  </si>
  <si>
    <t>SEPARADOR EST. KINPERM</t>
  </si>
  <si>
    <t>ESKPMS</t>
  </si>
  <si>
    <t>220117</t>
  </si>
  <si>
    <t>EST. K.PRESTIGE NATURALS</t>
  </si>
  <si>
    <t>ESKPNA</t>
  </si>
  <si>
    <t>220118</t>
  </si>
  <si>
    <t>EST. K.P. NATURAL SIN FLECHAS</t>
  </si>
  <si>
    <t>ESKPNASF</t>
  </si>
  <si>
    <t>220119</t>
  </si>
  <si>
    <t>SEPARADOR EST. KINPERM NEUTRAL</t>
  </si>
  <si>
    <t>ESKPNS</t>
  </si>
  <si>
    <t>220120</t>
  </si>
  <si>
    <t>EST. K.PRESTIGE ROJOS</t>
  </si>
  <si>
    <t>ESKPRO</t>
  </si>
  <si>
    <t>220121</t>
  </si>
  <si>
    <t>EST. K.P ROJOS SIN FLECHAS</t>
  </si>
  <si>
    <t>ESKPROSF</t>
  </si>
  <si>
    <t>220122</t>
  </si>
  <si>
    <t>EST. NEW COLOR 2000</t>
  </si>
  <si>
    <t>ESNC2</t>
  </si>
  <si>
    <t>220123</t>
  </si>
  <si>
    <t>EST. N. COLOR GLAMOUR 1 TUB.</t>
  </si>
  <si>
    <t>ESNCGL</t>
  </si>
  <si>
    <t>220124</t>
  </si>
  <si>
    <t>EST. NORMALIZE PEELING GEL</t>
  </si>
  <si>
    <t>ESNOPG</t>
  </si>
  <si>
    <t>220125</t>
  </si>
  <si>
    <t>EST. NORMALE TONIC PURIFICANT</t>
  </si>
  <si>
    <t>ESNOTP</t>
  </si>
  <si>
    <t>220126</t>
  </si>
  <si>
    <t>EST. NUTRI-REPAIR SERUM</t>
  </si>
  <si>
    <t>ESNRSE</t>
  </si>
  <si>
    <t>220127</t>
  </si>
  <si>
    <t>EST. PacK Tratam. Anti Caida</t>
  </si>
  <si>
    <t>ESPTAC</t>
  </si>
  <si>
    <t>220128</t>
  </si>
  <si>
    <t>EST. Pack Normalize</t>
  </si>
  <si>
    <t>ESPTNO</t>
  </si>
  <si>
    <t>220129</t>
  </si>
  <si>
    <t>EST. Pack Regulize</t>
  </si>
  <si>
    <t>ESPTRE</t>
  </si>
  <si>
    <t>220130</t>
  </si>
  <si>
    <t>EST. REGULIZE MASK REGUL</t>
  </si>
  <si>
    <t>ESREMR</t>
  </si>
  <si>
    <t>220131</t>
  </si>
  <si>
    <t>EST. REGULIZE TONIC REGUL</t>
  </si>
  <si>
    <t>ESRETR</t>
  </si>
  <si>
    <t>220132</t>
  </si>
  <si>
    <t>CAJA SECADOR KIN 5000 AZUL</t>
  </si>
  <si>
    <t>ESSE5A</t>
  </si>
  <si>
    <t>220133</t>
  </si>
  <si>
    <t>EST. SENSIT MASSAGE SENSITIVE</t>
  </si>
  <si>
    <t>ESSEMS</t>
  </si>
  <si>
    <t>220134</t>
  </si>
  <si>
    <t>EST. STIM COMP TRICO-ACTIVE</t>
  </si>
  <si>
    <t>ESSTCT</t>
  </si>
  <si>
    <t>220135</t>
  </si>
  <si>
    <t>EST. STIMULANT TONIC ACTIVE</t>
  </si>
  <si>
    <t>ESSTTA</t>
  </si>
  <si>
    <t>220136</t>
  </si>
  <si>
    <t>Interior Est. L-33</t>
  </si>
  <si>
    <t>IN33</t>
  </si>
  <si>
    <t>220137</t>
  </si>
  <si>
    <t>Interior Est. Pack Tratamient</t>
  </si>
  <si>
    <t>INPTAC</t>
  </si>
  <si>
    <t>220138</t>
  </si>
  <si>
    <t>INPTCP</t>
  </si>
  <si>
    <t>220139</t>
  </si>
  <si>
    <t>Interior Est. Pack Tratam.</t>
  </si>
  <si>
    <t>INPTGC</t>
  </si>
  <si>
    <t>220140</t>
  </si>
  <si>
    <t>INPTPE</t>
  </si>
  <si>
    <t>220141</t>
  </si>
  <si>
    <t>Interior SERUM REPAIR</t>
  </si>
  <si>
    <t>INSERE</t>
  </si>
  <si>
    <t>220142</t>
  </si>
  <si>
    <t>Interior Est. COMP TRICOACTIVE</t>
  </si>
  <si>
    <t>INSTCT</t>
  </si>
  <si>
    <t>220143</t>
  </si>
  <si>
    <t>SEPARAD EST. DEEP ENERG 4 TUBS</t>
  </si>
  <si>
    <t>SEDEEN</t>
  </si>
  <si>
    <t>220144</t>
  </si>
  <si>
    <t>SEPARAD EST. DEEP REPAI 4 TUBS</t>
  </si>
  <si>
    <t>SEDERE</t>
  </si>
  <si>
    <t>220145</t>
  </si>
  <si>
    <t>SEPARAD EST. DEEP V COLOR 4 T</t>
  </si>
  <si>
    <t>SEDEVC</t>
  </si>
  <si>
    <t>220146</t>
  </si>
  <si>
    <t>Estoix KINCREM 'KF' 1.0</t>
  </si>
  <si>
    <t>ESKF10</t>
  </si>
  <si>
    <t>220147</t>
  </si>
  <si>
    <t>Estoix KINCREM 'KF' 10.0</t>
  </si>
  <si>
    <t>ESKF100</t>
  </si>
  <si>
    <t>220148</t>
  </si>
  <si>
    <t>Estoix KINCREM 'KF' 10.00</t>
  </si>
  <si>
    <t>ESKF1000</t>
  </si>
  <si>
    <t>220149</t>
  </si>
  <si>
    <t>Estoix KINCREM 'KF' 10.1</t>
  </si>
  <si>
    <t>ESKF101</t>
  </si>
  <si>
    <t>220150</t>
  </si>
  <si>
    <t>Estoix KINCREM 'KF' 10.3</t>
  </si>
  <si>
    <t>ESKF103</t>
  </si>
  <si>
    <t>220151</t>
  </si>
  <si>
    <t>Estoix KINCREM 'KF' 10.32</t>
  </si>
  <si>
    <t>ESKF1032</t>
  </si>
  <si>
    <t>220152</t>
  </si>
  <si>
    <t>Estoix KINCREM 'KF' 1.1</t>
  </si>
  <si>
    <t>ESKF11</t>
  </si>
  <si>
    <t>220153</t>
  </si>
  <si>
    <t>Estoix KINCREM 'KF' 2.0</t>
  </si>
  <si>
    <t>ESKF20</t>
  </si>
  <si>
    <t>220154</t>
  </si>
  <si>
    <t>Estoix KINCREM 'KF' 3.0</t>
  </si>
  <si>
    <t>ESKF30</t>
  </si>
  <si>
    <t>220155</t>
  </si>
  <si>
    <t>Estoix KINCREM 'KF' 3.00</t>
  </si>
  <si>
    <t>ESKF300</t>
  </si>
  <si>
    <t>220156</t>
  </si>
  <si>
    <t>Estoix KINCREM 'KF' 4.0</t>
  </si>
  <si>
    <t>ESKF40</t>
  </si>
  <si>
    <t>220157</t>
  </si>
  <si>
    <t>Estoix KINCREM 'KF' 4.00</t>
  </si>
  <si>
    <t>ESKF400</t>
  </si>
  <si>
    <t>220158</t>
  </si>
  <si>
    <t>Estoix KINCREM 'KF' 4.3</t>
  </si>
  <si>
    <t>ESKF43</t>
  </si>
  <si>
    <t>220159</t>
  </si>
  <si>
    <t>Estoix KINCREM 'KF' 5.0</t>
  </si>
  <si>
    <t>ESKF50</t>
  </si>
  <si>
    <t>220160</t>
  </si>
  <si>
    <t>Estoix KINCREM 'KF' 5.00</t>
  </si>
  <si>
    <t>ESKF500</t>
  </si>
  <si>
    <t>220161</t>
  </si>
  <si>
    <t>Estoix KINCREM 'KF' 5.1</t>
  </si>
  <si>
    <t>ESKF51</t>
  </si>
  <si>
    <t>220162</t>
  </si>
  <si>
    <t>Estoix KINCREM 'KF' 5.3</t>
  </si>
  <si>
    <t>ESKF53</t>
  </si>
  <si>
    <t>220163</t>
  </si>
  <si>
    <t>Estoix KINCREM 'KF' 6.0</t>
  </si>
  <si>
    <t>ESKF60</t>
  </si>
  <si>
    <t>220164</t>
  </si>
  <si>
    <t>Estoix KINCREM 'KF' 6.00</t>
  </si>
  <si>
    <t>ESKF600</t>
  </si>
  <si>
    <t>220165</t>
  </si>
  <si>
    <t>Estoix KINCREM 'KF' 6.1</t>
  </si>
  <si>
    <t>ESKF61</t>
  </si>
  <si>
    <t>220166</t>
  </si>
  <si>
    <t>Estoix KINCREM 'KF' 6.3</t>
  </si>
  <si>
    <t>ESKF63</t>
  </si>
  <si>
    <t>220167</t>
  </si>
  <si>
    <t>Estoix KINCREM 'KF' 6.31</t>
  </si>
  <si>
    <t>ESKF631</t>
  </si>
  <si>
    <t>220168</t>
  </si>
  <si>
    <t>Estoix KINCREM 'KF' 6.32</t>
  </si>
  <si>
    <t>ESKF632</t>
  </si>
  <si>
    <t>220169</t>
  </si>
  <si>
    <t>Estoix KINCREM 'KF' 6.34</t>
  </si>
  <si>
    <t>ESKF634</t>
  </si>
  <si>
    <t>220170</t>
  </si>
  <si>
    <t>Estoix KINCREM 'KF' 7.0</t>
  </si>
  <si>
    <t>ESKF70</t>
  </si>
  <si>
    <t>220171</t>
  </si>
  <si>
    <t>Estoix KINCREM 'KF' 7.00</t>
  </si>
  <si>
    <t>ESKF700</t>
  </si>
  <si>
    <t>220172</t>
  </si>
  <si>
    <t>Estoix KINCREM 'KF' 7.01</t>
  </si>
  <si>
    <t>ESKF701</t>
  </si>
  <si>
    <t>220173</t>
  </si>
  <si>
    <t>Estoix KINCREM 'KF' 7.1</t>
  </si>
  <si>
    <t>ESKF71</t>
  </si>
  <si>
    <t>220174</t>
  </si>
  <si>
    <t>Estoix KINCREM 'KF' 7.3</t>
  </si>
  <si>
    <t>ESKF73</t>
  </si>
  <si>
    <t>220175</t>
  </si>
  <si>
    <t>Estoix KINCREM 'KF' 7.31</t>
  </si>
  <si>
    <t>ESKF731</t>
  </si>
  <si>
    <t>220176</t>
  </si>
  <si>
    <t>Estoix KINCREM 'KF' 7.32</t>
  </si>
  <si>
    <t>ESKF732</t>
  </si>
  <si>
    <t>220177</t>
  </si>
  <si>
    <t>Estoix KINCREM 'KF' 7.33</t>
  </si>
  <si>
    <t>ESKF733</t>
  </si>
  <si>
    <t>220178</t>
  </si>
  <si>
    <t>Estoix KINCREM 'KF' 7.34</t>
  </si>
  <si>
    <t>ESKF734</t>
  </si>
  <si>
    <t>220179</t>
  </si>
  <si>
    <t>Estoix KINCREM 'KF' 8.0</t>
  </si>
  <si>
    <t>ESKF80</t>
  </si>
  <si>
    <t>220180</t>
  </si>
  <si>
    <t>Estoix KINCREM 'KF' 8.00</t>
  </si>
  <si>
    <t>ESKF800</t>
  </si>
  <si>
    <t>220181</t>
  </si>
  <si>
    <t>Estoix KINCREM 'KF' 8.01</t>
  </si>
  <si>
    <t>ESKF801</t>
  </si>
  <si>
    <t>220182</t>
  </si>
  <si>
    <t>Estoix KINCREM 'KF' 8.1</t>
  </si>
  <si>
    <t>ESKF81</t>
  </si>
  <si>
    <t>220183</t>
  </si>
  <si>
    <t>Estoix KINCREM 'KF' 8.3</t>
  </si>
  <si>
    <t>ESKF83</t>
  </si>
  <si>
    <t>220184</t>
  </si>
  <si>
    <t>Estoix KINCREM 'KF' 8.31</t>
  </si>
  <si>
    <t>ESKF831</t>
  </si>
  <si>
    <t>220185</t>
  </si>
  <si>
    <t>Estoix KINCREM 'KF' 8.32</t>
  </si>
  <si>
    <t>ESKF832</t>
  </si>
  <si>
    <t>220186</t>
  </si>
  <si>
    <t>Estoix KINCREM 'KF' 8.33</t>
  </si>
  <si>
    <t>ESKF833</t>
  </si>
  <si>
    <t>220187</t>
  </si>
  <si>
    <t>Estoix KINCREM 'KF' 8.34</t>
  </si>
  <si>
    <t>ESKF834</t>
  </si>
  <si>
    <t>220188</t>
  </si>
  <si>
    <t>Estoix KINCREM 'KF' 9.0</t>
  </si>
  <si>
    <t>ESKF90</t>
  </si>
  <si>
    <t>220189</t>
  </si>
  <si>
    <t>Estoix KINCREM 'KF' 9.00</t>
  </si>
  <si>
    <t>ESKF900</t>
  </si>
  <si>
    <t>220190</t>
  </si>
  <si>
    <t>Estoix KINCREM 'KF' 9.01</t>
  </si>
  <si>
    <t>ESKF901</t>
  </si>
  <si>
    <t>220191</t>
  </si>
  <si>
    <t>Estoix KINCREM 'KF' 9.1</t>
  </si>
  <si>
    <t>ESKF91</t>
  </si>
  <si>
    <t>220192</t>
  </si>
  <si>
    <t>Estoix KINCREM 'KF' 9.12</t>
  </si>
  <si>
    <t>ESKF912</t>
  </si>
  <si>
    <t>220193</t>
  </si>
  <si>
    <t>Estoix KINCREM 'KF' 9.3</t>
  </si>
  <si>
    <t>ESKF93</t>
  </si>
  <si>
    <t>220194</t>
  </si>
  <si>
    <t>Estoix KINCREM 'KF' 9.31</t>
  </si>
  <si>
    <t>ESKF931</t>
  </si>
  <si>
    <t>220195</t>
  </si>
  <si>
    <t>Estoix KINCREM 'KF' 9.32</t>
  </si>
  <si>
    <t>ESKF932</t>
  </si>
  <si>
    <t>220196</t>
  </si>
  <si>
    <t>Estoix KINCREM 'KF' 9.9</t>
  </si>
  <si>
    <t>ESKF99</t>
  </si>
  <si>
    <t>220197</t>
  </si>
  <si>
    <t>Estoix KINCR. KF BASICS anonim</t>
  </si>
  <si>
    <t>ESKFBA</t>
  </si>
  <si>
    <t>220198</t>
  </si>
  <si>
    <t>Estoix KINCREM 'KF' M/00</t>
  </si>
  <si>
    <t>ESKFM00</t>
  </si>
  <si>
    <t>220199</t>
  </si>
  <si>
    <t>Estoix KINCREM 'KF' M/66</t>
  </si>
  <si>
    <t>ESKFM66</t>
  </si>
  <si>
    <t>220200</t>
  </si>
  <si>
    <t>Estoix KINCREM 'KF' M/77</t>
  </si>
  <si>
    <t>ESKFM77</t>
  </si>
  <si>
    <t>220201</t>
  </si>
  <si>
    <t>Estoix KINCREM 'KF' 11.0</t>
  </si>
  <si>
    <t>ESKF110</t>
  </si>
  <si>
    <t>220202</t>
  </si>
  <si>
    <t>Estoix KINCREM 'KF' 11.1</t>
  </si>
  <si>
    <t>ESKF111</t>
  </si>
  <si>
    <t>220203</t>
  </si>
  <si>
    <t>Estoix KINCREM 'KF' 11.12</t>
  </si>
  <si>
    <t>ESKF1112</t>
  </si>
  <si>
    <t>220204</t>
  </si>
  <si>
    <t>Estoix KINCREM 'KF' 11.32</t>
  </si>
  <si>
    <t>ESKF1132</t>
  </si>
  <si>
    <t>220205</t>
  </si>
  <si>
    <t>Estoix KINCREM 'KF' 12.0</t>
  </si>
  <si>
    <t>ESKF120</t>
  </si>
  <si>
    <t>220206</t>
  </si>
  <si>
    <t>Estoix KINCREM 'KF' 12.1</t>
  </si>
  <si>
    <t>ESKF121</t>
  </si>
  <si>
    <t>220207</t>
  </si>
  <si>
    <t>Estoix KINCR. KF BLONDES anoni</t>
  </si>
  <si>
    <t>ESKFBL</t>
  </si>
  <si>
    <t>220208</t>
  </si>
  <si>
    <t>Estoix KINCREM 'KF' 3.5</t>
  </si>
  <si>
    <t>ESKF35</t>
  </si>
  <si>
    <t>220209</t>
  </si>
  <si>
    <t>Estoix KINCREM 'KF' 4.42</t>
  </si>
  <si>
    <t>ESKF442</t>
  </si>
  <si>
    <t>220210</t>
  </si>
  <si>
    <t>Estoix KINCREM 'KF' 4.5</t>
  </si>
  <si>
    <t>ESKF45</t>
  </si>
  <si>
    <t>220211</t>
  </si>
  <si>
    <t>Estoix KINCREM 'KF' 4.50</t>
  </si>
  <si>
    <t>ESKF450</t>
  </si>
  <si>
    <t>220212</t>
  </si>
  <si>
    <t>Estoix KINCREM 'KF' 4.51</t>
  </si>
  <si>
    <t>ESKF451</t>
  </si>
  <si>
    <t>220213</t>
  </si>
  <si>
    <t>Estoix KINCREM 'KF' 4.53</t>
  </si>
  <si>
    <t>ESKF453</t>
  </si>
  <si>
    <t>220214</t>
  </si>
  <si>
    <t>Estoix KINCREM 'KF' 5.4</t>
  </si>
  <si>
    <t>ESKF54</t>
  </si>
  <si>
    <t>220215</t>
  </si>
  <si>
    <t>Estoix KINCREM 'KF' 5.45</t>
  </si>
  <si>
    <t>ESKF545</t>
  </si>
  <si>
    <t>220216</t>
  </si>
  <si>
    <t>Estoix KINCREM 'KF' 5.5</t>
  </si>
  <si>
    <t>ESKF55</t>
  </si>
  <si>
    <t>220217</t>
  </si>
  <si>
    <t>Estoix KINCREM 'KF' 5.50</t>
  </si>
  <si>
    <t>ESKF550</t>
  </si>
  <si>
    <t>220218</t>
  </si>
  <si>
    <t>Estoix KINCREM 'KF' 5.51</t>
  </si>
  <si>
    <t>ESKF551</t>
  </si>
  <si>
    <t>220219</t>
  </si>
  <si>
    <t>Estoix KINCREM 'KF' 5.52</t>
  </si>
  <si>
    <t>ESKF552</t>
  </si>
  <si>
    <t>220220</t>
  </si>
  <si>
    <t>Estoix KINCREM 'KF' 5.53</t>
  </si>
  <si>
    <t>ESKF553</t>
  </si>
  <si>
    <t>220221</t>
  </si>
  <si>
    <t>Estoix KINCREM 'KF' 6.42</t>
  </si>
  <si>
    <t>ESKF642</t>
  </si>
  <si>
    <t>220222</t>
  </si>
  <si>
    <t>Estoix KINCREM 'KF' 6.43</t>
  </si>
  <si>
    <t>ESKF643</t>
  </si>
  <si>
    <t>220223</t>
  </si>
  <si>
    <t>Estoix KINCREM 'KF' 6.44</t>
  </si>
  <si>
    <t>ESKF644</t>
  </si>
  <si>
    <t>220224</t>
  </si>
  <si>
    <t>Estoix KINCREM 'KF' 6.45</t>
  </si>
  <si>
    <t>ESKF645</t>
  </si>
  <si>
    <t>220225</t>
  </si>
  <si>
    <t>Estoix KINCREM 'KF' 6.5</t>
  </si>
  <si>
    <t>ESKF65</t>
  </si>
  <si>
    <t>220226</t>
  </si>
  <si>
    <t>Estoix KINCREM 'KF' 6.50</t>
  </si>
  <si>
    <t>ESKF650</t>
  </si>
  <si>
    <t>220227</t>
  </si>
  <si>
    <t>Estoix KINCREM 'KF' 6.51</t>
  </si>
  <si>
    <t>ESKF651</t>
  </si>
  <si>
    <t>220228</t>
  </si>
  <si>
    <t>Estoix KINCREM 'KF' 6.52</t>
  </si>
  <si>
    <t>ESKF652</t>
  </si>
  <si>
    <t>220229</t>
  </si>
  <si>
    <t>Estoix KINCREM 'KF' 6.53</t>
  </si>
  <si>
    <t>ESKF653</t>
  </si>
  <si>
    <t>220230</t>
  </si>
  <si>
    <t>Estoix KINCREM 'KF' 6.54</t>
  </si>
  <si>
    <t>ESKF654</t>
  </si>
  <si>
    <t>220231</t>
  </si>
  <si>
    <t>Estoix KINCREM 'KF' 7.4</t>
  </si>
  <si>
    <t>ESKF74</t>
  </si>
  <si>
    <t>220232</t>
  </si>
  <si>
    <t>Estoix KINCREM 'KF' 7.44</t>
  </si>
  <si>
    <t>ESKF744</t>
  </si>
  <si>
    <t>220233</t>
  </si>
  <si>
    <t>Estoix KINCREM 'KF' 7.45</t>
  </si>
  <si>
    <t>ESKF745</t>
  </si>
  <si>
    <t>220234</t>
  </si>
  <si>
    <t>Estoix KINCREM 'KF' 7.5</t>
  </si>
  <si>
    <t>ESKF75</t>
  </si>
  <si>
    <t>220235</t>
  </si>
  <si>
    <t>Estoix KINCREM 'KF' 7.50</t>
  </si>
  <si>
    <t>ESKF750</t>
  </si>
  <si>
    <t>220236</t>
  </si>
  <si>
    <t>Estoix KINCREM 'KF' 7.51</t>
  </si>
  <si>
    <t>ESKF751</t>
  </si>
  <si>
    <t>220237</t>
  </si>
  <si>
    <t>Estoix KINCREM 'KF' 7.52</t>
  </si>
  <si>
    <t>ESKF752</t>
  </si>
  <si>
    <t>220238</t>
  </si>
  <si>
    <t>Estoix KINCREM 'KF' 7.53</t>
  </si>
  <si>
    <t>ESKF753</t>
  </si>
  <si>
    <t>220239</t>
  </si>
  <si>
    <t>Estoix KINCREM 'KF' 8.43</t>
  </si>
  <si>
    <t>ESKF843</t>
  </si>
  <si>
    <t>220240</t>
  </si>
  <si>
    <t>Estoix KINCREM 'KF' 8.44</t>
  </si>
  <si>
    <t>ESKF844</t>
  </si>
  <si>
    <t>220241</t>
  </si>
  <si>
    <t>Estoix KINCREM 'KF' 8.45</t>
  </si>
  <si>
    <t>ESKF845</t>
  </si>
  <si>
    <t>220242</t>
  </si>
  <si>
    <t>Estoix KINCREM 'KF' 8.51</t>
  </si>
  <si>
    <t>ESKF851</t>
  </si>
  <si>
    <t>220243</t>
  </si>
  <si>
    <t>Estoix KINCREM 'KF' 8.53</t>
  </si>
  <si>
    <t>ESKF853</t>
  </si>
  <si>
    <t>220244</t>
  </si>
  <si>
    <t>Estoix KINCREM 'KF' 8.54</t>
  </si>
  <si>
    <t>ESKF854</t>
  </si>
  <si>
    <t>220245</t>
  </si>
  <si>
    <t>Estoix KINCREM KF BROWN anonim</t>
  </si>
  <si>
    <t>ESKFBR</t>
  </si>
  <si>
    <t>220246</t>
  </si>
  <si>
    <t>Estoix KINCREM 'KF' 4.67</t>
  </si>
  <si>
    <t>ESKF467</t>
  </si>
  <si>
    <t>220247</t>
  </si>
  <si>
    <t>Estoix KINCREM 'KF' 4.77</t>
  </si>
  <si>
    <t>ESKF477</t>
  </si>
  <si>
    <t>220248</t>
  </si>
  <si>
    <t>Estoix KINCREM 'KF' 5.66</t>
  </si>
  <si>
    <t>ESKF566</t>
  </si>
  <si>
    <t>220249</t>
  </si>
  <si>
    <t>Estoix KINCREM 'KF' 5.67</t>
  </si>
  <si>
    <t>ESKF567</t>
  </si>
  <si>
    <t>220250</t>
  </si>
  <si>
    <t>Estoix KINCREM 'KF' 5.77</t>
  </si>
  <si>
    <t>ESKF577</t>
  </si>
  <si>
    <t>220251</t>
  </si>
  <si>
    <t>Estoix KINCREM 'KF' 6.64</t>
  </si>
  <si>
    <t>ESKF664</t>
  </si>
  <si>
    <t>220252</t>
  </si>
  <si>
    <t>Estoix KINCREM 'KF' 6.66</t>
  </si>
  <si>
    <t>ESKF666</t>
  </si>
  <si>
    <t>220253</t>
  </si>
  <si>
    <t>Estoix KINCREM 'KF' 6.67</t>
  </si>
  <si>
    <t>ESKF667</t>
  </si>
  <si>
    <t>220254</t>
  </si>
  <si>
    <t>Estoix KINCREM 'KF' 6.77</t>
  </si>
  <si>
    <t>ESKF677</t>
  </si>
  <si>
    <t>220255</t>
  </si>
  <si>
    <t>Estoix KINCREM 'KF' 7.64</t>
  </si>
  <si>
    <t>ESKF764</t>
  </si>
  <si>
    <t>220256</t>
  </si>
  <si>
    <t>Estoix KINCREM 'KF' 7.66</t>
  </si>
  <si>
    <t>ESKF766</t>
  </si>
  <si>
    <t>220257</t>
  </si>
  <si>
    <t>Estoix KINCREM 'KF' 7.67</t>
  </si>
  <si>
    <t>ESKF767</t>
  </si>
  <si>
    <t>220258</t>
  </si>
  <si>
    <t>Estoix KINCREM 'KF' 7.77</t>
  </si>
  <si>
    <t>ESKF777</t>
  </si>
  <si>
    <t>220259</t>
  </si>
  <si>
    <t>Estoix KINCREM 'KF' 8.64</t>
  </si>
  <si>
    <t>ESKF864</t>
  </si>
  <si>
    <t>220260</t>
  </si>
  <si>
    <t>Estoix KINCR.  KF ROUGES anoni</t>
  </si>
  <si>
    <t>ESKFRO</t>
  </si>
  <si>
    <t>CAIXA 220261 KINMEN SHAMPOOS</t>
  </si>
  <si>
    <t>CEK001</t>
  </si>
  <si>
    <t>0000002202617</t>
  </si>
  <si>
    <t>CAIXA 220262 KINMEN TONICS</t>
  </si>
  <si>
    <t>CEK002</t>
  </si>
  <si>
    <t>0000002202624</t>
  </si>
  <si>
    <t>CAIXA 220263 KINMEN WET GEL</t>
  </si>
  <si>
    <t>CEK003</t>
  </si>
  <si>
    <t>0000002202631</t>
  </si>
  <si>
    <t>CAIXA 220264 KINMEN TARRO 75</t>
  </si>
  <si>
    <t>CEK004</t>
  </si>
  <si>
    <t>0000002202648</t>
  </si>
  <si>
    <t>CAIXA 220265 KINMEN POWER JELL</t>
  </si>
  <si>
    <t>CEK005</t>
  </si>
  <si>
    <t>0000002202655</t>
  </si>
  <si>
    <t>220266</t>
  </si>
  <si>
    <t>EST. KINMEN TONIC  PURITY</t>
  </si>
  <si>
    <t>ESKMTOPU</t>
  </si>
  <si>
    <t>220267</t>
  </si>
  <si>
    <t>EST. KINMEN TONIC FORCE</t>
  </si>
  <si>
    <t>ESKMTOFO</t>
  </si>
  <si>
    <t>CAIXA SPRAY SUNCARE"coll gran</t>
  </si>
  <si>
    <t>CE139</t>
  </si>
  <si>
    <t>0000002202686</t>
  </si>
  <si>
    <t>CAIXA 220269 TARRO 900</t>
  </si>
  <si>
    <t>0000002202693</t>
  </si>
  <si>
    <t>CAIXA 220270 KINBLOND SOBRES 24</t>
  </si>
  <si>
    <t>0000002202709</t>
  </si>
  <si>
    <t>220271</t>
  </si>
  <si>
    <t>CAIXA 220271 KA SHAMPO 250</t>
  </si>
  <si>
    <t>0000002202716</t>
  </si>
  <si>
    <t>caixa 220272 ka shampoo 1000NO COMPRA MES</t>
  </si>
  <si>
    <t>0000002202723</t>
  </si>
  <si>
    <t>CAIXA 220273 KA 200 FLIP-TOP</t>
  </si>
  <si>
    <t>0000002202730</t>
  </si>
  <si>
    <t>CAIXA 220274 KA 200 VALVULA SP</t>
  </si>
  <si>
    <t>0000002202747</t>
  </si>
  <si>
    <t>CAIXA 220275 KA TARRO 200</t>
  </si>
  <si>
    <t>0000002202754</t>
  </si>
  <si>
    <t>220276</t>
  </si>
  <si>
    <t>CAIXA 220276 ANULADA</t>
  </si>
  <si>
    <t>CAIXA 220277 KA EST. 24 x 18</t>
  </si>
  <si>
    <t>0000002202778</t>
  </si>
  <si>
    <t>CAIXA 220278 KA TUBO/ AIRLESS</t>
  </si>
  <si>
    <t>0000002202785</t>
  </si>
  <si>
    <t>220279</t>
  </si>
  <si>
    <t>CAIXA 220279 ANULADA</t>
  </si>
  <si>
    <t>CAIXA 220280 KA AIRLESS 50 ML.</t>
  </si>
  <si>
    <t>0000002202808</t>
  </si>
  <si>
    <t>CAIXA 220281 KA BOT. 150 ML.</t>
  </si>
  <si>
    <t>0000002202815</t>
  </si>
  <si>
    <t>CAIXA 220282 KA EST. TONIC 150</t>
  </si>
  <si>
    <t>000000220282</t>
  </si>
  <si>
    <t>CAIXA 220283 KA EST TUB 6 x 50</t>
  </si>
  <si>
    <t>0000002202839</t>
  </si>
  <si>
    <t>CAIXA 220284 KA COMPLEXE</t>
  </si>
  <si>
    <t>0000002202846</t>
  </si>
  <si>
    <t>220285</t>
  </si>
  <si>
    <t>BANDEJA 12 VIALES "COMPL.T.ACT</t>
  </si>
  <si>
    <t>220286</t>
  </si>
  <si>
    <t>ESTOIG  24 TUB. INJECTOR COLOR</t>
  </si>
  <si>
    <t>220287</t>
  </si>
  <si>
    <t>ESTOIG  24 TUB.INJECTOR ENERGY</t>
  </si>
  <si>
    <t>220288</t>
  </si>
  <si>
    <t>ESTOIG  24 TUB.INJECTOR NUTRI</t>
  </si>
  <si>
    <t>220289</t>
  </si>
  <si>
    <t>ESTOIG TARRO MASK COLOR</t>
  </si>
  <si>
    <t>220290</t>
  </si>
  <si>
    <t>ESTOIG TARRO MASK CURL</t>
  </si>
  <si>
    <t>220291</t>
  </si>
  <si>
    <t>ESTOIG  TARRO MASK ENERGY</t>
  </si>
  <si>
    <t>220292</t>
  </si>
  <si>
    <t>ESTOIG  TARRO MASK LISS</t>
  </si>
  <si>
    <t>220293</t>
  </si>
  <si>
    <t>ESTOIG  TARRO MASK NUTRI</t>
  </si>
  <si>
    <t>220294</t>
  </si>
  <si>
    <t>ESTOIG AIRLESS 50 ml. SERUM</t>
  </si>
  <si>
    <t>220295</t>
  </si>
  <si>
    <t>ESTOIG TONIC FORCE KAE</t>
  </si>
  <si>
    <t>220296</t>
  </si>
  <si>
    <t>ESTOIG TONIC PURITY KAE</t>
  </si>
  <si>
    <t>220297</t>
  </si>
  <si>
    <t>ESTOIG  TONIC BALANCE KAE</t>
  </si>
  <si>
    <t>220298</t>
  </si>
  <si>
    <t>ESTOIG  "6 tub" GEL PURITY</t>
  </si>
  <si>
    <t>220299</t>
  </si>
  <si>
    <t>ESTOIG  "6 tub" CLAY BALANCE</t>
  </si>
  <si>
    <t>220300</t>
  </si>
  <si>
    <t>ESTOIG  "6 tub" MASSAGE CALM</t>
  </si>
  <si>
    <t>220301</t>
  </si>
  <si>
    <t>EST.MARFIL  "COMPLEXE T.ACTIVE"</t>
  </si>
  <si>
    <t>220302</t>
  </si>
  <si>
    <t>ESTOIG  PACK ANTICAIDA 2010</t>
  </si>
  <si>
    <t>220303</t>
  </si>
  <si>
    <t>INTERIOR CAJA PACK  KA FORCE 2015</t>
  </si>
  <si>
    <t>CAIXA 220304 LOT ANTICAID.2010</t>
  </si>
  <si>
    <t>0000002203041</t>
  </si>
  <si>
    <t>220370</t>
  </si>
  <si>
    <t>ESTOIG  PACK SUNCARE 2011</t>
  </si>
  <si>
    <t>CAIXA 220372 KINLISS</t>
  </si>
  <si>
    <t>0000002203720</t>
  </si>
  <si>
    <t>220375</t>
  </si>
  <si>
    <t>Estoix KINCREM 'CRK' 1.0</t>
  </si>
  <si>
    <t>220376</t>
  </si>
  <si>
    <t>Estoix KINCREM 'CRK' 2.0</t>
  </si>
  <si>
    <t>220377</t>
  </si>
  <si>
    <t>Estoix KINCREM 'CRK' 3.0</t>
  </si>
  <si>
    <t>220378</t>
  </si>
  <si>
    <t>Estoix KINCREM 'CRK' 4.0</t>
  </si>
  <si>
    <t>220379</t>
  </si>
  <si>
    <t>Estoix KINCREM 'CRK' 5.0</t>
  </si>
  <si>
    <t>220380</t>
  </si>
  <si>
    <t>Estoix KINCREM 'CRK' 6.0</t>
  </si>
  <si>
    <t>220381</t>
  </si>
  <si>
    <t>Estoix KINCREM 'CRK' 7.0</t>
  </si>
  <si>
    <t>220382</t>
  </si>
  <si>
    <t>Estoix KINCREM 'CRK' 8.0</t>
  </si>
  <si>
    <t>220383</t>
  </si>
  <si>
    <t>Estoix KINCREM 'CRK' 9.0</t>
  </si>
  <si>
    <t>220384</t>
  </si>
  <si>
    <t>Estoix KINCREM 'CRK' 10.0</t>
  </si>
  <si>
    <t>220385</t>
  </si>
  <si>
    <t>Estoix KINCREM 'CRK' 3.00</t>
  </si>
  <si>
    <t>220386</t>
  </si>
  <si>
    <t>Estoix KINCREM 'CRK' 4.00</t>
  </si>
  <si>
    <t>220387</t>
  </si>
  <si>
    <t>Estoix KINCREM 'CRK' 5.00</t>
  </si>
  <si>
    <t>220388</t>
  </si>
  <si>
    <t>Estoix KINCREM 'CRK' 6.00</t>
  </si>
  <si>
    <t>220389</t>
  </si>
  <si>
    <t>Estoix KINCREM 'CRK' 7.00</t>
  </si>
  <si>
    <t>220390</t>
  </si>
  <si>
    <t>Estoix KINCREM 'CRK' 8.00</t>
  </si>
  <si>
    <t>220391</t>
  </si>
  <si>
    <t>Estoix KINCREM 'CRK' 9.00</t>
  </si>
  <si>
    <t>220392</t>
  </si>
  <si>
    <t>Estoix KINCREM 'CRK' 10.00</t>
  </si>
  <si>
    <t>220393</t>
  </si>
  <si>
    <t>Estoix KINCREM 'CRK' CN/ 3.0</t>
  </si>
  <si>
    <t>220394</t>
  </si>
  <si>
    <t>Estoix KINCREM 'CRK' CN/ 4.0</t>
  </si>
  <si>
    <t>220395</t>
  </si>
  <si>
    <t>Estoix KINCREM 'CRK' CN/ 5.0</t>
  </si>
  <si>
    <t>220396</t>
  </si>
  <si>
    <t>Estoix KINCREM 'CRK' CN/ 6.0</t>
  </si>
  <si>
    <t>220397</t>
  </si>
  <si>
    <t>Estoix KINCREM 'CRK' CN/ 7.0</t>
  </si>
  <si>
    <t>220398</t>
  </si>
  <si>
    <t>Estoix KINCREM 'CRK' CN/  8.0</t>
  </si>
  <si>
    <t>220399</t>
  </si>
  <si>
    <t>Estoix KINCREM 'CRK' CN/ 9.0</t>
  </si>
  <si>
    <t>220400</t>
  </si>
  <si>
    <t>Estoix KINCREM 'CRK' CN/ 10.0</t>
  </si>
  <si>
    <t>220401</t>
  </si>
  <si>
    <t>Estoix KINCREM 'CRK' CN/ 3.00</t>
  </si>
  <si>
    <t>220402</t>
  </si>
  <si>
    <t>Estoix KINCREM 'CRK' CN/ 4.00</t>
  </si>
  <si>
    <t>220403</t>
  </si>
  <si>
    <t>Estoix KINCREM 'CRK' CN/ 5.00</t>
  </si>
  <si>
    <t>220404</t>
  </si>
  <si>
    <t>Estoix KINCREM 'CRK' CN/ 6.00</t>
  </si>
  <si>
    <t>220405</t>
  </si>
  <si>
    <t>Estoix KINCREM 'CRK' CN/ 7.00</t>
  </si>
  <si>
    <t>220406</t>
  </si>
  <si>
    <t>Estoix KINCREM 'CRK' CN/ 8.00</t>
  </si>
  <si>
    <t>220407</t>
  </si>
  <si>
    <t>Estoix KINCREM 'CRK' CN/ 9.00</t>
  </si>
  <si>
    <t>220408</t>
  </si>
  <si>
    <t>Estoix KINCREM 'CRK' CN/ 10.00</t>
  </si>
  <si>
    <t>230001</t>
  </si>
  <si>
    <t>OBTURAD BO. PERM.CLASIC 500 ML</t>
  </si>
  <si>
    <t>AVOPC5</t>
  </si>
  <si>
    <t>230002</t>
  </si>
  <si>
    <t>DISCO TARRO STYLIUM 250 ML.</t>
  </si>
  <si>
    <t>DITS25</t>
  </si>
  <si>
    <t>230003</t>
  </si>
  <si>
    <t>GOTEADOR COMPLEXE TRICOACTIVE</t>
  </si>
  <si>
    <t>GOCOTA</t>
  </si>
  <si>
    <t>CV17</t>
  </si>
  <si>
    <t>230004</t>
  </si>
  <si>
    <t>OBTURADOR STICK 50 ml.</t>
  </si>
  <si>
    <t>OBST50</t>
  </si>
  <si>
    <t>230005</t>
  </si>
  <si>
    <t>OBTURADOR STICK 75 ml.</t>
  </si>
  <si>
    <t>OBST75</t>
  </si>
  <si>
    <t>230006</t>
  </si>
  <si>
    <t>TAPON FCO. 120 ML GRAF. NEGRO</t>
  </si>
  <si>
    <t>AVT12N</t>
  </si>
  <si>
    <t>230007</t>
  </si>
  <si>
    <t>TAPON 1 LT. AZUL KIN</t>
  </si>
  <si>
    <t>AVT1AK</t>
  </si>
  <si>
    <t>230008</t>
  </si>
  <si>
    <t>TAPON 1 LT. NEGRO KIN K-28</t>
  </si>
  <si>
    <t>AVT1NK</t>
  </si>
  <si>
    <t>230009</t>
  </si>
  <si>
    <t>TAPON 1 LT. BOT. SEDINOR</t>
  </si>
  <si>
    <t>AVT1SE</t>
  </si>
  <si>
    <t>230010</t>
  </si>
  <si>
    <t>TAPON 60 ML. AZUL KIN</t>
  </si>
  <si>
    <t>AVT6AK</t>
  </si>
  <si>
    <t>230011</t>
  </si>
  <si>
    <t>TAPA BOT. FIXING-TOUCHING</t>
  </si>
  <si>
    <t>AVTAFX</t>
  </si>
  <si>
    <t>230012</t>
  </si>
  <si>
    <t>TAPON GFA 5 LTS. ROJO(anul.lat</t>
  </si>
  <si>
    <t>AVTAG5</t>
  </si>
  <si>
    <t>230013</t>
  </si>
  <si>
    <t>TAPON GELES TUBO</t>
  </si>
  <si>
    <t>AVTAGO</t>
  </si>
  <si>
    <t>230014</t>
  </si>
  <si>
    <t>TAPON CANULA KINPERM</t>
  </si>
  <si>
    <t>AVTCAP</t>
  </si>
  <si>
    <t>230015</t>
  </si>
  <si>
    <t>TAPON CANULA TRANSP. (KAR)</t>
  </si>
  <si>
    <t>AVTCAT</t>
  </si>
  <si>
    <t>230016</t>
  </si>
  <si>
    <t>TAPON BOT. NEW COLOR REFLECS</t>
  </si>
  <si>
    <t>AVTNCR</t>
  </si>
  <si>
    <t>230017</t>
  </si>
  <si>
    <t>TAPON PERMANENT CLASIC 500</t>
  </si>
  <si>
    <t>AVTPC5</t>
  </si>
  <si>
    <t>230018</t>
  </si>
  <si>
    <t>TAPON PUSH-PULL GRIS</t>
  </si>
  <si>
    <t>AVTPPG</t>
  </si>
  <si>
    <t>230019</t>
  </si>
  <si>
    <t>TAPA TARRO KINBLOND (VELL)</t>
  </si>
  <si>
    <t>AVTTKB</t>
  </si>
  <si>
    <t>230020</t>
  </si>
  <si>
    <t>Gotero Bot. Color Vibrance</t>
  </si>
  <si>
    <t>GOCOVI</t>
  </si>
  <si>
    <t>230021</t>
  </si>
  <si>
    <t>tap precinto gf 5 Lts apilable</t>
  </si>
  <si>
    <t>TAG5AP</t>
  </si>
  <si>
    <t>230022</t>
  </si>
  <si>
    <t>TAPON 1 LITRO FLIP TOP EST.UNI</t>
  </si>
  <si>
    <t>TP1FLT</t>
  </si>
  <si>
    <t>230023</t>
  </si>
  <si>
    <t>TAPON 1 LITRO TRANSP. KIN</t>
  </si>
  <si>
    <t>TP1TRK</t>
  </si>
  <si>
    <t>9-R-01116000</t>
  </si>
  <si>
    <t>230024</t>
  </si>
  <si>
    <t>TAPA TAR CRYSTAL JELLY 250 ml.</t>
  </si>
  <si>
    <t>TPCJ25</t>
  </si>
  <si>
    <t>230025</t>
  </si>
  <si>
    <t>TAPON BOT. COLOR REMOVER</t>
  </si>
  <si>
    <t>TPCORE</t>
  </si>
  <si>
    <t>230026</t>
  </si>
  <si>
    <t>TAPA TARRO COLOR SCREEN 75 ml.</t>
  </si>
  <si>
    <t>TPCOSC</t>
  </si>
  <si>
    <t>230027</t>
  </si>
  <si>
    <t>Tapón Fco COMPL TRICO-ACTIVE</t>
  </si>
  <si>
    <t>TPCOTA</t>
  </si>
  <si>
    <t>230028</t>
  </si>
  <si>
    <t>Tap Bot. Color Vibrance</t>
  </si>
  <si>
    <t>TPCOVI</t>
  </si>
  <si>
    <t>230029</t>
  </si>
  <si>
    <t>TAPA TARRO CRYSTAL JELLY 75 ml</t>
  </si>
  <si>
    <t>TPCRJE</t>
  </si>
  <si>
    <t>230030</t>
  </si>
  <si>
    <t>Tapón DISC-TOP Blanc Col Shamp</t>
  </si>
  <si>
    <t>TPCSBL</t>
  </si>
  <si>
    <t>230031</t>
  </si>
  <si>
    <t>TAPON BOT. 60/ 120 ml. 'GL'</t>
  </si>
  <si>
    <t>TPDE12</t>
  </si>
  <si>
    <t>230032</t>
  </si>
  <si>
    <t>TAPA TARRO DEFINER (Groc)</t>
  </si>
  <si>
    <t>TPDEFI</t>
  </si>
  <si>
    <t>230033</t>
  </si>
  <si>
    <t>TAPA TARRO FIBER (Violeta)</t>
  </si>
  <si>
    <t>TPFIBE</t>
  </si>
  <si>
    <t>230034</t>
  </si>
  <si>
    <t>TAPON GARRAFA 5 LTS. BLANCO</t>
  </si>
  <si>
    <t>TPG5BL</t>
  </si>
  <si>
    <t>230035</t>
  </si>
  <si>
    <t>TAPA TARRO GLAZER (Blanc)</t>
  </si>
  <si>
    <t>TPGLAZ</t>
  </si>
  <si>
    <t>TAPON HUEVO TRANSPARENTE</t>
  </si>
  <si>
    <t>TPHUTR</t>
  </si>
  <si>
    <t>8435057056045</t>
  </si>
  <si>
    <t>230037</t>
  </si>
  <si>
    <t>TAPON BOT. 1 LT. K-28 Violeta(ojo compra)???</t>
  </si>
  <si>
    <t>TPKF10</t>
  </si>
  <si>
    <t>230038</t>
  </si>
  <si>
    <t>TAPON BOT. 60 K-20 VIOLETA KIN</t>
  </si>
  <si>
    <t>TPKF60</t>
  </si>
  <si>
    <t>230039</t>
  </si>
  <si>
    <t>TAPA TARRO LINEA KINMEN 100 ML</t>
  </si>
  <si>
    <t>TPKM10</t>
  </si>
  <si>
    <t>230040</t>
  </si>
  <si>
    <t>TAPA TARRO LINEA KINMEN 250 ML</t>
  </si>
  <si>
    <t>TPKM25</t>
  </si>
  <si>
    <t>230041</t>
  </si>
  <si>
    <t>TAPON KINMEN FLIP-TOP</t>
  </si>
  <si>
    <t>TPKMFT</t>
  </si>
  <si>
    <t>230042</t>
  </si>
  <si>
    <t>TAPA TARRO KWORKS DECO 1500 ml</t>
  </si>
  <si>
    <t>TPKWDE</t>
  </si>
  <si>
    <t>230043</t>
  </si>
  <si>
    <t>TPKWDE2</t>
  </si>
  <si>
    <t>230044</t>
  </si>
  <si>
    <t>TAPA TARRO MOULDER (Vert)</t>
  </si>
  <si>
    <t>TPMOUL</t>
  </si>
  <si>
    <t>TAPA TARRO N.REPAIR NUTRI MASK</t>
  </si>
  <si>
    <t>TPNRMA</t>
  </si>
  <si>
    <t>8435057056076</t>
  </si>
  <si>
    <t>TAPA TARRO N.REPAIR N MASK 500</t>
  </si>
  <si>
    <t>TPNRMA5</t>
  </si>
  <si>
    <t>8435057056083</t>
  </si>
  <si>
    <t>230047</t>
  </si>
  <si>
    <t>TAPON PUSH-PULL TRANSPARENTE</t>
  </si>
  <si>
    <t>TPPPTR</t>
  </si>
  <si>
    <t>230048</t>
  </si>
  <si>
    <t>TAPON + VALV AIRLES  50 ML.</t>
  </si>
  <si>
    <t>TPST50S</t>
  </si>
  <si>
    <t>230049</t>
  </si>
  <si>
    <t>TAPON STICK 50 ml. TRANSP.(anu</t>
  </si>
  <si>
    <t>TPST50T</t>
  </si>
  <si>
    <t>230050</t>
  </si>
  <si>
    <t>TAPON TUBO BISAGRA NATURAL</t>
  </si>
  <si>
    <t>TPSTBN</t>
  </si>
  <si>
    <t>TAPA TARRO VITAL COLOR C. MASK</t>
  </si>
  <si>
    <t>TPVCCM</t>
  </si>
  <si>
    <t>8435057056090</t>
  </si>
  <si>
    <t>TAPA TARR V COLOR C. MASK 500</t>
  </si>
  <si>
    <t>TPVCCM5</t>
  </si>
  <si>
    <t>8435057056106</t>
  </si>
  <si>
    <t>230053</t>
  </si>
  <si>
    <t>VASITO Bot. COLOR VIBRANCE</t>
  </si>
  <si>
    <t>VACOVI</t>
  </si>
  <si>
    <t>230054</t>
  </si>
  <si>
    <t>VALVULA NEW COLOR 2000</t>
  </si>
  <si>
    <t>AVBOMC</t>
  </si>
  <si>
    <t>230055</t>
  </si>
  <si>
    <t>CAPUCHON VALVULA THERMIC</t>
  </si>
  <si>
    <t>CATHER</t>
  </si>
  <si>
    <t>230056</t>
  </si>
  <si>
    <t>PULSADOR LACA STYLIUM 650</t>
  </si>
  <si>
    <t>PULAST</t>
  </si>
  <si>
    <t>230057</t>
  </si>
  <si>
    <t>VALVULA FCO 200 ML SPRAY TRANS</t>
  </si>
  <si>
    <t>VA200T</t>
  </si>
  <si>
    <t>VÁLVULA SH. LITRO TRANSPARENTE</t>
  </si>
  <si>
    <t>VAKA1T</t>
  </si>
  <si>
    <t>9-R-00232820</t>
  </si>
  <si>
    <t>8435057052504</t>
  </si>
  <si>
    <t>VALVULA KA EXTRACT 200  TRANSP</t>
  </si>
  <si>
    <t>VAKA2T</t>
  </si>
  <si>
    <t>8435057056052</t>
  </si>
  <si>
    <t>230060</t>
  </si>
  <si>
    <t>VALVULA KAE SUNCARE SPRAY</t>
  </si>
  <si>
    <t>VAKASU</t>
  </si>
  <si>
    <t>230061</t>
  </si>
  <si>
    <t>VALVULA LINEA  K.A.150</t>
  </si>
  <si>
    <t>VAKM15</t>
  </si>
  <si>
    <t>230062</t>
  </si>
  <si>
    <t>VALVULA KINWORKS FIXING GEL</t>
  </si>
  <si>
    <t>VAKWFG</t>
  </si>
  <si>
    <t>230063</t>
  </si>
  <si>
    <t>VALVULA KINWORKS FIXING LAC</t>
  </si>
  <si>
    <t>VAKWFL</t>
  </si>
  <si>
    <t>230064</t>
  </si>
  <si>
    <t>VALVULA KINWORK TOUCHING</t>
  </si>
  <si>
    <t>VAKWTO1</t>
  </si>
  <si>
    <t>230065</t>
  </si>
  <si>
    <t>VALVULA LACA STYLIUM 650</t>
  </si>
  <si>
    <t>VALAST</t>
  </si>
  <si>
    <t>230066</t>
  </si>
  <si>
    <t>VALVULA NEW COLOR COLOR CREAM</t>
  </si>
  <si>
    <t>VANCCC</t>
  </si>
  <si>
    <t>230067</t>
  </si>
  <si>
    <t>VALVULA SERUM REPAIR TRANSP</t>
  </si>
  <si>
    <t>VASERE</t>
  </si>
  <si>
    <t>230068</t>
  </si>
  <si>
    <t>VALVULA TARRO 1000 N REPAIR</t>
  </si>
  <si>
    <t>VATANR</t>
  </si>
  <si>
    <t>230069</t>
  </si>
  <si>
    <t>VALVULA TARRO 1000 VITAL COLOR</t>
  </si>
  <si>
    <t>VATAVC</t>
  </si>
  <si>
    <t>230070</t>
  </si>
  <si>
    <t>VALVULA THERMIC/X-TREM/SETING</t>
  </si>
  <si>
    <t>VATHER</t>
  </si>
  <si>
    <t>230071</t>
  </si>
  <si>
    <t>VALVULA XPANSOR / CURLY</t>
  </si>
  <si>
    <t>VAXPAN</t>
  </si>
  <si>
    <t>230072</t>
  </si>
  <si>
    <t>DISCO TARRO STYLIUM</t>
  </si>
  <si>
    <t>AVDITS</t>
  </si>
  <si>
    <t>230073</t>
  </si>
  <si>
    <t>DISCO TARRO KINMEN 100 ML.</t>
  </si>
  <si>
    <t>DITKM1</t>
  </si>
  <si>
    <t>230074</t>
  </si>
  <si>
    <t>DISCO TARRO KINMEN 250 ML.</t>
  </si>
  <si>
    <t>DITKM2</t>
  </si>
  <si>
    <t>230075</t>
  </si>
  <si>
    <t>TAPA+DISCO CRYSTALL JELLY 75</t>
  </si>
  <si>
    <t>TPDICRJE</t>
  </si>
  <si>
    <t>230076</t>
  </si>
  <si>
    <t>TAPA + DISCO DEFINER 75 ML.</t>
  </si>
  <si>
    <t>TPDIDEFI</t>
  </si>
  <si>
    <t>230077</t>
  </si>
  <si>
    <t>TAPA + DISCO FIBER 75 ML.</t>
  </si>
  <si>
    <t>TPDIFIBE</t>
  </si>
  <si>
    <t>230078</t>
  </si>
  <si>
    <t>TAPA + DISCO GLAZER</t>
  </si>
  <si>
    <t>TPDIGLAZ</t>
  </si>
  <si>
    <t>230079</t>
  </si>
  <si>
    <t>TAPA + DISCO MOULDER 75 ML.</t>
  </si>
  <si>
    <t>TPDIMOUL</t>
  </si>
  <si>
    <t>230080</t>
  </si>
  <si>
    <t>TAPA+DISCO CRYSTALL JELLY 250</t>
  </si>
  <si>
    <t>TPDICJ25</t>
  </si>
  <si>
    <t>230081</t>
  </si>
  <si>
    <t>VALVULA SERUM LISS 150 ML.</t>
  </si>
  <si>
    <t>230082</t>
  </si>
  <si>
    <t>VALVULA Cobre 200Prod.Bifásico</t>
  </si>
  <si>
    <t>230083</t>
  </si>
  <si>
    <t>TAPON 1 LITRO COBRE NACAR KIN</t>
  </si>
  <si>
    <t>230084</t>
  </si>
  <si>
    <t>Tapón  COMP.TRICO-ACT."FORCE"</t>
  </si>
  <si>
    <t>TA31</t>
  </si>
  <si>
    <t>230085</t>
  </si>
  <si>
    <t>TAP.BOT. AIRLESS 150 ML"EXTR."</t>
  </si>
  <si>
    <t>230086</t>
  </si>
  <si>
    <t>TAPA TARRO MASK  200 ML.</t>
  </si>
  <si>
    <t>VALVULA KAE LITRO COBRE NACAR</t>
  </si>
  <si>
    <t>9-R-00232829</t>
  </si>
  <si>
    <t>8435057057691</t>
  </si>
  <si>
    <t>230092</t>
  </si>
  <si>
    <t>TAPA TARRO MASK 900 ML KA</t>
  </si>
  <si>
    <t>230093</t>
  </si>
  <si>
    <t>TAPA VALVULA TARRO 900 ML.K.A.</t>
  </si>
  <si>
    <t>230094</t>
  </si>
  <si>
    <t>TAPON FLIP TOP COBRE/MARFIL</t>
  </si>
  <si>
    <t>230095</t>
  </si>
  <si>
    <t>TAPON FLIP TOP COBRE / BEIGE</t>
  </si>
  <si>
    <t>TAPA+VÁLVULA TARRO 900 KINACTIF</t>
  </si>
  <si>
    <t>8435057057349</t>
  </si>
  <si>
    <t>230100</t>
  </si>
  <si>
    <t>VALVULA KINLISS BLANCA</t>
  </si>
  <si>
    <t>230112</t>
  </si>
  <si>
    <t>TAPON GFA. 5 LT. NATURAL</t>
  </si>
  <si>
    <t>TAPON KINES.OLEO 10/30ML NEGRO</t>
  </si>
  <si>
    <t>TRD51</t>
  </si>
  <si>
    <t>240001</t>
  </si>
  <si>
    <t>ALAMBRE BOLSA KINBLOND</t>
  </si>
  <si>
    <t>AVABKB</t>
  </si>
  <si>
    <t>240002</t>
  </si>
  <si>
    <t>BOLSA KIN BLANC</t>
  </si>
  <si>
    <t>AVBOKB</t>
  </si>
  <si>
    <t>240003</t>
  </si>
  <si>
    <t>BOLSA NEW COLOR 2000</t>
  </si>
  <si>
    <t>AVBON2</t>
  </si>
  <si>
    <t>240004</t>
  </si>
  <si>
    <t>CUCHARA KIN BLANC</t>
  </si>
  <si>
    <t>AVCUKB</t>
  </si>
  <si>
    <t>240005</t>
  </si>
  <si>
    <t>FILTRO JARABE PLEG. 45 CMS</t>
  </si>
  <si>
    <t>FILM PEBD 240 40 MICRONS RETRA</t>
  </si>
  <si>
    <t>AVFIKP</t>
  </si>
  <si>
    <t>3845</t>
  </si>
  <si>
    <t>240007</t>
  </si>
  <si>
    <t>FILTRO NORM.PLEGADO CTE 45 CM</t>
  </si>
  <si>
    <t>240008</t>
  </si>
  <si>
    <t>FILM PVC RETRACTIL 350*17</t>
  </si>
  <si>
    <t>AVFINO</t>
  </si>
  <si>
    <t>240009</t>
  </si>
  <si>
    <t>HILO KIN BLANC</t>
  </si>
  <si>
    <t>AVFIRE</t>
  </si>
  <si>
    <t>240010</t>
  </si>
  <si>
    <t>CARCASA SECAD 5000 AZUL 230 V</t>
  </si>
  <si>
    <t>AVHIKB</t>
  </si>
  <si>
    <t>240011</t>
  </si>
  <si>
    <t>CUCHARA DECOLORANTE</t>
  </si>
  <si>
    <t>CUDECO</t>
  </si>
  <si>
    <t>T600IN</t>
  </si>
  <si>
    <t>240012</t>
  </si>
  <si>
    <t>PALET ENVASES PROVEEDOR</t>
  </si>
  <si>
    <t>PALEN</t>
  </si>
  <si>
    <t>240013</t>
  </si>
  <si>
    <t>PALETS 120 x 80 MADERA</t>
  </si>
  <si>
    <t>PALET</t>
  </si>
  <si>
    <t>240014</t>
  </si>
  <si>
    <t>PALETS 120 x 80 PLASTIC EXPORT</t>
  </si>
  <si>
    <t>PALEX</t>
  </si>
  <si>
    <t>240015</t>
  </si>
  <si>
    <t>GARRAFAS PROVEIDORS</t>
  </si>
  <si>
    <t>290001</t>
  </si>
  <si>
    <t>TUBO FASHION BAÑO COLOR</t>
  </si>
  <si>
    <t>TUFB</t>
  </si>
  <si>
    <t>290002</t>
  </si>
  <si>
    <t>TUBO KREMATIN 60 ml.</t>
  </si>
  <si>
    <t>TUTF</t>
  </si>
  <si>
    <t>290003</t>
  </si>
  <si>
    <t>TUBO KHATIONS 60 ml. (HULMA)</t>
  </si>
  <si>
    <t>TUTH</t>
  </si>
  <si>
    <t>290004</t>
  </si>
  <si>
    <t>BOT/ HULMA OXIG. 20 V.</t>
  </si>
  <si>
    <t>BOH20</t>
  </si>
  <si>
    <t>290005</t>
  </si>
  <si>
    <t>BOT/ HULMA OXIG. 30 V.</t>
  </si>
  <si>
    <t>BOH30</t>
  </si>
  <si>
    <t>290006</t>
  </si>
  <si>
    <t>BOT/ HULMA OXIG. 40 V.</t>
  </si>
  <si>
    <t>BOH40</t>
  </si>
  <si>
    <t>290007</t>
  </si>
  <si>
    <t>BOT/. HULMA PERMANENTE</t>
  </si>
  <si>
    <t>BOHPE</t>
  </si>
  <si>
    <t>290008</t>
  </si>
  <si>
    <t>BOT/. HULMA LOR-MUN</t>
  </si>
  <si>
    <t>BOHLM</t>
  </si>
  <si>
    <t>290009</t>
  </si>
  <si>
    <t>BOT/. HULMA SIAN</t>
  </si>
  <si>
    <t>BOHSI</t>
  </si>
  <si>
    <t>290010</t>
  </si>
  <si>
    <t>TUBO SPEJO'S COLOR</t>
  </si>
  <si>
    <t>TUOC</t>
  </si>
  <si>
    <t>290011</t>
  </si>
  <si>
    <t>BOT/. HULMA NEUTR. LIQUID</t>
  </si>
  <si>
    <t>BOHNL</t>
  </si>
  <si>
    <t>290012</t>
  </si>
  <si>
    <t>ESTUCHE FASHION BAÑO COLOR</t>
  </si>
  <si>
    <t>ESFB3</t>
  </si>
  <si>
    <t>290013</t>
  </si>
  <si>
    <t>ESTUCHE KREMATIN 6 TUBS.</t>
  </si>
  <si>
    <t>ESKRE6</t>
  </si>
  <si>
    <t>290014</t>
  </si>
  <si>
    <t>ESTUCHE HULMA T.CREMA II</t>
  </si>
  <si>
    <t>ESHD</t>
  </si>
  <si>
    <t>290015</t>
  </si>
  <si>
    <t>CAIXA ONOVO COLOR</t>
  </si>
  <si>
    <t>CEOC</t>
  </si>
  <si>
    <t>290016</t>
  </si>
  <si>
    <t>ESTUCHE SPEJO'S COLOR7 3 TUBS</t>
  </si>
  <si>
    <t>ESOC3</t>
  </si>
  <si>
    <t>290017</t>
  </si>
  <si>
    <t>TAPON + OBT. BOT. 1 LT. HULMA</t>
  </si>
  <si>
    <t>290018</t>
  </si>
  <si>
    <t>BOT. + TAPON HULMA REVELADOR</t>
  </si>
  <si>
    <t>290019</t>
  </si>
  <si>
    <t>ESTUCHE HULMA REFLEJOS</t>
  </si>
  <si>
    <t>290020</t>
  </si>
  <si>
    <t>FOLLETO T. CREMA HULMA</t>
  </si>
  <si>
    <t>290021</t>
  </si>
  <si>
    <t>TARRO MASCARILLA HULMA</t>
  </si>
  <si>
    <t>290022</t>
  </si>
  <si>
    <t>TUBO BAÑO HULMA</t>
  </si>
  <si>
    <t>290023</t>
  </si>
  <si>
    <t>BOT. HERBAL ACOND. ANTI-ROTURA</t>
  </si>
  <si>
    <t>BOHAAR</t>
  </si>
  <si>
    <t>290024</t>
  </si>
  <si>
    <t>BOT. HERBAL ACOND. BRILLO INT</t>
  </si>
  <si>
    <t>BOHABI</t>
  </si>
  <si>
    <t>290025</t>
  </si>
  <si>
    <t>BOT. HERBAL ACOND. C LUMIERE</t>
  </si>
  <si>
    <t>BOHACL</t>
  </si>
  <si>
    <t>290026</t>
  </si>
  <si>
    <t>BOT. HERBAL ACOND.</t>
  </si>
  <si>
    <t>BOHACN</t>
  </si>
  <si>
    <t>290027</t>
  </si>
  <si>
    <t>BOHAHR</t>
  </si>
  <si>
    <t>290028</t>
  </si>
  <si>
    <t>BOT. HERBAL ACOND. LISSE</t>
  </si>
  <si>
    <t>BOHALI</t>
  </si>
  <si>
    <t>290029</t>
  </si>
  <si>
    <t>BOHARD</t>
  </si>
  <si>
    <t>290030</t>
  </si>
  <si>
    <t>BOT. HERBAL ACOND. RIZOS</t>
  </si>
  <si>
    <t>BOHARI</t>
  </si>
  <si>
    <t>290031</t>
  </si>
  <si>
    <t>BOT. HERBAL SHAMPOO</t>
  </si>
  <si>
    <t>BOHSAR</t>
  </si>
  <si>
    <t>290032</t>
  </si>
  <si>
    <t>BOHSBI</t>
  </si>
  <si>
    <t>290033</t>
  </si>
  <si>
    <t>BOHSCL</t>
  </si>
  <si>
    <t>290034</t>
  </si>
  <si>
    <t>BOHSCN</t>
  </si>
  <si>
    <t>290035</t>
  </si>
  <si>
    <t>BOHSHR</t>
  </si>
  <si>
    <t>290036</t>
  </si>
  <si>
    <t>BOT. HERBAL SHAMPOO LISSE</t>
  </si>
  <si>
    <t>BOHSLI</t>
  </si>
  <si>
    <t>290037</t>
  </si>
  <si>
    <t>BOHSPU</t>
  </si>
  <si>
    <t>290038</t>
  </si>
  <si>
    <t>BOHSRD</t>
  </si>
  <si>
    <t>290039</t>
  </si>
  <si>
    <t>BOHSRE</t>
  </si>
  <si>
    <t>290040</t>
  </si>
  <si>
    <t>BOT. HERBAL SHAMPOO RIZOS</t>
  </si>
  <si>
    <t>BOHSRI</t>
  </si>
  <si>
    <t>290041</t>
  </si>
  <si>
    <t>BOHSTO</t>
  </si>
  <si>
    <t>290042</t>
  </si>
  <si>
    <t>CAIXA HERBAL ACOND.</t>
  </si>
  <si>
    <t>CEHAAR</t>
  </si>
  <si>
    <t>290043</t>
  </si>
  <si>
    <t>CEHABI</t>
  </si>
  <si>
    <t>290044</t>
  </si>
  <si>
    <t>CEHACL</t>
  </si>
  <si>
    <t>290045</t>
  </si>
  <si>
    <t>CEHAHR</t>
  </si>
  <si>
    <t>290046</t>
  </si>
  <si>
    <t>CEHALA</t>
  </si>
  <si>
    <t>290047</t>
  </si>
  <si>
    <t>CAIXA HERBAL ACOND. NATURAL</t>
  </si>
  <si>
    <t>CEHANA</t>
  </si>
  <si>
    <t>290048</t>
  </si>
  <si>
    <t>CEHARD</t>
  </si>
  <si>
    <t>290049</t>
  </si>
  <si>
    <t>CAIXA HERBAL ACOND. RIZOS</t>
  </si>
  <si>
    <t>CEHARI</t>
  </si>
  <si>
    <t>290050</t>
  </si>
  <si>
    <t>CAIXA HERBAL MASC. SOLAR</t>
  </si>
  <si>
    <t>CEHMSO</t>
  </si>
  <si>
    <t>290051</t>
  </si>
  <si>
    <t>CAIXA HERBAL N. MASC. CASTAÑOS</t>
  </si>
  <si>
    <t>CEHNCA</t>
  </si>
  <si>
    <t>290052</t>
  </si>
  <si>
    <t>CAIXA HERBAL N. MASC. DORADOS</t>
  </si>
  <si>
    <t>CEHNDO</t>
  </si>
  <si>
    <t>290053</t>
  </si>
  <si>
    <t>CAIXA HERBAL N. MASC. NEGROS</t>
  </si>
  <si>
    <t>CEHNNE</t>
  </si>
  <si>
    <t>290054</t>
  </si>
  <si>
    <t>CAIXA HERBAL N. MASC. PLATINOS</t>
  </si>
  <si>
    <t>CEHNPL</t>
  </si>
  <si>
    <t>290055</t>
  </si>
  <si>
    <t>CAIXA HERBAL SHAMPOO</t>
  </si>
  <si>
    <t>CEHSAR</t>
  </si>
  <si>
    <t>290056</t>
  </si>
  <si>
    <t>CEHSBI</t>
  </si>
  <si>
    <t>290057</t>
  </si>
  <si>
    <t>CEHSCL</t>
  </si>
  <si>
    <t>290058</t>
  </si>
  <si>
    <t>CEHSHR</t>
  </si>
  <si>
    <t>290059</t>
  </si>
  <si>
    <t>CEHSLA</t>
  </si>
  <si>
    <t>290060</t>
  </si>
  <si>
    <t>CAIXA HERBAL SHAMPOO NATURAL</t>
  </si>
  <si>
    <t>CEHSNA</t>
  </si>
  <si>
    <t>290061</t>
  </si>
  <si>
    <t>CEHSPU</t>
  </si>
  <si>
    <t>290062</t>
  </si>
  <si>
    <t>CEHSRD</t>
  </si>
  <si>
    <t>290063</t>
  </si>
  <si>
    <t>CEHSRE</t>
  </si>
  <si>
    <t>290064</t>
  </si>
  <si>
    <t>CAIXA HERBAL SHAMPOO RIZOS</t>
  </si>
  <si>
    <t>CEHSRI</t>
  </si>
  <si>
    <t>290065</t>
  </si>
  <si>
    <t>CEHSTO</t>
  </si>
  <si>
    <t>290066</t>
  </si>
  <si>
    <t>CAIXA HERBAL MASCARILLA</t>
  </si>
  <si>
    <t>CEMAAR</t>
  </si>
  <si>
    <t>290067</t>
  </si>
  <si>
    <t>CEMACL</t>
  </si>
  <si>
    <t>290068</t>
  </si>
  <si>
    <t>CEMALA</t>
  </si>
  <si>
    <t>290069</t>
  </si>
  <si>
    <t>CEMARC</t>
  </si>
  <si>
    <t>290070</t>
  </si>
  <si>
    <t>CEMARI</t>
  </si>
  <si>
    <t>290071</t>
  </si>
  <si>
    <t>ETIQ. HERBAL ACONDIC.</t>
  </si>
  <si>
    <t>ETHAAR</t>
  </si>
  <si>
    <t>290072</t>
  </si>
  <si>
    <t>ETHAARD</t>
  </si>
  <si>
    <t>290073</t>
  </si>
  <si>
    <t>ETHABI</t>
  </si>
  <si>
    <t>290074</t>
  </si>
  <si>
    <t>ETHABID</t>
  </si>
  <si>
    <t>290075</t>
  </si>
  <si>
    <t>ETHACL</t>
  </si>
  <si>
    <t>290076</t>
  </si>
  <si>
    <t>ETHACLD</t>
  </si>
  <si>
    <t>290077</t>
  </si>
  <si>
    <t>ETHAHR</t>
  </si>
  <si>
    <t>290078</t>
  </si>
  <si>
    <t>ETHAHRD</t>
  </si>
  <si>
    <t>290079</t>
  </si>
  <si>
    <t>ETHALA</t>
  </si>
  <si>
    <t>290080</t>
  </si>
  <si>
    <t>ETHALAD</t>
  </si>
  <si>
    <t>290081</t>
  </si>
  <si>
    <t>ETIQ. HERBAL ACOND. NATURAL</t>
  </si>
  <si>
    <t>ETHANA</t>
  </si>
  <si>
    <t>290082</t>
  </si>
  <si>
    <t>ETHANAD</t>
  </si>
  <si>
    <t>290083</t>
  </si>
  <si>
    <t>ETIQ. HERBAL ACOND. R. DORADOS</t>
  </si>
  <si>
    <t>ETHARD</t>
  </si>
  <si>
    <t>290084</t>
  </si>
  <si>
    <t>ETHARDD</t>
  </si>
  <si>
    <t>290085</t>
  </si>
  <si>
    <t>ETIQ. HERBAL ACOND. RIZOS</t>
  </si>
  <si>
    <t>ETHARI</t>
  </si>
  <si>
    <t>290086</t>
  </si>
  <si>
    <t>ETHARID</t>
  </si>
  <si>
    <t>290087</t>
  </si>
  <si>
    <t>ETIQ. HERBAL MASC. SOLAR</t>
  </si>
  <si>
    <t>ETHMSO</t>
  </si>
  <si>
    <t>290088</t>
  </si>
  <si>
    <t>ETIQ. HERBAL NUTRI MASC.</t>
  </si>
  <si>
    <t>ETHNCA</t>
  </si>
  <si>
    <t>290089</t>
  </si>
  <si>
    <t>ETHNDO</t>
  </si>
  <si>
    <t>290090</t>
  </si>
  <si>
    <t>ETHNNE</t>
  </si>
  <si>
    <t>290091</t>
  </si>
  <si>
    <t>ETHNPL</t>
  </si>
  <si>
    <t>290092</t>
  </si>
  <si>
    <t>ETIQ. HERBAL SHAMPOO</t>
  </si>
  <si>
    <t>ETHSAR</t>
  </si>
  <si>
    <t>290093</t>
  </si>
  <si>
    <t>ETHSARD</t>
  </si>
  <si>
    <t>290094</t>
  </si>
  <si>
    <t>ETHSBI</t>
  </si>
  <si>
    <t>290095</t>
  </si>
  <si>
    <t>ETHSBID</t>
  </si>
  <si>
    <t>290096</t>
  </si>
  <si>
    <t>ETHSCL</t>
  </si>
  <si>
    <t>290097</t>
  </si>
  <si>
    <t>ETHSCLD</t>
  </si>
  <si>
    <t>290098</t>
  </si>
  <si>
    <t>ETHSHR</t>
  </si>
  <si>
    <t>290099</t>
  </si>
  <si>
    <t>ETHSHRD</t>
  </si>
  <si>
    <t>290100</t>
  </si>
  <si>
    <t>ETHSLA</t>
  </si>
  <si>
    <t>290101</t>
  </si>
  <si>
    <t>ETHSLAD</t>
  </si>
  <si>
    <t>290102</t>
  </si>
  <si>
    <t>ETIQ. HERBAL SHAMPOO NATURAL</t>
  </si>
  <si>
    <t>ETHSNA</t>
  </si>
  <si>
    <t>290103</t>
  </si>
  <si>
    <t>ETHSNAD</t>
  </si>
  <si>
    <t>290104</t>
  </si>
  <si>
    <t>ETHSPU</t>
  </si>
  <si>
    <t>290105</t>
  </si>
  <si>
    <t>ETHSPUD</t>
  </si>
  <si>
    <t>290106</t>
  </si>
  <si>
    <t>ETHSRD</t>
  </si>
  <si>
    <t>290107</t>
  </si>
  <si>
    <t>ETHSRDD</t>
  </si>
  <si>
    <t>290108</t>
  </si>
  <si>
    <t>ETHSRE</t>
  </si>
  <si>
    <t>290109</t>
  </si>
  <si>
    <t>ETHSRED</t>
  </si>
  <si>
    <t>290110</t>
  </si>
  <si>
    <t>ETIQ. HERBAL SHAMPOO RIZOS</t>
  </si>
  <si>
    <t>ETHSRI</t>
  </si>
  <si>
    <t>290111</t>
  </si>
  <si>
    <t>ETHSRID</t>
  </si>
  <si>
    <t>290112</t>
  </si>
  <si>
    <t>ETHSTO</t>
  </si>
  <si>
    <t>290113</t>
  </si>
  <si>
    <t>ETHSTOD</t>
  </si>
  <si>
    <t>290114</t>
  </si>
  <si>
    <t>ETIQ. HERBAL MASCARILLA</t>
  </si>
  <si>
    <t>ETMAAR</t>
  </si>
  <si>
    <t>290115</t>
  </si>
  <si>
    <t>ETMACL</t>
  </si>
  <si>
    <t>290116</t>
  </si>
  <si>
    <t>ETMALA</t>
  </si>
  <si>
    <t>290117</t>
  </si>
  <si>
    <t>ETMARC</t>
  </si>
  <si>
    <t>290118</t>
  </si>
  <si>
    <t>ETMARI</t>
  </si>
  <si>
    <t>290119</t>
  </si>
  <si>
    <t>OBTURADOR HERBAL MASC. SOLAR</t>
  </si>
  <si>
    <t>OBHMSO</t>
  </si>
  <si>
    <t>290120</t>
  </si>
  <si>
    <t>OBTURADOR TARRO MASC. HERBAL</t>
  </si>
  <si>
    <t>OBTAHN</t>
  </si>
  <si>
    <t>290121</t>
  </si>
  <si>
    <t>REFUERZO CAJA HERBAL SHAMPOO</t>
  </si>
  <si>
    <t>RECAHE</t>
  </si>
  <si>
    <t>290122</t>
  </si>
  <si>
    <t>TARRO HERBAL MASC. SOLAR</t>
  </si>
  <si>
    <t>TAHMSO</t>
  </si>
  <si>
    <t>290123</t>
  </si>
  <si>
    <t>TARRO HERBAL NATURE MASC.</t>
  </si>
  <si>
    <t>TAHNAR</t>
  </si>
  <si>
    <t>290124</t>
  </si>
  <si>
    <t>TAHNCA</t>
  </si>
  <si>
    <t>290125</t>
  </si>
  <si>
    <t>TAHNCL</t>
  </si>
  <si>
    <t>290126</t>
  </si>
  <si>
    <t>TAHNDO</t>
  </si>
  <si>
    <t>290127</t>
  </si>
  <si>
    <t>TAHNLA</t>
  </si>
  <si>
    <t>290128</t>
  </si>
  <si>
    <t>TAHNNE</t>
  </si>
  <si>
    <t>290129</t>
  </si>
  <si>
    <t>TAHNPL</t>
  </si>
  <si>
    <t>290130</t>
  </si>
  <si>
    <t>TAHNRC</t>
  </si>
  <si>
    <t>290131</t>
  </si>
  <si>
    <t>TAHNRI</t>
  </si>
  <si>
    <t>290132</t>
  </si>
  <si>
    <t>TAPA HERBAL MASC. SOLAR</t>
  </si>
  <si>
    <t>TPHMSO</t>
  </si>
  <si>
    <t>290133</t>
  </si>
  <si>
    <t>TAPA TARRO HERBAL N.</t>
  </si>
  <si>
    <t>TPHNCA</t>
  </si>
  <si>
    <t>290134</t>
  </si>
  <si>
    <t>TPHNDO</t>
  </si>
  <si>
    <t>290135</t>
  </si>
  <si>
    <t>TPHNNE</t>
  </si>
  <si>
    <t>290136</t>
  </si>
  <si>
    <t>TPHNPL</t>
  </si>
  <si>
    <t>290137</t>
  </si>
  <si>
    <t>TAPON HERBAL SHAMPOOS</t>
  </si>
  <si>
    <t>TPHSHA</t>
  </si>
  <si>
    <t>290138</t>
  </si>
  <si>
    <t>TAPA TARRO HERBAL NAT. MASC.</t>
  </si>
  <si>
    <t>TPTAHN</t>
  </si>
  <si>
    <t>290139</t>
  </si>
  <si>
    <t>BOT. SPEJO'S OXIG.12 VOL.1 LT.</t>
  </si>
  <si>
    <t>BOOC12</t>
  </si>
  <si>
    <t>290140</t>
  </si>
  <si>
    <t>BOT. SPEJO'S OXIG.20 VOL.1 LT.</t>
  </si>
  <si>
    <t>BOOC20</t>
  </si>
  <si>
    <t>290141</t>
  </si>
  <si>
    <t>BOT. SPEJO'S OXIG.30 VOL.1 LT.</t>
  </si>
  <si>
    <t>BOOC30</t>
  </si>
  <si>
    <t>290142</t>
  </si>
  <si>
    <t>BOT. SPEJO'S OXIG.40 VOL.1 LT.</t>
  </si>
  <si>
    <t>BOOC40</t>
  </si>
  <si>
    <t>290143</t>
  </si>
  <si>
    <t>BOT. SPEJO'S 200 ML CR. COLOR</t>
  </si>
  <si>
    <t>BOOCCA</t>
  </si>
  <si>
    <t>290144</t>
  </si>
  <si>
    <t>BOT. SPEJO'S 200 ML CR. NUTRI</t>
  </si>
  <si>
    <t>BOOCCN</t>
  </si>
  <si>
    <t>290145</t>
  </si>
  <si>
    <t>BOT. SPEJO'S 200 ML FLU. ALIS.</t>
  </si>
  <si>
    <t>BOOCFA</t>
  </si>
  <si>
    <t>290146</t>
  </si>
  <si>
    <t>BOT. SPEJO'S 200 ML FLU. RIZOS</t>
  </si>
  <si>
    <t>BOOCFR</t>
  </si>
  <si>
    <t>290147</t>
  </si>
  <si>
    <t>BOT. SPEJO'S 250 ML SH. ALISAN</t>
  </si>
  <si>
    <t>BOOCSA</t>
  </si>
  <si>
    <t>290148</t>
  </si>
  <si>
    <t>BOT. SPEJO'S 250 ML SH. COLOR</t>
  </si>
  <si>
    <t>BOOCSC</t>
  </si>
  <si>
    <t>290149</t>
  </si>
  <si>
    <t>BOT. SPEJO'S 250 ML SH.ESCAMAC</t>
  </si>
  <si>
    <t>BOOCSD</t>
  </si>
  <si>
    <t>290150</t>
  </si>
  <si>
    <t>BOT. SPEJO'S 250 ML SH. GRASA</t>
  </si>
  <si>
    <t>BOOCSG</t>
  </si>
  <si>
    <t>290151</t>
  </si>
  <si>
    <t>BOT. SPEJO'S 250 ML SH. NUTRIC</t>
  </si>
  <si>
    <t>BOOCSN</t>
  </si>
  <si>
    <t>290152</t>
  </si>
  <si>
    <t>BOT. SPEJO'S 250 ML SH. VOLUME</t>
  </si>
  <si>
    <t>BOOCSV</t>
  </si>
  <si>
    <t>290153</t>
  </si>
  <si>
    <t>CAIXA SPEJOS CERAS</t>
  </si>
  <si>
    <t>CECERA</t>
  </si>
  <si>
    <t>290154</t>
  </si>
  <si>
    <t>CAIXA SPEJOS TRACTAMENTS</t>
  </si>
  <si>
    <t>290155</t>
  </si>
  <si>
    <t>CAIXA SPEJOS DECO</t>
  </si>
  <si>
    <t>CEDC</t>
  </si>
  <si>
    <t>290156</t>
  </si>
  <si>
    <t>CAIXA SPEJOS OXIGENADA</t>
  </si>
  <si>
    <t>CEOCOX</t>
  </si>
  <si>
    <t>290159</t>
  </si>
  <si>
    <t>EST. SPEJOS DECOLORANTE 1 KG.</t>
  </si>
  <si>
    <t>ESSPDECO</t>
  </si>
  <si>
    <t>290160</t>
  </si>
  <si>
    <t>OBTURADOR SPEJOS 50 ML.</t>
  </si>
  <si>
    <t>OBOCCB</t>
  </si>
  <si>
    <t>290161</t>
  </si>
  <si>
    <t>TARRO SPEJOS 50 ML.</t>
  </si>
  <si>
    <t>TAOCCB</t>
  </si>
  <si>
    <t>290162</t>
  </si>
  <si>
    <t>TAPON 1 LIT. OXIGENADA SPEJO'S</t>
  </si>
  <si>
    <t>TPOC10</t>
  </si>
  <si>
    <t>290163</t>
  </si>
  <si>
    <t>TAPA TARRO SPEJO'S 50 ML.</t>
  </si>
  <si>
    <t>TPOCCB</t>
  </si>
  <si>
    <t>290164</t>
  </si>
  <si>
    <t>TAPON BISAGRA SPEJOS SH. 250</t>
  </si>
  <si>
    <t>TPOCSH</t>
  </si>
  <si>
    <t>290165</t>
  </si>
  <si>
    <t>TUBO SPEJOS MASC. ALIS.200</t>
  </si>
  <si>
    <t>TUSPMAL</t>
  </si>
  <si>
    <t>290166</t>
  </si>
  <si>
    <t>TUBO SPEJOS MASC. COLOR 200</t>
  </si>
  <si>
    <t>TUSPMCO</t>
  </si>
  <si>
    <t>290167</t>
  </si>
  <si>
    <t>TUBO SPEJOS MASC. NUTRI 200</t>
  </si>
  <si>
    <t>TUSPMNI</t>
  </si>
  <si>
    <t>290168</t>
  </si>
  <si>
    <t>VALVULA NATURAL CREMA 200 ML.</t>
  </si>
  <si>
    <t>VAOCCR</t>
  </si>
  <si>
    <t>290169</t>
  </si>
  <si>
    <t>VALVULA VAPORIZADOR 200 ML.</t>
  </si>
  <si>
    <t>VAPO20</t>
  </si>
  <si>
    <t>290170</t>
  </si>
  <si>
    <t>CAIXA FLORAL 250 ML.Ref.290170</t>
  </si>
  <si>
    <t>CEFL25</t>
  </si>
  <si>
    <t>290171</t>
  </si>
  <si>
    <t>CAIXA FLORAL 1000 ML.</t>
  </si>
  <si>
    <t>CEFL10</t>
  </si>
  <si>
    <t>290172</t>
  </si>
  <si>
    <t>CAIXA FLORAL 150 ML.</t>
  </si>
  <si>
    <t>CEFL15</t>
  </si>
  <si>
    <t>290173</t>
  </si>
  <si>
    <t>Interior Caixa TRACT. SPEJOS</t>
  </si>
  <si>
    <t>INTRSP</t>
  </si>
  <si>
    <t>290174</t>
  </si>
  <si>
    <t>ETIQ. FLORAL N.REPAIR 1000 SH.</t>
  </si>
  <si>
    <t>ETFLNR10</t>
  </si>
  <si>
    <t>76074</t>
  </si>
  <si>
    <t>290175</t>
  </si>
  <si>
    <t>ETIQ. FLORAL V.COLOR 1000 SH.</t>
  </si>
  <si>
    <t>ETFLVC10</t>
  </si>
  <si>
    <t>76075</t>
  </si>
  <si>
    <t>290176</t>
  </si>
  <si>
    <t>ETIQ. FLORAL REG.COND.1000 ML.</t>
  </si>
  <si>
    <t>ETFLRE10</t>
  </si>
  <si>
    <t>76076</t>
  </si>
  <si>
    <t>290177</t>
  </si>
  <si>
    <t>ETIQ. FLORAL REG.COND. 250 ML.</t>
  </si>
  <si>
    <t>ETFLRE25</t>
  </si>
  <si>
    <t>76079</t>
  </si>
  <si>
    <t>290178</t>
  </si>
  <si>
    <t>ETIQ. FLORAL N.REPAIR 250 SH.</t>
  </si>
  <si>
    <t>ETFLNR25</t>
  </si>
  <si>
    <t>76080</t>
  </si>
  <si>
    <t>290179</t>
  </si>
  <si>
    <t>ETIQ. FLORAL SENSITIVE 250 SH.</t>
  </si>
  <si>
    <t>ETFLSE25</t>
  </si>
  <si>
    <t>76081</t>
  </si>
  <si>
    <t>290180</t>
  </si>
  <si>
    <t>ETIQ. FLORAL V.COLOR 250 SH.</t>
  </si>
  <si>
    <t>ETFLVC25</t>
  </si>
  <si>
    <t>76082</t>
  </si>
  <si>
    <t>290181</t>
  </si>
  <si>
    <t>ETIQ. FLORAL ENERGY L. 250 ML.</t>
  </si>
  <si>
    <t>ETFLEN25</t>
  </si>
  <si>
    <t>76083</t>
  </si>
  <si>
    <t>290182</t>
  </si>
  <si>
    <t>ETIQ. FLORAL C. SILVER  250 SH</t>
  </si>
  <si>
    <t>ETFLSC25</t>
  </si>
  <si>
    <t>76084</t>
  </si>
  <si>
    <t>290183</t>
  </si>
  <si>
    <t>ETIQ. FLORAL C. FORTE 250 SH.</t>
  </si>
  <si>
    <t>ETFLCF25</t>
  </si>
  <si>
    <t>76085</t>
  </si>
  <si>
    <t>290184</t>
  </si>
  <si>
    <t>BOT. FLORAL/ARGANIA  250 ML. HDPE Blanc</t>
  </si>
  <si>
    <t>BOFL25</t>
  </si>
  <si>
    <t>02531B00</t>
  </si>
  <si>
    <t>290185</t>
  </si>
  <si>
    <t>BOT. FLORAL 1000 ML.HDPE Blanc</t>
  </si>
  <si>
    <t>BOFL10</t>
  </si>
  <si>
    <t>10031B00</t>
  </si>
  <si>
    <t>290186</t>
  </si>
  <si>
    <t>TAPON FLORAL Disc-Top 250 ml.</t>
  </si>
  <si>
    <t>TPFL25</t>
  </si>
  <si>
    <t>T433IN</t>
  </si>
  <si>
    <t>290187</t>
  </si>
  <si>
    <t>TUB FLORAL V.COLO MASK 150 ML.</t>
  </si>
  <si>
    <t>TUFLVC15</t>
  </si>
  <si>
    <t>TUB15050BL006</t>
  </si>
  <si>
    <t>290188</t>
  </si>
  <si>
    <t>TAPON FLORAL 1000 ML."BISAGRA"</t>
  </si>
  <si>
    <t>TPFL10</t>
  </si>
  <si>
    <t>T408IN</t>
  </si>
  <si>
    <t>290190</t>
  </si>
  <si>
    <t>TUB FLORAL REGULAR MASK 150</t>
  </si>
  <si>
    <t>TUFLRM15</t>
  </si>
  <si>
    <t>TUB15050BL007</t>
  </si>
  <si>
    <t>VALVULA FLORAL ENERGY L-IN 250</t>
  </si>
  <si>
    <t>9-R-00232440</t>
  </si>
  <si>
    <t>DISPLAY CD/CAMISETA STYLIUM</t>
  </si>
  <si>
    <t>DICDST</t>
  </si>
  <si>
    <t>8435057050296</t>
  </si>
  <si>
    <t>DISPLAY LANYARD STYLIUM Mini</t>
  </si>
  <si>
    <t>DILAST</t>
  </si>
  <si>
    <t>8435057050302</t>
  </si>
  <si>
    <t>DISPLAY SUNCARE 2006</t>
  </si>
  <si>
    <t>DISU06</t>
  </si>
  <si>
    <t>8435057050319</t>
  </si>
  <si>
    <t>DISPLAY TOTEM KINCREM 'KF'</t>
  </si>
  <si>
    <t>DITOKF</t>
  </si>
  <si>
    <t>8435057051798</t>
  </si>
  <si>
    <t>CARTA KINCREM 'KF' DIVULGACIÓN</t>
  </si>
  <si>
    <t>CAKFDI</t>
  </si>
  <si>
    <t>8435057050241</t>
  </si>
  <si>
    <t>CARTA 'KF' MARRONES NAT. ELEG.</t>
  </si>
  <si>
    <t>CAKFMA</t>
  </si>
  <si>
    <t>8435057054171</t>
  </si>
  <si>
    <t>CARTA KINCREM 'KF' VIP</t>
  </si>
  <si>
    <t>CAKFVI</t>
  </si>
  <si>
    <t>8435057051804</t>
  </si>
  <si>
    <t>CARTA KINCREM CONTRAST</t>
  </si>
  <si>
    <t>SCCCO</t>
  </si>
  <si>
    <t>8435057051477</t>
  </si>
  <si>
    <t>CARTA KINCREM PRESTIGE</t>
  </si>
  <si>
    <t>SCCKP</t>
  </si>
  <si>
    <t>8435057051484</t>
  </si>
  <si>
    <t>SCCKPE</t>
  </si>
  <si>
    <t>8435057051491</t>
  </si>
  <si>
    <t>CARTA MECHAS N.C. 2000</t>
  </si>
  <si>
    <t>SCCME</t>
  </si>
  <si>
    <t>8435057051507</t>
  </si>
  <si>
    <t>CARTA NEW COLOR GLAMOUR</t>
  </si>
  <si>
    <t>SCCNCG</t>
  </si>
  <si>
    <t>8435057051514</t>
  </si>
  <si>
    <t>DIPLOMA KIN/SOCAP</t>
  </si>
  <si>
    <t>AVDIKS</t>
  </si>
  <si>
    <t>8435057050029</t>
  </si>
  <si>
    <t>DIPLOMA FORMACIÓN</t>
  </si>
  <si>
    <t>AVDIP</t>
  </si>
  <si>
    <t>8435057050036</t>
  </si>
  <si>
    <t>INVITACION TALLER KIN SOCAP</t>
  </si>
  <si>
    <t>AVINKS</t>
  </si>
  <si>
    <t>8435057050043</t>
  </si>
  <si>
    <t>INVITACION SEMINARIOS KIN</t>
  </si>
  <si>
    <t>AVINV</t>
  </si>
  <si>
    <t>8435057050050</t>
  </si>
  <si>
    <t>CATALOGO ACCESORIOS 2009</t>
  </si>
  <si>
    <t>CAAC09</t>
  </si>
  <si>
    <t>8435057053945</t>
  </si>
  <si>
    <t>CATALOGO GRAL. PRODUCTOS 2008</t>
  </si>
  <si>
    <t>CAGE08</t>
  </si>
  <si>
    <t>8435057052863</t>
  </si>
  <si>
    <t>CAGE08I</t>
  </si>
  <si>
    <t>8435057054140</t>
  </si>
  <si>
    <t>CATALOGO MATERIAL PROM. 2008</t>
  </si>
  <si>
    <t>CAMA08</t>
  </si>
  <si>
    <t>8435057052900</t>
  </si>
  <si>
    <t>CATALOGO MATERIAL PROM. 2009</t>
  </si>
  <si>
    <t>CAMA09</t>
  </si>
  <si>
    <t>8435057053938</t>
  </si>
  <si>
    <t>CATALOGO PRODUCTOS 2007</t>
  </si>
  <si>
    <t>CAPR07</t>
  </si>
  <si>
    <t>8435057051927</t>
  </si>
  <si>
    <t>CATALOGO RESUMEN PROD. 2009</t>
  </si>
  <si>
    <t>CAPR09</t>
  </si>
  <si>
    <t>8435057054133</t>
  </si>
  <si>
    <t>CATALOGO STYLIUM 2008 Español</t>
  </si>
  <si>
    <t>CAST08</t>
  </si>
  <si>
    <t>8435057052801</t>
  </si>
  <si>
    <t>CATALOGO VENDEDOR 2007</t>
  </si>
  <si>
    <t>CATAVE</t>
  </si>
  <si>
    <t>8435057099905</t>
  </si>
  <si>
    <t>DIPTICO VIAJE BERLIN</t>
  </si>
  <si>
    <t>DIVIBE</t>
  </si>
  <si>
    <t>8435057053648</t>
  </si>
  <si>
    <t>DIPTICO VIAJE FINLANDIA</t>
  </si>
  <si>
    <t>DIVIFI</t>
  </si>
  <si>
    <t>8435057053631</t>
  </si>
  <si>
    <t>DIPTICO VIAJE PRAGA</t>
  </si>
  <si>
    <t>DIVIPR</t>
  </si>
  <si>
    <t>8435057054560</t>
  </si>
  <si>
    <t>FOLLETO FLYER STYLIUM</t>
  </si>
  <si>
    <t>FLST07</t>
  </si>
  <si>
    <t>8435057050388</t>
  </si>
  <si>
    <t>300030</t>
  </si>
  <si>
    <t>FOLLETO OFER ANTICAIDA (Manta)</t>
  </si>
  <si>
    <t>FOACMA</t>
  </si>
  <si>
    <t>FOLLETO DEEP Alemán</t>
  </si>
  <si>
    <t>FODEAL</t>
  </si>
  <si>
    <t>8435057050395</t>
  </si>
  <si>
    <t>FOLLETO DEEP 'Español'</t>
  </si>
  <si>
    <t>FODEES</t>
  </si>
  <si>
    <t>8435057050401</t>
  </si>
  <si>
    <t>FOLLETO DEEP Francés</t>
  </si>
  <si>
    <t>FODEFR</t>
  </si>
  <si>
    <t>8435057050418</t>
  </si>
  <si>
    <t>FOLLETO DEEP Holandés</t>
  </si>
  <si>
    <t>FODEHO</t>
  </si>
  <si>
    <t>8435057050425</t>
  </si>
  <si>
    <t>FOLLETO DEEP Inglés</t>
  </si>
  <si>
    <t>FODEIN</t>
  </si>
  <si>
    <t>8435057050432</t>
  </si>
  <si>
    <t>FOLLETO DEEP Portugués</t>
  </si>
  <si>
    <t>FODEPO</t>
  </si>
  <si>
    <t>8435057050449</t>
  </si>
  <si>
    <t>FOLLETO K.A. TRIPTIC 'Aleman'</t>
  </si>
  <si>
    <t>FOKATA</t>
  </si>
  <si>
    <t>8435057051859</t>
  </si>
  <si>
    <t>FOLLETO K.A. TRIPTIC 'Español'</t>
  </si>
  <si>
    <t>FOKATE</t>
  </si>
  <si>
    <t>8435057050456</t>
  </si>
  <si>
    <t>FOLLETO K.A. TRIPTIC 'Francés'</t>
  </si>
  <si>
    <t>FOKATF</t>
  </si>
  <si>
    <t>8435057050463</t>
  </si>
  <si>
    <t>FOLLETO K.A. TRIPTIC 'Holland'</t>
  </si>
  <si>
    <t>FOKATH</t>
  </si>
  <si>
    <t>8435057050470</t>
  </si>
  <si>
    <t>FOLLETO K.A. TRIPTIC 'Ingles'</t>
  </si>
  <si>
    <t>FOKATI</t>
  </si>
  <si>
    <t>8435057050487</t>
  </si>
  <si>
    <t>FOLLETO K.A. TRIPTIC 'Portug'</t>
  </si>
  <si>
    <t>FOKATP</t>
  </si>
  <si>
    <t>8435057050494</t>
  </si>
  <si>
    <t>FOLLETO K. CONTRAST ESP.</t>
  </si>
  <si>
    <t>FOKCES</t>
  </si>
  <si>
    <t>8435057050500</t>
  </si>
  <si>
    <t>FOLLETO K. CONTRAST FRANCES</t>
  </si>
  <si>
    <t>FOKCFR</t>
  </si>
  <si>
    <t>8435057050517</t>
  </si>
  <si>
    <t>FOLLETO K. CONTRAST HOLANDES</t>
  </si>
  <si>
    <t>FOKCHO</t>
  </si>
  <si>
    <t>8435057050524</t>
  </si>
  <si>
    <t>FOLLETO K. CONTRAST Ingles</t>
  </si>
  <si>
    <t>FOKCIN</t>
  </si>
  <si>
    <t>8435057050531</t>
  </si>
  <si>
    <t>FOLLETO K. CONTRAST PORTUGUES</t>
  </si>
  <si>
    <t>FOKCPO</t>
  </si>
  <si>
    <t>8435057050548</t>
  </si>
  <si>
    <t>FOLLETO KINCREM 'KF' Alemán</t>
  </si>
  <si>
    <t>FOKFAL</t>
  </si>
  <si>
    <t>8435057051910</t>
  </si>
  <si>
    <t>FOLLETO KINCREM 'KF' Español</t>
  </si>
  <si>
    <t>FOKFES</t>
  </si>
  <si>
    <t>8435057051866</t>
  </si>
  <si>
    <t>FOLLETO KINCREM 'KF' Francés</t>
  </si>
  <si>
    <t>FOKFFR</t>
  </si>
  <si>
    <t>8435057051873</t>
  </si>
  <si>
    <t>FOLLETO KINCREM 'KF' Holandés</t>
  </si>
  <si>
    <t>FOKFHO</t>
  </si>
  <si>
    <t>8435057051903</t>
  </si>
  <si>
    <t>FOLLETO KINCREM 'KF' Ingles</t>
  </si>
  <si>
    <t>FOKFIN</t>
  </si>
  <si>
    <t>8435057051880</t>
  </si>
  <si>
    <t>FOLLETO KINCREM 'KF' Portugués</t>
  </si>
  <si>
    <t>FOKFPO</t>
  </si>
  <si>
    <t>8435057051897</t>
  </si>
  <si>
    <t>FOLLETO K.PRESTIGE ESP.</t>
  </si>
  <si>
    <t>FOKPES</t>
  </si>
  <si>
    <t>8435057050555</t>
  </si>
  <si>
    <t>FOLLETO K.PRESTIGE FRANCES</t>
  </si>
  <si>
    <t>FOKPFR</t>
  </si>
  <si>
    <t>8435057050562</t>
  </si>
  <si>
    <t>FOLLETO K.PRESTIGE HOLANDES</t>
  </si>
  <si>
    <t>FOKPHO</t>
  </si>
  <si>
    <t>8435057050579</t>
  </si>
  <si>
    <t>FOLLETO K.PRESTIGE INGLES</t>
  </si>
  <si>
    <t>FOKPIN</t>
  </si>
  <si>
    <t>8435057050586</t>
  </si>
  <si>
    <t>FOLLETO K.PRESTIGE PORTUGUES</t>
  </si>
  <si>
    <t>FOKPPO</t>
  </si>
  <si>
    <t>8435057050593</t>
  </si>
  <si>
    <t>FOLLETO K.W. TRIPTICO Español</t>
  </si>
  <si>
    <t>FOKWTE</t>
  </si>
  <si>
    <t>8435057050609</t>
  </si>
  <si>
    <t>FOLLETO K.W. TRIPTIC 'Francés'</t>
  </si>
  <si>
    <t>FOKWTF</t>
  </si>
  <si>
    <t>8435057050616</t>
  </si>
  <si>
    <t>FOLLETO K.W. TRIPT 'Holandés'</t>
  </si>
  <si>
    <t>FOKWTH</t>
  </si>
  <si>
    <t>8435057050623</t>
  </si>
  <si>
    <t>FOLLETO K.W. TRIPT 'Inglés'</t>
  </si>
  <si>
    <t>FOKWTI</t>
  </si>
  <si>
    <t>8435057050630</t>
  </si>
  <si>
    <t>FOLLETO K.W. TRIPT 'Portugués'</t>
  </si>
  <si>
    <t>FOKWTP</t>
  </si>
  <si>
    <t>8435057050647</t>
  </si>
  <si>
    <t>FOLLETO LISSAGE INT. Español</t>
  </si>
  <si>
    <t>FOLIES</t>
  </si>
  <si>
    <t>8435057050654</t>
  </si>
  <si>
    <t>FOLLETO LISSAGE INT. FRANCES</t>
  </si>
  <si>
    <t>FOLIFR</t>
  </si>
  <si>
    <t>8435057050661</t>
  </si>
  <si>
    <t>FOLLETO LISSAGE INT. HOLANDES</t>
  </si>
  <si>
    <t>FOLIHO</t>
  </si>
  <si>
    <t>8435057050678</t>
  </si>
  <si>
    <t>FOLLETO LISSAGE INT. Ingles</t>
  </si>
  <si>
    <t>FOLIIN</t>
  </si>
  <si>
    <t>8435057050685</t>
  </si>
  <si>
    <t>MINI FOLLETO LISSAGE INT.</t>
  </si>
  <si>
    <t>FOLIME</t>
  </si>
  <si>
    <t>8435057050592</t>
  </si>
  <si>
    <t>FOLLETO LISSAGE INT. Portugués</t>
  </si>
  <si>
    <t>FOLIPO</t>
  </si>
  <si>
    <t>8435057050708</t>
  </si>
  <si>
    <t>FOLLETO NEW C GLAMOUR Español</t>
  </si>
  <si>
    <t>FONGES</t>
  </si>
  <si>
    <t>8435057050715</t>
  </si>
  <si>
    <t>FOLLETO NEW GLAMOUR Francés</t>
  </si>
  <si>
    <t>FONGFR</t>
  </si>
  <si>
    <t>8435057050722</t>
  </si>
  <si>
    <t>FOLLETO NEW GLAMOUR Holandes</t>
  </si>
  <si>
    <t>FONGHO</t>
  </si>
  <si>
    <t>8435057050739</t>
  </si>
  <si>
    <t>FOLLETO NEW C. GLAMOUR Inglés</t>
  </si>
  <si>
    <t>FONGIN</t>
  </si>
  <si>
    <t>8435057050746</t>
  </si>
  <si>
    <t>FOLLETO NEW GLAMOUR Portugués</t>
  </si>
  <si>
    <t>FONGPO</t>
  </si>
  <si>
    <t>8435057050753</t>
  </si>
  <si>
    <t>FOLLETO KINPERM ESPAÑOL</t>
  </si>
  <si>
    <t>FOPMES</t>
  </si>
  <si>
    <t>8435057050760</t>
  </si>
  <si>
    <t>FOLLETO KINPERM FRANCES</t>
  </si>
  <si>
    <t>FOPMFR</t>
  </si>
  <si>
    <t>8435057050777</t>
  </si>
  <si>
    <t>FOLLETO KINPERM HOLANDES</t>
  </si>
  <si>
    <t>FOPMHO</t>
  </si>
  <si>
    <t>8435057050784</t>
  </si>
  <si>
    <t>FOLLETO KINPERM Ingles</t>
  </si>
  <si>
    <t>FOPMIN</t>
  </si>
  <si>
    <t>8435057050791</t>
  </si>
  <si>
    <t>FOLLETO KINPERM PORTUGUES</t>
  </si>
  <si>
    <t>FOPMPO</t>
  </si>
  <si>
    <t>8435057050807</t>
  </si>
  <si>
    <t>FOLLETO N.C.REFLECTS 'Aleman'</t>
  </si>
  <si>
    <t>FOREAL</t>
  </si>
  <si>
    <t>8435057050814</t>
  </si>
  <si>
    <t>FOLLETO N.C.REFLECTS Español</t>
  </si>
  <si>
    <t>FOREES</t>
  </si>
  <si>
    <t>8435057050821</t>
  </si>
  <si>
    <t>FOLLETO N.C.REFLECTS 'Francés'</t>
  </si>
  <si>
    <t>FOREFR</t>
  </si>
  <si>
    <t>8435057050838</t>
  </si>
  <si>
    <t>FOLLETO N.C.REFLECTS 'Holandés</t>
  </si>
  <si>
    <t>FOREHO</t>
  </si>
  <si>
    <t>8435057050845</t>
  </si>
  <si>
    <t>FOLLETO N.C.REFLECTS 'Ingles'</t>
  </si>
  <si>
    <t>FOREIN</t>
  </si>
  <si>
    <t>8435057050852</t>
  </si>
  <si>
    <t>FOLLETO N.C.REFLECTS Portugués</t>
  </si>
  <si>
    <t>FOREPO</t>
  </si>
  <si>
    <t>8435057050869</t>
  </si>
  <si>
    <t>FOLLETO STYLIUM ESP. 1ª parte</t>
  </si>
  <si>
    <t>FOSTES</t>
  </si>
  <si>
    <t>8435057050913</t>
  </si>
  <si>
    <t>FOLLETO STYLIUM ESP. 2ª parte</t>
  </si>
  <si>
    <t>FOSTES2</t>
  </si>
  <si>
    <t>8435057050920</t>
  </si>
  <si>
    <t>CATALOGO STYLIUM Español</t>
  </si>
  <si>
    <t>FOSTESG</t>
  </si>
  <si>
    <t>8435057050937</t>
  </si>
  <si>
    <t>FOLLETO STYLIUM FRANCES 1ª p.</t>
  </si>
  <si>
    <t>FOSTFR</t>
  </si>
  <si>
    <t>8435057050944</t>
  </si>
  <si>
    <t>FOLLETO STYLIUM FRANCES 2ª p.</t>
  </si>
  <si>
    <t>FOSTFR2</t>
  </si>
  <si>
    <t>8435057050951</t>
  </si>
  <si>
    <t>CATALOGO STYLIUM Français</t>
  </si>
  <si>
    <t>FOSTFRG</t>
  </si>
  <si>
    <t>8435057050968</t>
  </si>
  <si>
    <t>FOLLETO STYLIUM HOLAND 1ª p.</t>
  </si>
  <si>
    <t>FOSTHO</t>
  </si>
  <si>
    <t>8435057050975</t>
  </si>
  <si>
    <t>FOLLETO STYLIUM HOLAND 2ª p.</t>
  </si>
  <si>
    <t>FOSTHO2</t>
  </si>
  <si>
    <t>8435057050982</t>
  </si>
  <si>
    <t>CATALOGO STYLIUM Holandés</t>
  </si>
  <si>
    <t>FOSTHOG</t>
  </si>
  <si>
    <t>8435057050999</t>
  </si>
  <si>
    <t>FOLLETO STYLIUM INGLES 1ª p.</t>
  </si>
  <si>
    <t>FOSTIN</t>
  </si>
  <si>
    <t>8435057051002</t>
  </si>
  <si>
    <t>FOLLETO STYLIUM INGLES 2ª p.</t>
  </si>
  <si>
    <t>FOSTIN2</t>
  </si>
  <si>
    <t>8435057051019</t>
  </si>
  <si>
    <t>CATALOGO STYLIUM Inglés</t>
  </si>
  <si>
    <t>FOSTING</t>
  </si>
  <si>
    <t>8435057051026</t>
  </si>
  <si>
    <t>MINIFOLLETO STYLIUM ESPAÑOL</t>
  </si>
  <si>
    <t>FOSTME</t>
  </si>
  <si>
    <t>8435057051033</t>
  </si>
  <si>
    <t>MINIFOLLETO STYLIUM FRANCES</t>
  </si>
  <si>
    <t>FOSTMF</t>
  </si>
  <si>
    <t>8435057051040</t>
  </si>
  <si>
    <t>MINIFOLLETO STYLIUM HOLANDES</t>
  </si>
  <si>
    <t>FOSTMH</t>
  </si>
  <si>
    <t>8435057051057</t>
  </si>
  <si>
    <t>MINIFOLLETO STYLIUM INGLES</t>
  </si>
  <si>
    <t>FOSTMI</t>
  </si>
  <si>
    <t>8435057051064</t>
  </si>
  <si>
    <t>MINIFOLLETO STYLIUM PORTUGUES</t>
  </si>
  <si>
    <t>FOSTMP</t>
  </si>
  <si>
    <t>8435057051071</t>
  </si>
  <si>
    <t>FOLLETO STIMULANT PROMO 2009</t>
  </si>
  <si>
    <t>FOSTP09</t>
  </si>
  <si>
    <t>8435057054546</t>
  </si>
  <si>
    <t>FOLLETO STYLIUM PORTUGUES 1ª p</t>
  </si>
  <si>
    <t>FOSTPO</t>
  </si>
  <si>
    <t>8435057051088</t>
  </si>
  <si>
    <t>FOLLETO STYLIUM PORTUGUES 2ª p</t>
  </si>
  <si>
    <t>FOSTPO2</t>
  </si>
  <si>
    <t>8435057051095</t>
  </si>
  <si>
    <t>CATALOGO STYLIUM Portugués</t>
  </si>
  <si>
    <t>FOSTPOG</t>
  </si>
  <si>
    <t>8435057051101</t>
  </si>
  <si>
    <t>FOLLETO SUNCARE 2009</t>
  </si>
  <si>
    <t>FOSU09</t>
  </si>
  <si>
    <t>8435057053983</t>
  </si>
  <si>
    <t>FOLLETO VIBRANCE DIPTIC</t>
  </si>
  <si>
    <t>FOVIEA</t>
  </si>
  <si>
    <t>8435057054348</t>
  </si>
  <si>
    <t>MINIFOLLETO KINACTIF 'Alemán'</t>
  </si>
  <si>
    <t>MFKAAL</t>
  </si>
  <si>
    <t>8435057051132</t>
  </si>
  <si>
    <t>MFKAAL1</t>
  </si>
  <si>
    <t>8435057051149</t>
  </si>
  <si>
    <t>MINIFOLLETO KINACTIF 'Español'</t>
  </si>
  <si>
    <t>MFKAES1</t>
  </si>
  <si>
    <t>8435057051156</t>
  </si>
  <si>
    <t>MINIFOLLETO KINACTIF 'Francés'</t>
  </si>
  <si>
    <t>MFKAFR</t>
  </si>
  <si>
    <t>8435057051163</t>
  </si>
  <si>
    <t>MFKAFR1</t>
  </si>
  <si>
    <t>8435057051170</t>
  </si>
  <si>
    <t>MINIFOLLETO KINACTIF Holandés</t>
  </si>
  <si>
    <t>MFKAHO</t>
  </si>
  <si>
    <t>8435057051187</t>
  </si>
  <si>
    <t>MFKAHO1</t>
  </si>
  <si>
    <t>8435057051194</t>
  </si>
  <si>
    <t>MINIFOLLETO KINACTIF 'Inglés'</t>
  </si>
  <si>
    <t>MFKAIN</t>
  </si>
  <si>
    <t>8435057051200</t>
  </si>
  <si>
    <t>MFKAIN1</t>
  </si>
  <si>
    <t>8435057051217</t>
  </si>
  <si>
    <t>MINIFOLLETO KINACTIF Portugués</t>
  </si>
  <si>
    <t>MFKAPO</t>
  </si>
  <si>
    <t>8435057051224</t>
  </si>
  <si>
    <t>MFKAPO1</t>
  </si>
  <si>
    <t>8435057051231</t>
  </si>
  <si>
    <t>MINIFOLLETO STYLIUM ALEMAN</t>
  </si>
  <si>
    <t>MFSTAL</t>
  </si>
  <si>
    <t>8435057051811</t>
  </si>
  <si>
    <t>MFSTFR</t>
  </si>
  <si>
    <t>8435057051828</t>
  </si>
  <si>
    <t>MFSTIN</t>
  </si>
  <si>
    <t>8435057051835</t>
  </si>
  <si>
    <t>PORTA FOLLETOS FLYERS STYLIUM</t>
  </si>
  <si>
    <t>PFST07</t>
  </si>
  <si>
    <t>8435057051347</t>
  </si>
  <si>
    <t>REVISTA KIN BACKSTAGE Nº 1</t>
  </si>
  <si>
    <t>REVI01</t>
  </si>
  <si>
    <t>8435057051422</t>
  </si>
  <si>
    <t>REVISTA KIN BACKSTAGE Nº 2</t>
  </si>
  <si>
    <t>REVI02</t>
  </si>
  <si>
    <t>8435057051842</t>
  </si>
  <si>
    <t>REVISTA KIN BACKSTAGE Nº 3</t>
  </si>
  <si>
    <t>REVI03</t>
  </si>
  <si>
    <t>8435057052481</t>
  </si>
  <si>
    <t>REVISTA KIN BACKSTAGE Nº 4</t>
  </si>
  <si>
    <t>REVI04</t>
  </si>
  <si>
    <t>8435057052672</t>
  </si>
  <si>
    <t>REVISTA KIN BACKSTAGE Nº 5</t>
  </si>
  <si>
    <t>REVI05</t>
  </si>
  <si>
    <t>8435057052733</t>
  </si>
  <si>
    <t>REVISTA KIN BACKSTAGE Nº 6</t>
  </si>
  <si>
    <t>REVI06</t>
  </si>
  <si>
    <t>8435057052825</t>
  </si>
  <si>
    <t>REVISTA KIN BACKSTAGE Nº 7</t>
  </si>
  <si>
    <t>REVI07</t>
  </si>
  <si>
    <t>8435057053266</t>
  </si>
  <si>
    <t>REVISTA KIN BACKSTAGE Nº 8</t>
  </si>
  <si>
    <t>REVI08</t>
  </si>
  <si>
    <t>8435057053709</t>
  </si>
  <si>
    <t>REVISTA KIN BACKSTAGE Nº 9</t>
  </si>
  <si>
    <t>REVI09</t>
  </si>
  <si>
    <t>8435057054249</t>
  </si>
  <si>
    <t>REVISTA KIN BACKSTAGE Nº 10</t>
  </si>
  <si>
    <t>REVI10</t>
  </si>
  <si>
    <t>8435057054577</t>
  </si>
  <si>
    <t>FOLLETO IMAGEN EMPRESA</t>
  </si>
  <si>
    <t>SCFIM</t>
  </si>
  <si>
    <t>8435057051545</t>
  </si>
  <si>
    <t>FOLLETO NEW COLOR 2000 ANGLES</t>
  </si>
  <si>
    <t>SCNC2A</t>
  </si>
  <si>
    <t>8435057051552</t>
  </si>
  <si>
    <t>FOLLETO NEW COLOR 2000 ESP.</t>
  </si>
  <si>
    <t>SCNC2E</t>
  </si>
  <si>
    <t>8435057051569</t>
  </si>
  <si>
    <t>FOLLETO NEW COLOR 2000 FRANCES</t>
  </si>
  <si>
    <t>SCNC2F</t>
  </si>
  <si>
    <t>8435057051576</t>
  </si>
  <si>
    <t>FOLLETO NEW COLOR 2000 PORTUG</t>
  </si>
  <si>
    <t>SCNC2P</t>
  </si>
  <si>
    <t>8435057051583</t>
  </si>
  <si>
    <t>TARIFA DISTRIBUIDOR 2008</t>
  </si>
  <si>
    <t>TADI08</t>
  </si>
  <si>
    <t>8435057052627</t>
  </si>
  <si>
    <t>TARIFA DISTRIBUIDOR 2008 R</t>
  </si>
  <si>
    <t>TADI08R</t>
  </si>
  <si>
    <t>8435057052870</t>
  </si>
  <si>
    <t>TARIFA DISTRIBUIDOR 2009</t>
  </si>
  <si>
    <t>TADI09</t>
  </si>
  <si>
    <t>8435057053846</t>
  </si>
  <si>
    <t>TARIFA ESPECIAL SUNCARE 2008</t>
  </si>
  <si>
    <t>TAESSU08</t>
  </si>
  <si>
    <t>8435057052788</t>
  </si>
  <si>
    <t>TARIFA GENERAL 2008</t>
  </si>
  <si>
    <t>TAGE08</t>
  </si>
  <si>
    <t>8435057052634</t>
  </si>
  <si>
    <t>TARIFA GENERAL 2008 R</t>
  </si>
  <si>
    <t>TAGE08R</t>
  </si>
  <si>
    <t>8435057052887</t>
  </si>
  <si>
    <t>TARIFA GENERAL 2009</t>
  </si>
  <si>
    <t>TAGE09</t>
  </si>
  <si>
    <t>8435057053822</t>
  </si>
  <si>
    <t>TARIFA PROFESIONAL 2008</t>
  </si>
  <si>
    <t>TAPR08</t>
  </si>
  <si>
    <t>8435057052641</t>
  </si>
  <si>
    <t>TARIFA PROFESIONAL 2008 R</t>
  </si>
  <si>
    <t>TAPR08R</t>
  </si>
  <si>
    <t>8435057052894</t>
  </si>
  <si>
    <t>TARIFA PROFESIONAL 2009</t>
  </si>
  <si>
    <t>TAPR09</t>
  </si>
  <si>
    <t>8435057053839</t>
  </si>
  <si>
    <t>TARIFA SUNCARE 2009</t>
  </si>
  <si>
    <t>TASU09</t>
  </si>
  <si>
    <t>8435057053990</t>
  </si>
  <si>
    <t>300150</t>
  </si>
  <si>
    <t>TARIFA SUNCARE PELUQ. 2008</t>
  </si>
  <si>
    <t>TASUPE08</t>
  </si>
  <si>
    <t>TARIFA VENTA PUBLICO 2008</t>
  </si>
  <si>
    <t>TAVP08</t>
  </si>
  <si>
    <t>8435057052658</t>
  </si>
  <si>
    <t>TARIFA VENTA PUBLICO 2009</t>
  </si>
  <si>
    <t>TAVP09</t>
  </si>
  <si>
    <t>8435057053853</t>
  </si>
  <si>
    <t>ADHESIVO STYLIUM</t>
  </si>
  <si>
    <t>ADSTYL</t>
  </si>
  <si>
    <t>8435057050005</t>
  </si>
  <si>
    <t>AGENDA KIN</t>
  </si>
  <si>
    <t>AGKI08</t>
  </si>
  <si>
    <t>8435057052603</t>
  </si>
  <si>
    <t>BLOC NOTAS KIN</t>
  </si>
  <si>
    <t>AVBLN</t>
  </si>
  <si>
    <t>8435057050012</t>
  </si>
  <si>
    <t>PIN KIN</t>
  </si>
  <si>
    <t>AVPIN</t>
  </si>
  <si>
    <t>8435057050067</t>
  </si>
  <si>
    <t>CARTELA EXPOSITOR DEEP Español</t>
  </si>
  <si>
    <t>CAEXDE</t>
  </si>
  <si>
    <t>8435057050159</t>
  </si>
  <si>
    <t>CARTELA EXPOSITOR DEEP Aleman</t>
  </si>
  <si>
    <t>CAEXDEA</t>
  </si>
  <si>
    <t>8435057050166</t>
  </si>
  <si>
    <t>CARTELA EXPOSITOR DEEP Frances</t>
  </si>
  <si>
    <t>CAEXDEF</t>
  </si>
  <si>
    <t>8435057050173</t>
  </si>
  <si>
    <t>CARTELA EXPOSITOR DEEP Ingles</t>
  </si>
  <si>
    <t>CAEXDEI</t>
  </si>
  <si>
    <t>8435057050180</t>
  </si>
  <si>
    <t>CARTELA EXPOSITOR DEEP Port.</t>
  </si>
  <si>
    <t>CAEXDEP</t>
  </si>
  <si>
    <t>8435057050197</t>
  </si>
  <si>
    <t>CARTELA EXPOSITOR STYLIUM 1</t>
  </si>
  <si>
    <t>CAEXST</t>
  </si>
  <si>
    <t>8435057050203</t>
  </si>
  <si>
    <t>CARTELA EXPOSITOR STYLIUM 2</t>
  </si>
  <si>
    <t>CAEXST2</t>
  </si>
  <si>
    <t>8435057050210</t>
  </si>
  <si>
    <t>CARTELA EXPOSITOR DEEP Holand</t>
  </si>
  <si>
    <t>CEEXDEH</t>
  </si>
  <si>
    <t>8435057050272</t>
  </si>
  <si>
    <t>DISPLAY OFERTA ANTICAIDA</t>
  </si>
  <si>
    <t>DIACMA</t>
  </si>
  <si>
    <t>8435057054607</t>
  </si>
  <si>
    <t>DISPLAY PROMOCIO STYLIUM 2009</t>
  </si>
  <si>
    <t>DIST09</t>
  </si>
  <si>
    <t>8435057054294</t>
  </si>
  <si>
    <t>DISPLAY SUNCARE 2008</t>
  </si>
  <si>
    <t>DISU08</t>
  </si>
  <si>
    <t>8435057052696</t>
  </si>
  <si>
    <t>DISPLAY SUNCARE 2009</t>
  </si>
  <si>
    <t>DISU09</t>
  </si>
  <si>
    <t>8435057053976</t>
  </si>
  <si>
    <t>BANER EXPOSITOR KINACTIF PIE</t>
  </si>
  <si>
    <t>POEXKA</t>
  </si>
  <si>
    <t>8435057051354</t>
  </si>
  <si>
    <t>BANER EXPOSITOR STYLIUM PIE</t>
  </si>
  <si>
    <t>POEXST</t>
  </si>
  <si>
    <t>8435057051361</t>
  </si>
  <si>
    <t>POSTER REVENTA BOLSA PLEGABLE</t>
  </si>
  <si>
    <t>POBOPL</t>
  </si>
  <si>
    <t>8435057054089</t>
  </si>
  <si>
    <t>POSTER K.PRESTIGE 1 BLONDES</t>
  </si>
  <si>
    <t>POKFBL</t>
  </si>
  <si>
    <t>8435057051774</t>
  </si>
  <si>
    <t>POSTER LOOK 2006</t>
  </si>
  <si>
    <t>POLO06</t>
  </si>
  <si>
    <t>8435057051378</t>
  </si>
  <si>
    <t>POSTER PAPEL CHICA 08</t>
  </si>
  <si>
    <t>POPACA08</t>
  </si>
  <si>
    <t>8435057052771</t>
  </si>
  <si>
    <t>POSTER PAPEL CHICO 08</t>
  </si>
  <si>
    <t>POPACO08</t>
  </si>
  <si>
    <t>8435057052764</t>
  </si>
  <si>
    <t>POSTER STYLIUM 2006</t>
  </si>
  <si>
    <t>POST06</t>
  </si>
  <si>
    <t>8435057051385</t>
  </si>
  <si>
    <t>POSTER STYLIUM TELA CHICO</t>
  </si>
  <si>
    <t>POSTT2</t>
  </si>
  <si>
    <t>8435057051408</t>
  </si>
  <si>
    <t>POSTER TELA CHICA 08</t>
  </si>
  <si>
    <t>POTECA08</t>
  </si>
  <si>
    <t>8435057052757</t>
  </si>
  <si>
    <t>POSTER TELA CHICO 08</t>
  </si>
  <si>
    <t>POTECO08</t>
  </si>
  <si>
    <t>8435057052740</t>
  </si>
  <si>
    <t>EXPOSITOR KINACTIF PIE (2008)</t>
  </si>
  <si>
    <t>EXKAPI</t>
  </si>
  <si>
    <t>8435057050340</t>
  </si>
  <si>
    <t>300181</t>
  </si>
  <si>
    <t>EXPOSITOR DEEP Mostrador</t>
  </si>
  <si>
    <t>EXDEEP</t>
  </si>
  <si>
    <t>8435057050333</t>
  </si>
  <si>
    <t>EXPOSITOR STYLIUM 1 'Ceras'</t>
  </si>
  <si>
    <t>EXSTYL</t>
  </si>
  <si>
    <t>8435057050364</t>
  </si>
  <si>
    <t>EXPOSITOR STYLIUM  2 'Creative</t>
  </si>
  <si>
    <t>EXSTYL2</t>
  </si>
  <si>
    <t>8435057050371</t>
  </si>
  <si>
    <t>EXPOSITOR STYLIUM PIE</t>
  </si>
  <si>
    <t>EXSTPI</t>
  </si>
  <si>
    <t>8435057050357</t>
  </si>
  <si>
    <t>FOLLETO KINMEN "ESP"</t>
  </si>
  <si>
    <t>FOKMES</t>
  </si>
  <si>
    <t>8435057054713</t>
  </si>
  <si>
    <t>FOLLETO KINMEN 'Ingles'</t>
  </si>
  <si>
    <t>FOKMIN</t>
  </si>
  <si>
    <t>8435057054720</t>
  </si>
  <si>
    <t>POSTER  CHICA RUBIA DOBLE CARA</t>
  </si>
  <si>
    <t>POCH09</t>
  </si>
  <si>
    <t>8435057054881</t>
  </si>
  <si>
    <t>CALENDARIO 2010</t>
  </si>
  <si>
    <t>CA10</t>
  </si>
  <si>
    <t>8435057054898</t>
  </si>
  <si>
    <t>POSTER KINMEN</t>
  </si>
  <si>
    <t>POKM09</t>
  </si>
  <si>
    <t>8435057054904</t>
  </si>
  <si>
    <t>DISPLAY SECADOR MINI INGLES</t>
  </si>
  <si>
    <t>DISEMI</t>
  </si>
  <si>
    <t>8435057054652</t>
  </si>
  <si>
    <t>POSTER SECADOR MINI ESPAÑOL</t>
  </si>
  <si>
    <t>POSEME</t>
  </si>
  <si>
    <t>8435057054737</t>
  </si>
  <si>
    <t>POSTER SECADOR MINI "INGLES"</t>
  </si>
  <si>
    <t>POSEMI</t>
  </si>
  <si>
    <t>8435057054744</t>
  </si>
  <si>
    <t>FOLLETO DIPTIC STIMUL."Ingles"</t>
  </si>
  <si>
    <t>FOSTP09I</t>
  </si>
  <si>
    <t>8435057054621</t>
  </si>
  <si>
    <t>DISPLAY SECADOR MINI ESPAÑOL</t>
  </si>
  <si>
    <t>DISEME</t>
  </si>
  <si>
    <t>8435057054645</t>
  </si>
  <si>
    <t>CATALOGO GENERAL ESPAÑOL</t>
  </si>
  <si>
    <t>CAGE09</t>
  </si>
  <si>
    <t>8435057054928</t>
  </si>
  <si>
    <t>CATALOGO GENERAL INGLES</t>
  </si>
  <si>
    <t>CAGE09I</t>
  </si>
  <si>
    <t>8435057054935</t>
  </si>
  <si>
    <t>300200</t>
  </si>
  <si>
    <t>FOLLETO SOBRE MUESTRA KINMEN</t>
  </si>
  <si>
    <t>CATAL. RESUMEN PROD. ESPAÑOL</t>
  </si>
  <si>
    <t>CARE09</t>
  </si>
  <si>
    <t>8435057054973</t>
  </si>
  <si>
    <t>CATAL. RESUMEN PROD.INGLES</t>
  </si>
  <si>
    <t>CARE09I</t>
  </si>
  <si>
    <t>8435057054980</t>
  </si>
  <si>
    <t>CATALOGO ACCESORIOS 2010</t>
  </si>
  <si>
    <t>CAAC10</t>
  </si>
  <si>
    <t>8435057055352</t>
  </si>
  <si>
    <t>300204</t>
  </si>
  <si>
    <t>CATALOGO PUNTOS PROF. 2010</t>
  </si>
  <si>
    <t>8435057055369</t>
  </si>
  <si>
    <t>CAPU10</t>
  </si>
  <si>
    <t>CATALOGO TRADE MARKETING 2010</t>
  </si>
  <si>
    <t>CATM10</t>
  </si>
  <si>
    <t>8435057055376</t>
  </si>
  <si>
    <t>CATALOGO MATERIAL PROMOCIONAL</t>
  </si>
  <si>
    <t>CAMA10</t>
  </si>
  <si>
    <t>8435057055383</t>
  </si>
  <si>
    <t>300207</t>
  </si>
  <si>
    <t>DISPLAY KINMEN ESPAÑOL</t>
  </si>
  <si>
    <t>8435057055048</t>
  </si>
  <si>
    <t>DISPLAY KINMEN PORTUGUES</t>
  </si>
  <si>
    <t>DIKMPO</t>
  </si>
  <si>
    <t>8435057055161</t>
  </si>
  <si>
    <t>300209</t>
  </si>
  <si>
    <t>DISPLAY KINMEN INGLES</t>
  </si>
  <si>
    <t>8435057055123</t>
  </si>
  <si>
    <t>DIKMIN</t>
  </si>
  <si>
    <t>300210</t>
  </si>
  <si>
    <t>DISPLAY KINMEN HOLANDES</t>
  </si>
  <si>
    <t>DIKMHO</t>
  </si>
  <si>
    <t>300211</t>
  </si>
  <si>
    <t>DISPLAY KINMEN ALEMAN</t>
  </si>
  <si>
    <t>8435057055154</t>
  </si>
  <si>
    <t>DIKMAL</t>
  </si>
  <si>
    <t>300212</t>
  </si>
  <si>
    <t>TARIFA KINMEN 2009</t>
  </si>
  <si>
    <t>8435057055055</t>
  </si>
  <si>
    <t>TAKM09</t>
  </si>
  <si>
    <t>300213</t>
  </si>
  <si>
    <t>EXPOSITOR MOSTRADOR KINMEN</t>
  </si>
  <si>
    <t>8435057055024</t>
  </si>
  <si>
    <t>EXKMMO</t>
  </si>
  <si>
    <t>EXPOSITOR PIE KINMEN</t>
  </si>
  <si>
    <t>EXKMPI</t>
  </si>
  <si>
    <t>8435057055031</t>
  </si>
  <si>
    <t>300215</t>
  </si>
  <si>
    <t>AGENDA KIN 2010</t>
  </si>
  <si>
    <t>8435057055017</t>
  </si>
  <si>
    <t>AGKI10</t>
  </si>
  <si>
    <t>FOLLETO KINMEN "HOLANDES</t>
  </si>
  <si>
    <t>FOKMHO</t>
  </si>
  <si>
    <t>8435057055185</t>
  </si>
  <si>
    <t>FOLLETO KINMEN "PORTUG."</t>
  </si>
  <si>
    <t>FOKMPO</t>
  </si>
  <si>
    <t>8435057055208</t>
  </si>
  <si>
    <t>FOLLETO KINMEN "FRANCES"</t>
  </si>
  <si>
    <t>FOKMFR</t>
  </si>
  <si>
    <t>8435057055215</t>
  </si>
  <si>
    <t>FOLLETO KINMEN "ALEMAN"</t>
  </si>
  <si>
    <t>FOKMAL</t>
  </si>
  <si>
    <t>8435057055192</t>
  </si>
  <si>
    <t>DIPTICO VIAJE DUBLIN</t>
  </si>
  <si>
    <t>DIVIDU</t>
  </si>
  <si>
    <t>8435057055314</t>
  </si>
  <si>
    <t>REVISTA KIN BACKSTAGE Nº11</t>
  </si>
  <si>
    <t>REVI11</t>
  </si>
  <si>
    <t>8435057055338</t>
  </si>
  <si>
    <t>EXPOSITOR KINMEN (SOLO BASE)</t>
  </si>
  <si>
    <t>EXKMBA</t>
  </si>
  <si>
    <t>8435057055345</t>
  </si>
  <si>
    <t>DISPLAY KINMEN " Francés "</t>
  </si>
  <si>
    <t>DIKMFR</t>
  </si>
  <si>
    <t>8435057055147</t>
  </si>
  <si>
    <t>TARIFA GENERAL 2010</t>
  </si>
  <si>
    <t>TAGE10</t>
  </si>
  <si>
    <t>8435057055932</t>
  </si>
  <si>
    <t>TARIFA PROFESIONAL 2010</t>
  </si>
  <si>
    <t>TAPR10</t>
  </si>
  <si>
    <t>8435057055949</t>
  </si>
  <si>
    <t>TARIFA DISTRIBUIDOR 2010</t>
  </si>
  <si>
    <t>TADI10</t>
  </si>
  <si>
    <t>8435057055956</t>
  </si>
  <si>
    <t>TARIFA VENTA PUBLICO 2010</t>
  </si>
  <si>
    <t>TAVP10</t>
  </si>
  <si>
    <t>8435057055963</t>
  </si>
  <si>
    <t>EXPOSITOR PLANCHAS NIKITA</t>
  </si>
  <si>
    <t>EXPLNI</t>
  </si>
  <si>
    <t>8435057056168</t>
  </si>
  <si>
    <t>INVITACION FORMACION</t>
  </si>
  <si>
    <t>8435057056175</t>
  </si>
  <si>
    <t>CATALOGO PUNTOS DISTRIB.2010</t>
  </si>
  <si>
    <t>CAPU10D</t>
  </si>
  <si>
    <t>8435057056182</t>
  </si>
  <si>
    <t>CATALOGO RESUMEN "ESP."  2010</t>
  </si>
  <si>
    <t>8435057056199</t>
  </si>
  <si>
    <t>CATALOGO RESUM INGLES 2010</t>
  </si>
  <si>
    <t>8435057056205</t>
  </si>
  <si>
    <t>300234</t>
  </si>
  <si>
    <t>EXPOSITOR KINBLOND DECOLORANTE</t>
  </si>
  <si>
    <t>DISPLAY SUNCARE 2010</t>
  </si>
  <si>
    <t>DISU10</t>
  </si>
  <si>
    <t>8435057056236</t>
  </si>
  <si>
    <t>FOLLETO SUNCARE 2010"Español"</t>
  </si>
  <si>
    <t>FOSU10</t>
  </si>
  <si>
    <t>8435057056243</t>
  </si>
  <si>
    <t>TARIFA PVP SUNCARE 2010</t>
  </si>
  <si>
    <t>TASU10</t>
  </si>
  <si>
    <t>8435057056250</t>
  </si>
  <si>
    <t>DIPTICO VIAJE TURQUIA</t>
  </si>
  <si>
    <t>8435057056267</t>
  </si>
  <si>
    <t>BLOC FORMACION KIN 2019</t>
  </si>
  <si>
    <t>8435057056281</t>
  </si>
  <si>
    <t>300240</t>
  </si>
  <si>
    <t>MANUAL "98 PAG." DPTO. TECNICO</t>
  </si>
  <si>
    <t>CATALOGO KINBLOND "ESPAÑOL"</t>
  </si>
  <si>
    <t>8435057056328</t>
  </si>
  <si>
    <t>CATALOGO KINBLOND "INGLES"</t>
  </si>
  <si>
    <t>8435057056335</t>
  </si>
  <si>
    <t>CATALOGO KINBLOND "FRANCES"</t>
  </si>
  <si>
    <t>8435057056342</t>
  </si>
  <si>
    <t>CATALOGO KINBLOND "PORTUGUES"</t>
  </si>
  <si>
    <t>8435057056359</t>
  </si>
  <si>
    <t>CATALOGO KINBLOND "HOLANDES"</t>
  </si>
  <si>
    <t>8435057056366</t>
  </si>
  <si>
    <t>CATALOGO KINBLOND "ALEMAN"</t>
  </si>
  <si>
    <t>8435057056373</t>
  </si>
  <si>
    <t>ROLL-UP CHICA RUBIA</t>
  </si>
  <si>
    <t>8435057056564</t>
  </si>
  <si>
    <t>ROLL-UP CHICA MORENA</t>
  </si>
  <si>
    <t>8435057056571</t>
  </si>
  <si>
    <t>300249</t>
  </si>
  <si>
    <t>FOLLETO SUNCARE "Holandés 2010</t>
  </si>
  <si>
    <t>8435057057981</t>
  </si>
  <si>
    <t>DISPLAY SUNCARE "Holandés"2010</t>
  </si>
  <si>
    <t>8435057056557</t>
  </si>
  <si>
    <t>MANUAL MARCA "CASTELLA"</t>
  </si>
  <si>
    <t>8435057056533</t>
  </si>
  <si>
    <t>MANUAL MARCA "ANGLÈS"</t>
  </si>
  <si>
    <t>8435057056540</t>
  </si>
  <si>
    <t>300253</t>
  </si>
  <si>
    <t>VISUAL RECEPCION "KIN"</t>
  </si>
  <si>
    <t>POSTER CHICA MORENA DOBLE CARA</t>
  </si>
  <si>
    <t>POCH10</t>
  </si>
  <si>
    <t>8435057056588</t>
  </si>
  <si>
    <t>POSTER PROMO STYLIUM "Español"</t>
  </si>
  <si>
    <t>8435057056649</t>
  </si>
  <si>
    <t>POSTER PROMO STYLIUM "Inglés"</t>
  </si>
  <si>
    <t>8435057056656</t>
  </si>
  <si>
    <t>POSTER PROMO STYLIUM "Holandés</t>
  </si>
  <si>
    <t>8435057056663</t>
  </si>
  <si>
    <t>POSTER PROMO STYLIUM "Francés"</t>
  </si>
  <si>
    <t>8435057056670</t>
  </si>
  <si>
    <t>DISPLAY PROMO STYLIUM "ESP."</t>
  </si>
  <si>
    <t>8435057056687</t>
  </si>
  <si>
    <t>DISPLAY PROMO STYLIUM "ING."</t>
  </si>
  <si>
    <t>8435057056694</t>
  </si>
  <si>
    <t>DISPLAY PROMO STYLIUM "HOL."</t>
  </si>
  <si>
    <t>8435057056700</t>
  </si>
  <si>
    <t>DISPLAY PROMO STYLIUM "FRAN."</t>
  </si>
  <si>
    <t>8435057056717</t>
  </si>
  <si>
    <t>REVISTA KIN BACKSTAGE Nº12</t>
  </si>
  <si>
    <t>REVI12</t>
  </si>
  <si>
    <t>8435057056731</t>
  </si>
  <si>
    <t>CUESTIONARIO DE FORMACION</t>
  </si>
  <si>
    <t>8435057056748</t>
  </si>
  <si>
    <t>CATALOGO KINACTIF 2010</t>
  </si>
  <si>
    <t>8435057057011</t>
  </si>
  <si>
    <t>CATALOGO REVENTA K.A. "Esp"</t>
  </si>
  <si>
    <t>8435057057028</t>
  </si>
  <si>
    <t>FOLL. SOBRES MUES. KA. COLOR</t>
  </si>
  <si>
    <t>8435057057035</t>
  </si>
  <si>
    <t>ANUL.LAT</t>
  </si>
  <si>
    <t>8435057057042</t>
  </si>
  <si>
    <t>ANUL.ALT</t>
  </si>
  <si>
    <t>8435057057059</t>
  </si>
  <si>
    <t>8435057057066</t>
  </si>
  <si>
    <t>TOTEM " KINACTIF "</t>
  </si>
  <si>
    <t>8435057057073</t>
  </si>
  <si>
    <t>CATALOGO KIN "FASHIONISTA"</t>
  </si>
  <si>
    <t>8435057057080</t>
  </si>
  <si>
    <t>TARIFA DISTRIBUID.2010"Nueva"</t>
  </si>
  <si>
    <t>8435057057110</t>
  </si>
  <si>
    <t>TARIFA GENERAL 2010 "Nueva"</t>
  </si>
  <si>
    <t>8435057057127</t>
  </si>
  <si>
    <t>TARIFA PROFESIONAL 2010"Nueva"</t>
  </si>
  <si>
    <t>8435057057134</t>
  </si>
  <si>
    <t>TARIFA PVP 2010 "Nueva"</t>
  </si>
  <si>
    <t>8435057057141</t>
  </si>
  <si>
    <t>CALENDARIO 2011</t>
  </si>
  <si>
    <t>8435057057158</t>
  </si>
  <si>
    <t>AGENDA KIN 2011</t>
  </si>
  <si>
    <t>8435057057165</t>
  </si>
  <si>
    <t>FOLL. SOBRES MUES. KA. NUTRI</t>
  </si>
  <si>
    <t>8435057057172</t>
  </si>
  <si>
    <t>FOLL. KA. ENERGY</t>
  </si>
  <si>
    <t>8435057057189</t>
  </si>
  <si>
    <t>FOLL. SOBRES MUES. KA. LISS</t>
  </si>
  <si>
    <t>8435057057196</t>
  </si>
  <si>
    <t>FOLLETO PROMO.NAVIDAD</t>
  </si>
  <si>
    <t>8435057057202</t>
  </si>
  <si>
    <t>EXPOSITOR MOSTRADOR KA "NUTRI"</t>
  </si>
  <si>
    <t>8435057057219</t>
  </si>
  <si>
    <t>EXPOSITOR MOSTRADOR KA"ENERGY"</t>
  </si>
  <si>
    <t>8435057057226</t>
  </si>
  <si>
    <t>EXPOSITOR MOSTRADOR KA "COLOR"</t>
  </si>
  <si>
    <t>8435057057233</t>
  </si>
  <si>
    <t>FOLLETO FLYER PASHMINA 'Esp'</t>
  </si>
  <si>
    <t>8435057057264</t>
  </si>
  <si>
    <t>EXPOSITOR PIE KIN</t>
  </si>
  <si>
    <t>8435057057271</t>
  </si>
  <si>
    <t>BLOC CESION EXPOSITOR</t>
  </si>
  <si>
    <t>8435057057363</t>
  </si>
  <si>
    <t>BLOC CAMBIO DE DESCUENTO</t>
  </si>
  <si>
    <t>8435057057370</t>
  </si>
  <si>
    <t>300293</t>
  </si>
  <si>
    <t>ROLLAP PAPER SINTETIC</t>
  </si>
  <si>
    <t>CATAL. KIN FASHIONISTA Ingles</t>
  </si>
  <si>
    <t>8435057057387</t>
  </si>
  <si>
    <t>CATALOGO KINACTIF 2010 Inglés</t>
  </si>
  <si>
    <t>8435057057394</t>
  </si>
  <si>
    <t>CATALOGO REVENTA K.A."Inglés"</t>
  </si>
  <si>
    <t>8435057057400</t>
  </si>
  <si>
    <t>CATALOGO KINACTIF 2010 Francés</t>
  </si>
  <si>
    <t>8435057057417</t>
  </si>
  <si>
    <t>CATALOGO REVENTA K.A."Francés"</t>
  </si>
  <si>
    <t>8435057057424</t>
  </si>
  <si>
    <t>CATALOGO REVENTA K.A."Holandés</t>
  </si>
  <si>
    <t>8435057057431</t>
  </si>
  <si>
    <t>CATALOGO REVENTA K.A."Alemany"</t>
  </si>
  <si>
    <t>8435057057448</t>
  </si>
  <si>
    <t>CATALOGO REVENTA K.A.Portugués</t>
  </si>
  <si>
    <t>8435057057455</t>
  </si>
  <si>
    <t>CATALOGO KINACTIF 2010 Holandé</t>
  </si>
  <si>
    <t>8435057057479</t>
  </si>
  <si>
    <t>CATALOGO KINACTIF 2010 Alemany</t>
  </si>
  <si>
    <t>8435057057486</t>
  </si>
  <si>
    <t>CATAL. KINACTIF 2010 Portugués</t>
  </si>
  <si>
    <t>8435057057493</t>
  </si>
  <si>
    <t>CARTA "KF" COBRIZOS INT.SEDUC.</t>
  </si>
  <si>
    <t>8435057057875</t>
  </si>
  <si>
    <t>FOLL.FLYER PASHMINA 'Aleman'</t>
  </si>
  <si>
    <t>8435057057615</t>
  </si>
  <si>
    <t>FOLL.FLYER PASHMINA 'Frances'</t>
  </si>
  <si>
    <t>8435057057622</t>
  </si>
  <si>
    <t>FOLL.FLYER PASHMINA 'Holandes'</t>
  </si>
  <si>
    <t>8435057057639</t>
  </si>
  <si>
    <t>FOLL.FLYER PASHMINA 'Griego'</t>
  </si>
  <si>
    <t>8435057057646</t>
  </si>
  <si>
    <t>FOLL.FLYER PASHMINA 'Portugues</t>
  </si>
  <si>
    <t>8435057057653</t>
  </si>
  <si>
    <t>FOLL.FLYER PASHMINA 'Ingles'</t>
  </si>
  <si>
    <t>8435057057660</t>
  </si>
  <si>
    <t>CATALOGO REVENTA K.A. 'Griego'</t>
  </si>
  <si>
    <t>8435057057677</t>
  </si>
  <si>
    <t>CATALOGO KINACTIF 2010 Griego</t>
  </si>
  <si>
    <t>8435057057684</t>
  </si>
  <si>
    <t>CAJA + LIBRO METROPOLI</t>
  </si>
  <si>
    <t>8435057057851</t>
  </si>
  <si>
    <t>FOLLETO  CRK + TECNHOLOGY</t>
  </si>
  <si>
    <t>8435057057929</t>
  </si>
  <si>
    <t>FOLLETO KERATIN NUTRI TREAT.</t>
  </si>
  <si>
    <t>8435057057936</t>
  </si>
  <si>
    <t>FOLL.PROGAMA FORMACIO "Español</t>
  </si>
  <si>
    <t>8435057057943</t>
  </si>
  <si>
    <t>POSTER INTENSE SEDUCTION CRK</t>
  </si>
  <si>
    <t>8435057057950</t>
  </si>
  <si>
    <t>POSTER KERATIN NUTRI TREATMENT</t>
  </si>
  <si>
    <t>8435057057967</t>
  </si>
  <si>
    <t>REVISTA KIN BACKSTAGE Nº13</t>
  </si>
  <si>
    <t>8435057058001</t>
  </si>
  <si>
    <t>300326</t>
  </si>
  <si>
    <t>FOLLETO SUNCARE  2011-2012</t>
  </si>
  <si>
    <t>300327</t>
  </si>
  <si>
    <t>FOLLETO HAIRCOLOR GUIDE  "USA"</t>
  </si>
  <si>
    <t>300328</t>
  </si>
  <si>
    <t>FOLLETO HAIRCOLOR GUIDE  "UE"</t>
  </si>
  <si>
    <t>300329</t>
  </si>
  <si>
    <t>DIPTICO VIAJE SUDAFRICA</t>
  </si>
  <si>
    <t>300330</t>
  </si>
  <si>
    <t>TARIFA PVP SUNCARE 2011</t>
  </si>
  <si>
    <t>300331</t>
  </si>
  <si>
    <t>DISPLAY SUNCARE 2011</t>
  </si>
  <si>
    <t>300332</t>
  </si>
  <si>
    <t>POSTER SUNCARE 2011</t>
  </si>
  <si>
    <t>300333</t>
  </si>
  <si>
    <t>FOLL.PROGAMA FORMACIO "Inglés"</t>
  </si>
  <si>
    <t>300334</t>
  </si>
  <si>
    <t>CATALOGO PUNTOS DISTRIB. 2011</t>
  </si>
  <si>
    <t>300335</t>
  </si>
  <si>
    <t>CATALOGO PUNTOS PROFES.  2011</t>
  </si>
  <si>
    <t>300336</t>
  </si>
  <si>
    <t>CATALOGO RESUMEN 2011 "Español</t>
  </si>
  <si>
    <t>300337</t>
  </si>
  <si>
    <t>CATALOGO RESUMEN 2011 "Inglés"</t>
  </si>
  <si>
    <t>300338</t>
  </si>
  <si>
    <t>FOLLETO COLLAGEN TR.EFEC BOTOX</t>
  </si>
  <si>
    <t>300339</t>
  </si>
  <si>
    <t>POSTER COLLAGEN TREATMENT</t>
  </si>
  <si>
    <t>300340</t>
  </si>
  <si>
    <t>POSTER FLUOR STYLIUM</t>
  </si>
  <si>
    <t>300341</t>
  </si>
  <si>
    <t>FOLLETO KERATIN NUTRI "Inglés"</t>
  </si>
  <si>
    <t>300342</t>
  </si>
  <si>
    <t>POSTER KERATIN NUTRI "Inglés"</t>
  </si>
  <si>
    <t>300343</t>
  </si>
  <si>
    <t>DISPLAY FLUOR STYLIUM</t>
  </si>
  <si>
    <t>300344</t>
  </si>
  <si>
    <t>POSTER A2 SUNCARE 2011 "Inglés</t>
  </si>
  <si>
    <t>300345</t>
  </si>
  <si>
    <t>FOLLETO SUNCARE 2011 "Inglés"</t>
  </si>
  <si>
    <t>FOLL. TRIPTICO TECNICO KINLISS</t>
  </si>
  <si>
    <t>8435057058063</t>
  </si>
  <si>
    <t>POSTER  KINLISS "Español"</t>
  </si>
  <si>
    <t>8435057058070</t>
  </si>
  <si>
    <t>DISPLAY KINLISS</t>
  </si>
  <si>
    <t>8435057058087</t>
  </si>
  <si>
    <t>300350</t>
  </si>
  <si>
    <t>DIPTICO VIAJE BRUSELAS</t>
  </si>
  <si>
    <t>300351</t>
  </si>
  <si>
    <t>FOLLETO COLLAGEN 2011 "Inglés"</t>
  </si>
  <si>
    <t>300352</t>
  </si>
  <si>
    <t>POSTER COLLAGEN  2011 "Inglés"</t>
  </si>
  <si>
    <t>300353</t>
  </si>
  <si>
    <t>FOLLETO HAIRCOLOR GUIDE "Esp."</t>
  </si>
  <si>
    <t>TARIFA PVP 2011</t>
  </si>
  <si>
    <t>0000000300354</t>
  </si>
  <si>
    <t>CARTA COLOR NATURAL TONES</t>
  </si>
  <si>
    <t>0000000300355</t>
  </si>
  <si>
    <t>300356</t>
  </si>
  <si>
    <t>POSTER  KINLISS "Inglés"</t>
  </si>
  <si>
    <t>300357</t>
  </si>
  <si>
    <t>TARIFA GENERAL 2011</t>
  </si>
  <si>
    <t>300358</t>
  </si>
  <si>
    <t>TARIFA PROFESIONAL 2011</t>
  </si>
  <si>
    <t>300359</t>
  </si>
  <si>
    <t>TARIFA DISTRIBUCIÓ 2011</t>
  </si>
  <si>
    <t>300360</t>
  </si>
  <si>
    <t>FOLLETO PROMO ANTICAIDA 2011</t>
  </si>
  <si>
    <t>300361</t>
  </si>
  <si>
    <t>TALONARIO SORTEO ANTICAIDA</t>
  </si>
  <si>
    <t>300362</t>
  </si>
  <si>
    <t>POSTER PROMO ANTICAIDA A4</t>
  </si>
  <si>
    <t>AGENDA KIN 2012</t>
  </si>
  <si>
    <t>0000000300363</t>
  </si>
  <si>
    <t>300364</t>
  </si>
  <si>
    <t>POSTER 2012</t>
  </si>
  <si>
    <t>300365</t>
  </si>
  <si>
    <t>POSTER CHRISTMAS BALL NAVIDAD</t>
  </si>
  <si>
    <t>300369</t>
  </si>
  <si>
    <t>FOLLETO PROM.ACEITE DE ARGAN</t>
  </si>
  <si>
    <t>300373</t>
  </si>
  <si>
    <t>ORIGEN COLLECTION</t>
  </si>
  <si>
    <t>POSTER SUNCARE  "2012"  A4</t>
  </si>
  <si>
    <t>0000000300375</t>
  </si>
  <si>
    <t>CARTA KINCREM 'CRK' PLUS EXTRA</t>
  </si>
  <si>
    <t>0000000300376</t>
  </si>
  <si>
    <t>RETAIL COMPANY PROFILE 2012</t>
  </si>
  <si>
    <t>0000000300378</t>
  </si>
  <si>
    <t>COMPANY PROFILE LUX.ED. 2012</t>
  </si>
  <si>
    <t>0000000300379</t>
  </si>
  <si>
    <t>300381</t>
  </si>
  <si>
    <t>FOLLETO SUNCARE 2012  Holandés</t>
  </si>
  <si>
    <t>CATALOGO GENERAL 2015</t>
  </si>
  <si>
    <t>0000000300382</t>
  </si>
  <si>
    <t>ENCARTE CARTA DE COLOR "CRK"</t>
  </si>
  <si>
    <t>0000000300384</t>
  </si>
  <si>
    <t>FOLLETO  KINSTYLE FASE 1</t>
  </si>
  <si>
    <t>0000003003862</t>
  </si>
  <si>
    <t>POSTER KINSTYLE FASE 1</t>
  </si>
  <si>
    <t>0000003003886</t>
  </si>
  <si>
    <t>DISPLAY KINSTYLE</t>
  </si>
  <si>
    <t>0000000300389</t>
  </si>
  <si>
    <t>CATALOGO  KINSTYLE 2012</t>
  </si>
  <si>
    <t>0000000300392</t>
  </si>
  <si>
    <t>POSTER KINSTYLE FASE 2</t>
  </si>
  <si>
    <t>0000000300393</t>
  </si>
  <si>
    <t>CATALOGO GRAL. RETAIL 2015</t>
  </si>
  <si>
    <t>0000000300394</t>
  </si>
  <si>
    <t>CARTA BROWNS "CRK"COLLECTION</t>
  </si>
  <si>
    <t>0000000300395</t>
  </si>
  <si>
    <t>CATALOGO GRAL. RETAIL 2015 Ing</t>
  </si>
  <si>
    <t>0000000300396</t>
  </si>
  <si>
    <t>FOLLETO ARGUMENTARIO CRK+</t>
  </si>
  <si>
    <t>0000000300397</t>
  </si>
  <si>
    <t>AGENDA KIN 2013</t>
  </si>
  <si>
    <t>0000000300399</t>
  </si>
  <si>
    <t>CALENDARIO 2013</t>
  </si>
  <si>
    <t>0000000300400</t>
  </si>
  <si>
    <t>CARTA KINCREM 'CRK'</t>
  </si>
  <si>
    <t>0000000300403</t>
  </si>
  <si>
    <t>FOLLETO FLYER X-TREM</t>
  </si>
  <si>
    <t>0000000300404</t>
  </si>
  <si>
    <t>VISUAL METALLIC SEDUCTION</t>
  </si>
  <si>
    <t>0000000300409</t>
  </si>
  <si>
    <t>VISUAL SWEET MISTERY</t>
  </si>
  <si>
    <t>0000000300410</t>
  </si>
  <si>
    <t>GUIA RAPIDA DE COLOR CRK+ ESP</t>
  </si>
  <si>
    <t>0000000300418</t>
  </si>
  <si>
    <t>FOLLETO OLEO NUTRI</t>
  </si>
  <si>
    <t>0000000300425</t>
  </si>
  <si>
    <t>AGENDA KIN 2014</t>
  </si>
  <si>
    <t>0000000300426</t>
  </si>
  <si>
    <t>BOLETO PROMO "IPAD MINI"</t>
  </si>
  <si>
    <t>0000000300431</t>
  </si>
  <si>
    <t>DISPLAY IPAD MINI</t>
  </si>
  <si>
    <t>0000000300432</t>
  </si>
  <si>
    <t>FOLLETO KINESSENCES ASESOR</t>
  </si>
  <si>
    <t>0000000300434</t>
  </si>
  <si>
    <t>CATALOGO KINESSENCES RETAIL</t>
  </si>
  <si>
    <t>0000000300436</t>
  </si>
  <si>
    <t>VISUAL IMAGEN KINESSENCES 2014</t>
  </si>
  <si>
    <t>0000000300437</t>
  </si>
  <si>
    <t>POSTER PROMO KINSTYLE+TANGLIM</t>
  </si>
  <si>
    <t>0000000300438</t>
  </si>
  <si>
    <t>VISUAL LADY LIKE KINTRENDS014.</t>
  </si>
  <si>
    <t>0000000300439</t>
  </si>
  <si>
    <t>AGENDA KIN 2015</t>
  </si>
  <si>
    <t>0000000300463</t>
  </si>
  <si>
    <t>CARTA COLOR SEBELYS (DESCATALOGADA)</t>
  </si>
  <si>
    <t>0000000300466</t>
  </si>
  <si>
    <t>AGENDA KIN 2016</t>
  </si>
  <si>
    <t>0000003005163</t>
  </si>
  <si>
    <t>CARTA COLOR KINESSENCES COLOR</t>
  </si>
  <si>
    <t>0000000300521</t>
  </si>
  <si>
    <t>KINESSENCES FRAGRANCE DIFFUSER</t>
  </si>
  <si>
    <t>84350570-5821-6</t>
  </si>
  <si>
    <t>KIT MALETA KINTRENDS017.</t>
  </si>
  <si>
    <t>8435057058292</t>
  </si>
  <si>
    <t>EXPOSITOR KINSTYLE/KINMEN</t>
  </si>
  <si>
    <t>8435057058346</t>
  </si>
  <si>
    <t>DISPLAY REVENTA KINESSENCES</t>
  </si>
  <si>
    <t>8435057058384</t>
  </si>
  <si>
    <t>MARCO FOTOS KINCREM PRESTIGE</t>
  </si>
  <si>
    <t>8435057058391</t>
  </si>
  <si>
    <t>KINESSENCES HAND SOAP</t>
  </si>
  <si>
    <t>8435057058407</t>
  </si>
  <si>
    <t>DISPLAY KINCREM PRESTIGE</t>
  </si>
  <si>
    <t>8435057058414</t>
  </si>
  <si>
    <t>LOTE MARCO FOTOS KINCREM P.</t>
  </si>
  <si>
    <t>8435057058421</t>
  </si>
  <si>
    <t>GLORIFICADOR OVERNIGHT INFUSION</t>
  </si>
  <si>
    <t>8435057058490</t>
  </si>
  <si>
    <t>KIT PRESENTACIÓN RUST COLLECTION</t>
  </si>
  <si>
    <t>8435057014823</t>
  </si>
  <si>
    <t>PACK TOTE BAG WE LOVE HAIR</t>
  </si>
  <si>
    <t>8435057014816</t>
  </si>
  <si>
    <t>LOTE NAVIDAD CAVA 3 BOT "ESP"</t>
  </si>
  <si>
    <t>NALOCA</t>
  </si>
  <si>
    <t>8435057098700</t>
  </si>
  <si>
    <t>LOTE NAVIDAD VARIADO</t>
  </si>
  <si>
    <t>NALOVA</t>
  </si>
  <si>
    <t>8435057098694</t>
  </si>
  <si>
    <t>BOTELLA CAVA KIN "Català"</t>
  </si>
  <si>
    <t>CAKIN</t>
  </si>
  <si>
    <t>8435057052498</t>
  </si>
  <si>
    <t>CAMISETA STYLIUM CHICA L</t>
  </si>
  <si>
    <t>CASTCAL</t>
  </si>
  <si>
    <t>8435057054317</t>
  </si>
  <si>
    <t>CAMISETA STYLIUM CHICA M</t>
  </si>
  <si>
    <t>CASTCAM</t>
  </si>
  <si>
    <t>8435057054300</t>
  </si>
  <si>
    <t>CAMISETA STYLIUM CHICO L</t>
  </si>
  <si>
    <t>CASTCOL</t>
  </si>
  <si>
    <t>8435057054324</t>
  </si>
  <si>
    <t>CAMISETA STYLIUM CHICO XL</t>
  </si>
  <si>
    <t>CASTCOX</t>
  </si>
  <si>
    <t>8435057054331</t>
  </si>
  <si>
    <t>BASCULA DIGITAL REDONDA</t>
  </si>
  <si>
    <t>BADI</t>
  </si>
  <si>
    <t>8435057050081</t>
  </si>
  <si>
    <t>BOLSA BANDOLERA STYLIUM</t>
  </si>
  <si>
    <t>BOBAST</t>
  </si>
  <si>
    <t>8435057050098</t>
  </si>
  <si>
    <t>BOL KINCREM 'KF'</t>
  </si>
  <si>
    <t>BOKF</t>
  </si>
  <si>
    <t>BOL KINCRE "KF" LILA</t>
  </si>
  <si>
    <t>8435057050104</t>
  </si>
  <si>
    <t>BOLIGRAFO KIN 2008</t>
  </si>
  <si>
    <t>BOLI07</t>
  </si>
  <si>
    <t>8435057052948</t>
  </si>
  <si>
    <t>KINBOOKS 2 VOLUMENES</t>
  </si>
  <si>
    <t>BOOK05</t>
  </si>
  <si>
    <t>8435057050128</t>
  </si>
  <si>
    <t>BOLSA LUJO PAPEL KIN</t>
  </si>
  <si>
    <t>BOPA08</t>
  </si>
  <si>
    <t>8435057052719</t>
  </si>
  <si>
    <t>BOLSA PLAYA SUNCARE 2008</t>
  </si>
  <si>
    <t>BOPLSU08</t>
  </si>
  <si>
    <t>8435057052610</t>
  </si>
  <si>
    <t>BOLSA STYLIUM 06 - 20 Unidades</t>
  </si>
  <si>
    <t>BOST06</t>
  </si>
  <si>
    <t>8435057050135</t>
  </si>
  <si>
    <t>CAPA BICOLOR KIN GRIS - PLATA</t>
  </si>
  <si>
    <t>CAKAN</t>
  </si>
  <si>
    <t>8435057050234</t>
  </si>
  <si>
    <t>310017</t>
  </si>
  <si>
    <t>CAPA KINCREM 'KF' Caja 50 Unid</t>
  </si>
  <si>
    <t>CAKF50</t>
  </si>
  <si>
    <t>8435057051781</t>
  </si>
  <si>
    <t>CARRITO KINCREM PRESTIGE</t>
  </si>
  <si>
    <t>CAKP</t>
  </si>
  <si>
    <t>8435057050258</t>
  </si>
  <si>
    <t>CAPA K.PRESTIGE Bolsa 50 Unid</t>
  </si>
  <si>
    <t>CAKP50</t>
  </si>
  <si>
    <t>8435057050265</t>
  </si>
  <si>
    <t>COCTELERA KINCREM 'KF'</t>
  </si>
  <si>
    <t>COKF</t>
  </si>
  <si>
    <t>8435057050289</t>
  </si>
  <si>
    <t>COLGANTE ' LOTUS '</t>
  </si>
  <si>
    <t>COLGLO</t>
  </si>
  <si>
    <t>8435057054355</t>
  </si>
  <si>
    <t>DELANTAL KINCREM 'KF'</t>
  </si>
  <si>
    <t>DEKF</t>
  </si>
  <si>
    <t>8435057051934</t>
  </si>
  <si>
    <t>DOSIFICADOR APLI. KINCREM 'KF'</t>
  </si>
  <si>
    <t>DOKF</t>
  </si>
  <si>
    <t>8435057050326</t>
  </si>
  <si>
    <t>MEDIDOR KINCREM 'KF'</t>
  </si>
  <si>
    <t>MEKF</t>
  </si>
  <si>
    <t>8435057051125</t>
  </si>
  <si>
    <t>NEVERA PORTÁTIL SUNCARE</t>
  </si>
  <si>
    <t>NEVESU09</t>
  </si>
  <si>
    <t>8435057053716</t>
  </si>
  <si>
    <t>PALETINA KINCREM 'KF' GRANDE</t>
  </si>
  <si>
    <t>PAKFGR</t>
  </si>
  <si>
    <t>PALETINA  "KF" GRAND</t>
  </si>
  <si>
    <t>8435057051279</t>
  </si>
  <si>
    <t>PALETINA KINCREM 'KF' PEQUEÑA</t>
  </si>
  <si>
    <t>PAKFPE</t>
  </si>
  <si>
    <t>8435057051286</t>
  </si>
  <si>
    <t>PANTALON KINPERM TALLA MEDIANA</t>
  </si>
  <si>
    <t>PAKPM</t>
  </si>
  <si>
    <t>8435057051293</t>
  </si>
  <si>
    <t>PANTALON KINPERM TALLA PEQUEÑA</t>
  </si>
  <si>
    <t>PAKPP</t>
  </si>
  <si>
    <t>8435057051309</t>
  </si>
  <si>
    <t>PEINE ESCARPIDOR KINCREM 'KF'</t>
  </si>
  <si>
    <t>PEKF</t>
  </si>
  <si>
    <t>8435057051330</t>
  </si>
  <si>
    <t>PENDIENTES ' MAJORICA '</t>
  </si>
  <si>
    <t>PENDMA</t>
  </si>
  <si>
    <t>8435057054379</t>
  </si>
  <si>
    <t>PLANCHA ALIS. HAIRTEC TURMALIN</t>
  </si>
  <si>
    <t>PLALTU</t>
  </si>
  <si>
    <t>8435057052818</t>
  </si>
  <si>
    <t>PULSERA ' LOTUS '</t>
  </si>
  <si>
    <t>PULSLO</t>
  </si>
  <si>
    <t>8435057054362</t>
  </si>
  <si>
    <t>BOLSA KINACTIF Paq. 20 bolsas</t>
  </si>
  <si>
    <t>SCBKA</t>
  </si>
  <si>
    <t>8435057051439</t>
  </si>
  <si>
    <t>BOL KINCREM PRESTIGE</t>
  </si>
  <si>
    <t>SCBKP</t>
  </si>
  <si>
    <t>8435057051446</t>
  </si>
  <si>
    <t>BOL NEW COLOR GLAMOUR</t>
  </si>
  <si>
    <t>SCBNG</t>
  </si>
  <si>
    <t>8435057051453</t>
  </si>
  <si>
    <t>DELANTAL KINCREM PRESTIGE</t>
  </si>
  <si>
    <t>SCDKP</t>
  </si>
  <si>
    <t>8435057051521</t>
  </si>
  <si>
    <t>DELANTAL NEW C. GLAMOUR</t>
  </si>
  <si>
    <t>SCDNG</t>
  </si>
  <si>
    <t>8435057051538</t>
  </si>
  <si>
    <t>PALETINA KINCREM PRESTIGE</t>
  </si>
  <si>
    <t>SCPKP</t>
  </si>
  <si>
    <t>VA0102</t>
  </si>
  <si>
    <t>8435057051590</t>
  </si>
  <si>
    <t>PALETINA NEW COLOR GLAMOUR</t>
  </si>
  <si>
    <t>SCPNG</t>
  </si>
  <si>
    <t>8435057051606</t>
  </si>
  <si>
    <t>TOALLA KINACTIF</t>
  </si>
  <si>
    <t>SCTKA</t>
  </si>
  <si>
    <t>8435057051613</t>
  </si>
  <si>
    <t>TOALLA KINCREM PRESTIGE</t>
  </si>
  <si>
    <t>SCTKP</t>
  </si>
  <si>
    <t>8435057051620</t>
  </si>
  <si>
    <t>TOALLA NEW COLOR GLAMOUR</t>
  </si>
  <si>
    <t>SCTNG</t>
  </si>
  <si>
    <t>8435057051637</t>
  </si>
  <si>
    <t>SECADOR KIN 5000 AZUL 230 V.</t>
  </si>
  <si>
    <t>SE5A2</t>
  </si>
  <si>
    <t>8435057051644</t>
  </si>
  <si>
    <t>SECADOR KINHAIRTEC 5000</t>
  </si>
  <si>
    <t>SEHA50I</t>
  </si>
  <si>
    <t>8435057052979</t>
  </si>
  <si>
    <t>SECADOR DE VIAJE KIN HAIRTEC</t>
  </si>
  <si>
    <t>SEHAMI</t>
  </si>
  <si>
    <t>8435057054676</t>
  </si>
  <si>
    <t>CINTURON STYLIUM</t>
  </si>
  <si>
    <t>STCINT</t>
  </si>
  <si>
    <t>8435057051682</t>
  </si>
  <si>
    <t>RELOJ STYLIUM</t>
  </si>
  <si>
    <t>STRELO</t>
  </si>
  <si>
    <t>8435057051699</t>
  </si>
  <si>
    <t>TIJERA ESPECIAL KIN 5"</t>
  </si>
  <si>
    <t>TIAP05</t>
  </si>
  <si>
    <t>8435057051729</t>
  </si>
  <si>
    <t>TIJERA ESPECIAL KIN 5.5"</t>
  </si>
  <si>
    <t>TIAP55</t>
  </si>
  <si>
    <t>8435057051736</t>
  </si>
  <si>
    <t>TOALLA KINCREM 'KF'</t>
  </si>
  <si>
    <t>TOKF</t>
  </si>
  <si>
    <t>8435057051767</t>
  </si>
  <si>
    <t>TOALLA PLAYA SUNCARE 2008</t>
  </si>
  <si>
    <t>TOSU08</t>
  </si>
  <si>
    <t>8435057052665</t>
  </si>
  <si>
    <t>BOLSA COMPRA PLEGABLE KIN</t>
  </si>
  <si>
    <t>BOCOPL</t>
  </si>
  <si>
    <t>8435057052917</t>
  </si>
  <si>
    <t>CALENDARIO KIN 2008</t>
  </si>
  <si>
    <t>CA08</t>
  </si>
  <si>
    <t>8435057052566</t>
  </si>
  <si>
    <t>CALENDARIO 2009</t>
  </si>
  <si>
    <t>CA09</t>
  </si>
  <si>
    <t>8435057053440</t>
  </si>
  <si>
    <t>CARTERA BOLSO KINHAIRTEC</t>
  </si>
  <si>
    <t>CABOPE</t>
  </si>
  <si>
    <t>8435057052726</t>
  </si>
  <si>
    <t>CARRO 6 CAJONES KINHAIRTEC</t>
  </si>
  <si>
    <t>CACT06</t>
  </si>
  <si>
    <t>8435057054102</t>
  </si>
  <si>
    <t>CARRO 5 CAJONES KINHAIRTEC</t>
  </si>
  <si>
    <t>CAJA05</t>
  </si>
  <si>
    <t>8435057054096</t>
  </si>
  <si>
    <t>ESPEJO DOS CARAS</t>
  </si>
  <si>
    <t>ESPE07</t>
  </si>
  <si>
    <t>8435057051958</t>
  </si>
  <si>
    <t>GPS ACER V200</t>
  </si>
  <si>
    <t>GPS07</t>
  </si>
  <si>
    <t>8435057051941</t>
  </si>
  <si>
    <t>MANTA DE VIAJE</t>
  </si>
  <si>
    <t>MAVI</t>
  </si>
  <si>
    <t>8435057054584</t>
  </si>
  <si>
    <t>MP3 ZEN NANO PLUS</t>
  </si>
  <si>
    <t>MP3Z</t>
  </si>
  <si>
    <t>8435057051248</t>
  </si>
  <si>
    <t>NECESER KINACTIF GRANATE</t>
  </si>
  <si>
    <t>NEKAGR</t>
  </si>
  <si>
    <t>8435057051255</t>
  </si>
  <si>
    <t>NECESER SUNCARE 2006</t>
  </si>
  <si>
    <t>NESU06</t>
  </si>
  <si>
    <t>8435057051262</t>
  </si>
  <si>
    <t>PARAGUAS KINACTIF</t>
  </si>
  <si>
    <t>PARA05</t>
  </si>
  <si>
    <t>8435057051316</t>
  </si>
  <si>
    <t>PAREO SUNCARE 2006</t>
  </si>
  <si>
    <t>PASU06</t>
  </si>
  <si>
    <t>8435057051323</t>
  </si>
  <si>
    <t>MINI-RADIO SCAN</t>
  </si>
  <si>
    <t>RAMISC</t>
  </si>
  <si>
    <t>8435057051415</t>
  </si>
  <si>
    <t>TIJERA KIN FORJADO 314 5'</t>
  </si>
  <si>
    <t>TIFO05</t>
  </si>
  <si>
    <t>8435057051743</t>
  </si>
  <si>
    <t>TIJERA KIN FORJADO 314 5.5'</t>
  </si>
  <si>
    <t>TIFO55</t>
  </si>
  <si>
    <t>8435057051750</t>
  </si>
  <si>
    <t>CARPETA KIN</t>
  </si>
  <si>
    <t>CARP07</t>
  </si>
  <si>
    <t>8435057052573</t>
  </si>
  <si>
    <t>SUBCARPETA KIN</t>
  </si>
  <si>
    <t>SUCA07</t>
  </si>
  <si>
    <t>8435057052580</t>
  </si>
  <si>
    <t>NECESER KINMEN NEGRO</t>
  </si>
  <si>
    <t>NEKMNE</t>
  </si>
  <si>
    <t>8435057054768</t>
  </si>
  <si>
    <t>PLANCHA KINHAIRTEC_NANO SILVER</t>
  </si>
  <si>
    <t>PLKIHA</t>
  </si>
  <si>
    <t>8435057055000</t>
  </si>
  <si>
    <t>CARPETA KIN CORPORATIVA</t>
  </si>
  <si>
    <t>CACO09</t>
  </si>
  <si>
    <t>8435057054911</t>
  </si>
  <si>
    <t>BOLSA LUJO PAPEL 2009</t>
  </si>
  <si>
    <t>BOPA09</t>
  </si>
  <si>
    <t>8435057054997</t>
  </si>
  <si>
    <t>PLANCHA KINHAIRTEC USA</t>
  </si>
  <si>
    <t>PLKIHEA</t>
  </si>
  <si>
    <t>8435057055178</t>
  </si>
  <si>
    <t>BOLSA KIN "BIODEGRADABLE"</t>
  </si>
  <si>
    <t>BOKC09</t>
  </si>
  <si>
    <t>ASA TROQ.OXO 30*40</t>
  </si>
  <si>
    <t>G-300 IMPRESAS</t>
  </si>
  <si>
    <t>8435057055222</t>
  </si>
  <si>
    <t>SECADOR IONICO KINHAIRTEC 220V</t>
  </si>
  <si>
    <t>SEIOKH</t>
  </si>
  <si>
    <t>8435057056465</t>
  </si>
  <si>
    <t>TOALLA PAREO SUNCARE</t>
  </si>
  <si>
    <t>TOPASU10</t>
  </si>
  <si>
    <t>8435057056014</t>
  </si>
  <si>
    <t>BOLSA REVENTA LUJO 2010</t>
  </si>
  <si>
    <t>8435057056229</t>
  </si>
  <si>
    <t>TOALLA PELUQUERÍA KIN BLANCA</t>
  </si>
  <si>
    <t>TOALLA BLANCA 50*90</t>
  </si>
  <si>
    <t>8435057056298</t>
  </si>
  <si>
    <t>TOALLA PELUQUERÍA KIN NEGRA</t>
  </si>
  <si>
    <t>TOALLA NEGRA 50*90</t>
  </si>
  <si>
    <t>8435057056304</t>
  </si>
  <si>
    <t>PASHMINA PRINT ANIMAL</t>
  </si>
  <si>
    <t>8435057056311</t>
  </si>
  <si>
    <t>SECADOR IONICO KINHAIRTEC 110V</t>
  </si>
  <si>
    <t>8435057056434</t>
  </si>
  <si>
    <t>CAMISETA BIELORRUSIA</t>
  </si>
  <si>
    <t>8435057056502</t>
  </si>
  <si>
    <t>CAPA CORTE  KIN " BLANCA "</t>
  </si>
  <si>
    <t>8435057056472</t>
  </si>
  <si>
    <t>CAPA CORTE KIN NEGRA</t>
  </si>
  <si>
    <t>8435057056489</t>
  </si>
  <si>
    <t>BOLIGRAFO KIN 2010</t>
  </si>
  <si>
    <t>8435057056496</t>
  </si>
  <si>
    <t>DELANTAL STRECH KIN "Negro"</t>
  </si>
  <si>
    <t>8435057056519</t>
  </si>
  <si>
    <t>KIMONO NEGRO</t>
  </si>
  <si>
    <t>8435057056526</t>
  </si>
  <si>
    <t>310092</t>
  </si>
  <si>
    <t>CAMISETA DEPARTAMENTO TECNICO</t>
  </si>
  <si>
    <t>310093</t>
  </si>
  <si>
    <t>MUESTRA CAMISETA MANGA LARGA</t>
  </si>
  <si>
    <t>RELOJ VERANO KIN "AZUL"</t>
  </si>
  <si>
    <t>8435057056595</t>
  </si>
  <si>
    <t>RELOJ VERANO KIN "LILA"</t>
  </si>
  <si>
    <t>8435057056601</t>
  </si>
  <si>
    <t>RELOJ VERANO KIN "AMARILLO"</t>
  </si>
  <si>
    <t>8435057056618</t>
  </si>
  <si>
    <t>RELOJ VERANO KIN "ROSA"</t>
  </si>
  <si>
    <t>8435057056625</t>
  </si>
  <si>
    <t>RELOJ VERANO KIN "ROJO"</t>
  </si>
  <si>
    <t>8435057056632</t>
  </si>
  <si>
    <t>310099</t>
  </si>
  <si>
    <t>TIJERA ARTERO PRO 7"</t>
  </si>
  <si>
    <t>CARPETA "4 Anelles"</t>
  </si>
  <si>
    <t>8435057056755</t>
  </si>
  <si>
    <t>CAMISETA LISA "Talla M"</t>
  </si>
  <si>
    <t>8435057056762</t>
  </si>
  <si>
    <t>CAMISETA LISA "Talla L"</t>
  </si>
  <si>
    <t>8435057056779</t>
  </si>
  <si>
    <t>CAMISETA LISA "Talla XL"</t>
  </si>
  <si>
    <t>8435057056786</t>
  </si>
  <si>
    <t>VESTIDO MARGOT "Talla M"</t>
  </si>
  <si>
    <t>8435057056793</t>
  </si>
  <si>
    <t>VESTIDO MARGOT "Talla L"</t>
  </si>
  <si>
    <t>8435057056809</t>
  </si>
  <si>
    <t>VESTIDO MARGOT "Talla XL"</t>
  </si>
  <si>
    <t>8435057056816</t>
  </si>
  <si>
    <t>CAMISETA HANNA "Talla M"</t>
  </si>
  <si>
    <t>8435057056823</t>
  </si>
  <si>
    <t>CAMISETA HANNA "Talla L"</t>
  </si>
  <si>
    <t>8435057056830</t>
  </si>
  <si>
    <t>CAMISETA HANNA "Talla XL"</t>
  </si>
  <si>
    <t>8435057056984</t>
  </si>
  <si>
    <t>BATA HELENA "Talla M"</t>
  </si>
  <si>
    <t>8435057056847</t>
  </si>
  <si>
    <t>BATA HELENA "Talla L"</t>
  </si>
  <si>
    <t>8435057056854</t>
  </si>
  <si>
    <t>BATA HELENA "Talla XL"</t>
  </si>
  <si>
    <t>8435057056861</t>
  </si>
  <si>
    <t>LEGGIN OLIVIA "Talla S"</t>
  </si>
  <si>
    <t>8435057056878</t>
  </si>
  <si>
    <t>LEGGIN OLIVIA "Talla M"</t>
  </si>
  <si>
    <t>8435057056885</t>
  </si>
  <si>
    <t>LEGGIN OLIVIA "Talla L"</t>
  </si>
  <si>
    <t>8435057056892</t>
  </si>
  <si>
    <t>LEGGIN OLIVIA "Talla XL"</t>
  </si>
  <si>
    <t>8435057056908</t>
  </si>
  <si>
    <t>BOMBACHO LAUREN "Talla S" -15</t>
  </si>
  <si>
    <t>8435057056915</t>
  </si>
  <si>
    <t>BOMBACHO LAUREN "Talla M"-15</t>
  </si>
  <si>
    <t>8435057056922</t>
  </si>
  <si>
    <t>BOMBACHO LAUREN "Talla L"-15</t>
  </si>
  <si>
    <t>8435057056939</t>
  </si>
  <si>
    <t>BOMBACHO LAUREN  "Talla XL -15</t>
  </si>
  <si>
    <t>8435057056946</t>
  </si>
  <si>
    <t>CAMISETA CHICO JOSS "Talla M"</t>
  </si>
  <si>
    <t>8435057056953</t>
  </si>
  <si>
    <t>CAMISETA CHICO JOSS "Talla L"</t>
  </si>
  <si>
    <t>8435057056960</t>
  </si>
  <si>
    <t>CAMISETA CHICO JOSS "Talla XL"</t>
  </si>
  <si>
    <t>8435057056977</t>
  </si>
  <si>
    <t>SECADOR KINHAIRTEC "Limited</t>
  </si>
  <si>
    <t>8435057056991</t>
  </si>
  <si>
    <t>CAPA "KIN"  Caja 50 Unid</t>
  </si>
  <si>
    <t>8435057057004</t>
  </si>
  <si>
    <t>COLLAR ETNICO XXL</t>
  </si>
  <si>
    <t>8435057057097</t>
  </si>
  <si>
    <t>PULSERA PROMO 2010</t>
  </si>
  <si>
    <t>8435057057103</t>
  </si>
  <si>
    <t>PLANCHA KH COMPACT "BAMBOO"</t>
  </si>
  <si>
    <t>8435057057240</t>
  </si>
  <si>
    <t>PLANCHA KINHAIRTEC "TITANIUM"</t>
  </si>
  <si>
    <t>8435057057257</t>
  </si>
  <si>
    <t>LOTE  NAVIDAD CAVA 2 BOTELLAS</t>
  </si>
  <si>
    <t>8435057057769</t>
  </si>
  <si>
    <t>BOTELLA CAVA KIN "Castellà"</t>
  </si>
  <si>
    <t>8435057057776</t>
  </si>
  <si>
    <t>LOT NADAL CAVA 3 BOT. "CAT"</t>
  </si>
  <si>
    <t>8435057057783</t>
  </si>
  <si>
    <t>CAMISETA HANNA LARGA "Talla M"</t>
  </si>
  <si>
    <t>8435057057790</t>
  </si>
  <si>
    <t>CAMISETA HANNA LARGA "Talla L"</t>
  </si>
  <si>
    <t>8435057057806</t>
  </si>
  <si>
    <t>CAMISETA HANNA LARGA"Talla XL"</t>
  </si>
  <si>
    <t>8435057057813</t>
  </si>
  <si>
    <t>VESTIDO MARGOT M.LARG"Talla M"</t>
  </si>
  <si>
    <t>8435057057820</t>
  </si>
  <si>
    <t>VESTIDO MARGOT M.LARG"Talla L"</t>
  </si>
  <si>
    <t>8435057057837</t>
  </si>
  <si>
    <t>VESTIDO MARGOT M.LAR"Talla XL"</t>
  </si>
  <si>
    <t>8435057057844</t>
  </si>
  <si>
    <t>DELANTAL "QUEEN"</t>
  </si>
  <si>
    <t>8435057057868</t>
  </si>
  <si>
    <t>METROPOLI COLLECTION</t>
  </si>
  <si>
    <t>8435057057974</t>
  </si>
  <si>
    <t>310143</t>
  </si>
  <si>
    <t>BOLSA FLUOR "VIOLETA"</t>
  </si>
  <si>
    <t>310144</t>
  </si>
  <si>
    <t>BOLSA FLUOR "VERDE LIMA"</t>
  </si>
  <si>
    <t>310145</t>
  </si>
  <si>
    <t>BOLSA FLUOR "FUCSIA"</t>
  </si>
  <si>
    <t>310146</t>
  </si>
  <si>
    <t>BOLIGRAFO KIN 2015</t>
  </si>
  <si>
    <t>PALETINA COLORACIÓN GRANDE KIN</t>
  </si>
  <si>
    <t>0000000310147</t>
  </si>
  <si>
    <t>BOL COLORACIÓN KIN</t>
  </si>
  <si>
    <t>0000000310148</t>
  </si>
  <si>
    <t>BOLA DE NAVIDAD 2011</t>
  </si>
  <si>
    <t>0000000310149</t>
  </si>
  <si>
    <t>URNA KIN</t>
  </si>
  <si>
    <t>0000000310150</t>
  </si>
  <si>
    <t>SOPORTE  METACRILATO "Din A4"</t>
  </si>
  <si>
    <t>0000000310151</t>
  </si>
  <si>
    <t>310153</t>
  </si>
  <si>
    <t>LOTE NAVIDAD CAVA 1 BOTELLA</t>
  </si>
  <si>
    <t>BOLSA REVENTA KIN</t>
  </si>
  <si>
    <t>0000000310155</t>
  </si>
  <si>
    <t>310156</t>
  </si>
  <si>
    <t>LAPIZ DE MADERA "KIN"</t>
  </si>
  <si>
    <t>CAMISETA J. DALMAU Mujer (M)</t>
  </si>
  <si>
    <t>0000000310159</t>
  </si>
  <si>
    <t>CAMISETA J. DALMAU Polyest (L)</t>
  </si>
  <si>
    <t>0000000310160</t>
  </si>
  <si>
    <t>PANTALON KIN By J. DALMAU (M)</t>
  </si>
  <si>
    <t>0000000310161</t>
  </si>
  <si>
    <t>PANTALON KIN By J. DALMAU (L)</t>
  </si>
  <si>
    <t>0000000310162</t>
  </si>
  <si>
    <t>DELANTAL "KIN"</t>
  </si>
  <si>
    <t>0000003101636</t>
  </si>
  <si>
    <t>BOLSA PLÁSTICO KIN</t>
  </si>
  <si>
    <t>0000000310164</t>
  </si>
  <si>
    <t>CHRISTMAS BELL 2012</t>
  </si>
  <si>
    <t>8435057009386</t>
  </si>
  <si>
    <t>0000000310166</t>
  </si>
  <si>
    <t>CAMISETA J. DALMAU Mujer (L)</t>
  </si>
  <si>
    <t>0000000310167</t>
  </si>
  <si>
    <t>CAMISETA J. DALMAU Hombre (L)</t>
  </si>
  <si>
    <t>0000000310168</t>
  </si>
  <si>
    <t>CAMISETA J. DALMAU Homb (XL)</t>
  </si>
  <si>
    <t>0000000310169</t>
  </si>
  <si>
    <t>TOALLA DE MANOS BLANCA</t>
  </si>
  <si>
    <t>0000000310170</t>
  </si>
  <si>
    <t>TOALLA TURBANTE BLANCA</t>
  </si>
  <si>
    <t>0000000310171</t>
  </si>
  <si>
    <t>BATA KIMONO BLANCA</t>
  </si>
  <si>
    <t>0000000310172</t>
  </si>
  <si>
    <t>BE COOL!</t>
  </si>
  <si>
    <t>8435057009911</t>
  </si>
  <si>
    <t>RADICAL NEUTRALITY COLLECTION</t>
  </si>
  <si>
    <t>0000000310174</t>
  </si>
  <si>
    <t>SECADOR KH BLACKPANTHER</t>
  </si>
  <si>
    <t>8435057058124</t>
  </si>
  <si>
    <t>PALETINA KINCREM CRK PEQUEÑA</t>
  </si>
  <si>
    <t>0000000310177</t>
  </si>
  <si>
    <t>ACEITE ARGAN/MACADAMIA</t>
  </si>
  <si>
    <t>8435057010030</t>
  </si>
  <si>
    <t>PLANCHA KH BLACK EDITION</t>
  </si>
  <si>
    <t>8435057058131</t>
  </si>
  <si>
    <t>KINTRENDS014. COLLECTION</t>
  </si>
  <si>
    <t>0000000310182</t>
  </si>
  <si>
    <t>KINESSENCES OIL CREAM EXP T/20</t>
  </si>
  <si>
    <t>0000000310186</t>
  </si>
  <si>
    <t>SECADOR KH SILVERWOLF</t>
  </si>
  <si>
    <t>8435057010627</t>
  </si>
  <si>
    <t>KINTRENDS015. COLLECTION</t>
  </si>
  <si>
    <t>8435057010740</t>
  </si>
  <si>
    <t>KINESSENCES CREMA MANOS 30 ML</t>
  </si>
  <si>
    <t>8435057011389</t>
  </si>
  <si>
    <t>CEPILLO KIN EGG</t>
  </si>
  <si>
    <t>0000003102091</t>
  </si>
  <si>
    <t>ESTUCHE PACK RESCUE KIT 2015</t>
  </si>
  <si>
    <t>0000003102107</t>
  </si>
  <si>
    <t>PLANCHA KIN HAIRTEC "BRONZED"</t>
  </si>
  <si>
    <t>8435057058186</t>
  </si>
  <si>
    <t>SECADOR KH BRONZED</t>
  </si>
  <si>
    <t>8435057058193</t>
  </si>
  <si>
    <t>LOOK BOOK KINTRENDS017.</t>
  </si>
  <si>
    <t>8435057058353</t>
  </si>
  <si>
    <t>LLAVERO KIN</t>
  </si>
  <si>
    <t>8435057058360</t>
  </si>
  <si>
    <t>PARAGUAS KIN</t>
  </si>
  <si>
    <t>8435057058377</t>
  </si>
  <si>
    <t>8435037160700</t>
  </si>
  <si>
    <t>8435037130871</t>
  </si>
  <si>
    <t>8435037130857</t>
  </si>
  <si>
    <t>MOCHILA SUNCARE 2018</t>
  </si>
  <si>
    <t>8435057058438</t>
  </si>
  <si>
    <t>WEEKEND BAG KIN</t>
  </si>
  <si>
    <t>8435057058445</t>
  </si>
  <si>
    <t>PLANCHA ROSE GOLD ED. KIN HAIRTEC</t>
  </si>
  <si>
    <t>8435057058452</t>
  </si>
  <si>
    <t>RIZADOR ROSE GOLD ED. KIN HAIRTEC</t>
  </si>
  <si>
    <t>8435057058469</t>
  </si>
  <si>
    <t>SECADOR ROSE GOLD ED. KIN HAIRTEC</t>
  </si>
  <si>
    <t>8435057058476</t>
  </si>
  <si>
    <t>KINESSENCES RESTORE OVERNIGHT 20 ML</t>
  </si>
  <si>
    <t>8435057013918</t>
  </si>
  <si>
    <t>GORROS DESECHABLES MECHAS KIN</t>
  </si>
  <si>
    <t>8435057058483</t>
  </si>
  <si>
    <t>KINMEN SHAVING CREAM 20 ML</t>
  </si>
  <si>
    <t>8435057058506</t>
  </si>
  <si>
    <t>KINMEN AFTER SHAVE BALM 20 ML</t>
  </si>
  <si>
    <t>8435057058513</t>
  </si>
  <si>
    <t>KINESS. RESTORE OVERNIGHT COLOMBIA</t>
  </si>
  <si>
    <t>8435057014236</t>
  </si>
  <si>
    <t>KINMEN MINI SHAVING SET</t>
  </si>
  <si>
    <t>8435057058520</t>
  </si>
  <si>
    <t>BASCULA DIGITAL KIN WE LOVE HAIR</t>
  </si>
  <si>
    <t>8435057058537</t>
  </si>
  <si>
    <t>SHAMPOO VIBES 100 ML</t>
  </si>
  <si>
    <t>8435057014731</t>
  </si>
  <si>
    <t>PLANCHA MIDNIGHT BLUE</t>
  </si>
  <si>
    <t>8435057058544</t>
  </si>
  <si>
    <t>SECADOR MIDNIGHT BLUE</t>
  </si>
  <si>
    <t>8435057058551</t>
  </si>
  <si>
    <t>310328</t>
  </si>
  <si>
    <t>VÁLVULA SHAMPOO 1.000 ML</t>
  </si>
  <si>
    <t>320001</t>
  </si>
  <si>
    <t>ANILLA SECADOR KAZE</t>
  </si>
  <si>
    <t>ANISKZ</t>
  </si>
  <si>
    <t>TKM305</t>
  </si>
  <si>
    <t>APLICADOR TERM. EXTENSIONES</t>
  </si>
  <si>
    <t>APTEEXS</t>
  </si>
  <si>
    <t>8435057051965</t>
  </si>
  <si>
    <t>APOYAPIES REX</t>
  </si>
  <si>
    <t>APYREX</t>
  </si>
  <si>
    <t>TKM304</t>
  </si>
  <si>
    <t>8435057053624</t>
  </si>
  <si>
    <t>BOTELLA SPRAY MOJADOR</t>
  </si>
  <si>
    <t>BOSPMO</t>
  </si>
  <si>
    <t>005-BT03</t>
  </si>
  <si>
    <t>8435057053068</t>
  </si>
  <si>
    <t>CARRO APRENDIZ JOLLY NEGRO</t>
  </si>
  <si>
    <t>CAAPJO</t>
  </si>
  <si>
    <t>8435057051972</t>
  </si>
  <si>
    <t>CARRO APRENDIZ A.G.V.</t>
  </si>
  <si>
    <t>CAAPPL</t>
  </si>
  <si>
    <t>8435057052856</t>
  </si>
  <si>
    <t>320007</t>
  </si>
  <si>
    <t>CAMILLA ARTICULADA 3 C.</t>
  </si>
  <si>
    <t>CAART</t>
  </si>
  <si>
    <t>CARRO AUXILIAR KI GRIS PLATA</t>
  </si>
  <si>
    <t>CAAUGP</t>
  </si>
  <si>
    <t>TKM302</t>
  </si>
  <si>
    <t>8435057054256</t>
  </si>
  <si>
    <t>CARRO BRIO 3 COLOR ANTRACITA</t>
  </si>
  <si>
    <t>CABRIO</t>
  </si>
  <si>
    <t>8435057052849</t>
  </si>
  <si>
    <t>CARRO MANICURA CIAK</t>
  </si>
  <si>
    <t>CAMACI</t>
  </si>
  <si>
    <t>P72062</t>
  </si>
  <si>
    <t>8435057053686</t>
  </si>
  <si>
    <t>CAMILLA MASAJI NEGRA</t>
  </si>
  <si>
    <t>CAMASA</t>
  </si>
  <si>
    <t>TKM322</t>
  </si>
  <si>
    <t>8435057053921</t>
  </si>
  <si>
    <t>CARRO MADERA ZEPHIR</t>
  </si>
  <si>
    <t>CAMAZE</t>
  </si>
  <si>
    <t>8435057051989</t>
  </si>
  <si>
    <t>CARRO METALICO</t>
  </si>
  <si>
    <t>CAMETA</t>
  </si>
  <si>
    <t>TKM3001B</t>
  </si>
  <si>
    <t>8435057053969</t>
  </si>
  <si>
    <t>CAPA CORTE GRANDE</t>
  </si>
  <si>
    <t>CAPAGR</t>
  </si>
  <si>
    <t>004-4001H</t>
  </si>
  <si>
    <t>8435057053174</t>
  </si>
  <si>
    <t>CAPA CORTE PEQUEÑA</t>
  </si>
  <si>
    <t>CAPAPE</t>
  </si>
  <si>
    <t>004-4001</t>
  </si>
  <si>
    <t>8435057053181</t>
  </si>
  <si>
    <t>CARRO REVISTERO DE MADERA</t>
  </si>
  <si>
    <t>CAREMA</t>
  </si>
  <si>
    <t>8435057051996</t>
  </si>
  <si>
    <t>CARRO MANICURA REF. 89917</t>
  </si>
  <si>
    <t>CARMA</t>
  </si>
  <si>
    <t>8435057052009</t>
  </si>
  <si>
    <t>CARRO ROCK</t>
  </si>
  <si>
    <t>CAROCK</t>
  </si>
  <si>
    <t>8435057052832</t>
  </si>
  <si>
    <t>CARRO OPTIMUN</t>
  </si>
  <si>
    <t>CAROME</t>
  </si>
  <si>
    <t>8435057053341</t>
  </si>
  <si>
    <t>CARRO NEW STYLE BLANCO</t>
  </si>
  <si>
    <t>CAUT94</t>
  </si>
  <si>
    <t>89914</t>
  </si>
  <si>
    <t>8435057052016</t>
  </si>
  <si>
    <t>MALETIN 5 CEPILLO EVOL. BASIC</t>
  </si>
  <si>
    <t>CEMABA</t>
  </si>
  <si>
    <t>MLT-EVO5B</t>
  </si>
  <si>
    <t>8435057053235</t>
  </si>
  <si>
    <t>MALETIN 5 CEPILLO EVOL. PLUS</t>
  </si>
  <si>
    <t>CEMAPL</t>
  </si>
  <si>
    <t>MLT-EVO5P</t>
  </si>
  <si>
    <t>8435057053242</t>
  </si>
  <si>
    <t>MALETIN 5 CEPILLO EVOL. SOFT</t>
  </si>
  <si>
    <t>CEMASO</t>
  </si>
  <si>
    <t>MLT-EV05S</t>
  </si>
  <si>
    <t>8435057053228</t>
  </si>
  <si>
    <t>320024</t>
  </si>
  <si>
    <t>CEPILLO QUIMBAYA CORCHO E.L.</t>
  </si>
  <si>
    <t>CEQU50</t>
  </si>
  <si>
    <t>320025</t>
  </si>
  <si>
    <t>CEQU53</t>
  </si>
  <si>
    <t>320026</t>
  </si>
  <si>
    <t>CEQU57</t>
  </si>
  <si>
    <t>320027</t>
  </si>
  <si>
    <t>CEQU66</t>
  </si>
  <si>
    <t>320028</t>
  </si>
  <si>
    <t>CEQU75</t>
  </si>
  <si>
    <t>320029</t>
  </si>
  <si>
    <t>CEPILLO QUIMBAYA CORCHO 90 mm.</t>
  </si>
  <si>
    <t>CEQU90</t>
  </si>
  <si>
    <t>CEPILLO RAQUETA GOMOSO NEGRO</t>
  </si>
  <si>
    <t>CERAGO</t>
  </si>
  <si>
    <t>513NB</t>
  </si>
  <si>
    <t>8435057053051</t>
  </si>
  <si>
    <t>320031</t>
  </si>
  <si>
    <t>CEPILLO SIOOX ESPUMA 20 mm.</t>
  </si>
  <si>
    <t>CESI20</t>
  </si>
  <si>
    <t>320032</t>
  </si>
  <si>
    <t>CEPILLO SIOOX ESPUMA 28 mm.</t>
  </si>
  <si>
    <t>CESI28</t>
  </si>
  <si>
    <t>320033</t>
  </si>
  <si>
    <t>CEPILLO SIOOX ESPUMA 38 mm.</t>
  </si>
  <si>
    <t>CESI38</t>
  </si>
  <si>
    <t>320034</t>
  </si>
  <si>
    <t>CEPILLO SIOOX ESPUMA 50 mm.</t>
  </si>
  <si>
    <t>CESI50</t>
  </si>
  <si>
    <t>320035</t>
  </si>
  <si>
    <t>CEPILLO TAYRONA MADERA 41 mm.</t>
  </si>
  <si>
    <t>CETA41</t>
  </si>
  <si>
    <t>320036</t>
  </si>
  <si>
    <t>CETA41E</t>
  </si>
  <si>
    <t>320037</t>
  </si>
  <si>
    <t>CEPILLO TAYRONA MADERA 46 mm.</t>
  </si>
  <si>
    <t>CETA46</t>
  </si>
  <si>
    <t>320038</t>
  </si>
  <si>
    <t>CEPILLO TAYRONA MADERA 56 mm.</t>
  </si>
  <si>
    <t>CETA56</t>
  </si>
  <si>
    <t>320039</t>
  </si>
  <si>
    <t>CETA56E</t>
  </si>
  <si>
    <t>320040</t>
  </si>
  <si>
    <t>CEPILLO TAYRONA MADERA 60 mm.</t>
  </si>
  <si>
    <t>CETA60</t>
  </si>
  <si>
    <t>320041</t>
  </si>
  <si>
    <t>CEPILLO TAYRONA MADERA 64 mm.</t>
  </si>
  <si>
    <t>CETA64</t>
  </si>
  <si>
    <t>320042</t>
  </si>
  <si>
    <t>CEPILLO TAYRONA MADERA 75 mm.</t>
  </si>
  <si>
    <t>CETA75</t>
  </si>
  <si>
    <t>320043</t>
  </si>
  <si>
    <t>CETA75E</t>
  </si>
  <si>
    <t>CEPILLO TALCO NEGRO</t>
  </si>
  <si>
    <t>CETALC</t>
  </si>
  <si>
    <t>002-2NE1</t>
  </si>
  <si>
    <t>8435057053075</t>
  </si>
  <si>
    <t>TUBO 5 CEPILLOS C.RAMIC AZUL</t>
  </si>
  <si>
    <t>CETUCAZ</t>
  </si>
  <si>
    <t>8435057053730</t>
  </si>
  <si>
    <t>TUBO 5 CEPILLOS C.RAMIC NARANJ</t>
  </si>
  <si>
    <t>CETUCNA</t>
  </si>
  <si>
    <t>8435057053754</t>
  </si>
  <si>
    <t>TUBO 5 CEPILLOS C.RAMIC ROSA</t>
  </si>
  <si>
    <t>CETUCRC</t>
  </si>
  <si>
    <t>PK-5TXCOLOR</t>
  </si>
  <si>
    <t>8435057053204</t>
  </si>
  <si>
    <t>TUBO 5 CEPILLOS C.RAMIC IONIC</t>
  </si>
  <si>
    <t>CETUCRI</t>
  </si>
  <si>
    <t>PK-5TXCR</t>
  </si>
  <si>
    <t>8435057053211</t>
  </si>
  <si>
    <t>TUBO 5 CEPILLOS C.RAMIC VERDE</t>
  </si>
  <si>
    <t>CETUCVE</t>
  </si>
  <si>
    <t>8435057053747</t>
  </si>
  <si>
    <t>TUBO 5 CEPILLOS PROFESIONAL</t>
  </si>
  <si>
    <t>CETUPRO</t>
  </si>
  <si>
    <t>PK-5TERMIX</t>
  </si>
  <si>
    <t>8435057053198</t>
  </si>
  <si>
    <t>CLIMAZON OZONO C3000 BRAZO</t>
  </si>
  <si>
    <t>CLOZBR</t>
  </si>
  <si>
    <t>8435057053372</t>
  </si>
  <si>
    <t>CLIMAZON OZONO C3000 PIE</t>
  </si>
  <si>
    <t>CLOZPI</t>
  </si>
  <si>
    <t>8435057053389</t>
  </si>
  <si>
    <t>CLIMAZON ELECTRONICO C3000 PIE</t>
  </si>
  <si>
    <t>CLIMEP</t>
  </si>
  <si>
    <t>P 23052</t>
  </si>
  <si>
    <t>8435057054201</t>
  </si>
  <si>
    <t>CLIMAZON INFRA. CIX 3000 PIE</t>
  </si>
  <si>
    <t>CLCIXP</t>
  </si>
  <si>
    <t>G23072</t>
  </si>
  <si>
    <t>8435057053396</t>
  </si>
  <si>
    <t>CLIMAZON INFRA. CIX 3000 BRAZO</t>
  </si>
  <si>
    <t>CLCIXB</t>
  </si>
  <si>
    <t>8435057053402</t>
  </si>
  <si>
    <t>SECADOR-TRAT. DIABOLIC BRAZO</t>
  </si>
  <si>
    <t>DIABB</t>
  </si>
  <si>
    <t>8435057052023</t>
  </si>
  <si>
    <t>SECADOR-TRAT. DIABOLIC 9 PROG</t>
  </si>
  <si>
    <t>DIABO</t>
  </si>
  <si>
    <t>89942</t>
  </si>
  <si>
    <t>8435057052030</t>
  </si>
  <si>
    <t>DIFUSOR UNIVERSAL AZUL</t>
  </si>
  <si>
    <t>DIFUAZ</t>
  </si>
  <si>
    <t>8435057053563</t>
  </si>
  <si>
    <t>DIFUSOR UNIVERSAL NARANJA</t>
  </si>
  <si>
    <t>DIFUNA</t>
  </si>
  <si>
    <t>8435057053549</t>
  </si>
  <si>
    <t>DIFUNI</t>
  </si>
  <si>
    <t>8435068401131</t>
  </si>
  <si>
    <t>DIFUSOR UNIVERSAL PLATA</t>
  </si>
  <si>
    <t>DIFUPL</t>
  </si>
  <si>
    <t>8435057053525</t>
  </si>
  <si>
    <t>DIFUSOR UNIVERSAL PURPURA</t>
  </si>
  <si>
    <t>DIFUPU</t>
  </si>
  <si>
    <t>8435068401148</t>
  </si>
  <si>
    <t>DIFUSOR UNIVERSAL ROSA</t>
  </si>
  <si>
    <t>DIFURO</t>
  </si>
  <si>
    <t>8435068401155</t>
  </si>
  <si>
    <t>DIFUSOR UNIVERSAL ROJO</t>
  </si>
  <si>
    <t>DIFUROJ</t>
  </si>
  <si>
    <t>8435057053532</t>
  </si>
  <si>
    <t>ESCURREPOTES TINTE</t>
  </si>
  <si>
    <t>ESCPOT</t>
  </si>
  <si>
    <t>A467</t>
  </si>
  <si>
    <t>8435057053006</t>
  </si>
  <si>
    <t>ESTANTERIA TANA.</t>
  </si>
  <si>
    <t>ESTANA</t>
  </si>
  <si>
    <t>TKM207</t>
  </si>
  <si>
    <t>8435057054522</t>
  </si>
  <si>
    <t>FUSOR CERA METALICO 250 GRS.</t>
  </si>
  <si>
    <t>FUCEME</t>
  </si>
  <si>
    <t>8435057052054</t>
  </si>
  <si>
    <t>320068</t>
  </si>
  <si>
    <t>FUNDA DEL RESPALDO SILLON KIBO</t>
  </si>
  <si>
    <t>FUKIBO</t>
  </si>
  <si>
    <t>GERMICIDA MUSTER</t>
  </si>
  <si>
    <t>GEMUS</t>
  </si>
  <si>
    <t>8435057052061</t>
  </si>
  <si>
    <t>320070</t>
  </si>
  <si>
    <t>GERMICIDA ULTRA VIOLETA U.V.</t>
  </si>
  <si>
    <t>GEUVI</t>
  </si>
  <si>
    <t>LAVACABEZAS LUX/CATHERINE</t>
  </si>
  <si>
    <t>LASUKE</t>
  </si>
  <si>
    <t>TKM107</t>
  </si>
  <si>
    <t>8435057054270</t>
  </si>
  <si>
    <t>BUTACA CATHERINE P</t>
  </si>
  <si>
    <t>LASUKI</t>
  </si>
  <si>
    <t>TKM105</t>
  </si>
  <si>
    <t>8435057054461</t>
  </si>
  <si>
    <t>MAQUINA VELLO NARIZ XIC</t>
  </si>
  <si>
    <t>MAARXI</t>
  </si>
  <si>
    <t>M334</t>
  </si>
  <si>
    <t>8435057053044</t>
  </si>
  <si>
    <t>MAQUINA BLUE MAX GRANDE</t>
  </si>
  <si>
    <t>MABLGR</t>
  </si>
  <si>
    <t>M333</t>
  </si>
  <si>
    <t>8435057052955</t>
  </si>
  <si>
    <t>MAQUINA BLUE PEQUEÑA</t>
  </si>
  <si>
    <t>MABLPE</t>
  </si>
  <si>
    <t>M569</t>
  </si>
  <si>
    <t>8435057052962</t>
  </si>
  <si>
    <t>MAQUINA GC 900 CUCHILLA</t>
  </si>
  <si>
    <t>MACUCE</t>
  </si>
  <si>
    <t>8435057052078</t>
  </si>
  <si>
    <t>MAQUINA ERMILA BELLISSIMA</t>
  </si>
  <si>
    <t>MAERBE</t>
  </si>
  <si>
    <t>8435057052092</t>
  </si>
  <si>
    <t>MAQUINA ERMILA NETWORK</t>
  </si>
  <si>
    <t>MAERNW</t>
  </si>
  <si>
    <t>8435057052108</t>
  </si>
  <si>
    <t>MAQUINA ERMILIA VARIO CUT</t>
  </si>
  <si>
    <t>MAERVC</t>
  </si>
  <si>
    <t>8435057052115</t>
  </si>
  <si>
    <t>MAQU. HAIR-EXTENSION 2000</t>
  </si>
  <si>
    <t>MAEXT</t>
  </si>
  <si>
    <t>8435057052122</t>
  </si>
  <si>
    <t>MALETA MULTIFUNCION NYLON</t>
  </si>
  <si>
    <t>MALEFU</t>
  </si>
  <si>
    <t>F227</t>
  </si>
  <si>
    <t>8435037160038</t>
  </si>
  <si>
    <t>MALETA HERRAMIENTAS CARBONO</t>
  </si>
  <si>
    <t>MALEHE</t>
  </si>
  <si>
    <t>A564</t>
  </si>
  <si>
    <t>8435037113164</t>
  </si>
  <si>
    <t>MAQUINA MOTOR OSTER 97-44</t>
  </si>
  <si>
    <t>MAMOOS</t>
  </si>
  <si>
    <t>8435057052139</t>
  </si>
  <si>
    <t>Només material PELUQUERIA</t>
  </si>
  <si>
    <t>MAT</t>
  </si>
  <si>
    <t>8435057099943</t>
  </si>
  <si>
    <t>MESITA OTO LAMINADO PORTLAND</t>
  </si>
  <si>
    <t>MEOTLA</t>
  </si>
  <si>
    <t>TKM204</t>
  </si>
  <si>
    <t>8435057054263</t>
  </si>
  <si>
    <t>NAVAJA CREATIVE AZUL</t>
  </si>
  <si>
    <t>NAVCAZ</t>
  </si>
  <si>
    <t>8435057053792</t>
  </si>
  <si>
    <t>NAVAJA CREATIVE PLATA</t>
  </si>
  <si>
    <t>NAVCPL</t>
  </si>
  <si>
    <t>8435057053808</t>
  </si>
  <si>
    <t>NAVAJA CREATIVE NEGRO</t>
  </si>
  <si>
    <t>NAVCRE</t>
  </si>
  <si>
    <t>N334</t>
  </si>
  <si>
    <t>8435057053013</t>
  </si>
  <si>
    <t>NAVAJA CREATIVE ROJO</t>
  </si>
  <si>
    <t>NAVCRO</t>
  </si>
  <si>
    <t>8435057053785</t>
  </si>
  <si>
    <t>NECESER TRANSP. AZUL</t>
  </si>
  <si>
    <t>NETRAZ</t>
  </si>
  <si>
    <t>8435057052146</t>
  </si>
  <si>
    <t>PEINE FIBRA CARBONO Nº 1</t>
  </si>
  <si>
    <t>PEINE1</t>
  </si>
  <si>
    <t>PE-CB825P</t>
  </si>
  <si>
    <t>8435057053082</t>
  </si>
  <si>
    <t>PEINE FIBRA CARBONO Nº 2</t>
  </si>
  <si>
    <t>PEINE2</t>
  </si>
  <si>
    <t>PE-CB819P</t>
  </si>
  <si>
    <t>8435057053099</t>
  </si>
  <si>
    <t>PEINE FIBRA CARBONO Nº 3</t>
  </si>
  <si>
    <t>PEINE3</t>
  </si>
  <si>
    <t>PE-CB824P</t>
  </si>
  <si>
    <t>8435057053105</t>
  </si>
  <si>
    <t>PEINE FIBRA CARBONO Nº 4</t>
  </si>
  <si>
    <t>PEINE4</t>
  </si>
  <si>
    <t>PE-CB814P</t>
  </si>
  <si>
    <t>8435057053112</t>
  </si>
  <si>
    <t>PEINE FIBRA CARBONO Nº 5</t>
  </si>
  <si>
    <t>PEINE5</t>
  </si>
  <si>
    <t>PE-CB823P</t>
  </si>
  <si>
    <t>8435057053129</t>
  </si>
  <si>
    <t>PEINE FIBRA CARBONO Nº 6</t>
  </si>
  <si>
    <t>PEINE6</t>
  </si>
  <si>
    <t>PE-CB820P</t>
  </si>
  <si>
    <t>8435057053136</t>
  </si>
  <si>
    <t>PEINE FIBRA CARBONO Nº 7</t>
  </si>
  <si>
    <t>PEINE7</t>
  </si>
  <si>
    <t>PE-CB821P</t>
  </si>
  <si>
    <t>8435057053143</t>
  </si>
  <si>
    <t>PEINE FIBRA CARBONO Nº 8</t>
  </si>
  <si>
    <t>PEINE8</t>
  </si>
  <si>
    <t>PE-CB862P</t>
  </si>
  <si>
    <t>8435057053150</t>
  </si>
  <si>
    <t>TEJA CON PIE BASCULANTE</t>
  </si>
  <si>
    <t>PIEBAS</t>
  </si>
  <si>
    <t>8435057054539</t>
  </si>
  <si>
    <t>PACK PINZAS 6 UNID.</t>
  </si>
  <si>
    <t>PINZ6</t>
  </si>
  <si>
    <t>PK-6EVOPZ</t>
  </si>
  <si>
    <t>8435057053167</t>
  </si>
  <si>
    <t>PLANCHA ALISADORA DUPLO</t>
  </si>
  <si>
    <t>PLADUC</t>
  </si>
  <si>
    <t>8435068400301</t>
  </si>
  <si>
    <t>PLANCHA ALISADORA DUPLO NEGRA</t>
  </si>
  <si>
    <t>PLADUN</t>
  </si>
  <si>
    <t>8435057052160</t>
  </si>
  <si>
    <t>PLANCHA CERAMICA-ION ESTRECHA</t>
  </si>
  <si>
    <t>PLCEIE</t>
  </si>
  <si>
    <t>8435057052177</t>
  </si>
  <si>
    <t>PLANCHA CERAMICA-ION REGULAD.</t>
  </si>
  <si>
    <t>PLCEIR</t>
  </si>
  <si>
    <t>40248</t>
  </si>
  <si>
    <t>8435057052184</t>
  </si>
  <si>
    <t>PLANCHA DAMELTECH</t>
  </si>
  <si>
    <t>PLDAME</t>
  </si>
  <si>
    <t>8435057052191</t>
  </si>
  <si>
    <t>PLANCHA DAMELTECH TITANIUM</t>
  </si>
  <si>
    <t>PLDATI</t>
  </si>
  <si>
    <t>8435057052207</t>
  </si>
  <si>
    <t>PLANCHA LASER GA.MA</t>
  </si>
  <si>
    <t>PLLASE</t>
  </si>
  <si>
    <t>40247</t>
  </si>
  <si>
    <t>8435057052214</t>
  </si>
  <si>
    <t>PLANCHA MYST</t>
  </si>
  <si>
    <t>PLMYST</t>
  </si>
  <si>
    <t>M572</t>
  </si>
  <si>
    <t>8435057053334</t>
  </si>
  <si>
    <t>SUPLEMENTO CERAMICA LAVACABEZAS NEGRA</t>
  </si>
  <si>
    <t>PLNACE</t>
  </si>
  <si>
    <t>WG5406</t>
  </si>
  <si>
    <t>8435057052598</t>
  </si>
  <si>
    <t>PLANCHA ALISADORA PC 26</t>
  </si>
  <si>
    <t>PLPC26</t>
  </si>
  <si>
    <t>8435057052221</t>
  </si>
  <si>
    <t>PUFF NIÑO UNO TAP. NEGRO</t>
  </si>
  <si>
    <t>PUFFNI</t>
  </si>
  <si>
    <t>8435057053952</t>
  </si>
  <si>
    <t>PUFF OKO FUCSIA</t>
  </si>
  <si>
    <t>PUFFOKF</t>
  </si>
  <si>
    <t>TKM327</t>
  </si>
  <si>
    <t>8435057054072</t>
  </si>
  <si>
    <t>PUFF NIÑO OKO NEGRO</t>
  </si>
  <si>
    <t>PUFFOKO</t>
  </si>
  <si>
    <t>8435057053693</t>
  </si>
  <si>
    <t>RECEPCION KINA LAMINA PORTLAND</t>
  </si>
  <si>
    <t>REKINA</t>
  </si>
  <si>
    <t>TKM209</t>
  </si>
  <si>
    <t>8435057053815</t>
  </si>
  <si>
    <t>RECEPCION KINA LAMINADO NEGRO</t>
  </si>
  <si>
    <t>REKINE</t>
  </si>
  <si>
    <t>8435057054478</t>
  </si>
  <si>
    <t>RECEPCION KINA LAMINADO WENGUE</t>
  </si>
  <si>
    <t>REKIWE</t>
  </si>
  <si>
    <t>8435057054164</t>
  </si>
  <si>
    <t>SECADOR CASCO BASIC 4V AGV PIE</t>
  </si>
  <si>
    <t>SECAAG</t>
  </si>
  <si>
    <t>8435057052238</t>
  </si>
  <si>
    <t>SECADOR CASCO GONG BRAZO NEGRO</t>
  </si>
  <si>
    <t>SECABR</t>
  </si>
  <si>
    <t>G13213</t>
  </si>
  <si>
    <t>8435057052924</t>
  </si>
  <si>
    <t>SECADOR CASCO GONG PIE NEGRO</t>
  </si>
  <si>
    <t>SECAPI</t>
  </si>
  <si>
    <t>G13212</t>
  </si>
  <si>
    <t>8435057052931</t>
  </si>
  <si>
    <t>SECADOR ARIA GOLD ROSE GAMMA PIU</t>
  </si>
  <si>
    <t>SEDA24</t>
  </si>
  <si>
    <t>8435057052245</t>
  </si>
  <si>
    <t>SECADOR DAMELTECH 5000</t>
  </si>
  <si>
    <t>SEDA50</t>
  </si>
  <si>
    <t>8435057052252</t>
  </si>
  <si>
    <t>SECADOR DAMELTECH 5000 IONIC</t>
  </si>
  <si>
    <t>SEDA50I</t>
  </si>
  <si>
    <t>8435057052269</t>
  </si>
  <si>
    <t>SECADOR ISONIC 3.7 BLUE</t>
  </si>
  <si>
    <t>SEISO37</t>
  </si>
  <si>
    <t>8435057053020</t>
  </si>
  <si>
    <t>SECADOR ISONIC 3.7 GRAPHITO</t>
  </si>
  <si>
    <t>SEISOGR</t>
  </si>
  <si>
    <t>8435057053761</t>
  </si>
  <si>
    <t>SECADOR ISONIC 3.7 VIOLETA</t>
  </si>
  <si>
    <t>SEISOVI</t>
  </si>
  <si>
    <t>8435057053778</t>
  </si>
  <si>
    <t>SECADOR NANO 2900 AZUL</t>
  </si>
  <si>
    <t>SENAAZ</t>
  </si>
  <si>
    <t>8435057053464</t>
  </si>
  <si>
    <t>SECADOR NANO 2900 BERENJENA</t>
  </si>
  <si>
    <t>SENABE</t>
  </si>
  <si>
    <t>8435057053488</t>
  </si>
  <si>
    <t>SECADOR NANO CERAMIC IONIC</t>
  </si>
  <si>
    <t>SENACEN</t>
  </si>
  <si>
    <t>8435057053501</t>
  </si>
  <si>
    <t>SENACER</t>
  </si>
  <si>
    <t>8435057053518</t>
  </si>
  <si>
    <t>SECADOR NANO 2900 NARANJA</t>
  </si>
  <si>
    <t>SENANA</t>
  </si>
  <si>
    <t>8435057053457</t>
  </si>
  <si>
    <t>SECADOR NANO 2900 PURPURA</t>
  </si>
  <si>
    <t>SENAPU</t>
  </si>
  <si>
    <t>8435057053471</t>
  </si>
  <si>
    <t>SECADOR NANO 2900 ROSA</t>
  </si>
  <si>
    <t>SENARO</t>
  </si>
  <si>
    <t>8435068400455</t>
  </si>
  <si>
    <t>SECADOR PARLUX 3200 COMPACT</t>
  </si>
  <si>
    <t>SEPL32</t>
  </si>
  <si>
    <t>8435057053594</t>
  </si>
  <si>
    <t>SECADOR PARLUX 3500 SUPERCOMPA</t>
  </si>
  <si>
    <t>SEPL35</t>
  </si>
  <si>
    <t>8435057053600</t>
  </si>
  <si>
    <t>SECADOR TH 2300 Negro/Gris</t>
  </si>
  <si>
    <t>SETH23</t>
  </si>
  <si>
    <t>8435068400400</t>
  </si>
  <si>
    <t>SECADOR TH 2300 Azul/Plata</t>
  </si>
  <si>
    <t>SETH23A</t>
  </si>
  <si>
    <t>8435057052283</t>
  </si>
  <si>
    <t>SECADOR TH 5000 CERATIONIC</t>
  </si>
  <si>
    <t>SETH50C</t>
  </si>
  <si>
    <t>8435068400417</t>
  </si>
  <si>
    <t>SECADOR TH 5000 Gris</t>
  </si>
  <si>
    <t>SETH50G</t>
  </si>
  <si>
    <t>8435057052306</t>
  </si>
  <si>
    <t>SILLON KIBO.</t>
  </si>
  <si>
    <t>SIKIBO</t>
  </si>
  <si>
    <t>TKM001Q</t>
  </si>
  <si>
    <t>8435057053907</t>
  </si>
  <si>
    <t>SILLON AKARI NEGRO</t>
  </si>
  <si>
    <t>SILLAK</t>
  </si>
  <si>
    <t>TKM006</t>
  </si>
  <si>
    <t>8435057053617</t>
  </si>
  <si>
    <t>SILLON KENJI.</t>
  </si>
  <si>
    <t>SILLKE</t>
  </si>
  <si>
    <t>TKM004S</t>
  </si>
  <si>
    <t>8435057054287</t>
  </si>
  <si>
    <t>SIKEFU</t>
  </si>
  <si>
    <t>TKM004GS</t>
  </si>
  <si>
    <t>8435057054515</t>
  </si>
  <si>
    <t>SILLON NIÑO KO FUCSIA</t>
  </si>
  <si>
    <t>SIKOFU</t>
  </si>
  <si>
    <t>TKM311</t>
  </si>
  <si>
    <t>8435057054492</t>
  </si>
  <si>
    <t>SILLON ESPERA SAKURA</t>
  </si>
  <si>
    <t>SISAKU</t>
  </si>
  <si>
    <t>TKM008</t>
  </si>
  <si>
    <t>8435057053891</t>
  </si>
  <si>
    <t>SILLON ESPERA TAKESHI 2 PLAZAS</t>
  </si>
  <si>
    <t>SITAKE</t>
  </si>
  <si>
    <t>TKM010</t>
  </si>
  <si>
    <t>8435057053914</t>
  </si>
  <si>
    <t>SILLON ESPERA TAKESHI 3 PLAZAS</t>
  </si>
  <si>
    <t>SITAKE3</t>
  </si>
  <si>
    <t>8435057054126</t>
  </si>
  <si>
    <t>SILLON ESPERA 'TAMI'MODULO A.</t>
  </si>
  <si>
    <t>SITAMIA</t>
  </si>
  <si>
    <t>TKM009A</t>
  </si>
  <si>
    <t>8435057054508</t>
  </si>
  <si>
    <t>SOPORTE TIJERAS CUBE SYSTEM</t>
  </si>
  <si>
    <t>SOTIJE</t>
  </si>
  <si>
    <t>A482</t>
  </si>
  <si>
    <t>8435057053037</t>
  </si>
  <si>
    <t>TABURETE FUYU NEGRO</t>
  </si>
  <si>
    <t>TAFUYU</t>
  </si>
  <si>
    <t>TKM310</t>
  </si>
  <si>
    <t>8435057053259</t>
  </si>
  <si>
    <t>TABURETE FUYU FUCSIA</t>
  </si>
  <si>
    <t>TAFUYUF</t>
  </si>
  <si>
    <t>8435057054041</t>
  </si>
  <si>
    <t>TABURETE FUYU NARANJA</t>
  </si>
  <si>
    <t>TAFUYUN</t>
  </si>
  <si>
    <t>8435057054065</t>
  </si>
  <si>
    <t>TABURETE FUYU ROJO CHAROL</t>
  </si>
  <si>
    <t>TAFUYUR</t>
  </si>
  <si>
    <t>8435057053860</t>
  </si>
  <si>
    <t>TABURETE FUYU VERDE</t>
  </si>
  <si>
    <t>TAFUYUV</t>
  </si>
  <si>
    <t>8435057054058</t>
  </si>
  <si>
    <t>320154</t>
  </si>
  <si>
    <t>TABURETE RUEDAS SMART</t>
  </si>
  <si>
    <t>TARUSM</t>
  </si>
  <si>
    <t>TABURETE SEKI NEGRO</t>
  </si>
  <si>
    <t>TASEKI</t>
  </si>
  <si>
    <t>TKM309</t>
  </si>
  <si>
    <t>8435057052986</t>
  </si>
  <si>
    <t>TABURETE SEKI BLANCO CHAROL</t>
  </si>
  <si>
    <t>TASEKIB</t>
  </si>
  <si>
    <t>8435057054027</t>
  </si>
  <si>
    <t>TABURETE SEKI FUCSIA</t>
  </si>
  <si>
    <t>TASEKIF</t>
  </si>
  <si>
    <t>8435057054034</t>
  </si>
  <si>
    <t>TABURETE SEKI MOCCA</t>
  </si>
  <si>
    <t>TASEKIM</t>
  </si>
  <si>
    <t>8435057054157</t>
  </si>
  <si>
    <t>TABURETE SEKI NARANJA</t>
  </si>
  <si>
    <t>TASEKIN</t>
  </si>
  <si>
    <t>8435057053884</t>
  </si>
  <si>
    <t>TABURETE SEKI ROJO CHAROL</t>
  </si>
  <si>
    <t>TASEKIR</t>
  </si>
  <si>
    <t>8435057053877</t>
  </si>
  <si>
    <t>TABURETE SEKI SPIRAL</t>
  </si>
  <si>
    <t>TASEKIS</t>
  </si>
  <si>
    <t>8435057054119</t>
  </si>
  <si>
    <t>TABURETE SEKI VERDE</t>
  </si>
  <si>
    <t>TASEKIV</t>
  </si>
  <si>
    <t>8435057054010</t>
  </si>
  <si>
    <t>TENACILLA D13 LIM</t>
  </si>
  <si>
    <t>TED13</t>
  </si>
  <si>
    <t>8435068400516</t>
  </si>
  <si>
    <t>TENACILLA D16 LIM</t>
  </si>
  <si>
    <t>TED16</t>
  </si>
  <si>
    <t>8435068400523</t>
  </si>
  <si>
    <t>TENACILLA D18 LIM</t>
  </si>
  <si>
    <t>TED18</t>
  </si>
  <si>
    <t>8435068400530</t>
  </si>
  <si>
    <t>TENACILLA D25 LIM</t>
  </si>
  <si>
    <t>TED25</t>
  </si>
  <si>
    <t>8435068400547</t>
  </si>
  <si>
    <t>TENACILLA D9 LIM</t>
  </si>
  <si>
    <t>TED9</t>
  </si>
  <si>
    <t>8435068400509</t>
  </si>
  <si>
    <t>TENACILLA ESPIRAL D16</t>
  </si>
  <si>
    <t>TEED16</t>
  </si>
  <si>
    <t>8435068400592</t>
  </si>
  <si>
    <t>TENACILLA MUELLA D13</t>
  </si>
  <si>
    <t>TEMD13</t>
  </si>
  <si>
    <t>8435068400554</t>
  </si>
  <si>
    <t>TENACILLA MUELLA D16</t>
  </si>
  <si>
    <t>TEMD16</t>
  </si>
  <si>
    <t>8435068400561</t>
  </si>
  <si>
    <t>TENACILLA MUELLE D18</t>
  </si>
  <si>
    <t>TEMD18</t>
  </si>
  <si>
    <t>8435068400578</t>
  </si>
  <si>
    <t>TENACILLA TRIANGULAR D18</t>
  </si>
  <si>
    <t>TETD18</t>
  </si>
  <si>
    <t>8435068400585</t>
  </si>
  <si>
    <t>TIJERA ACERO FORJADO 5'</t>
  </si>
  <si>
    <t>TIAC05</t>
  </si>
  <si>
    <t>8435057052412</t>
  </si>
  <si>
    <t>TIJERA ACERO FORJADO 5.5'</t>
  </si>
  <si>
    <t>TIAC55</t>
  </si>
  <si>
    <t>8435057052429</t>
  </si>
  <si>
    <t>TIJERA BLACK ARTERO 5"</t>
  </si>
  <si>
    <t>TIBC05</t>
  </si>
  <si>
    <t>44450</t>
  </si>
  <si>
    <t>8435037130116</t>
  </si>
  <si>
    <t>TIJERA BLACK ARTERO 5.5"</t>
  </si>
  <si>
    <t>TIBC55</t>
  </si>
  <si>
    <t>44455</t>
  </si>
  <si>
    <t>8435037130123</t>
  </si>
  <si>
    <t>TIJERA VAC. BLACK 30D 5.5"</t>
  </si>
  <si>
    <t>TIVB55</t>
  </si>
  <si>
    <t>65455</t>
  </si>
  <si>
    <t>8435037131199</t>
  </si>
  <si>
    <t>TIJERA VAC. PRO 27 DIENTE 5.5"</t>
  </si>
  <si>
    <t>TIJE27</t>
  </si>
  <si>
    <t>342755</t>
  </si>
  <si>
    <t>8435057053310</t>
  </si>
  <si>
    <t>TIJERA VAC. PRO ARTERO 6"</t>
  </si>
  <si>
    <t>TIJE40</t>
  </si>
  <si>
    <t>384060</t>
  </si>
  <si>
    <t>8435037130161</t>
  </si>
  <si>
    <t>TIJERA CORTE GEISHA 5.5"</t>
  </si>
  <si>
    <t>TIJEG55</t>
  </si>
  <si>
    <t>65255</t>
  </si>
  <si>
    <t>8435037131175</t>
  </si>
  <si>
    <t>TIJERA CORTE GEISHA 5"</t>
  </si>
  <si>
    <t>TIJEGE5</t>
  </si>
  <si>
    <t>65250</t>
  </si>
  <si>
    <t>8435057053273</t>
  </si>
  <si>
    <t>TIJERA CORTE SYMETRIC PLUS 5"</t>
  </si>
  <si>
    <t>TISY05</t>
  </si>
  <si>
    <t>8435057053655</t>
  </si>
  <si>
    <t>TIJERA CORT SYMETRIC PLUS 5.5'</t>
  </si>
  <si>
    <t>TISY55</t>
  </si>
  <si>
    <t>63455</t>
  </si>
  <si>
    <t>8435057053365</t>
  </si>
  <si>
    <t>TIJERA TSUNAMI 440C 6 "</t>
  </si>
  <si>
    <t>TITS06</t>
  </si>
  <si>
    <t>36660</t>
  </si>
  <si>
    <t>8435037131342</t>
  </si>
  <si>
    <t>TIJERA TSUNAMI ATS 314 6"</t>
  </si>
  <si>
    <t>TITSAT06</t>
  </si>
  <si>
    <t>8435037131359</t>
  </si>
  <si>
    <t>TIJERA TSUNAMI DAMASCO 6"</t>
  </si>
  <si>
    <t>TITSDA06</t>
  </si>
  <si>
    <t>TIJERA ARTERO VACIADO 30% 5.5'</t>
  </si>
  <si>
    <t>TIVA55</t>
  </si>
  <si>
    <t>ARTP2E28055</t>
  </si>
  <si>
    <t>8435057052436</t>
  </si>
  <si>
    <t>TOCADOR KENSI 1S MURAL</t>
  </si>
  <si>
    <t>TOKELA</t>
  </si>
  <si>
    <t>TKM200L</t>
  </si>
  <si>
    <t>8435057054485</t>
  </si>
  <si>
    <t>VAPORAL ELECT. JOLLY BRAZO</t>
  </si>
  <si>
    <t>VAEJB</t>
  </si>
  <si>
    <t>8435057052443</t>
  </si>
  <si>
    <t>VAPORIZADOR OZONO BLITZ BRAZO</t>
  </si>
  <si>
    <t>VAPBB</t>
  </si>
  <si>
    <t>8435057053419</t>
  </si>
  <si>
    <t>VAPORIZADOR OZONO BLITZ PIE</t>
  </si>
  <si>
    <t>VAPBP</t>
  </si>
  <si>
    <t>8435057053426</t>
  </si>
  <si>
    <t>VAPORAL GRECO P</t>
  </si>
  <si>
    <t>VAPMF</t>
  </si>
  <si>
    <t>843505705240</t>
  </si>
  <si>
    <t>VAPOR ELECT. OZONO BRAZO</t>
  </si>
  <si>
    <t>VAPOB</t>
  </si>
  <si>
    <t>8435057052467</t>
  </si>
  <si>
    <t>VAPOR ELECT. OZONO PIE</t>
  </si>
  <si>
    <t>VAPOP</t>
  </si>
  <si>
    <t>8435057052474</t>
  </si>
  <si>
    <t>RECAMBIO  PEINE  BLUE  MAX</t>
  </si>
  <si>
    <t>REPEBM</t>
  </si>
  <si>
    <t>8435057054669</t>
  </si>
  <si>
    <t>MAQUINA BABYLISS FORFEX CLIPPE</t>
  </si>
  <si>
    <t>MABAFO</t>
  </si>
  <si>
    <t>8435057055062</t>
  </si>
  <si>
    <t>320199</t>
  </si>
  <si>
    <t>SILLON TAMIKO SEMI PIEL NEGRO</t>
  </si>
  <si>
    <t>SITAMIPN</t>
  </si>
  <si>
    <t>TKM002Q</t>
  </si>
  <si>
    <t>320200</t>
  </si>
  <si>
    <t>ESTANTERIA INOX KEI</t>
  </si>
  <si>
    <t>ESTAKEI</t>
  </si>
  <si>
    <t>320202</t>
  </si>
  <si>
    <t>SEPARADOR SUKI PARA LAVACABEZA</t>
  </si>
  <si>
    <t>SESUKI</t>
  </si>
  <si>
    <t>TKM123</t>
  </si>
  <si>
    <t>320203</t>
  </si>
  <si>
    <t>SILLON TAMIKO CHAROL NEGRO</t>
  </si>
  <si>
    <t>SITAMICN</t>
  </si>
  <si>
    <t>TKM002</t>
  </si>
  <si>
    <t>320204</t>
  </si>
  <si>
    <t>LAVACABEZAS SUKI FUJI</t>
  </si>
  <si>
    <t>LASUFU</t>
  </si>
  <si>
    <t>TKM111</t>
  </si>
  <si>
    <t>TIJERA GEMINIS 5.5"</t>
  </si>
  <si>
    <t>TIGE55</t>
  </si>
  <si>
    <t>8435057055260</t>
  </si>
  <si>
    <t>TIJERA CORTE DUAL 5.5"</t>
  </si>
  <si>
    <t>TIDU55</t>
  </si>
  <si>
    <t>8435037131380</t>
  </si>
  <si>
    <t>320207</t>
  </si>
  <si>
    <t>LAVACABEZAS UMIKO KIBO</t>
  </si>
  <si>
    <t>LAUMKI</t>
  </si>
  <si>
    <t>TKM101</t>
  </si>
  <si>
    <t>SEPARADOR LAVACABEZAS KUMI</t>
  </si>
  <si>
    <t>SEKUUM</t>
  </si>
  <si>
    <t>TKM120</t>
  </si>
  <si>
    <t>8435057055291</t>
  </si>
  <si>
    <t>CARRO MANICURA MISUKE</t>
  </si>
  <si>
    <t>CAMAMISU</t>
  </si>
  <si>
    <t>TKM300</t>
  </si>
  <si>
    <t>8435057055307</t>
  </si>
  <si>
    <t>320210</t>
  </si>
  <si>
    <t>REVISTERO SAKKA</t>
  </si>
  <si>
    <t>RESAKA</t>
  </si>
  <si>
    <t>320211</t>
  </si>
  <si>
    <t>MUEBLE AUXILIAR "YOKO"</t>
  </si>
  <si>
    <t>MAYOKO</t>
  </si>
  <si>
    <t>BASCULA GRAVITY</t>
  </si>
  <si>
    <t>BAGRAV</t>
  </si>
  <si>
    <t>8435057055406</t>
  </si>
  <si>
    <t>SOPORTE PLANCHA TERMICO</t>
  </si>
  <si>
    <t>SOPOPL</t>
  </si>
  <si>
    <t>8435037113133</t>
  </si>
  <si>
    <t>MINI PLANCHA NIKITA VIOLETA</t>
  </si>
  <si>
    <t>MIPLNIVI</t>
  </si>
  <si>
    <t>8435037165309</t>
  </si>
  <si>
    <t>MINI PLANCHA NIKITA NARANJA</t>
  </si>
  <si>
    <t>MIPLNINA</t>
  </si>
  <si>
    <t>8435057055420</t>
  </si>
  <si>
    <t>MINI PLANCHA NIKITA ROSA</t>
  </si>
  <si>
    <t>MIPLNIRO</t>
  </si>
  <si>
    <t>8435057055437</t>
  </si>
  <si>
    <t>MINI PLANCHA NIKITA VERDE</t>
  </si>
  <si>
    <t>MIPLNIVE</t>
  </si>
  <si>
    <t>8435057055444</t>
  </si>
  <si>
    <t>SECADOR NANO 2900 PISTACHO</t>
  </si>
  <si>
    <t>SENAPI</t>
  </si>
  <si>
    <t>8435057055451</t>
  </si>
  <si>
    <t>TIJERA CORTE DIVINE 5"</t>
  </si>
  <si>
    <t>TIDI05</t>
  </si>
  <si>
    <t>8435037131632</t>
  </si>
  <si>
    <t>TIJERA CORTE DIVINE 5.5"</t>
  </si>
  <si>
    <t>TIDI55</t>
  </si>
  <si>
    <t>8435037131649</t>
  </si>
  <si>
    <t>MAQUINA BABYLISS HLD</t>
  </si>
  <si>
    <t>MABAHLD</t>
  </si>
  <si>
    <t>8435057055482</t>
  </si>
  <si>
    <t>MEZCLADOR TINTE ELECTRICO</t>
  </si>
  <si>
    <t>METIEL</t>
  </si>
  <si>
    <t>8435057055499</t>
  </si>
  <si>
    <t>TIJERA GEMINIS 5"</t>
  </si>
  <si>
    <t>TIGE05</t>
  </si>
  <si>
    <t>8435057055505</t>
  </si>
  <si>
    <t>TIJERA GEMINIS 6"</t>
  </si>
  <si>
    <t>TIGE06</t>
  </si>
  <si>
    <t>8435057055512</t>
  </si>
  <si>
    <t>TIJERA CORTE GEISHA 6"</t>
  </si>
  <si>
    <t>TIJEGE06</t>
  </si>
  <si>
    <t>8435037131182</t>
  </si>
  <si>
    <t>TIJERA CORTE DUAL 5"</t>
  </si>
  <si>
    <t>TIDU05</t>
  </si>
  <si>
    <t>8435037131373</t>
  </si>
  <si>
    <t>TIJERA CORTE DUAL 6"</t>
  </si>
  <si>
    <t>TIDU06</t>
  </si>
  <si>
    <t>8435057055543</t>
  </si>
  <si>
    <t>TIJERA BLACK ARTERO 6"</t>
  </si>
  <si>
    <t>TIBC06</t>
  </si>
  <si>
    <t>8435037130130</t>
  </si>
  <si>
    <t>TIJERA VAC. PRO ARTERO 5.5"</t>
  </si>
  <si>
    <t>TIVP55</t>
  </si>
  <si>
    <t>8435037131693</t>
  </si>
  <si>
    <t>TIJERA NOE ARTERO 5"</t>
  </si>
  <si>
    <t>TINO05</t>
  </si>
  <si>
    <t>8435057055574</t>
  </si>
  <si>
    <t>TIJERA CORTE NOE 5.5"</t>
  </si>
  <si>
    <t>TINO55</t>
  </si>
  <si>
    <t>8435057055581</t>
  </si>
  <si>
    <t>SECADOR TH 2900 PROFESSIONAL</t>
  </si>
  <si>
    <t>SETH29PR</t>
  </si>
  <si>
    <t>8435057055598</t>
  </si>
  <si>
    <t>TIJERA CORTE TEMPTATION 5"</t>
  </si>
  <si>
    <t>TITE05</t>
  </si>
  <si>
    <t>8435037131120</t>
  </si>
  <si>
    <t>TIJERA CORTE TEMPTATION 5.5"</t>
  </si>
  <si>
    <t>TITE55</t>
  </si>
  <si>
    <t>8435037131137</t>
  </si>
  <si>
    <t>TIJERA CORTE TEMPTATION 6"</t>
  </si>
  <si>
    <t>TITE06</t>
  </si>
  <si>
    <t>8435037131144</t>
  </si>
  <si>
    <t>CUCHILLA RECAMBIO Styling razo</t>
  </si>
  <si>
    <t>CURE</t>
  </si>
  <si>
    <t>4902470130040</t>
  </si>
  <si>
    <t>MÁQUINA CORTE ER1611 K PROFESSIONAL</t>
  </si>
  <si>
    <t>MAER1611</t>
  </si>
  <si>
    <t>8435057055642</t>
  </si>
  <si>
    <t>CABEZAL MAQUINA C. ERPA11 PANASONIC</t>
  </si>
  <si>
    <t>MAERPA11</t>
  </si>
  <si>
    <t>8435057055659</t>
  </si>
  <si>
    <t>MINIPLANCHA BABYLISS BABYSLEEK</t>
  </si>
  <si>
    <t>MIPLBASL</t>
  </si>
  <si>
    <t>8435057055666</t>
  </si>
  <si>
    <t>MINIPLANCHA BABYLISS BABYCRIMP</t>
  </si>
  <si>
    <t>MIPLBACR</t>
  </si>
  <si>
    <t>8435057055673</t>
  </si>
  <si>
    <t>PLANCHA BABYLISS NANOTITANIUM</t>
  </si>
  <si>
    <t>PLYINA15</t>
  </si>
  <si>
    <t>8435057055680</t>
  </si>
  <si>
    <t>PLANCHA BABYLISS ULTRA CURL</t>
  </si>
  <si>
    <t>PLNAULCU</t>
  </si>
  <si>
    <t>8435057055697</t>
  </si>
  <si>
    <t>PLANCHA BABYLISS DRY&amp;STRAIGHTE</t>
  </si>
  <si>
    <t>PLNAWEDR</t>
  </si>
  <si>
    <t>8435057055703</t>
  </si>
  <si>
    <t>PLANCHA BABYLISS SLEEK EXPERT</t>
  </si>
  <si>
    <t>PLTISLEX</t>
  </si>
  <si>
    <t>8435057055710</t>
  </si>
  <si>
    <t>PLANCHA BABYLISS XTP ULTRASLIM</t>
  </si>
  <si>
    <t>PLSLEXLI</t>
  </si>
  <si>
    <t>8435057055727</t>
  </si>
  <si>
    <t>MAQUINA BABYLISS BABY CLIPPER</t>
  </si>
  <si>
    <t>MABABACL</t>
  </si>
  <si>
    <t>8435057055734</t>
  </si>
  <si>
    <t>SECADOR BABYLISS PORTOFINO</t>
  </si>
  <si>
    <t>BAB6610E</t>
  </si>
  <si>
    <t>SEPO20</t>
  </si>
  <si>
    <t>8435057055741</t>
  </si>
  <si>
    <t>SECADOR BABYLISS SOVEREIGN</t>
  </si>
  <si>
    <t>SESO20</t>
  </si>
  <si>
    <t>8435057055758</t>
  </si>
  <si>
    <t>TENACILLA CERAMIC 16MM BABYLIS</t>
  </si>
  <si>
    <t>TECE16BA</t>
  </si>
  <si>
    <t>8435057055765</t>
  </si>
  <si>
    <t>TENACILLA CERAMIC 19MM BABYLIS</t>
  </si>
  <si>
    <t>TECE19BA</t>
  </si>
  <si>
    <t>8435057055772</t>
  </si>
  <si>
    <t>TENACILLA CERAMIC 25MM BABYLIS</t>
  </si>
  <si>
    <t>TECE25BA</t>
  </si>
  <si>
    <t>8435057055789</t>
  </si>
  <si>
    <t>SECADOR GARBI 2800 PURPURA</t>
  </si>
  <si>
    <t>SEGA28PU</t>
  </si>
  <si>
    <t>8435068401247</t>
  </si>
  <si>
    <t>SECADOR GARBI 2800 NARANJA</t>
  </si>
  <si>
    <t>SEGA28NA</t>
  </si>
  <si>
    <t>8435057055802</t>
  </si>
  <si>
    <t>SECADOR GARBI 2800 NEGRO</t>
  </si>
  <si>
    <t>SEGA28NE</t>
  </si>
  <si>
    <t>8435068401230</t>
  </si>
  <si>
    <t>SECADOR GREGAL 2900 PROF.</t>
  </si>
  <si>
    <t>SEGR29</t>
  </si>
  <si>
    <t>8435057055826</t>
  </si>
  <si>
    <t>SECADOR NANO 6000 CERAT.NEGRO</t>
  </si>
  <si>
    <t>SENA60NE</t>
  </si>
  <si>
    <t>8435057056021</t>
  </si>
  <si>
    <t>SECADOR NANO 2900 STAMP.PURPUR</t>
  </si>
  <si>
    <t>SENA29STP</t>
  </si>
  <si>
    <t>8435057055833</t>
  </si>
  <si>
    <t>FUSOR CERA 800G</t>
  </si>
  <si>
    <t>FUCE80</t>
  </si>
  <si>
    <t>8435057055840</t>
  </si>
  <si>
    <t>DIFUSOR UNIVERSAL PISTACHO</t>
  </si>
  <si>
    <t>DIFUPI</t>
  </si>
  <si>
    <t>8435057055857</t>
  </si>
  <si>
    <t>CALENTADOR ROLL-ON</t>
  </si>
  <si>
    <t>CAROON</t>
  </si>
  <si>
    <t>8435057055864</t>
  </si>
  <si>
    <t>BASE DE CONEXION</t>
  </si>
  <si>
    <t>BASECO</t>
  </si>
  <si>
    <t>8435057055871</t>
  </si>
  <si>
    <t>320262</t>
  </si>
  <si>
    <t>REVISTERO YAMA</t>
  </si>
  <si>
    <t>REYAMA</t>
  </si>
  <si>
    <t>320263</t>
  </si>
  <si>
    <t>TKM001GS</t>
  </si>
  <si>
    <t>320264</t>
  </si>
  <si>
    <t>SILLON SMOKI</t>
  </si>
  <si>
    <t>SISMOK</t>
  </si>
  <si>
    <t>320265</t>
  </si>
  <si>
    <t>LAVACABEZAS UMIKO KENJI</t>
  </si>
  <si>
    <t>LAUMKE</t>
  </si>
  <si>
    <t>TKM104</t>
  </si>
  <si>
    <t>320266</t>
  </si>
  <si>
    <t>TOCADOR KEI TAPIZADO</t>
  </si>
  <si>
    <t>320267</t>
  </si>
  <si>
    <t>TOCADOR SANGO LAMINADO</t>
  </si>
  <si>
    <t>TOSALA</t>
  </si>
  <si>
    <t>320268</t>
  </si>
  <si>
    <t>TOCADOR SANGO TAPIZADO</t>
  </si>
  <si>
    <t>TOSATA</t>
  </si>
  <si>
    <t>320269</t>
  </si>
  <si>
    <t>EXPOSITOR GISUKA</t>
  </si>
  <si>
    <t>EXGISU</t>
  </si>
  <si>
    <t>SECADOR NANO 6000 CERAT.ROJO</t>
  </si>
  <si>
    <t>SENA60RO</t>
  </si>
  <si>
    <t>8435057056038</t>
  </si>
  <si>
    <t>SECADOR NANO 2900 STAMP.ROSA</t>
  </si>
  <si>
    <t>SENA29STRO</t>
  </si>
  <si>
    <t>8435057055888</t>
  </si>
  <si>
    <t>SECADOR NANO 2900 STAMP.NEGRO</t>
  </si>
  <si>
    <t>SENA29STNE</t>
  </si>
  <si>
    <t>8435057055895</t>
  </si>
  <si>
    <t>NAVAJA CREATIVE NARANJA</t>
  </si>
  <si>
    <t>NAVCNA</t>
  </si>
  <si>
    <t>8435057055901</t>
  </si>
  <si>
    <t>NAVAJA CREATIVE VIOLETA</t>
  </si>
  <si>
    <t>NAVCVI</t>
  </si>
  <si>
    <t>8435037140047</t>
  </si>
  <si>
    <t>ESCURREPOTES TINTE ARTERO</t>
  </si>
  <si>
    <t>ESCP2010</t>
  </si>
  <si>
    <t>8435037113119</t>
  </si>
  <si>
    <t>320279</t>
  </si>
  <si>
    <t>FLEX+BASE STAR HID.TAPIZ T.45</t>
  </si>
  <si>
    <t>320280</t>
  </si>
  <si>
    <t>SILLON TREX T.45 LILA</t>
  </si>
  <si>
    <t>320281</t>
  </si>
  <si>
    <t>LAVACABEZAS SHINKA PILA BLANCA</t>
  </si>
  <si>
    <t>320282</t>
  </si>
  <si>
    <t>RECEPCION TIKI ANGULAR LAMINAT</t>
  </si>
  <si>
    <t>320283</t>
  </si>
  <si>
    <t>MUEBLE TECNICO L.12</t>
  </si>
  <si>
    <t>320284</t>
  </si>
  <si>
    <t>TOCADOR DOBLE CON APOYAPIES</t>
  </si>
  <si>
    <t>320285</t>
  </si>
  <si>
    <t>TERMOACTIVADOR "SPEED UP" PIE</t>
  </si>
  <si>
    <t>320286</t>
  </si>
  <si>
    <t>TERMOACTIVADOR "SPEED UP" BRAZO</t>
  </si>
  <si>
    <t>320287</t>
  </si>
  <si>
    <t>ESTANTERIAS DEBAJO ESCALERA</t>
  </si>
  <si>
    <t>320288</t>
  </si>
  <si>
    <t>SILLON NIÑOS PEKE</t>
  </si>
  <si>
    <t>320289</t>
  </si>
  <si>
    <t>MESITA PARA NIÑOS</t>
  </si>
  <si>
    <t>320290</t>
  </si>
  <si>
    <t>SILLON ESPERA HARUKA 1S</t>
  </si>
  <si>
    <t>320291</t>
  </si>
  <si>
    <t>SOFA MEDEA TAPICERIA PERSONALIZADA</t>
  </si>
  <si>
    <t>320292</t>
  </si>
  <si>
    <t>RECEPCIÓN BERMUDAS</t>
  </si>
  <si>
    <t>320293</t>
  </si>
  <si>
    <t>ESPERA ATENEA</t>
  </si>
  <si>
    <t>320294</t>
  </si>
  <si>
    <t>LAVACABEZAS MARISMA</t>
  </si>
  <si>
    <t>320295</t>
  </si>
  <si>
    <t>RECEPCIÓN JAMAICA BLANCA</t>
  </si>
  <si>
    <t>320296</t>
  </si>
  <si>
    <t>ASIENTO FLASH NIÑOS</t>
  </si>
  <si>
    <t>320297</t>
  </si>
  <si>
    <t>CABEZAL"ATAMA" TAPIZADO SPIRAL</t>
  </si>
  <si>
    <t>320298</t>
  </si>
  <si>
    <t>CONJUNTO DESAGÜE D70 *Recambio</t>
  </si>
  <si>
    <t>CEPILLO RAQUETA GOMOSO TOPOS</t>
  </si>
  <si>
    <t>CERATO</t>
  </si>
  <si>
    <t>8435057056397</t>
  </si>
  <si>
    <t>CASCO CLIMAZON  CIX 3000 BRAZO</t>
  </si>
  <si>
    <t>8435057056441</t>
  </si>
  <si>
    <t>BRAZO SECADOR GONG</t>
  </si>
  <si>
    <t>8435057056458</t>
  </si>
  <si>
    <t>320302</t>
  </si>
  <si>
    <t>CASCO VAPORIZADOR BLITZ</t>
  </si>
  <si>
    <t>320303</t>
  </si>
  <si>
    <t>PIE VAPORIZADOR BLITZ</t>
  </si>
  <si>
    <t>320304</t>
  </si>
  <si>
    <t>BRAZO CLIMAZON CIX 3000 BRAZO</t>
  </si>
  <si>
    <t>320305</t>
  </si>
  <si>
    <t>RECAMBIO  MAQ.BABYLISS FORFEX</t>
  </si>
  <si>
    <t>320306</t>
  </si>
  <si>
    <t>PEINE MAQ.BABYLISS FORFEX 6mm</t>
  </si>
  <si>
    <t>320307</t>
  </si>
  <si>
    <t>PEINE MAQ.BABYLISS FORFEX 9mm</t>
  </si>
  <si>
    <t>320308</t>
  </si>
  <si>
    <t>PEINE MAQ.BABYLISS FORFEX 12mm</t>
  </si>
  <si>
    <t>320309</t>
  </si>
  <si>
    <t>ANILLA SECADOR SUTE TOCADOR</t>
  </si>
  <si>
    <t>TKM331</t>
  </si>
  <si>
    <t>320310</t>
  </si>
  <si>
    <t>BASE HIDRÁULICA "Q" COMPLETA</t>
  </si>
  <si>
    <t>TKM004Q</t>
  </si>
  <si>
    <t>320311</t>
  </si>
  <si>
    <t>LAVACABEZAS UMIKO KENJI.</t>
  </si>
  <si>
    <t>320312</t>
  </si>
  <si>
    <t>TKM0103</t>
  </si>
  <si>
    <t>320313</t>
  </si>
  <si>
    <t>TELA TAPIZADO ESPECILA PAHI</t>
  </si>
  <si>
    <t>TKMV</t>
  </si>
  <si>
    <t>320314</t>
  </si>
  <si>
    <t>MESA MANICURA Ref. M028</t>
  </si>
  <si>
    <t>320315</t>
  </si>
  <si>
    <t>MAQUINA BABYLISS FX672E</t>
  </si>
  <si>
    <t>8435057057998</t>
  </si>
  <si>
    <t>320316</t>
  </si>
  <si>
    <t>BASE HIDRAULICA "P" COMPLETA</t>
  </si>
  <si>
    <t>320318</t>
  </si>
  <si>
    <t>FUNDA DE RESPALDO SILLON KENJI</t>
  </si>
  <si>
    <t>320319</t>
  </si>
  <si>
    <t>TOCADOR  "KAP"</t>
  </si>
  <si>
    <t>M007</t>
  </si>
  <si>
    <t>320320</t>
  </si>
  <si>
    <t>LAVACABEZAS "TITAN"</t>
  </si>
  <si>
    <t>L04S02</t>
  </si>
  <si>
    <t>320321</t>
  </si>
  <si>
    <t>SOPORTE DUCHA ESPECIAL ANTIGOTEO</t>
  </si>
  <si>
    <t>L04X</t>
  </si>
  <si>
    <t>320322</t>
  </si>
  <si>
    <t>BLISTER DUCHA HEMBRA NEGRA</t>
  </si>
  <si>
    <t>S02HK4</t>
  </si>
  <si>
    <t>320323</t>
  </si>
  <si>
    <t>MUEBLE "ATLANTIC" COLOR LAMINA</t>
  </si>
  <si>
    <t>M014</t>
  </si>
  <si>
    <t>320324</t>
  </si>
  <si>
    <t>REPOSAPIES "ZURICH"</t>
  </si>
  <si>
    <t>C0011</t>
  </si>
  <si>
    <t>320325</t>
  </si>
  <si>
    <t>TOCADOR "SIREX"</t>
  </si>
  <si>
    <t>TKM203</t>
  </si>
  <si>
    <t>320326</t>
  </si>
  <si>
    <t>RECEPCION "ATLANTIC"</t>
  </si>
  <si>
    <t>WAHL CUCHILLA DETAILER</t>
  </si>
  <si>
    <t>4015110009252</t>
  </si>
  <si>
    <t>PEINE CARBONO CORTE 219 MM</t>
  </si>
  <si>
    <t>8435037141099</t>
  </si>
  <si>
    <t>PEINE CARBONO CORTE 179 MM</t>
  </si>
  <si>
    <t>8435037141051</t>
  </si>
  <si>
    <t>PEINE CARBONO MECHAS 184 MM.</t>
  </si>
  <si>
    <t>8435037141075</t>
  </si>
  <si>
    <t>PEINE CARBONO SEÑORA 189 MM.</t>
  </si>
  <si>
    <t>8435037141082</t>
  </si>
  <si>
    <t>PEINE CARBONO PUA 215 MM</t>
  </si>
  <si>
    <t>8435037141105</t>
  </si>
  <si>
    <t>PLANCHA GO.GO NIGHT(SIN CABLE)</t>
  </si>
  <si>
    <t>0000000320360</t>
  </si>
  <si>
    <t>PLANCHA PC 27 TITANIO</t>
  </si>
  <si>
    <t>8435068400387</t>
  </si>
  <si>
    <t>TIJERA PRO 5"</t>
  </si>
  <si>
    <t>8435037130369</t>
  </si>
  <si>
    <t>TIJERA PRO 5.5"</t>
  </si>
  <si>
    <t>8435037130376</t>
  </si>
  <si>
    <t>TIJERA PRO 6"</t>
  </si>
  <si>
    <t>8435037130383</t>
  </si>
  <si>
    <t>TIJERA PRO 6.5"</t>
  </si>
  <si>
    <t>8435037131755</t>
  </si>
  <si>
    <t>TIJERA BLACK ARTERO 6.5"</t>
  </si>
  <si>
    <t>8435037131731</t>
  </si>
  <si>
    <t>TIJERA CORTE BLACK 7"</t>
  </si>
  <si>
    <t>8435037131748</t>
  </si>
  <si>
    <t>TIJERA QUEEN PLUS 5"</t>
  </si>
  <si>
    <t>TIJERA QUEEN PLUS 5.5"</t>
  </si>
  <si>
    <t>TIJERA QUEEN PLUS 6"</t>
  </si>
  <si>
    <t>TIJERA VAC. BLACK 40D 6.5"</t>
  </si>
  <si>
    <t>8435037163282</t>
  </si>
  <si>
    <t>MÁQUINA CORTE 1871 CHROMSTYLE</t>
  </si>
  <si>
    <t>4015110006565</t>
  </si>
  <si>
    <t>MÁQUINA CORTE MACHINE X-TRON</t>
  </si>
  <si>
    <t>8435037160755</t>
  </si>
  <si>
    <t>CLIP KAYMAN</t>
  </si>
  <si>
    <t>8435037113232</t>
  </si>
  <si>
    <t>CLIP CLASSIC</t>
  </si>
  <si>
    <t>8435037113218</t>
  </si>
  <si>
    <t>CEPILLO RAQUETA</t>
  </si>
  <si>
    <t>8435037160847</t>
  </si>
  <si>
    <t>CEPILLO TANGLIM NEGRO</t>
  </si>
  <si>
    <t>0000000320384</t>
  </si>
  <si>
    <t>CEPILLO TANGLIM FUCSIA</t>
  </si>
  <si>
    <t>8435068400677</t>
  </si>
  <si>
    <t>CEPILLO TANGLIM PURPURA</t>
  </si>
  <si>
    <t>8435068400684</t>
  </si>
  <si>
    <t>SECADOR CASCO HONDA 3V BRAZO</t>
  </si>
  <si>
    <t>0000000320387</t>
  </si>
  <si>
    <t>CEPILLO TANGLIM ECON PURPURA</t>
  </si>
  <si>
    <t>8435068400653</t>
  </si>
  <si>
    <t>4981104364259</t>
  </si>
  <si>
    <t>TIJERA EXCALIBUR 7.5"</t>
  </si>
  <si>
    <t>8435037130239</t>
  </si>
  <si>
    <t>CEPILLO TANGLIM ECON FUCSIA</t>
  </si>
  <si>
    <t>8435068400981</t>
  </si>
  <si>
    <t>MAQUINA CORTE MOSER CHROMINI</t>
  </si>
  <si>
    <t>4015110006596</t>
  </si>
  <si>
    <t>PLANCHA PC VOL</t>
  </si>
  <si>
    <t>8435068400837</t>
  </si>
  <si>
    <t>MAQUINA NARIZ SAKE</t>
  </si>
  <si>
    <t>8435037165675</t>
  </si>
  <si>
    <t>CEPILLO ESQUELETO ARTERO</t>
  </si>
  <si>
    <t>8435037160830</t>
  </si>
  <si>
    <t>CAPA CORTE MAGNETICA</t>
  </si>
  <si>
    <t>8436007230119</t>
  </si>
  <si>
    <t>CEPILLO BROCHA CUELLO</t>
  </si>
  <si>
    <t>8436007230034</t>
  </si>
  <si>
    <t>CARRO AYUDANTE CODISARPEL</t>
  </si>
  <si>
    <t>00000000320424</t>
  </si>
  <si>
    <t>CARRO MULTIUSOS</t>
  </si>
  <si>
    <t>0000000320425</t>
  </si>
  <si>
    <t>CARRO SWING N</t>
  </si>
  <si>
    <t>0000000320426</t>
  </si>
  <si>
    <t>DIFUSOR UNIV. PLEGABLE LIM NEGRO</t>
  </si>
  <si>
    <t>8435068401322</t>
  </si>
  <si>
    <t>PLANCHA PC 30</t>
  </si>
  <si>
    <t>8435068400882</t>
  </si>
  <si>
    <t>DIFUSOR UNIV. PLEGABLE PÚRPURA</t>
  </si>
  <si>
    <t>8435068401339</t>
  </si>
  <si>
    <t>DIFUSOR UNIV. PLEGABLE LIM ROSA</t>
  </si>
  <si>
    <t>8435068401490</t>
  </si>
  <si>
    <t>TIJERA EVO BLACK TITANIUM 6"</t>
  </si>
  <si>
    <t>8435037165590</t>
  </si>
  <si>
    <t>TIJERA DIVINE</t>
  </si>
  <si>
    <t>8435037131625</t>
  </si>
  <si>
    <t>RECAMBIO CUCHILLA NAV. WILKINSON</t>
  </si>
  <si>
    <t>4027800810208</t>
  </si>
  <si>
    <t>TIJERA KAI IMPRESSION 6"</t>
  </si>
  <si>
    <t>4901601267549</t>
  </si>
  <si>
    <t>FUSOR CERA ECON 250 LIM</t>
  </si>
  <si>
    <t>8435068400721</t>
  </si>
  <si>
    <t>PLANCHA ALISADORA PC 25</t>
  </si>
  <si>
    <t>8435068400806</t>
  </si>
  <si>
    <t>PLANCHA ALISADORA PC 28</t>
  </si>
  <si>
    <t>8435068400813</t>
  </si>
  <si>
    <t>TIJERA EVO BLACK TITANIUM 5.5"</t>
  </si>
  <si>
    <t>8435037165583</t>
  </si>
  <si>
    <t>CARRO PRACTICO</t>
  </si>
  <si>
    <t>0000000320465</t>
  </si>
  <si>
    <t>0000000320466</t>
  </si>
  <si>
    <t>CARRO NEW STYLE NEGRO</t>
  </si>
  <si>
    <t>0000000320467</t>
  </si>
  <si>
    <t>TIJERA ARTERO MYSTERY 6"</t>
  </si>
  <si>
    <t>8435037166092</t>
  </si>
  <si>
    <t>TIJERA ARTERO SATIN 6"</t>
  </si>
  <si>
    <t>8435037166627</t>
  </si>
  <si>
    <t>TIJERA ARTERO MYSTERY ESCULPIR 30D 6"</t>
  </si>
  <si>
    <t>8435037166108</t>
  </si>
  <si>
    <t>TIJERA ARTERO QUEEN MICRO 5.5"</t>
  </si>
  <si>
    <t>8435037130963</t>
  </si>
  <si>
    <t>TIJERA ARTERO QUEEN MICRO 6"</t>
  </si>
  <si>
    <t>8435037130970</t>
  </si>
  <si>
    <t>NAVAJA BLACK RAZOR STANDARD</t>
  </si>
  <si>
    <t>8435037168089</t>
  </si>
  <si>
    <t>MÁQUINA CORTE DETAILER WAHL</t>
  </si>
  <si>
    <t>5037127007884</t>
  </si>
  <si>
    <t>MÁQUINA CORTE SUPER TAPER WAHL</t>
  </si>
  <si>
    <t>4015110005964</t>
  </si>
  <si>
    <t>PLANCHA 2.0 NANO LIM NEGRA</t>
  </si>
  <si>
    <t>8435068401353</t>
  </si>
  <si>
    <t>PLANCHA 2.0 NANO FUCSIA</t>
  </si>
  <si>
    <t>8435068401377</t>
  </si>
  <si>
    <t>PLANCHA 8.0 LIM NEGRA</t>
  </si>
  <si>
    <t>8435068401384</t>
  </si>
  <si>
    <t>PLANCHA 8.0 FUCSIA</t>
  </si>
  <si>
    <t>8435068401391</t>
  </si>
  <si>
    <t>PACK TANGLIM+TR 1.0 FLOWERS</t>
  </si>
  <si>
    <t>8435068401407</t>
  </si>
  <si>
    <t>PACK TANGLIM+ TR 1.0 CUORE</t>
  </si>
  <si>
    <t>8435068401414</t>
  </si>
  <si>
    <t>PLANCHA ARTERO ADDICTION</t>
  </si>
  <si>
    <t>8435037167426</t>
  </si>
  <si>
    <t>RIZADOR ARTERO LOOPY 25 MM</t>
  </si>
  <si>
    <t>8435037167037</t>
  </si>
  <si>
    <t>MÁQUINA CORTE BAMBINA ARTERO</t>
  </si>
  <si>
    <t>8435037168072</t>
  </si>
  <si>
    <t>MINI SECADOR WM 2.0 CUORE</t>
  </si>
  <si>
    <t>8435068400073</t>
  </si>
  <si>
    <t>MINI SECADOR WM 2.0 DROPS</t>
  </si>
  <si>
    <t>8435068400059</t>
  </si>
  <si>
    <t>MINI SECADOR WM 2.0 FLOWERS</t>
  </si>
  <si>
    <t>8435068400066</t>
  </si>
  <si>
    <t>SECADOR MINI WM 2.0 TRENCADÍS</t>
  </si>
  <si>
    <t>8435068400295</t>
  </si>
  <si>
    <t>GUANTE TERMICO</t>
  </si>
  <si>
    <t>8435037167167</t>
  </si>
  <si>
    <t>ACEITE MANTENIMIENTO OIL FRESH</t>
  </si>
  <si>
    <t>8435037100126</t>
  </si>
  <si>
    <t>TIJERA EVOQUE TITANIUM 6"</t>
  </si>
  <si>
    <t>8435037166283</t>
  </si>
  <si>
    <t>TIJERA EVOQUE TITANIUM 7"</t>
  </si>
  <si>
    <t>8435037167624</t>
  </si>
  <si>
    <t>TIJERA EVOQUE TITANIUM 8"</t>
  </si>
  <si>
    <t>8435037167617</t>
  </si>
  <si>
    <t>TIJERA NEBULA 6"</t>
  </si>
  <si>
    <t>8435037168690</t>
  </si>
  <si>
    <t>TIJERA ONE ARTERO 5.5"</t>
  </si>
  <si>
    <t>8435037168614</t>
  </si>
  <si>
    <t>8435037168249</t>
  </si>
  <si>
    <t>8435037168621</t>
  </si>
  <si>
    <t>8435037168638</t>
  </si>
  <si>
    <t>TIJERA VAC. ONE ARTERO 6"</t>
  </si>
  <si>
    <t>8435037168256</t>
  </si>
  <si>
    <t>TIJERA VAC. ONE ARTERO 7.5"</t>
  </si>
  <si>
    <t>8435037168645</t>
  </si>
  <si>
    <t>PULSERA MAGNETICA</t>
  </si>
  <si>
    <t>8435037163169</t>
  </si>
  <si>
    <t>SECADOR LIM TH 2900</t>
  </si>
  <si>
    <t>8435068400448</t>
  </si>
  <si>
    <t>8435068400035</t>
  </si>
  <si>
    <t>CEPILLO TANGLIM ECON TURQUESA</t>
  </si>
  <si>
    <t>8435068401513</t>
  </si>
  <si>
    <t>SECADOR LIM HP 3.7 NEGRO</t>
  </si>
  <si>
    <t>8435068401223</t>
  </si>
  <si>
    <t>PLANCHA ZENIT ZIRCONIUM</t>
  </si>
  <si>
    <t>8435037167181</t>
  </si>
  <si>
    <t>CEPILLO TANGLIM FREE PÚRPURA</t>
  </si>
  <si>
    <t>8435068401452</t>
  </si>
  <si>
    <t>CEPILLO TANGLIM FREE TURQUESA</t>
  </si>
  <si>
    <t>8435068401476</t>
  </si>
  <si>
    <t>PLANCHA LIM PC 4.0 TITANIUM NEGRA</t>
  </si>
  <si>
    <t>8435068401629</t>
  </si>
  <si>
    <t>PLANCHA PC 4.0 TITANIUM TURQUESA</t>
  </si>
  <si>
    <t>8435068401636</t>
  </si>
  <si>
    <t>PLANCHA SILVER XL ARTERO</t>
  </si>
  <si>
    <t>8435037169161</t>
  </si>
  <si>
    <t>TIJERA HERITAGE ARTERO 6"</t>
  </si>
  <si>
    <t>8435037171782</t>
  </si>
  <si>
    <t>TIJERA STAGE ARTERO 5.75"</t>
  </si>
  <si>
    <t>8435037171812</t>
  </si>
  <si>
    <t>TIJERA STAGE ARTERO 6.25"</t>
  </si>
  <si>
    <t>8435037171829</t>
  </si>
  <si>
    <t>TIJERA VAC. HERITAGE ARTERO 6"</t>
  </si>
  <si>
    <t>8435037171799</t>
  </si>
  <si>
    <t>TIJERA VAC. STAGE ARTERO 6"</t>
  </si>
  <si>
    <t>8435037171775</t>
  </si>
  <si>
    <t>NAVAJA BARBER RAZOR ARTERO</t>
  </si>
  <si>
    <t>8435037172581</t>
  </si>
  <si>
    <t>PEINE DOBLE PUA 336 LARGO</t>
  </si>
  <si>
    <t>4981104353215</t>
  </si>
  <si>
    <t>PEINE DOBLE PUA 339 NORMAL</t>
  </si>
  <si>
    <t>4981104350351</t>
  </si>
  <si>
    <t>PEINE CREPADO 150 YS PARK</t>
  </si>
  <si>
    <t>4981104365331</t>
  </si>
  <si>
    <t>FUSOR CERA ECON 1000 LIM</t>
  </si>
  <si>
    <t>8435068400760</t>
  </si>
  <si>
    <t>PLANCHA PC 5.2 L TOURMALINE</t>
  </si>
  <si>
    <t>8435068401667</t>
  </si>
  <si>
    <t>CEPILLO TERMIX C·R COLOR ROSA 23</t>
  </si>
  <si>
    <t>8436007243904</t>
  </si>
  <si>
    <t>CEPILLO TERMIX C·R COLOR ROSA 32</t>
  </si>
  <si>
    <t>8436007243928</t>
  </si>
  <si>
    <t>CEPILLO C·RAMIC ROSE TERMIX 43</t>
  </si>
  <si>
    <t>8436007243935</t>
  </si>
  <si>
    <t>CEPILLO FINGERBRUSH LAVANDA</t>
  </si>
  <si>
    <t>5414343014078</t>
  </si>
  <si>
    <t>CEPILLO FINGERBRUSH LILLY</t>
  </si>
  <si>
    <t>5414343014085</t>
  </si>
  <si>
    <t>CEPILLO FINGERBRUSH LOTO</t>
  </si>
  <si>
    <t>5414343014115</t>
  </si>
  <si>
    <t>CEPILLO FINGERBRUSH PEACH</t>
  </si>
  <si>
    <t>5414343014108</t>
  </si>
  <si>
    <t>330001</t>
  </si>
  <si>
    <t>RELOJ SEÑORA GUESS CIRCONITA</t>
  </si>
  <si>
    <t>REGUES</t>
  </si>
  <si>
    <t>330002</t>
  </si>
  <si>
    <t>RELOJ SEÑOR TIME FORCE</t>
  </si>
  <si>
    <t>PRSRLJ21183</t>
  </si>
  <si>
    <t>330003</t>
  </si>
  <si>
    <t>cafetera nesp. delonghi nadal</t>
  </si>
  <si>
    <t>CANEDE</t>
  </si>
  <si>
    <t>330004</t>
  </si>
  <si>
    <t>CAMARA FOTOS DIG. LUMIX 12 MP</t>
  </si>
  <si>
    <t>MGNCMR22482</t>
  </si>
  <si>
    <t>330005</t>
  </si>
  <si>
    <t>ipod nano 8GB APPLE</t>
  </si>
  <si>
    <t>MGNRMP20676</t>
  </si>
  <si>
    <t>IPOD NANO 8GB APPLE</t>
  </si>
  <si>
    <t>330006</t>
  </si>
  <si>
    <t>microcadena SONY</t>
  </si>
  <si>
    <t>MICASO</t>
  </si>
  <si>
    <t>330007</t>
  </si>
  <si>
    <t>consola nintendo DS LITE</t>
  </si>
  <si>
    <t>NIDSLI</t>
  </si>
  <si>
    <t>330008</t>
  </si>
  <si>
    <t>videocamara  samsung</t>
  </si>
  <si>
    <t>VICASA</t>
  </si>
  <si>
    <t>330009</t>
  </si>
  <si>
    <t>PLAY STATION 3 SLIM SONY</t>
  </si>
  <si>
    <t>NFNJGT21833</t>
  </si>
  <si>
    <t>330010</t>
  </si>
  <si>
    <t>tv lcd samsung 22" hd ready</t>
  </si>
  <si>
    <t>MGNTLV22758</t>
  </si>
  <si>
    <t>330011</t>
  </si>
  <si>
    <t>PULSERA KIN</t>
  </si>
  <si>
    <t>8435057054751</t>
  </si>
  <si>
    <t>PULKIN</t>
  </si>
  <si>
    <t>330012</t>
  </si>
  <si>
    <t>pulsera lotus</t>
  </si>
  <si>
    <t>330013</t>
  </si>
  <si>
    <t>pulsera de majorica</t>
  </si>
  <si>
    <t>PRSJYR20194</t>
  </si>
  <si>
    <t>330014</t>
  </si>
  <si>
    <t>pulsera TRIPLE MAJORICA</t>
  </si>
  <si>
    <t>PRSJYR20228</t>
  </si>
  <si>
    <t>330015</t>
  </si>
  <si>
    <t>colgante MAJORICA</t>
  </si>
  <si>
    <t>PRSJYR20200</t>
  </si>
  <si>
    <t>330016</t>
  </si>
  <si>
    <t>colgante TRIPLE MAJORICA</t>
  </si>
  <si>
    <t>330017</t>
  </si>
  <si>
    <t>reloj SEÑORA GUESS PLATEADO</t>
  </si>
  <si>
    <t>PRSRLJ10053</t>
  </si>
  <si>
    <t>330018</t>
  </si>
  <si>
    <t>reloj CABALLERO LOTUS</t>
  </si>
  <si>
    <t>PRSRLJ21217</t>
  </si>
  <si>
    <t>330019</t>
  </si>
  <si>
    <t>reloj UNISEX TIME FORCE</t>
  </si>
  <si>
    <t>PRSRLJ10284</t>
  </si>
  <si>
    <t>330020</t>
  </si>
  <si>
    <t>pendiente ORO BL. 18k SUNFIELD</t>
  </si>
  <si>
    <t>JYRPRS00213</t>
  </si>
  <si>
    <t>330021</t>
  </si>
  <si>
    <t>colgante ORO BL 18k SUNFIELD</t>
  </si>
  <si>
    <t>JYRPRS00231</t>
  </si>
  <si>
    <t>330022</t>
  </si>
  <si>
    <t>TROLLEY SEMIR.55 CM. SAMSONITE</t>
  </si>
  <si>
    <t>VJSTRL20827</t>
  </si>
  <si>
    <t>330023</t>
  </si>
  <si>
    <t>TROLLEY SEMIR.66 CM. SAMSONITE</t>
  </si>
  <si>
    <t>VJSTRL20836</t>
  </si>
  <si>
    <t>330024</t>
  </si>
  <si>
    <t>TROLLEY SEMIR.78 CM. SAMSONITE</t>
  </si>
  <si>
    <t>VJSTRL20845</t>
  </si>
  <si>
    <t>330025</t>
  </si>
  <si>
    <t>MALETA PEQ.RIGIDA SAMSONITE</t>
  </si>
  <si>
    <t>VJSTRL21127</t>
  </si>
  <si>
    <t>330026</t>
  </si>
  <si>
    <t>MALETA MEDIA.RIGIDA SAMSONITE</t>
  </si>
  <si>
    <t>VJSTRL21136</t>
  </si>
  <si>
    <t>330027</t>
  </si>
  <si>
    <t>MALETA GDE.RIGIDA SAMSONITE</t>
  </si>
  <si>
    <t>VJSTRL21145</t>
  </si>
  <si>
    <t>330028</t>
  </si>
  <si>
    <t>NECESER VIAJE SAMSONITE</t>
  </si>
  <si>
    <t>VJSMLT21692</t>
  </si>
  <si>
    <t>330029</t>
  </si>
  <si>
    <t>bolsa MANO VIAJE SAMSONITE</t>
  </si>
  <si>
    <t>VJSTRL21118</t>
  </si>
  <si>
    <t>330030</t>
  </si>
  <si>
    <t>bicicleta MOUNTAIN BIKE MEGAMO</t>
  </si>
  <si>
    <t>DPRBCC20167</t>
  </si>
  <si>
    <t>330031</t>
  </si>
  <si>
    <t>APARATO TONIFICADOR GIMNASIO</t>
  </si>
  <si>
    <t>DPRGMN20143</t>
  </si>
  <si>
    <t>330032</t>
  </si>
  <si>
    <t>envasadora AL VACIO DOMO</t>
  </si>
  <si>
    <t>HGRVRS20534</t>
  </si>
  <si>
    <t>330033</t>
  </si>
  <si>
    <t>BATIDORA SOLAC</t>
  </si>
  <si>
    <t>HGRBTD20418</t>
  </si>
  <si>
    <t>330034</t>
  </si>
  <si>
    <t>CUBERTERIA 51 PZAS.INOX ZANETI</t>
  </si>
  <si>
    <t>MNJCBR0007</t>
  </si>
  <si>
    <t>330035</t>
  </si>
  <si>
    <t>vajilla 20 PIEZAS LUMINARC</t>
  </si>
  <si>
    <t>HGRCCM21135</t>
  </si>
  <si>
    <t>330036</t>
  </si>
  <si>
    <t>CENTRAL PLANCHADO TAURUS</t>
  </si>
  <si>
    <t>HGRPLN20409</t>
  </si>
  <si>
    <t>330037</t>
  </si>
  <si>
    <t>ASPIRADOR SOLAC</t>
  </si>
  <si>
    <t>HGRSPR20233</t>
  </si>
  <si>
    <t>330038</t>
  </si>
  <si>
    <t>LIMPIADOR ALTA PRESION KÄRCHER</t>
  </si>
  <si>
    <t>HGRSPR20677</t>
  </si>
  <si>
    <t>330039</t>
  </si>
  <si>
    <t>ENFRIADOR-DISP.CERVEZA PRINCES</t>
  </si>
  <si>
    <t>HGRVRS20279</t>
  </si>
  <si>
    <t>330040</t>
  </si>
  <si>
    <t>BODEGA TERMOELECT. PEQUEÑA</t>
  </si>
  <si>
    <t>HGRLBL20609</t>
  </si>
  <si>
    <t>330041</t>
  </si>
  <si>
    <t>BODEGA TERMOELEC. GRANDE</t>
  </si>
  <si>
    <t>HGRLBL20618</t>
  </si>
  <si>
    <t>330042</t>
  </si>
  <si>
    <t>CAFETERA NESPRESSO KRUPS</t>
  </si>
  <si>
    <t>HGRCFT20626</t>
  </si>
  <si>
    <t>330043</t>
  </si>
  <si>
    <t>CAFET. TWIN NESPRESSO DELONGHI</t>
  </si>
  <si>
    <t>HGRCFT20459</t>
  </si>
  <si>
    <t>330044</t>
  </si>
  <si>
    <t>PLANCHA ASAR ECOLOG. JATA</t>
  </si>
  <si>
    <t>HGRBRB20294</t>
  </si>
  <si>
    <t>330045</t>
  </si>
  <si>
    <t>PLANCHA ASAR VITROCER. JATA</t>
  </si>
  <si>
    <t>PLCPLN00696</t>
  </si>
  <si>
    <t>330046</t>
  </si>
  <si>
    <t>FONDUE ELECTRICA PRINCESS</t>
  </si>
  <si>
    <t>HGRCCM20710</t>
  </si>
  <si>
    <t>330047</t>
  </si>
  <si>
    <t>MICROONDAS-GRILL SANYO</t>
  </si>
  <si>
    <t>HGRHRN20250</t>
  </si>
  <si>
    <t>330048</t>
  </si>
  <si>
    <t>ROBOT DE COCINA TAURUS</t>
  </si>
  <si>
    <t>HGRBTD10165</t>
  </si>
  <si>
    <t>330049</t>
  </si>
  <si>
    <t>MARCO FOTOS DIG. 7'' ELBE</t>
  </si>
  <si>
    <t>HGRCDC20504</t>
  </si>
  <si>
    <t>330050</t>
  </si>
  <si>
    <t>TELEFONO INALAMB.DIG.PANASONIC</t>
  </si>
  <si>
    <t>TLFNLM20984</t>
  </si>
  <si>
    <t>330051</t>
  </si>
  <si>
    <t>GPS TOMTOM ONE</t>
  </si>
  <si>
    <t>TMVGPS20610</t>
  </si>
  <si>
    <t>330052</t>
  </si>
  <si>
    <t>DETECTOR RADARES CDP</t>
  </si>
  <si>
    <t>TMVGPS20647</t>
  </si>
  <si>
    <t>330053</t>
  </si>
  <si>
    <t>DISCO DURO EXTERNO IOMEGA</t>
  </si>
  <si>
    <t>NFRCCS21372</t>
  </si>
  <si>
    <t>330054</t>
  </si>
  <si>
    <t>CAMARA FOTOS DIG. OLYMPUS</t>
  </si>
  <si>
    <t>MGNCMR22233</t>
  </si>
  <si>
    <t>330055</t>
  </si>
  <si>
    <t>CAMARA FOT. DIG.SEMI REFLEX</t>
  </si>
  <si>
    <t>MGNCMR22251</t>
  </si>
  <si>
    <t>330056</t>
  </si>
  <si>
    <t>VIDEOCAMARA SD PANASONIC</t>
  </si>
  <si>
    <t>KIT00023186</t>
  </si>
  <si>
    <t>330057</t>
  </si>
  <si>
    <t>VIDEOCAMARA SD FULL HD PANAS.</t>
  </si>
  <si>
    <t>KIT00022974</t>
  </si>
  <si>
    <t>330058</t>
  </si>
  <si>
    <t>IPOD SHUFFLE MP3 4GB APPLE</t>
  </si>
  <si>
    <t>MGNRMP20603</t>
  </si>
  <si>
    <t>330059</t>
  </si>
  <si>
    <t>IPOD TOUCH 32GB MP4 APPLE</t>
  </si>
  <si>
    <t>MGNRMP20667</t>
  </si>
  <si>
    <t>330060</t>
  </si>
  <si>
    <t>ORDENADOR NETBOOK SONY</t>
  </si>
  <si>
    <t>NFRRDN22217</t>
  </si>
  <si>
    <t>330061</t>
  </si>
  <si>
    <t>ORD. PORTATIL SONY VAIO 15.5"</t>
  </si>
  <si>
    <t>NFRRDN22040</t>
  </si>
  <si>
    <t>330062</t>
  </si>
  <si>
    <t>CONSOLA DSI NINTENDO</t>
  </si>
  <si>
    <t>NFNJGT21578</t>
  </si>
  <si>
    <t>330063</t>
  </si>
  <si>
    <t>PSP GO 16 GB DE SONY</t>
  </si>
  <si>
    <t>NFNJGT21897</t>
  </si>
  <si>
    <t>330064</t>
  </si>
  <si>
    <t>CONSOLA WII NINTENDO</t>
  </si>
  <si>
    <t>NFNJGT10970</t>
  </si>
  <si>
    <t>330065</t>
  </si>
  <si>
    <t>TABLA EJERCICIO WII FIT NINTEN</t>
  </si>
  <si>
    <t>NFNJGT22124</t>
  </si>
  <si>
    <t>330066</t>
  </si>
  <si>
    <t>REPRODUCTOR DVD DIVX SANSUNG</t>
  </si>
  <si>
    <t>MGNDVD21416</t>
  </si>
  <si>
    <t>330067</t>
  </si>
  <si>
    <t>REPRODUCTOR DVD BLU-RAY PANASO</t>
  </si>
  <si>
    <t>MGNDVD21373</t>
  </si>
  <si>
    <t>330068</t>
  </si>
  <si>
    <t>microcadena panasonic</t>
  </si>
  <si>
    <t>MGNCDN20546</t>
  </si>
  <si>
    <t>330069</t>
  </si>
  <si>
    <t>home cinem  5.1 samsung</t>
  </si>
  <si>
    <t>MGNDVD21072</t>
  </si>
  <si>
    <t>330070</t>
  </si>
  <si>
    <t>TV LCD 32'' SAMSUNG</t>
  </si>
  <si>
    <t>MGNTLV22369</t>
  </si>
  <si>
    <t>330071</t>
  </si>
  <si>
    <t>TV LCD 37'' HD SAMSUNG</t>
  </si>
  <si>
    <t>LE37C550</t>
  </si>
  <si>
    <t>330072</t>
  </si>
  <si>
    <t>TV PANORAMIC 40'' FULL HD SONY</t>
  </si>
  <si>
    <t>MGNTLV22624</t>
  </si>
  <si>
    <t>330073</t>
  </si>
  <si>
    <t>REVISTA SABER VIVIR</t>
  </si>
  <si>
    <t>TLBRVS20205</t>
  </si>
  <si>
    <t>330074</t>
  </si>
  <si>
    <t>MANTA PROMO PACK ANTICAIDA</t>
  </si>
  <si>
    <t>HGRTXT21332</t>
  </si>
  <si>
    <t>330075</t>
  </si>
  <si>
    <t>COLGANTE SRA. LOTUS STYLE</t>
  </si>
  <si>
    <t>PRSJYR20316</t>
  </si>
  <si>
    <t>330076</t>
  </si>
  <si>
    <t>PLANCHA DE ASAR  LAUSON</t>
  </si>
  <si>
    <t>HGRBRB20267</t>
  </si>
  <si>
    <t>330077</t>
  </si>
  <si>
    <t>TOALLA JUEGO 3  PROM.PACK ANT.</t>
  </si>
  <si>
    <t>HGRTXT21174</t>
  </si>
  <si>
    <t>330078</t>
  </si>
  <si>
    <t>JUEGO SARTENES MONIX "PACK ANT</t>
  </si>
  <si>
    <t>HGRSRT20280</t>
  </si>
  <si>
    <t>330079</t>
  </si>
  <si>
    <t>PULSERA LOTUS "STYLE"</t>
  </si>
  <si>
    <t>PRSJYR20325</t>
  </si>
  <si>
    <t>330080</t>
  </si>
  <si>
    <t>CAFETERA DOLCE GUSTO KRUPS</t>
  </si>
  <si>
    <t>HGRCFT20592</t>
  </si>
  <si>
    <t>330081</t>
  </si>
  <si>
    <t>CONSOLA DSI HW XL NINTENDO</t>
  </si>
  <si>
    <t>NFNJGT22346</t>
  </si>
  <si>
    <t>330082</t>
  </si>
  <si>
    <t>IROBOT ASPIRADOR "ROOMBA"</t>
  </si>
  <si>
    <t>HGRSPR20525</t>
  </si>
  <si>
    <t>330083</t>
  </si>
  <si>
    <t>CAMARA DIG.FOTOS "SAMSUNG"</t>
  </si>
  <si>
    <t>MGNCMR22552</t>
  </si>
  <si>
    <t>330084</t>
  </si>
  <si>
    <t>RELOJ SEÑORA GUESS</t>
  </si>
  <si>
    <t>80332L1</t>
  </si>
  <si>
    <t>330085</t>
  </si>
  <si>
    <t>CAFETERA DOLCE GUSTO</t>
  </si>
  <si>
    <t>330086</t>
  </si>
  <si>
    <t>CAFET. NESPRESSO ESSENZA</t>
  </si>
  <si>
    <t>HGRCFT20653</t>
  </si>
  <si>
    <t>330087</t>
  </si>
  <si>
    <t>MICROCADENA DISEÑO PANASONIC</t>
  </si>
  <si>
    <t>330088</t>
  </si>
  <si>
    <t>CONSOLA WII HW BLANCA NINTENDO</t>
  </si>
  <si>
    <t>NFNJGT22850</t>
  </si>
  <si>
    <t>330089</t>
  </si>
  <si>
    <t>TV LCD 22" TDT HD SAMSUNG</t>
  </si>
  <si>
    <t>MGNTLV22749</t>
  </si>
  <si>
    <t>330090</t>
  </si>
  <si>
    <t>TV LCD 32" TDT HD SAMSUNG</t>
  </si>
  <si>
    <t>MGNTLV22767</t>
  </si>
  <si>
    <t>REVISTA VIAJES</t>
  </si>
  <si>
    <t>RVSSSC00033</t>
  </si>
  <si>
    <t>REVISTA CLARA</t>
  </si>
  <si>
    <t>TLBRVS20214</t>
  </si>
  <si>
    <t>REVISTA INSTYLE</t>
  </si>
  <si>
    <t>TLBRVS20199</t>
  </si>
  <si>
    <t>REVISTA EL MUEBLE</t>
  </si>
  <si>
    <t>RVSSSC00024</t>
  </si>
  <si>
    <t>TV LED 40" SAMSUNG</t>
  </si>
  <si>
    <t>UE40C5100</t>
  </si>
  <si>
    <t>ASPIRADOR "DELONGHI"</t>
  </si>
  <si>
    <t>HGRSPR20446</t>
  </si>
  <si>
    <t>TV SAMSUNG LED ULTRA SLIM 19"</t>
  </si>
  <si>
    <t>MGNTLV23225</t>
  </si>
  <si>
    <t>PULSERA 1 MAJORICA</t>
  </si>
  <si>
    <t>PRSJYR20352</t>
  </si>
  <si>
    <t>PULSERA 2 MAJORICA</t>
  </si>
  <si>
    <t>PRSJYR20343</t>
  </si>
  <si>
    <t>AGUA PERFUME THE ONE D&amp;G 75 ML</t>
  </si>
  <si>
    <t>PRSPRF20012</t>
  </si>
  <si>
    <t>AGUA COL. BOSS BOTTLED 100 ML.</t>
  </si>
  <si>
    <t>PRSPRF20067</t>
  </si>
  <si>
    <t>RELOJ SRA. GUESS ACERO ZIRCON.</t>
  </si>
  <si>
    <t>PRSRLJ21518</t>
  </si>
  <si>
    <t>RELOJ CABALLERO ACERO LOTUS</t>
  </si>
  <si>
    <t>PRSRLJ21448</t>
  </si>
  <si>
    <t>CINE PACK 12 ENTRADAS MOVI BUT</t>
  </si>
  <si>
    <t>KIT00022105</t>
  </si>
  <si>
    <t>SMARTBOX ESTANCIA RUSTICA</t>
  </si>
  <si>
    <t>PRSTLB00201</t>
  </si>
  <si>
    <t>SMARTBOX GASTRONOMIA</t>
  </si>
  <si>
    <t>VJSVJS20372</t>
  </si>
  <si>
    <t>SMARTBOX ESTANCIA PINTORESCA</t>
  </si>
  <si>
    <t>PRSTLB00113</t>
  </si>
  <si>
    <t>BICICLETA MOUNT. BIKE INFANTIL</t>
  </si>
  <si>
    <t>DPRBCC20486</t>
  </si>
  <si>
    <t>BICICLETA MOUNT BIKE MEGAMO</t>
  </si>
  <si>
    <t>DPRBCC20529</t>
  </si>
  <si>
    <t>VAJILLA 20 PIEZAS SONAL BY SOG</t>
  </si>
  <si>
    <t>MNJVJL00302</t>
  </si>
  <si>
    <t>CUBERTERIA 24 PIEZAS MAGEFESA</t>
  </si>
  <si>
    <t>HGRCCM21490</t>
  </si>
  <si>
    <t>BATIDORA TAURUS</t>
  </si>
  <si>
    <t>HGRBTD20773</t>
  </si>
  <si>
    <t>CENTRO PLANCHADO SOLAC</t>
  </si>
  <si>
    <t>HGRPLN20560</t>
  </si>
  <si>
    <t>PIEDRA RACLETTE PRINCESS</t>
  </si>
  <si>
    <t>HGRBRB20355</t>
  </si>
  <si>
    <t>PLANCHA ASAR TEFAL</t>
  </si>
  <si>
    <t>HGRPLN20515</t>
  </si>
  <si>
    <t>BATERIA COCINA 5 PZAS. BRA</t>
  </si>
  <si>
    <t>HGRBTR20469</t>
  </si>
  <si>
    <t>MICROONDAS DELONGHI</t>
  </si>
  <si>
    <t>HGRHRN20269</t>
  </si>
  <si>
    <t>FREIDORA ACTIFRY TEFAL</t>
  </si>
  <si>
    <t>HGRFRD20191</t>
  </si>
  <si>
    <t>LAVADORA SECADORA BOSCH</t>
  </si>
  <si>
    <t>HGRLBL10277</t>
  </si>
  <si>
    <t>FRIGORIFICO BOSCH</t>
  </si>
  <si>
    <t>HGRLBL20690</t>
  </si>
  <si>
    <t>DVD BLU-RAY SAMSUNG</t>
  </si>
  <si>
    <t>MGNDVD21559</t>
  </si>
  <si>
    <t>TV LED ULTRA SLIM 27" SAMSUNG</t>
  </si>
  <si>
    <t>MGNTLV23021</t>
  </si>
  <si>
    <t>TV LED 32" SLIM SAMSUNG</t>
  </si>
  <si>
    <t>MGNTLV23304</t>
  </si>
  <si>
    <t>IROBOT ASPIRADOR 531 ROOMBA</t>
  </si>
  <si>
    <t>HGRSPR20598</t>
  </si>
  <si>
    <t>IROBOT ASPIRADOR 581 ROOMBA</t>
  </si>
  <si>
    <t>HGRSPR20552</t>
  </si>
  <si>
    <t>LAVAVAJILLAS BOSCH</t>
  </si>
  <si>
    <t>HGRLBL20706</t>
  </si>
  <si>
    <t>LAVADORA BOSCH</t>
  </si>
  <si>
    <t>HGRLBL20681</t>
  </si>
  <si>
    <t>SECADORA BOSCH</t>
  </si>
  <si>
    <t>HGRLBL20645</t>
  </si>
  <si>
    <t>TV LED 40" SLIM SAMSUNG</t>
  </si>
  <si>
    <t>MGNTLV23243</t>
  </si>
  <si>
    <t>CONSOLA PS3 160 GB</t>
  </si>
  <si>
    <t>TLBJGS20402</t>
  </si>
  <si>
    <t>XIAOMI MI BAND 2</t>
  </si>
  <si>
    <t>MGNCMR22297</t>
  </si>
  <si>
    <t>CAMARA FOTOS DIG VG110 OLYMPUS</t>
  </si>
  <si>
    <t>MGNCMR22914</t>
  </si>
  <si>
    <t>CAMARA FOTOS DIG SP-610UZ OLYM</t>
  </si>
  <si>
    <t>MGNCMR22932</t>
  </si>
  <si>
    <t>IMPRESORA MULTIFUNC. HP</t>
  </si>
  <si>
    <t>NFRMPR21037</t>
  </si>
  <si>
    <t>VIDEOCAMARA FULL HD SD PANASON</t>
  </si>
  <si>
    <t>MNGCVD20621</t>
  </si>
  <si>
    <t>VIDEOCAMARA TARJ SD SAMSUNG F5</t>
  </si>
  <si>
    <t>MGNCVD20649</t>
  </si>
  <si>
    <t>ORDENADOR PORTATIL 13,3" APPLE</t>
  </si>
  <si>
    <t>NFRRDN23313</t>
  </si>
  <si>
    <t>ORDENADOR PORTATIL VAIO SONY</t>
  </si>
  <si>
    <t>VPC-EH2K1E</t>
  </si>
  <si>
    <t>ORDENADOR PORTATIL PACKARD BEL</t>
  </si>
  <si>
    <t>NFRRDN23304</t>
  </si>
  <si>
    <t>IPOD SHUFFLE 2GB  APPLE</t>
  </si>
  <si>
    <t>MGNRMP20816</t>
  </si>
  <si>
    <t>MGNRMP20834</t>
  </si>
  <si>
    <t>IPOD CLASSIC 160GB APPLE</t>
  </si>
  <si>
    <t>MGNRMP20685</t>
  </si>
  <si>
    <t>IPAD 2017 9.7 WIFI 128 GB ORO</t>
  </si>
  <si>
    <t>NFRVRS20111</t>
  </si>
  <si>
    <t>HOME CINEMA 5.1 330W SAMSUNG</t>
  </si>
  <si>
    <t>MGNHMC00392</t>
  </si>
  <si>
    <t>DISCO DURO EXT.IOMEGA2157329</t>
  </si>
  <si>
    <t>NFRCCS21804</t>
  </si>
  <si>
    <t>REPROD. DVD PORTATIL AVANTIA</t>
  </si>
  <si>
    <t>MGNDVD21647</t>
  </si>
  <si>
    <t>GPS START2 IBERIA TOM TOM</t>
  </si>
  <si>
    <t>TMVGPS20692</t>
  </si>
  <si>
    <t>PLAY STATION PS3 160 GB J</t>
  </si>
  <si>
    <t>MICROCADENA PANASONIC SC-HC18</t>
  </si>
  <si>
    <t>MGNCDN21217</t>
  </si>
  <si>
    <t>CONSOLA NINTENDO 3DS XL</t>
  </si>
  <si>
    <t>NFNJGT23433</t>
  </si>
  <si>
    <t>TELEV. LED 32" TX-L32B6E PANAS</t>
  </si>
  <si>
    <t>MGNTLV24695</t>
  </si>
  <si>
    <t>IPAD MINI 16GB APPLE</t>
  </si>
  <si>
    <t>NFRVRS21031</t>
  </si>
  <si>
    <t>0000000330164</t>
  </si>
  <si>
    <t>ORD.PORT.SONY VAIO 15,5" 4GB R</t>
  </si>
  <si>
    <t>NFRRDN24057</t>
  </si>
  <si>
    <t>IROBOT ASPIRAD. ROOMBA 775/780</t>
  </si>
  <si>
    <t>HGRSPR20826</t>
  </si>
  <si>
    <t>CAFETERA KRUPS PERLA NESPRESSO</t>
  </si>
  <si>
    <t>HGRCFT20875</t>
  </si>
  <si>
    <t>GOPRO HERO 5 BLACK</t>
  </si>
  <si>
    <t>MGNTLV24914</t>
  </si>
  <si>
    <t>340001</t>
  </si>
  <si>
    <t>TM VISUAL PAPEL 70 x 100 cm</t>
  </si>
  <si>
    <t>340002</t>
  </si>
  <si>
    <t>TM VISUAL PAPEL 100 x 140 cm.</t>
  </si>
  <si>
    <t>340003</t>
  </si>
  <si>
    <t>TM VISUAL TEXTIL 70 x 100 cm.</t>
  </si>
  <si>
    <t>340004</t>
  </si>
  <si>
    <t>TM VISUAL TEXTIL 100 x 140 cm.</t>
  </si>
  <si>
    <t>340005</t>
  </si>
  <si>
    <t>TM CAMISETA CHICA BLANCA "MC"</t>
  </si>
  <si>
    <t>340006</t>
  </si>
  <si>
    <t>TM CAMISETA CHICO BLANCA "MC"</t>
  </si>
  <si>
    <t>340007</t>
  </si>
  <si>
    <t>TM CAMISETA CHICA NEGRA "MC"</t>
  </si>
  <si>
    <t>340008</t>
  </si>
  <si>
    <t>TM CAMISETA CHICO NEGRA "MC"</t>
  </si>
  <si>
    <t>340009</t>
  </si>
  <si>
    <t>TM POSTER PROMOC. SERVICIO 1</t>
  </si>
  <si>
    <t>340010</t>
  </si>
  <si>
    <t>TM POSTER PROMOC. SERVICIO 2</t>
  </si>
  <si>
    <t>340011</t>
  </si>
  <si>
    <t>TM POSTER PROMOC. SERVICIO 3</t>
  </si>
  <si>
    <t>340015</t>
  </si>
  <si>
    <t>TM VISUAL FOAM 70 x 100 cm.</t>
  </si>
  <si>
    <t>340016</t>
  </si>
  <si>
    <t>TM VISUAL FOAM 100 x 140 cm.</t>
  </si>
  <si>
    <t>340017</t>
  </si>
  <si>
    <t>TM VISUAL FOAM  PERSONALIZADO</t>
  </si>
  <si>
    <t>340018</t>
  </si>
  <si>
    <t>TM MARCO ALUMINIO 70 x 100 cm.</t>
  </si>
  <si>
    <t>340019</t>
  </si>
  <si>
    <t>TM MARCO ALUMINIO 100 x 140 cm</t>
  </si>
  <si>
    <t>340020</t>
  </si>
  <si>
    <t>TM ESCAPARATE DOB.CARA 70x100</t>
  </si>
  <si>
    <t>340021</t>
  </si>
  <si>
    <t>TM ESCAPARAT DOB.CARA 100x140</t>
  </si>
  <si>
    <t>340022</t>
  </si>
  <si>
    <t>TM MARCO DE LUZ 70 x 100 cm.</t>
  </si>
  <si>
    <t>340023</t>
  </si>
  <si>
    <t>TM MARCO DE LUZ 100 x 140 cm.</t>
  </si>
  <si>
    <t>340024</t>
  </si>
  <si>
    <t>TM MARCO LUZ DOB.CARA 70x100</t>
  </si>
  <si>
    <t>340025</t>
  </si>
  <si>
    <t>TM MARCO LUZ DOB.CARA 100x140</t>
  </si>
  <si>
    <t>340026</t>
  </si>
  <si>
    <t>TM TOTEM LUMINOSO 80 x 170 cm</t>
  </si>
  <si>
    <t>340027</t>
  </si>
  <si>
    <t>TM POSTER PAPEL PERSONALIZADO</t>
  </si>
  <si>
    <t>340028</t>
  </si>
  <si>
    <t>TM VISUAL MEDIDA ESPECIAL</t>
  </si>
  <si>
    <t>340029</t>
  </si>
  <si>
    <t>TM PANTALON PETO NEGRO</t>
  </si>
  <si>
    <t>340030</t>
  </si>
  <si>
    <t>TM CAMISETA MANGA LARGA CHICA</t>
  </si>
  <si>
    <t>340031</t>
  </si>
  <si>
    <t>TM VINILO FURGONETA LOGO KIN</t>
  </si>
  <si>
    <t>340032</t>
  </si>
  <si>
    <t>TM VINIL FACIL APLICAC.150*60</t>
  </si>
  <si>
    <t>340033</t>
  </si>
  <si>
    <t>TM ESCAPARATE DOBLE CAR 150*60</t>
  </si>
  <si>
    <t>340034</t>
  </si>
  <si>
    <t>TM VINILO PARED</t>
  </si>
  <si>
    <t>340035</t>
  </si>
  <si>
    <t>TM TARJETA BEAUTY CARD</t>
  </si>
  <si>
    <t>340036</t>
  </si>
  <si>
    <t>TARJETA WELLCOME CARD BCN KIN EXPERIENCE</t>
  </si>
  <si>
    <t>340037</t>
  </si>
  <si>
    <t>TM VINIL SILUETA CHICO</t>
  </si>
  <si>
    <t>340038</t>
  </si>
  <si>
    <t>TM VINIL SILUETA CHICA</t>
  </si>
  <si>
    <t>340039</t>
  </si>
  <si>
    <t>TM VINIL FACIL APLICAC.170*100</t>
  </si>
  <si>
    <t>340040</t>
  </si>
  <si>
    <t>TM VISUAL A4 PEANA</t>
  </si>
  <si>
    <t>340041</t>
  </si>
  <si>
    <t>TM VISUAL DISPLAY PEANA</t>
  </si>
  <si>
    <t>340042</t>
  </si>
  <si>
    <t>TM RETOL EXT. PVC 10 mm299*84</t>
  </si>
  <si>
    <t>340043</t>
  </si>
  <si>
    <t>TM CORTINA CADENETA IM.105*274</t>
  </si>
  <si>
    <t>340044</t>
  </si>
  <si>
    <t>TM CORTINA CADENETA IM.227*277</t>
  </si>
  <si>
    <t>340045</t>
  </si>
  <si>
    <t>TM LONA TEXTIL PERSONALIZADA</t>
  </si>
  <si>
    <t>340046</t>
  </si>
  <si>
    <t>TM VISUAL MISSIO KIN</t>
  </si>
  <si>
    <t>340047</t>
  </si>
  <si>
    <t>TM VINIL FACIL APLIC. 70*100</t>
  </si>
  <si>
    <t>340048</t>
  </si>
  <si>
    <t>TM VINIL TRANSP. LOGO  21 cms.</t>
  </si>
  <si>
    <t>340049</t>
  </si>
  <si>
    <t>TM VINIL TRANSP. LOGO 10 cms.</t>
  </si>
  <si>
    <t>340050</t>
  </si>
  <si>
    <t>TM TOTEM LUMINOSO DOS CARAS</t>
  </si>
  <si>
    <t>PACK 2 PALETINAS BALAYAGE</t>
  </si>
  <si>
    <t>794180910135</t>
  </si>
  <si>
    <t>PACK 2 BOLES PARA COLORACIÓN</t>
  </si>
  <si>
    <t>794180910081</t>
  </si>
  <si>
    <t>DISPENSADOR ALUMINIO FRAMAR</t>
  </si>
  <si>
    <t>791480960068</t>
  </si>
  <si>
    <t>PACK 3 PALETINAS COLORACIÓN TRICOLOR</t>
  </si>
  <si>
    <t>680343910121</t>
  </si>
  <si>
    <t>794180910128</t>
  </si>
  <si>
    <t>PACK 3 PALETINAS COLORACIÓN NEGRO</t>
  </si>
  <si>
    <t>794180910098</t>
  </si>
  <si>
    <t>PALETINA COLORACIÓN INDIVIDUAL</t>
  </si>
  <si>
    <t>680343910107</t>
  </si>
  <si>
    <t>794180910104</t>
  </si>
  <si>
    <t>LÁMINAS TRANSP. MANIAC MESH</t>
  </si>
  <si>
    <t>794180910258</t>
  </si>
  <si>
    <t>390011</t>
  </si>
  <si>
    <t>PACK TABLA Y PALETA MECHAS/BALAYAGE</t>
  </si>
  <si>
    <t>680343910145</t>
  </si>
  <si>
    <t>PACK 2 PALETINAS POWER PAINTER</t>
  </si>
  <si>
    <t>794180910296</t>
  </si>
  <si>
    <t>HOJAS ALUMINIO RELIEVE FRAMAR</t>
  </si>
  <si>
    <t>680343130024</t>
  </si>
  <si>
    <t>794180130021</t>
  </si>
  <si>
    <t>PACK 4 PINZAS SILICONA NEGRO</t>
  </si>
  <si>
    <t>794180910005</t>
  </si>
  <si>
    <t>PACK 4 PINZAS SILICONA ROSA</t>
  </si>
  <si>
    <t>794180910012</t>
  </si>
  <si>
    <t>ROLLO ALUMINIO RELIEVE FRAMAR</t>
  </si>
  <si>
    <t>794180120176</t>
  </si>
  <si>
    <t>PACK 4 PINZAS GOMA DIENTES NEGRO</t>
  </si>
  <si>
    <t>794180910029</t>
  </si>
  <si>
    <t>PACK 4 PINZAS GOMA DIENTES ROSA</t>
  </si>
  <si>
    <t>794180910036</t>
  </si>
  <si>
    <t>CAPAS PROTECTORAS TRANSPARENTES</t>
  </si>
  <si>
    <t>794180910265</t>
  </si>
  <si>
    <t>MUESTRA HOJAS PAPEL ALUMINIO RELIEVE</t>
  </si>
  <si>
    <t>794180130410</t>
  </si>
  <si>
    <t>MUESTRA TOALLITAS KOLOR KILLER</t>
  </si>
  <si>
    <t>680343990161</t>
  </si>
  <si>
    <t>TOALLITAS FRAMAR KOLOR KILLER</t>
  </si>
  <si>
    <t>794180910166</t>
  </si>
  <si>
    <t>GUANTES NITRILO NEGROS (TALLA P)</t>
  </si>
  <si>
    <t>794180900136</t>
  </si>
  <si>
    <t>GUANTES NITRILO NEGROS (TALLA M)</t>
  </si>
  <si>
    <t>794180900143</t>
  </si>
  <si>
    <t>GUANTES NITRILO NEGROS (TALLA G)</t>
  </si>
  <si>
    <t>794180900150</t>
  </si>
  <si>
    <t>PAPEL FILM TRANSP. BIODEG. FRAMAR</t>
  </si>
  <si>
    <t>680343910176</t>
  </si>
  <si>
    <t>794180910173</t>
  </si>
  <si>
    <t>MEZCLADOR MIGHTY MIXER FRAMAR</t>
  </si>
  <si>
    <t>794180910180</t>
  </si>
  <si>
    <t>HOJAS ALUMINIO RELIEVE STAR STRUCK</t>
  </si>
  <si>
    <t>794180140099</t>
  </si>
  <si>
    <t>MUESTRA GUANTES NITRILO</t>
  </si>
  <si>
    <t>680343900191</t>
  </si>
  <si>
    <t>794180900198</t>
  </si>
  <si>
    <t>PALETINA INDIVIDUAL EMPEROR</t>
  </si>
  <si>
    <t>680343910190</t>
  </si>
  <si>
    <t>PROTECTOR DE GAFAS NEGRO FRAMAR</t>
  </si>
  <si>
    <t>680343910053</t>
  </si>
  <si>
    <t>PALETINA INDIVIDUAL PUA METÁLICA</t>
  </si>
  <si>
    <t>680343910114</t>
  </si>
  <si>
    <t>GUANTES NITRILO ROSAS (TALLA P)</t>
  </si>
  <si>
    <t>680343900160</t>
  </si>
  <si>
    <t>GUANTES NITRILO ROSAS (TALLA M)</t>
  </si>
  <si>
    <t>680343900177</t>
  </si>
  <si>
    <t>390046</t>
  </si>
  <si>
    <t>BOL COLORACIÓN SURE GRIP SUCTION</t>
  </si>
  <si>
    <t>794180910074</t>
  </si>
  <si>
    <t>KINBLOND DECOLORANTE</t>
  </si>
  <si>
    <t>OXK00</t>
  </si>
  <si>
    <t>8435057004091</t>
  </si>
  <si>
    <t>KINCREM CONTRAST Nº C44</t>
  </si>
  <si>
    <t>KCC44</t>
  </si>
  <si>
    <t>8435057001212</t>
  </si>
  <si>
    <t>KINCREM CONTRAST Nº C55</t>
  </si>
  <si>
    <t>KCC55</t>
  </si>
  <si>
    <t>8435057001229</t>
  </si>
  <si>
    <t>KINCREM CONTRAST Nº C66</t>
  </si>
  <si>
    <t>KCC66</t>
  </si>
  <si>
    <t>8435057001236</t>
  </si>
  <si>
    <t>KINCREM CONTRAST Nº C77</t>
  </si>
  <si>
    <t>KCC77</t>
  </si>
  <si>
    <t>8435057001243</t>
  </si>
  <si>
    <t>K. CONTRAST EST. 1 TUBO Nº C44</t>
  </si>
  <si>
    <t>ECC44</t>
  </si>
  <si>
    <t>K. CONTRAST EST. 1 TUBO Nº C55</t>
  </si>
  <si>
    <t>ECC55</t>
  </si>
  <si>
    <t>K. CONTRAST EST. 1 TUBO Nº C66</t>
  </si>
  <si>
    <t>ECC66</t>
  </si>
  <si>
    <t>K. CONTRAST EST. 1 TUBO Nº C77</t>
  </si>
  <si>
    <t>ECC77</t>
  </si>
  <si>
    <t>KINCREM PRESTIGE Nº 1</t>
  </si>
  <si>
    <t>KP0001</t>
  </si>
  <si>
    <t>8435057000161</t>
  </si>
  <si>
    <t>KINCREM PRESTIGE Nº 2</t>
  </si>
  <si>
    <t>KP0002</t>
  </si>
  <si>
    <t>8435057000154</t>
  </si>
  <si>
    <t>KINCREM PRESTIGE Nº 3</t>
  </si>
  <si>
    <t>KP0003</t>
  </si>
  <si>
    <t>8435057000130</t>
  </si>
  <si>
    <t>KINCREM PRESTIGE Nº 4</t>
  </si>
  <si>
    <t>KP0004</t>
  </si>
  <si>
    <t>8435057000116</t>
  </si>
  <si>
    <t>KINCREM PRESTIGE Nº 5</t>
  </si>
  <si>
    <t>KP0005</t>
  </si>
  <si>
    <t>8435057000093</t>
  </si>
  <si>
    <t>KINCREM PRESTIGE Nº 6</t>
  </si>
  <si>
    <t>KP0006</t>
  </si>
  <si>
    <t>8435057000079</t>
  </si>
  <si>
    <t>KINCREM PRESTIGE Nº 7</t>
  </si>
  <si>
    <t>KP0007</t>
  </si>
  <si>
    <t>8435057000055</t>
  </si>
  <si>
    <t>KINCREM PRESTIGE Nº 8</t>
  </si>
  <si>
    <t>KP0008</t>
  </si>
  <si>
    <t>8435057000031</t>
  </si>
  <si>
    <t>KINCREM PRESTIGE Nº 9</t>
  </si>
  <si>
    <t>KP0009</t>
  </si>
  <si>
    <t>8435057000017</t>
  </si>
  <si>
    <t>KINCREM PRESTIGE Nº 10</t>
  </si>
  <si>
    <t>KP0010</t>
  </si>
  <si>
    <t>8435057000741</t>
  </si>
  <si>
    <t>KINCREM PRESTIGE Nº 1.1</t>
  </si>
  <si>
    <t>KP0011</t>
  </si>
  <si>
    <t>8435057000307</t>
  </si>
  <si>
    <t>KINCREM PRESTIGE Nº 3.5</t>
  </si>
  <si>
    <t>KP0035</t>
  </si>
  <si>
    <t>8435057000734</t>
  </si>
  <si>
    <t>KINCREM PRESTIGE Nº 4.3</t>
  </si>
  <si>
    <t>KP0043</t>
  </si>
  <si>
    <t>8435057000482</t>
  </si>
  <si>
    <t>KINCREM PRESTIGE Nº 4.5</t>
  </si>
  <si>
    <t>KP0045</t>
  </si>
  <si>
    <t>8435057000727</t>
  </si>
  <si>
    <t>KINCREM PRESTIGE Nº 5.1</t>
  </si>
  <si>
    <t>KP0051</t>
  </si>
  <si>
    <t>8435057000291</t>
  </si>
  <si>
    <t>KINCREM PRESTIGE Nº 5.3</t>
  </si>
  <si>
    <t>KP0053</t>
  </si>
  <si>
    <t>8435057000475</t>
  </si>
  <si>
    <t>KINCREM PRESTIGE Nº 5.4</t>
  </si>
  <si>
    <t>KP0054</t>
  </si>
  <si>
    <t>8435057000567</t>
  </si>
  <si>
    <t>KINCREM PRESTIGE Nº 5.5</t>
  </si>
  <si>
    <t>KP0055</t>
  </si>
  <si>
    <t>8435057000710</t>
  </si>
  <si>
    <t>KINCREM PRESTIGE Nº 6.1</t>
  </si>
  <si>
    <t>KP0061</t>
  </si>
  <si>
    <t>8435057000277</t>
  </si>
  <si>
    <t>KINCREM PRESTIGE Nº 6.3</t>
  </si>
  <si>
    <t>KP0063</t>
  </si>
  <si>
    <t>8435057000451</t>
  </si>
  <si>
    <t>KINCREM PRESTIGE Nº 6.5</t>
  </si>
  <si>
    <t>KP0065</t>
  </si>
  <si>
    <t>8435057000703</t>
  </si>
  <si>
    <t>KINCREM PRESTIGE Nº 6.6</t>
  </si>
  <si>
    <t>KP0066</t>
  </si>
  <si>
    <t>8435057000376</t>
  </si>
  <si>
    <t>KINCREM PRESTIGE Nº 7.1</t>
  </si>
  <si>
    <t>KP0071</t>
  </si>
  <si>
    <t>8435057000253</t>
  </si>
  <si>
    <t>KINCREM PRESTIGE Nº 7.3</t>
  </si>
  <si>
    <t>KP0073</t>
  </si>
  <si>
    <t>8435057000437</t>
  </si>
  <si>
    <t>KINCREM PRESTIGE Nº 7.4</t>
  </si>
  <si>
    <t>KP0074</t>
  </si>
  <si>
    <t>8435057000512</t>
  </si>
  <si>
    <t>KINCREM PRESTIGE Nº 7.5</t>
  </si>
  <si>
    <t>KP0075</t>
  </si>
  <si>
    <t>8435057000697</t>
  </si>
  <si>
    <t>KINCREM PRESTIGE Nº 7.6</t>
  </si>
  <si>
    <t>KP0076</t>
  </si>
  <si>
    <t>8435057000352</t>
  </si>
  <si>
    <t>KINCREM PRESTIGE Nº 7.9</t>
  </si>
  <si>
    <t>KP0079</t>
  </si>
  <si>
    <t>8435057000826</t>
  </si>
  <si>
    <t>KINCREM PRESTIGE Nº 8.1</t>
  </si>
  <si>
    <t>KP0081</t>
  </si>
  <si>
    <t>8435057000239</t>
  </si>
  <si>
    <t>KINCREM PRESTIGE Nº 8.2</t>
  </si>
  <si>
    <t>KP0082</t>
  </si>
  <si>
    <t>8435057000222</t>
  </si>
  <si>
    <t>KINCREM PRESTIGE Nº 8.3</t>
  </si>
  <si>
    <t>KP0083</t>
  </si>
  <si>
    <t>8435057000413</t>
  </si>
  <si>
    <t>KINCREM PRESTIGE Nº 8.6</t>
  </si>
  <si>
    <t>KP0086</t>
  </si>
  <si>
    <t>8435057000338</t>
  </si>
  <si>
    <t>KINCREM PRESTIGE Nº 9.1</t>
  </si>
  <si>
    <t>KP0091</t>
  </si>
  <si>
    <t>8435057000192</t>
  </si>
  <si>
    <t>KINCREM PRESTIGE Nº 9.3</t>
  </si>
  <si>
    <t>KP0093</t>
  </si>
  <si>
    <t>8435057000390</t>
  </si>
  <si>
    <t>KINCREM PRESTIGE Nº 9.6</t>
  </si>
  <si>
    <t>KP0096</t>
  </si>
  <si>
    <t>8435057000314</t>
  </si>
  <si>
    <t>KINCREM PRESTIGE Nº 9.9</t>
  </si>
  <si>
    <t>KP0099</t>
  </si>
  <si>
    <t>8435057000819</t>
  </si>
  <si>
    <t>KINCREM PRESTIGE Nº M1</t>
  </si>
  <si>
    <t>KP00M1</t>
  </si>
  <si>
    <t>8435057000833</t>
  </si>
  <si>
    <t>KINCREM PRESTIGE Nº M2</t>
  </si>
  <si>
    <t>KP00M2</t>
  </si>
  <si>
    <t>8435057000840</t>
  </si>
  <si>
    <t>KINCREM PRESTIGE Nº M3</t>
  </si>
  <si>
    <t>KP00M3</t>
  </si>
  <si>
    <t>8435057000857</t>
  </si>
  <si>
    <t>KINCREM PRESTIGE Nº M4</t>
  </si>
  <si>
    <t>KP00M4</t>
  </si>
  <si>
    <t>8435057000864</t>
  </si>
  <si>
    <t>KINCREM PRESTIGE Nº M5</t>
  </si>
  <si>
    <t>KP00M5</t>
  </si>
  <si>
    <t>8435057000871</t>
  </si>
  <si>
    <t>KINCREM PRESTIGE Nº M6</t>
  </si>
  <si>
    <t>KP00M6</t>
  </si>
  <si>
    <t>8435057000888</t>
  </si>
  <si>
    <t>KINCREM PRESTIGE Nº M7</t>
  </si>
  <si>
    <t>KP00M7</t>
  </si>
  <si>
    <t>8435057000895</t>
  </si>
  <si>
    <t>KINCREM PRESTIGE Nº 10.1</t>
  </si>
  <si>
    <t>KP0101</t>
  </si>
  <si>
    <t>8435057000765</t>
  </si>
  <si>
    <t>KINCREM PRESTIGE Nº 10.3</t>
  </si>
  <si>
    <t>KP0103</t>
  </si>
  <si>
    <t>8435057000789</t>
  </si>
  <si>
    <t>KINCREM PRESTIGE Nº 10.6</t>
  </si>
  <si>
    <t>KP0106</t>
  </si>
  <si>
    <t>8435057000802</t>
  </si>
  <si>
    <t>KINCREM PRESTIGE Nº 11.0</t>
  </si>
  <si>
    <t>KP0110</t>
  </si>
  <si>
    <t>8435057000925</t>
  </si>
  <si>
    <t>KINCREM PRESTIGE Nº 11.1</t>
  </si>
  <si>
    <t>KP0111</t>
  </si>
  <si>
    <t>8435057000932</t>
  </si>
  <si>
    <t>KINCREM PRESTIGE Nº 11.3</t>
  </si>
  <si>
    <t>KP0113</t>
  </si>
  <si>
    <t>8435057000970</t>
  </si>
  <si>
    <t>KINCREM PRESTIGE Nº 11.6</t>
  </si>
  <si>
    <t>KP0116</t>
  </si>
  <si>
    <t>8435057000963</t>
  </si>
  <si>
    <t>KINCREM PRESTIGE Nº 12.0</t>
  </si>
  <si>
    <t>KP0120</t>
  </si>
  <si>
    <t>8435057000901</t>
  </si>
  <si>
    <t>KINCREM PRESTIGE Nº 12.1</t>
  </si>
  <si>
    <t>KP0121</t>
  </si>
  <si>
    <t>8435057000918</t>
  </si>
  <si>
    <t>KINCREM PRESTIGE Nº 3.00</t>
  </si>
  <si>
    <t>KP0300</t>
  </si>
  <si>
    <t>8435057000147</t>
  </si>
  <si>
    <t>KINCREM PRESTIGE Nº 4.00</t>
  </si>
  <si>
    <t>KP0400</t>
  </si>
  <si>
    <t>8435057000123</t>
  </si>
  <si>
    <t>KINCREM PRESTIGE Nº 4.42</t>
  </si>
  <si>
    <t>KP0442</t>
  </si>
  <si>
    <t>8435057000574</t>
  </si>
  <si>
    <t>KINCREM PRESTIGE Nº 4.80</t>
  </si>
  <si>
    <t>KP0480</t>
  </si>
  <si>
    <t>8435057001083</t>
  </si>
  <si>
    <t>KINCREM PRESTIGE Nº 5.00</t>
  </si>
  <si>
    <t>KP0500</t>
  </si>
  <si>
    <t>8435057000109</t>
  </si>
  <si>
    <t>KINCREM PRESTIGE Nº 5.51</t>
  </si>
  <si>
    <t>KP0551</t>
  </si>
  <si>
    <t>8435057000666</t>
  </si>
  <si>
    <t>KINCREM PRESTIGE Nº 5.52</t>
  </si>
  <si>
    <t>KP0552</t>
  </si>
  <si>
    <t>8435057000673</t>
  </si>
  <si>
    <t>KINCREM PRESTIGE Nº 5.53</t>
  </si>
  <si>
    <t>KP0553</t>
  </si>
  <si>
    <t>8435057000680</t>
  </si>
  <si>
    <t>KINCREM PRESTIGE Nº 5.57</t>
  </si>
  <si>
    <t>KP0557</t>
  </si>
  <si>
    <t>8435057001069</t>
  </si>
  <si>
    <t>KINCREM PRESTIGE Nº 5.72</t>
  </si>
  <si>
    <t>KP0572</t>
  </si>
  <si>
    <t>8435057001076</t>
  </si>
  <si>
    <t>KINCREM PRESTIGE Nº 6.00</t>
  </si>
  <si>
    <t>KP0600</t>
  </si>
  <si>
    <t>8435057000086</t>
  </si>
  <si>
    <t>KINCREM PRESTIGE Nº 6.01</t>
  </si>
  <si>
    <t>KP0601</t>
  </si>
  <si>
    <t>8435057000260</t>
  </si>
  <si>
    <t>KINCREM PRESTIGE Nº 6.12</t>
  </si>
  <si>
    <t>KP0612</t>
  </si>
  <si>
    <t>8435057000284</t>
  </si>
  <si>
    <t>KINCREM PRESTIGE Nº 6.31</t>
  </si>
  <si>
    <t>KP0631</t>
  </si>
  <si>
    <t>8435057000383</t>
  </si>
  <si>
    <t>KINCREM PRESTIGE Nº 6.34</t>
  </si>
  <si>
    <t>KP0634</t>
  </si>
  <si>
    <t>8435057000468</t>
  </si>
  <si>
    <t>KINCREM PRESTIGE Nº 6.42</t>
  </si>
  <si>
    <t>KP0642</t>
  </si>
  <si>
    <t>8435057000543</t>
  </si>
  <si>
    <t>KINCREM PRESTIGE Nº 6.43</t>
  </si>
  <si>
    <t>KP0643</t>
  </si>
  <si>
    <t>8435057000536</t>
  </si>
  <si>
    <t>KINCREM PRESTIGE Nº 6.45</t>
  </si>
  <si>
    <t>KP0645</t>
  </si>
  <si>
    <t>8435057000550</t>
  </si>
  <si>
    <t>KINCREM PRESTIGE Nº 6.51</t>
  </si>
  <si>
    <t>KP0651</t>
  </si>
  <si>
    <t>8435057000635</t>
  </si>
  <si>
    <t>KINCREM PRESTIGE Nº 6.53</t>
  </si>
  <si>
    <t>KP0653</t>
  </si>
  <si>
    <t>8435057000642</t>
  </si>
  <si>
    <t>KINCREM PRESTIGE Nº 6.54</t>
  </si>
  <si>
    <t>KP0654</t>
  </si>
  <si>
    <t>8435057000659</t>
  </si>
  <si>
    <t>KINCREM PRESTIGE Nº 6.70</t>
  </si>
  <si>
    <t>KP0670</t>
  </si>
  <si>
    <t>8435057001021</t>
  </si>
  <si>
    <t>KINCREM PRESTIGE Nº 6.72</t>
  </si>
  <si>
    <t>KP0672</t>
  </si>
  <si>
    <t>8435057001045</t>
  </si>
  <si>
    <t>KINCREM PRESTIGE Nº 6.74</t>
  </si>
  <si>
    <t>KP0674</t>
  </si>
  <si>
    <t>8435057001038</t>
  </si>
  <si>
    <t>KINCREM PRESTIGE Nº 6.87</t>
  </si>
  <si>
    <t>KP0687</t>
  </si>
  <si>
    <t>8435057001052</t>
  </si>
  <si>
    <t>KINCREM PRESTIGE Nº 7.00</t>
  </si>
  <si>
    <t>KP0700</t>
  </si>
  <si>
    <t>8435057000062</t>
  </si>
  <si>
    <t>KINCREM PRESTIGE Nº 7.01</t>
  </si>
  <si>
    <t>KP0701</t>
  </si>
  <si>
    <t>8435057000246</t>
  </si>
  <si>
    <t>KINCREM PRESTIGE Nº 7.31</t>
  </si>
  <si>
    <t>KP0731</t>
  </si>
  <si>
    <t>8435057000369</t>
  </si>
  <si>
    <t>KINCREM PRESTIGE Nº 7.34</t>
  </si>
  <si>
    <t>KP0734</t>
  </si>
  <si>
    <t>8435057000444</t>
  </si>
  <si>
    <t>KINCREM PRESTIGE Nº 7.44</t>
  </si>
  <si>
    <t>KP0744</t>
  </si>
  <si>
    <t>8435057000529</t>
  </si>
  <si>
    <t>KINCREM PRESTIGE Nº 7.47</t>
  </si>
  <si>
    <t>KP0747</t>
  </si>
  <si>
    <t>8435057001014</t>
  </si>
  <si>
    <t>KINCREM PRESTIGE Nº 7.51</t>
  </si>
  <si>
    <t>KP0751</t>
  </si>
  <si>
    <t>8435057000604</t>
  </si>
  <si>
    <t>KINCREM PRESTIGE Nº 7.52</t>
  </si>
  <si>
    <t>KP0752</t>
  </si>
  <si>
    <t>8435057000611</t>
  </si>
  <si>
    <t>KINCREM PRESTIGE Nº 7.53</t>
  </si>
  <si>
    <t>KP0753</t>
  </si>
  <si>
    <t>8435057000628</t>
  </si>
  <si>
    <t>KINCREM PRESTIGE Nº 7.70</t>
  </si>
  <si>
    <t>KP0770</t>
  </si>
  <si>
    <t>8435057001892</t>
  </si>
  <si>
    <t>KINCREM PRESTIGE Nº 7.77</t>
  </si>
  <si>
    <t>KP0777</t>
  </si>
  <si>
    <t>8435057001007</t>
  </si>
  <si>
    <t>KINCREM PRESTIGE Nº 8.00</t>
  </si>
  <si>
    <t>KP0800</t>
  </si>
  <si>
    <t>8435057000048</t>
  </si>
  <si>
    <t>KINCREM PRESTIGE Nº 8.01</t>
  </si>
  <si>
    <t>KP0801</t>
  </si>
  <si>
    <t>8435057000215</t>
  </si>
  <si>
    <t>KINCREM PRESTIGE Nº 8.31</t>
  </si>
  <si>
    <t>KP0831</t>
  </si>
  <si>
    <t>8435057000345</t>
  </si>
  <si>
    <t>KINCREM PRESTIGE Nº 8.33</t>
  </si>
  <si>
    <t>KP0833</t>
  </si>
  <si>
    <t>8435057000406</t>
  </si>
  <si>
    <t>KINCREM PRESTIGE Nº 8.34</t>
  </si>
  <si>
    <t>KP0834</t>
  </si>
  <si>
    <t>8435057000420</t>
  </si>
  <si>
    <t>KINCREM PRESTIGE Nº 8.43</t>
  </si>
  <si>
    <t>KP0843</t>
  </si>
  <si>
    <t>8435057000499</t>
  </si>
  <si>
    <t>KINCREM PRESTIGE Nº 8.45</t>
  </si>
  <si>
    <t>KP0845</t>
  </si>
  <si>
    <t>8435057000505</t>
  </si>
  <si>
    <t>KINCREM PRESTIGE Nº 8.53</t>
  </si>
  <si>
    <t>KP0853</t>
  </si>
  <si>
    <t>8435057000581</t>
  </si>
  <si>
    <t>KINCREM PRESTIGE Nº 8.54</t>
  </si>
  <si>
    <t>KP0854</t>
  </si>
  <si>
    <t>8435057000598</t>
  </si>
  <si>
    <t>KINCREM PRESTIGE Nº 8.74</t>
  </si>
  <si>
    <t>KP0874</t>
  </si>
  <si>
    <t>8435057000994</t>
  </si>
  <si>
    <t>KINCREM PRESTIGE Nº 9.00</t>
  </si>
  <si>
    <t>KP0900</t>
  </si>
  <si>
    <t>8435057000024</t>
  </si>
  <si>
    <t>KINCREM PRESTIGE Nº 9.01</t>
  </si>
  <si>
    <t>KP0901</t>
  </si>
  <si>
    <t>8435057000178</t>
  </si>
  <si>
    <t>KINCREM PRESTIGE Nº 9.02</t>
  </si>
  <si>
    <t>KP0902</t>
  </si>
  <si>
    <t>8435057000185</t>
  </si>
  <si>
    <t>KINCREM PRESTIGE Nº 9.12</t>
  </si>
  <si>
    <t>KP0912</t>
  </si>
  <si>
    <t>8435057000208</t>
  </si>
  <si>
    <t>KINCREM PRESTIGE Nº 9.31</t>
  </si>
  <si>
    <t>KP0931</t>
  </si>
  <si>
    <t>8435057000321</t>
  </si>
  <si>
    <t>KINCREM PRESTIGE Nº 10.00</t>
  </si>
  <si>
    <t>KP1000</t>
  </si>
  <si>
    <t>8435057000758</t>
  </si>
  <si>
    <t>KINCREM PRESTIGE Nº 10.01</t>
  </si>
  <si>
    <t>KP1001</t>
  </si>
  <si>
    <t>8435057000772</t>
  </si>
  <si>
    <t>KINCREM PRESTIGE Nº 10.34</t>
  </si>
  <si>
    <t>KP1034</t>
  </si>
  <si>
    <t>8435057000796</t>
  </si>
  <si>
    <t>KINCREM PRESTIGE Nº 11.02</t>
  </si>
  <si>
    <t>KP1102</t>
  </si>
  <si>
    <t>8435057000956</t>
  </si>
  <si>
    <t>KINCREM PRESTIGE Nº 11.12</t>
  </si>
  <si>
    <t>KP1112</t>
  </si>
  <si>
    <t>8435057000949</t>
  </si>
  <si>
    <t>KINCREM PRESTIGE Nº 11.34</t>
  </si>
  <si>
    <t>KP1134</t>
  </si>
  <si>
    <t>8435057000987</t>
  </si>
  <si>
    <t>K. PRESTIGE EST. 1 TUBO Nº 1</t>
  </si>
  <si>
    <t>EP0001</t>
  </si>
  <si>
    <t>K. PRESTIGE EST. 1 TUBO Nº 2</t>
  </si>
  <si>
    <t>EP0002</t>
  </si>
  <si>
    <t>K. PRESTIGE EST. 1 TUBO Nº 3</t>
  </si>
  <si>
    <t>EP0003</t>
  </si>
  <si>
    <t>K. PRESTIGE EST. 1 TUBO Nº 4</t>
  </si>
  <si>
    <t>EP0004</t>
  </si>
  <si>
    <t>K. PRESTIGE EST. 1 TUBO Nº 5</t>
  </si>
  <si>
    <t>EP0005</t>
  </si>
  <si>
    <t>K. PRESTIGE EST. 1 TUBO Nº 6</t>
  </si>
  <si>
    <t>EP0006</t>
  </si>
  <si>
    <t>K. PRESTIGE EST. 1 TUBO Nº 7</t>
  </si>
  <si>
    <t>EP0007</t>
  </si>
  <si>
    <t>K. PRESTIGE EST. 1 TUBO Nº 8</t>
  </si>
  <si>
    <t>EP0008</t>
  </si>
  <si>
    <t>K. PRESTIGE EST. 1 TUBO Nº 9</t>
  </si>
  <si>
    <t>EP0009</t>
  </si>
  <si>
    <t>K. PRESTIGE EST. 1 TUBO Nº 10</t>
  </si>
  <si>
    <t>EP0010</t>
  </si>
  <si>
    <t>K. PRESTIGE EST. 1 TUBO Nº 1.1</t>
  </si>
  <si>
    <t>EP0011</t>
  </si>
  <si>
    <t>K. PRESTIGE EST. 1 TUBO Nº 3.5</t>
  </si>
  <si>
    <t>EP0035</t>
  </si>
  <si>
    <t>K. PRESTIGE EST. 1 TUBO Nº 4.3</t>
  </si>
  <si>
    <t>EP0043</t>
  </si>
  <si>
    <t>K. PRESTIGE EST. 1 TUBO Nº 4.5</t>
  </si>
  <si>
    <t>EP0045</t>
  </si>
  <si>
    <t>K. PRESTIGE EST. 1 TUBO Nº 5.1</t>
  </si>
  <si>
    <t>EP0051</t>
  </si>
  <si>
    <t>K. PRESTIGE EST. 1 TUBO Nº 5.3</t>
  </si>
  <si>
    <t>EP0053</t>
  </si>
  <si>
    <t>K. PRESTIGE EST. 1 TUBO Nº 5.4</t>
  </si>
  <si>
    <t>EP0054</t>
  </si>
  <si>
    <t>K. PRESTIGE EST. 1 TUBO Nº 5.5</t>
  </si>
  <si>
    <t>EP0055</t>
  </si>
  <si>
    <t>K. PRESTIGE EST. 1 TUBO Nº 6.1</t>
  </si>
  <si>
    <t>EP0061</t>
  </si>
  <si>
    <t>K. PRESTIGE EST. 1 TUBO Nº 6.3</t>
  </si>
  <si>
    <t>EP0063</t>
  </si>
  <si>
    <t>K. PRESTIGE EST. 1 TUBO Nº 6.5</t>
  </si>
  <si>
    <t>EP0065</t>
  </si>
  <si>
    <t>K. PRESTIGE EST. 1 TUBO Nº 6.6</t>
  </si>
  <si>
    <t>EP0066</t>
  </si>
  <si>
    <t>K. PRESTIGE EST. 1 TUBO Nº 7.1</t>
  </si>
  <si>
    <t>EP0071</t>
  </si>
  <si>
    <t>K. PRESTIGE EST. 1 TUBO Nº 7.3</t>
  </si>
  <si>
    <t>EP0073</t>
  </si>
  <si>
    <t>K. PRESTIGE EST. 1 TUBO Nº 7.4</t>
  </si>
  <si>
    <t>EP0074</t>
  </si>
  <si>
    <t>K. PRESTIGE EST. 1 TUBO Nº 7.5</t>
  </si>
  <si>
    <t>EP0075</t>
  </si>
  <si>
    <t>K. PRESTIGE EST. 1 TUBO Nº 7.6</t>
  </si>
  <si>
    <t>EP0076</t>
  </si>
  <si>
    <t>K. PRESTIGE EST. 1 TUBO Nº 7.9</t>
  </si>
  <si>
    <t>EP0079</t>
  </si>
  <si>
    <t>K. PRESTIGE EST. 1 TUBO Nº 8.1</t>
  </si>
  <si>
    <t>EP0081</t>
  </si>
  <si>
    <t>K. PRESTIGE EST. 1 TUBO Nº 8.2</t>
  </si>
  <si>
    <t>EP0082</t>
  </si>
  <si>
    <t>K. PRESTIGE EST. 1 TUBO Nº 8.3</t>
  </si>
  <si>
    <t>EP0083</t>
  </si>
  <si>
    <t>K. PRESTIGE EST. 1 TUBO Nº 8.6</t>
  </si>
  <si>
    <t>EP0086</t>
  </si>
  <si>
    <t>K. PRESTIGE EST. 1 TUBO Nº 9.1</t>
  </si>
  <si>
    <t>EP0091</t>
  </si>
  <si>
    <t>K. PRESTIGE EST. 1 TUBO Nº 9.3</t>
  </si>
  <si>
    <t>EP0093</t>
  </si>
  <si>
    <t>K. PRESTIGE EST. 1 TUBO Nº 9.6</t>
  </si>
  <si>
    <t>EP0096</t>
  </si>
  <si>
    <t>K. PRESTIGE EST. 1 TUBO Nº 9.9</t>
  </si>
  <si>
    <t>EP0099</t>
  </si>
  <si>
    <t>K. PRESTIGE EST. 1 TUBO Nº M1</t>
  </si>
  <si>
    <t>EP00M1</t>
  </si>
  <si>
    <t>K. PRESTIGE EST. 1 TUBO Nº M2</t>
  </si>
  <si>
    <t>EP00M2</t>
  </si>
  <si>
    <t>K. PRESTIGE EST. 1 TUBO Nº M3</t>
  </si>
  <si>
    <t>EP00M3</t>
  </si>
  <si>
    <t>K. PRESTIGE EST. 1 TUBO Nº M4</t>
  </si>
  <si>
    <t>EP00M4</t>
  </si>
  <si>
    <t>K. PRESTIGE EST. 1 TUBO Nº M5</t>
  </si>
  <si>
    <t>EP00M5</t>
  </si>
  <si>
    <t>K. PRESTIGE EST. 1 TUBO Nº M6</t>
  </si>
  <si>
    <t>EP00M6</t>
  </si>
  <si>
    <t>K. PRESTIGE EST. 1 TUBO Nº M7</t>
  </si>
  <si>
    <t>EP00M7</t>
  </si>
  <si>
    <t>K. PRESTIGE EST 1 TUBO Nº 10.1</t>
  </si>
  <si>
    <t>EP0101</t>
  </si>
  <si>
    <t>K. PRESTIGE EST 1 TUBO Nº 10.3</t>
  </si>
  <si>
    <t>EP0103</t>
  </si>
  <si>
    <t>K. PRESTIGE EST 1 TUBO Nº 10.6</t>
  </si>
  <si>
    <t>EP0106</t>
  </si>
  <si>
    <t>K. PRESTIGE EST 1 TUBO Nº 11.0</t>
  </si>
  <si>
    <t>EP0110</t>
  </si>
  <si>
    <t>K. PRESTIGE EST 1 TUBO Nº 11.1</t>
  </si>
  <si>
    <t>EP0111</t>
  </si>
  <si>
    <t>K. PRESTIGE EST 1 TUBO Nº 11.3</t>
  </si>
  <si>
    <t>EP0113</t>
  </si>
  <si>
    <t>K. PRESTIGE EST 1 TUBO Nº 11.6</t>
  </si>
  <si>
    <t>EP0116</t>
  </si>
  <si>
    <t>K. PRESTIGE EST 1 TUBO Nº 12.0</t>
  </si>
  <si>
    <t>EP0120</t>
  </si>
  <si>
    <t>K. PRESTIGE EST 1 TUBO Nº 12.1</t>
  </si>
  <si>
    <t>EP0121</t>
  </si>
  <si>
    <t>K. PRESTIGE EST 1 TUBO Nº 3.00</t>
  </si>
  <si>
    <t>EP0300</t>
  </si>
  <si>
    <t>K. PRESTIGE EST 1 TUBO Nº 4.00</t>
  </si>
  <si>
    <t>EP0400</t>
  </si>
  <si>
    <t>K. PRESTIGE EST 1 TUBO Nº 4.42</t>
  </si>
  <si>
    <t>EP0442</t>
  </si>
  <si>
    <t>K. PRESTIGE EST 1 TUBO Nº 4.80</t>
  </si>
  <si>
    <t>EP0480</t>
  </si>
  <si>
    <t>K. PRESTIGE EST 1 TUBO Nº 5.00</t>
  </si>
  <si>
    <t>EP0500</t>
  </si>
  <si>
    <t>K. PRESTIGE EST 1 TUBO Nº 5.51</t>
  </si>
  <si>
    <t>EP0551</t>
  </si>
  <si>
    <t>K. PRESTIGE EST 1 TUBO Nº 5.52</t>
  </si>
  <si>
    <t>EP0552</t>
  </si>
  <si>
    <t>K. PRESTIGE EST 1 TUBO Nº 5.53</t>
  </si>
  <si>
    <t>EP0553</t>
  </si>
  <si>
    <t>K. PRESTIGE EST 1 TUBO Nº 5.57</t>
  </si>
  <si>
    <t>EP0557</t>
  </si>
  <si>
    <t>K. PRESTIGE EST 1 TUBO Nº 5.72</t>
  </si>
  <si>
    <t>EP0572</t>
  </si>
  <si>
    <t>K. PRESTIGE EST 1 TUBO Nº 6.00</t>
  </si>
  <si>
    <t>EP0600</t>
  </si>
  <si>
    <t>K. PRESTIGE EST 1 TUBO Nº 6.01</t>
  </si>
  <si>
    <t>EP0601</t>
  </si>
  <si>
    <t>K. PRESTIGE EST 1 TUBO Nº 6.12</t>
  </si>
  <si>
    <t>EP0612</t>
  </si>
  <si>
    <t>K. PRESTIGE EST 1 TUBO Nº 6.31</t>
  </si>
  <si>
    <t>EP0631</t>
  </si>
  <si>
    <t>K. PRESTIGE EST 1 TUBO Nº 6.34</t>
  </si>
  <si>
    <t>EP0634</t>
  </si>
  <si>
    <t>K. PRESTIGE EST 1 TUBO Nº 6.42</t>
  </si>
  <si>
    <t>EP0642</t>
  </si>
  <si>
    <t>K. PRESTIGE EST 1 TUBO Nº 6.43</t>
  </si>
  <si>
    <t>EP0643</t>
  </si>
  <si>
    <t>K. PRESTIGE EST 1 TUBO Nº 6.45</t>
  </si>
  <si>
    <t>EP0645</t>
  </si>
  <si>
    <t>K. PRESTIGE EST 1 TUBO Nº 6.51</t>
  </si>
  <si>
    <t>EP0651</t>
  </si>
  <si>
    <t>K. PRESTIGE EST 1 TUBO Nº 6.53</t>
  </si>
  <si>
    <t>EP0653</t>
  </si>
  <si>
    <t>K. PRESTIGE EST 1 TUBO Nº 6.54</t>
  </si>
  <si>
    <t>EP0654</t>
  </si>
  <si>
    <t>K. PRESTIGE EST 1 TUBO Nº 6.70</t>
  </si>
  <si>
    <t>EP0670</t>
  </si>
  <si>
    <t>K. PRESTIGE EST 1 TUBO Nº 6.72</t>
  </si>
  <si>
    <t>EP0672</t>
  </si>
  <si>
    <t>K. PRESTIGE EST 1 TUBO Nº 6.74</t>
  </si>
  <si>
    <t>EP0674</t>
  </si>
  <si>
    <t>K. PRESTIGE EST 1 TUBO Nº 6.87</t>
  </si>
  <si>
    <t>EP0687</t>
  </si>
  <si>
    <t>K. PRESTIGE EST 1 TUBO Nº 7.00</t>
  </si>
  <si>
    <t>EP0700</t>
  </si>
  <si>
    <t>K. PRESTIGE EST 1 TUBO Nº 7.01</t>
  </si>
  <si>
    <t>EP0701</t>
  </si>
  <si>
    <t>K. PRESTIGE EST 1 TUBO Nº 7.31</t>
  </si>
  <si>
    <t>EP0731</t>
  </si>
  <si>
    <t>K. PRESTIGE EST 1 TUBO Nº 7.34</t>
  </si>
  <si>
    <t>EP0734</t>
  </si>
  <si>
    <t>K. PRESTIGE EST 1 TUBO Nº 7.44</t>
  </si>
  <si>
    <t>EP0744</t>
  </si>
  <si>
    <t>K. PRESTIGE EST 1 TUBO Nº 7.47</t>
  </si>
  <si>
    <t>EP0747</t>
  </si>
  <si>
    <t>K. PRESTIGE EST 1 TUBO Nº 7.51</t>
  </si>
  <si>
    <t>EP0751</t>
  </si>
  <si>
    <t>K. PRESTIGE EST 1 TUBO Nº 7.52</t>
  </si>
  <si>
    <t>EP0752</t>
  </si>
  <si>
    <t>K. PRESTIGE EST 1 TUBO Nº 7.53</t>
  </si>
  <si>
    <t>EP0753</t>
  </si>
  <si>
    <t>K. PRESTIGE EST 1 TUBO Nº 7.70</t>
  </si>
  <si>
    <t>EP0770</t>
  </si>
  <si>
    <t>K. PRESTIGE EST 1 TUBO Nº 7.77</t>
  </si>
  <si>
    <t>EP0777</t>
  </si>
  <si>
    <t>K. PRESTIGE EST 1 TUBO Nº 8.00</t>
  </si>
  <si>
    <t>EP0800</t>
  </si>
  <si>
    <t>K. PRESTIGE EST 1 TUBO Nº 8.01</t>
  </si>
  <si>
    <t>EP0801</t>
  </si>
  <si>
    <t>K. PRESTIGE EST 1 TUBO Nº 8.31</t>
  </si>
  <si>
    <t>EP0831</t>
  </si>
  <si>
    <t>K. PRESTIGE EST 1 TUBO Nº 8.33</t>
  </si>
  <si>
    <t>EP0833</t>
  </si>
  <si>
    <t>K. PRESTIGE EST 1 TUBO Nº 8.34</t>
  </si>
  <si>
    <t>EP0834</t>
  </si>
  <si>
    <t>K. PRESTIGE EST 1 TUBO Nº 8.43</t>
  </si>
  <si>
    <t>EP0843</t>
  </si>
  <si>
    <t>K. PRESTIGE EST 1 TUBO Nº 8.45</t>
  </si>
  <si>
    <t>EP0845</t>
  </si>
  <si>
    <t>K. PRESTIGE EST 1 TUBO Nº 8.53</t>
  </si>
  <si>
    <t>EP0853</t>
  </si>
  <si>
    <t>K. PRESTIGE EST 1 TUBO Nº 8.54</t>
  </si>
  <si>
    <t>EP0854</t>
  </si>
  <si>
    <t>K. PRESTIGE EST 1 TUBO Nº 8.74</t>
  </si>
  <si>
    <t>EP0874</t>
  </si>
  <si>
    <t>K. PRESTIGE EST 1 TUBO Nº 9.00</t>
  </si>
  <si>
    <t>EP0900</t>
  </si>
  <si>
    <t>K. PRESTIGE EST 1 TUBO Nº 9.01</t>
  </si>
  <si>
    <t>EP0901</t>
  </si>
  <si>
    <t>K. PRESTIGE EST 1 TUBO Nº 9.02</t>
  </si>
  <si>
    <t>EP0902</t>
  </si>
  <si>
    <t>K. PRESTIGE EST 1 TUBO Nº 9.12</t>
  </si>
  <si>
    <t>EP0912</t>
  </si>
  <si>
    <t>K. PRESTIGE EST 1 TUBO Nº 9.31</t>
  </si>
  <si>
    <t>EP0931</t>
  </si>
  <si>
    <t>K. PRESTIG EST 1 TUBO Nº 10.00</t>
  </si>
  <si>
    <t>EP1000</t>
  </si>
  <si>
    <t>K. PRESTIG EST 1 TUBO Nº 10.01</t>
  </si>
  <si>
    <t>EP1001</t>
  </si>
  <si>
    <t>K. PRESTIG EST 1 TUBO Nº 10.34</t>
  </si>
  <si>
    <t>EP1034</t>
  </si>
  <si>
    <t>K. PRESTIG EST 1 TUBO Nº 11.02</t>
  </si>
  <si>
    <t>EP1102</t>
  </si>
  <si>
    <t>K. PRESTIG EST 1 TUBO Nº 11.12</t>
  </si>
  <si>
    <t>EP1112</t>
  </si>
  <si>
    <t>K. PRESTIG EST 1 TUBO Nº 11.34</t>
  </si>
  <si>
    <t>EP1134</t>
  </si>
  <si>
    <t>KINCREM P. BASICS 'KF' nº 1.0</t>
  </si>
  <si>
    <t>KF0010</t>
  </si>
  <si>
    <t>8435057004190</t>
  </si>
  <si>
    <t>KINCREM P. BASICS 'KF' nº 1.1</t>
  </si>
  <si>
    <t>KF0011</t>
  </si>
  <si>
    <t>8435057004428</t>
  </si>
  <si>
    <t>KINCREM P. BASICS 'KF' nº 2.0</t>
  </si>
  <si>
    <t>KF0020</t>
  </si>
  <si>
    <t>8435057004183</t>
  </si>
  <si>
    <t>KINCREM P. BASICS 'KF' nº 3.0</t>
  </si>
  <si>
    <t>KF0030</t>
  </si>
  <si>
    <t>8435057004176</t>
  </si>
  <si>
    <t>KINCREM P. BASICS 'KF' nº 4.0</t>
  </si>
  <si>
    <t>KF0040</t>
  </si>
  <si>
    <t>8435057004169</t>
  </si>
  <si>
    <t>KINCREM P. BASICS 'KF' nº 4.3</t>
  </si>
  <si>
    <t>KF0043</t>
  </si>
  <si>
    <t>8435057004633</t>
  </si>
  <si>
    <t>KINCREM P. BASICS 'KF' nº 5.0</t>
  </si>
  <si>
    <t>KF0050</t>
  </si>
  <si>
    <t>8435057004152</t>
  </si>
  <si>
    <t>KINCREM P. BASICS 'KF' nº 5.1</t>
  </si>
  <si>
    <t>KF0051</t>
  </si>
  <si>
    <t>8435057004411</t>
  </si>
  <si>
    <t>KINCREM P. BASICS 'KF' nº 5.3</t>
  </si>
  <si>
    <t>KF0053</t>
  </si>
  <si>
    <t>8435057004626</t>
  </si>
  <si>
    <t>KINCREM P. BASICS 'KF' nº 6.0</t>
  </si>
  <si>
    <t>KF0060</t>
  </si>
  <si>
    <t>8435057004145</t>
  </si>
  <si>
    <t>KINCREM P. BASICS 'KF' nº 6.1</t>
  </si>
  <si>
    <t>KF0061</t>
  </si>
  <si>
    <t>8435057004398</t>
  </si>
  <si>
    <t>KINCREM P. BASICS 'KF' nº 6.3</t>
  </si>
  <si>
    <t>KF0063</t>
  </si>
  <si>
    <t>8435057004602</t>
  </si>
  <si>
    <t>KINCREM P. BASICS 'KF' nº 7.0</t>
  </si>
  <si>
    <t>KF0070</t>
  </si>
  <si>
    <t>8435057004138</t>
  </si>
  <si>
    <t>KINCREM P. BASICS 'KF' nº 7.1</t>
  </si>
  <si>
    <t>KF0071</t>
  </si>
  <si>
    <t>8435057004381</t>
  </si>
  <si>
    <t>KINCREM P. BASICS 'KF' nº 7.3</t>
  </si>
  <si>
    <t>KF0073</t>
  </si>
  <si>
    <t>8435057004572</t>
  </si>
  <si>
    <t>KINCREM P. BASICS 'KF' nº 7.9</t>
  </si>
  <si>
    <t>KF0079</t>
  </si>
  <si>
    <t>8435057005074</t>
  </si>
  <si>
    <t>KINCREM P. BASICS 'KF' nº 8.0</t>
  </si>
  <si>
    <t>KF0080</t>
  </si>
  <si>
    <t>8435057004121</t>
  </si>
  <si>
    <t>KINCREM P. BASICS 'KF' nº 8.1</t>
  </si>
  <si>
    <t>KF0081</t>
  </si>
  <si>
    <t>8435057004367</t>
  </si>
  <si>
    <t>KINCREM P. BASICS 'KF' nº 8.2</t>
  </si>
  <si>
    <t>KF0082</t>
  </si>
  <si>
    <t>8435057004374</t>
  </si>
  <si>
    <t>KINCREM P. BASICS 'KF' nº 8.3</t>
  </si>
  <si>
    <t>KF0083</t>
  </si>
  <si>
    <t>8435057004541</t>
  </si>
  <si>
    <t>KINCREM P. BASICS 'KF' nº 9.0</t>
  </si>
  <si>
    <t>KF0090</t>
  </si>
  <si>
    <t>8435057004114</t>
  </si>
  <si>
    <t>KINCREM P. BASICS 'KF' nº 9.1</t>
  </si>
  <si>
    <t>KF0091</t>
  </si>
  <si>
    <t>8435057004343</t>
  </si>
  <si>
    <t>KINCREM P. BASICS 'KF' nº 9.3</t>
  </si>
  <si>
    <t>KF0093</t>
  </si>
  <si>
    <t>8435057004534</t>
  </si>
  <si>
    <t>KINCREM P. BASICS 'KF' nº 9.9</t>
  </si>
  <si>
    <t>KF0099</t>
  </si>
  <si>
    <t>8435057005067</t>
  </si>
  <si>
    <t>KINCREM P. BASICS 'KF' nº 10.0</t>
  </si>
  <si>
    <t>KF0100</t>
  </si>
  <si>
    <t>8435057004107</t>
  </si>
  <si>
    <t>KINCREM P. BASICS 'KF' nº 10.1</t>
  </si>
  <si>
    <t>KF0101</t>
  </si>
  <si>
    <t>8435057004336</t>
  </si>
  <si>
    <t>KINCREM P. BASICS 'KF' nº 10.3</t>
  </si>
  <si>
    <t>KF0103</t>
  </si>
  <si>
    <t>8435057004527</t>
  </si>
  <si>
    <t>KINCREM P. BASICS 'KF' nº 3.00</t>
  </si>
  <si>
    <t>KF0300</t>
  </si>
  <si>
    <t>8435057004275</t>
  </si>
  <si>
    <t>KINCREM P. BASICS 'KF' nº 4.00</t>
  </si>
  <si>
    <t>KF0400</t>
  </si>
  <si>
    <t>8435057004268</t>
  </si>
  <si>
    <t>KINCREM P. BASICS 'KF' nº 5.00</t>
  </si>
  <si>
    <t>KF0500</t>
  </si>
  <si>
    <t>8435057004251</t>
  </si>
  <si>
    <t>KINCREM P. BASICS 'KF' nº 6.00</t>
  </si>
  <si>
    <t>KF0600</t>
  </si>
  <si>
    <t>8435057004244</t>
  </si>
  <si>
    <t>KINCREM P. BASICS 'KF' nº 6.01</t>
  </si>
  <si>
    <t>KF0601</t>
  </si>
  <si>
    <t>8435057004329</t>
  </si>
  <si>
    <t>KINCREM P. BASICS 'KF' nº 6.12</t>
  </si>
  <si>
    <t>KF0612</t>
  </si>
  <si>
    <t>8435057004404</t>
  </si>
  <si>
    <t>KINCREM P. BASICS 'KF' nº 6.31</t>
  </si>
  <si>
    <t>KF0631</t>
  </si>
  <si>
    <t>8435057004510</t>
  </si>
  <si>
    <t>KINCREM P. BASICS 'KF' nº 6.32</t>
  </si>
  <si>
    <t>KF0632</t>
  </si>
  <si>
    <t>8435057004473</t>
  </si>
  <si>
    <t>KINCREM P. BASICS 'KF' nº 6.34</t>
  </si>
  <si>
    <t>KF0634</t>
  </si>
  <si>
    <t>8435057004619</t>
  </si>
  <si>
    <t>KINCREM P. BASICS 'KF' nº 7.00</t>
  </si>
  <si>
    <t>KF0700</t>
  </si>
  <si>
    <t>8435057004237</t>
  </si>
  <si>
    <t>KINCREM P. BASICS 'KF' nº 7.01</t>
  </si>
  <si>
    <t>KF0701</t>
  </si>
  <si>
    <t>8435057004312</t>
  </si>
  <si>
    <t>KINCREM P. BASICS 'KF' nº 7.31</t>
  </si>
  <si>
    <t>KF0731</t>
  </si>
  <si>
    <t>8435057004503</t>
  </si>
  <si>
    <t>KINCREM P. BASICS 'KF' nº 7.32</t>
  </si>
  <si>
    <t>KF0732</t>
  </si>
  <si>
    <t>8435057004466</t>
  </si>
  <si>
    <t>KINCREM P. BASICS 'KF' nº 7.33</t>
  </si>
  <si>
    <t>KF0733</t>
  </si>
  <si>
    <t>8435057004589</t>
  </si>
  <si>
    <t>KINCREM P. BASICS 'KF' nº 7.34</t>
  </si>
  <si>
    <t>KF0734</t>
  </si>
  <si>
    <t>8435057004596</t>
  </si>
  <si>
    <t>KINCREM P. BASICS 'KF' nº 8.00</t>
  </si>
  <si>
    <t>KF0800</t>
  </si>
  <si>
    <t>8435057004220</t>
  </si>
  <si>
    <t>KINCREM P. BASICS 'KF' nº 8.01</t>
  </si>
  <si>
    <t>KF0801</t>
  </si>
  <si>
    <t>8435057004305</t>
  </si>
  <si>
    <t>KINCREM P. BASICS 'KF' nº 8.31</t>
  </si>
  <si>
    <t>KF0831</t>
  </si>
  <si>
    <t>8435057004497</t>
  </si>
  <si>
    <t>KINCREM P. BASICS 'KF' nº 8.32</t>
  </si>
  <si>
    <t>KF0832</t>
  </si>
  <si>
    <t>8435057004459</t>
  </si>
  <si>
    <t>KINCREM P. BASICS 'KF' nº 8.33</t>
  </si>
  <si>
    <t>KF0833</t>
  </si>
  <si>
    <t>8435057004558</t>
  </si>
  <si>
    <t>KINCREM P. BASICS 'KF' nº 8.34</t>
  </si>
  <si>
    <t>KF0834</t>
  </si>
  <si>
    <t>8435057004565</t>
  </si>
  <si>
    <t>KINCREM P. BASICS 'KF' nº 9.00</t>
  </si>
  <si>
    <t>KF0900</t>
  </si>
  <si>
    <t>8435057004213</t>
  </si>
  <si>
    <t>KINCREM P. BASICS 'KF' nº 9.01</t>
  </si>
  <si>
    <t>KF0901</t>
  </si>
  <si>
    <t>8435057004299</t>
  </si>
  <si>
    <t>KINCREM P. BASICS 'KF' nº 9.12</t>
  </si>
  <si>
    <t>KF0912</t>
  </si>
  <si>
    <t>8435057004350</t>
  </si>
  <si>
    <t>KINCREM P. BASICS 'KF' nº 9.31</t>
  </si>
  <si>
    <t>KF0931</t>
  </si>
  <si>
    <t>8435057004480</t>
  </si>
  <si>
    <t>KINCREM P. BASICS 'KF' nº 9.32</t>
  </si>
  <si>
    <t>KF0932</t>
  </si>
  <si>
    <t>8435057004442</t>
  </si>
  <si>
    <t>KINCREM P. BASICS 'KF' nº M/00</t>
  </si>
  <si>
    <t>KF0M00</t>
  </si>
  <si>
    <t>8435057005081</t>
  </si>
  <si>
    <t>KINCREM P. BASICS 'KF' nº M/11</t>
  </si>
  <si>
    <t>KF0M11</t>
  </si>
  <si>
    <t>8435057005098</t>
  </si>
  <si>
    <t>KINCREM P. BASICS 'KF' nº M/33</t>
  </si>
  <si>
    <t>KF0M33</t>
  </si>
  <si>
    <t>8435057005104</t>
  </si>
  <si>
    <t>KINCREM P. BASICS 'KF' nº M/44</t>
  </si>
  <si>
    <t>KF0M44</t>
  </si>
  <si>
    <t>8435057005111</t>
  </si>
  <si>
    <t>KINCREM P. BASICS 'KF' nº M/66</t>
  </si>
  <si>
    <t>KF0M66</t>
  </si>
  <si>
    <t>8435057005128</t>
  </si>
  <si>
    <t>KINCREM P. BASICS 'KF' nº M/77</t>
  </si>
  <si>
    <t>KF0M77</t>
  </si>
  <si>
    <t>8435057005135</t>
  </si>
  <si>
    <t>KINCREM P. BASICS 'KF' nº M/88</t>
  </si>
  <si>
    <t>KF0M88</t>
  </si>
  <si>
    <t>8435057005142</t>
  </si>
  <si>
    <t>KINCREM P. BASICS 'KF' nº M/99</t>
  </si>
  <si>
    <t>KF0M99</t>
  </si>
  <si>
    <t>8435057005159</t>
  </si>
  <si>
    <t>KINCREM P BASICS 'KF' nº 10.00</t>
  </si>
  <si>
    <t>KF1000</t>
  </si>
  <si>
    <t>8435057004206</t>
  </si>
  <si>
    <t>KINCREM P BASICS 'KF' nº 10.01</t>
  </si>
  <si>
    <t>KF1001</t>
  </si>
  <si>
    <t>8435057004282</t>
  </si>
  <si>
    <t>KINCREM P BASICS 'KF' nº 10.32</t>
  </si>
  <si>
    <t>KF1032</t>
  </si>
  <si>
    <t>8435057004435</t>
  </si>
  <si>
    <t>KINCREM P. BLOND 'KF' nº 11.0</t>
  </si>
  <si>
    <t>KF0110</t>
  </si>
  <si>
    <t>8435057004992</t>
  </si>
  <si>
    <t>KINCREM P. BLOND 'KF' nº 11.1</t>
  </si>
  <si>
    <t>KF0111</t>
  </si>
  <si>
    <t>8435057005005</t>
  </si>
  <si>
    <t>KINCREM P. BLOND 'KF' nº 11.3</t>
  </si>
  <si>
    <t>KF0113</t>
  </si>
  <si>
    <t>8435057005036</t>
  </si>
  <si>
    <t>KINCREM P. BLOND 'KF' nº 12.0</t>
  </si>
  <si>
    <t>KF0120</t>
  </si>
  <si>
    <t>8435057004978</t>
  </si>
  <si>
    <t>KINCREM P. BLOND 'KF' nº 12.1</t>
  </si>
  <si>
    <t>KF0121</t>
  </si>
  <si>
    <t>8435057004985</t>
  </si>
  <si>
    <t>KINCREM P. BLOND 'KF' nº 11.02</t>
  </si>
  <si>
    <t>KF1102</t>
  </si>
  <si>
    <t>8435057005029</t>
  </si>
  <si>
    <t>KINCREM P. BLOND 'KF' nº 11.12</t>
  </si>
  <si>
    <t>KF1112</t>
  </si>
  <si>
    <t>8435057005012</t>
  </si>
  <si>
    <t>KINCREM P. BLOND 'KF' nº 11.32</t>
  </si>
  <si>
    <t>KF1132</t>
  </si>
  <si>
    <t>8435057005043</t>
  </si>
  <si>
    <t>KINCREM P. BLOND 'KF' nº 11.34</t>
  </si>
  <si>
    <t>KF1134</t>
  </si>
  <si>
    <t>8435057005050</t>
  </si>
  <si>
    <t>KINCREM P. BROWNS 'KF' nº 3.5</t>
  </si>
  <si>
    <t>KF0035</t>
  </si>
  <si>
    <t>8435057004961</t>
  </si>
  <si>
    <t>KINCREM P. BROWNS 'KF' nº 4.5</t>
  </si>
  <si>
    <t>KF0045</t>
  </si>
  <si>
    <t>8435057004954</t>
  </si>
  <si>
    <t>KINCREM P. BROWNS 'KF' nº 5.4</t>
  </si>
  <si>
    <t>KF0054</t>
  </si>
  <si>
    <t>8435057004749</t>
  </si>
  <si>
    <t>KINCREM P. BROWNS 'KF' nº 5.5</t>
  </si>
  <si>
    <t>KF0055</t>
  </si>
  <si>
    <t>8435057004947</t>
  </si>
  <si>
    <t>KINCREM P. BROWNS 'KF' nº 6.5</t>
  </si>
  <si>
    <t>KF0065</t>
  </si>
  <si>
    <t>8435057004930</t>
  </si>
  <si>
    <t>KINCREM P. BROWNS 'KF' nº 7.4</t>
  </si>
  <si>
    <t>KF0074</t>
  </si>
  <si>
    <t>8435057004671</t>
  </si>
  <si>
    <t>KINCREM P. BROWNS 'KF' nº 7.5</t>
  </si>
  <si>
    <t>KF0075</t>
  </si>
  <si>
    <t>8435057004923</t>
  </si>
  <si>
    <t>KINCREM P. BROWNS 'KF' nº 4.42</t>
  </si>
  <si>
    <t>KF0442</t>
  </si>
  <si>
    <t>8435057004763</t>
  </si>
  <si>
    <t>KINCREM P. BROWNS 'KF' nº 4.50</t>
  </si>
  <si>
    <t>KF0450</t>
  </si>
  <si>
    <t>8435057006057</t>
  </si>
  <si>
    <t>KINCREM P. BROWNS 'KF' nº 4.51</t>
  </si>
  <si>
    <t>KF0451</t>
  </si>
  <si>
    <t>8435057004909</t>
  </si>
  <si>
    <t>KINCREM P. BROWNS 'KF' nº 4.53</t>
  </si>
  <si>
    <t>KF0453</t>
  </si>
  <si>
    <t>8435057004916</t>
  </si>
  <si>
    <t>KINCREM P. BROWNS 'KF' nº 5.45</t>
  </si>
  <si>
    <t>KF0545</t>
  </si>
  <si>
    <t>8435057004756</t>
  </si>
  <si>
    <t>KINCREM P. BROWNS 'KF' nº 5.50</t>
  </si>
  <si>
    <t>KF0550</t>
  </si>
  <si>
    <t>8435057006064</t>
  </si>
  <si>
    <t>KINCREM P. BROWNS 'KF' nº 5.51</t>
  </si>
  <si>
    <t>KF0551</t>
  </si>
  <si>
    <t>8435057004879</t>
  </si>
  <si>
    <t>KINCREM P. BROWNS 'KF' nº 5.52</t>
  </si>
  <si>
    <t>KF0552</t>
  </si>
  <si>
    <t>8435057004886</t>
  </si>
  <si>
    <t>KINCREM P. BROWNS 'KF' nº 5.53</t>
  </si>
  <si>
    <t>KF0553</t>
  </si>
  <si>
    <t>8435057004893</t>
  </si>
  <si>
    <t>KINCREM P. BROWNS 'KF' nº 6.42</t>
  </si>
  <si>
    <t>KF0642</t>
  </si>
  <si>
    <t>8435057004701</t>
  </si>
  <si>
    <t>KINCREM P. BROWNS 'KF' nº 6.43</t>
  </si>
  <si>
    <t>KF0643</t>
  </si>
  <si>
    <t>8435057004718</t>
  </si>
  <si>
    <t>KINCREM P. BROWNS 'KF' nº 6.44</t>
  </si>
  <si>
    <t>KF0644</t>
  </si>
  <si>
    <t>8435057004725</t>
  </si>
  <si>
    <t>KINCREM P. BROWNS 'KF' nº 6.45</t>
  </si>
  <si>
    <t>KF0645</t>
  </si>
  <si>
    <t>8435057004732</t>
  </si>
  <si>
    <t>KINCREM P. BROWNS 'KF' nº 6.50</t>
  </si>
  <si>
    <t>KF0650</t>
  </si>
  <si>
    <t>8435057006071</t>
  </si>
  <si>
    <t>KINCREM P. BROWNS 'KF' nº 6.51</t>
  </si>
  <si>
    <t>KF0651</t>
  </si>
  <si>
    <t>8435057004831</t>
  </si>
  <si>
    <t>KINCREM P. BROWNS 'KF' nº 6.52</t>
  </si>
  <si>
    <t>KF0652</t>
  </si>
  <si>
    <t>8435057004848</t>
  </si>
  <si>
    <t>KINCREM P. BROWNS 'KF' nº 6.53</t>
  </si>
  <si>
    <t>KF0653</t>
  </si>
  <si>
    <t>8435057004855</t>
  </si>
  <si>
    <t>KINCREM P. BROWNS 'KF' nº 6.54</t>
  </si>
  <si>
    <t>KF0654</t>
  </si>
  <si>
    <t>8435057004862</t>
  </si>
  <si>
    <t>KINCREM P. BROWNS 'KF' nº 7.44</t>
  </si>
  <si>
    <t>KF0744</t>
  </si>
  <si>
    <t>8435057004688</t>
  </si>
  <si>
    <t>KINCREM P. BROWNS 'KF' nº 7.45</t>
  </si>
  <si>
    <t>KF0745</t>
  </si>
  <si>
    <t>8435057004695</t>
  </si>
  <si>
    <t>KINCREM P. BROWNS 'KF' nº 7.50</t>
  </si>
  <si>
    <t>KF0750</t>
  </si>
  <si>
    <t>8435057006088</t>
  </si>
  <si>
    <t>KINCREM P. BROWNS 'KF' nº 7.51</t>
  </si>
  <si>
    <t>KF0751</t>
  </si>
  <si>
    <t>8435057004800</t>
  </si>
  <si>
    <t>KINCREM P. BROWNS 'KF' nº 7.52</t>
  </si>
  <si>
    <t>KF0752</t>
  </si>
  <si>
    <t>8435057004817</t>
  </si>
  <si>
    <t>KINCREM P. BROWNS 'KF' nº 7.53</t>
  </si>
  <si>
    <t>KF0753</t>
  </si>
  <si>
    <t>8435057004824</t>
  </si>
  <si>
    <t>KINCREM P. BROWNS 'KF' nº 8.43</t>
  </si>
  <si>
    <t>KF0843</t>
  </si>
  <si>
    <t>8435057004640</t>
  </si>
  <si>
    <t>KINCREM P. BROWNS 'KF' nº 8.44</t>
  </si>
  <si>
    <t>KF0844</t>
  </si>
  <si>
    <t>8435057004657</t>
  </si>
  <si>
    <t>KINCREM P. BROWNS 'KF' nº 8.45</t>
  </si>
  <si>
    <t>KF0845</t>
  </si>
  <si>
    <t>8435057004664</t>
  </si>
  <si>
    <t>KINCREM P. BROWNS 'KF' nº 8.51</t>
  </si>
  <si>
    <t>KF0851</t>
  </si>
  <si>
    <t>8435057004770</t>
  </si>
  <si>
    <t>KINCREM P. BROWNS 'KF' nº 8.53</t>
  </si>
  <si>
    <t>KF0853</t>
  </si>
  <si>
    <t>8435057004787</t>
  </si>
  <si>
    <t>KINCREM P. BROWNS 'KF' nº 8.54</t>
  </si>
  <si>
    <t>KF0854</t>
  </si>
  <si>
    <t>8435057004794</t>
  </si>
  <si>
    <t>LOTE LANZAM.1 TONOS MADERA</t>
  </si>
  <si>
    <t>KFLOTM1</t>
  </si>
  <si>
    <t>8435057054218</t>
  </si>
  <si>
    <t>LOTE LANZAM.2 TONOS MADERA</t>
  </si>
  <si>
    <t>KFLOTM2</t>
  </si>
  <si>
    <t>8435057054225</t>
  </si>
  <si>
    <t>LOTE LANZ. DIST. TONOS MADERA</t>
  </si>
  <si>
    <t>KFLOTMD</t>
  </si>
  <si>
    <t>8435057054232</t>
  </si>
  <si>
    <t>KINCREM P. ROUGES 'KF' nº 4.67</t>
  </si>
  <si>
    <t>KF0467</t>
  </si>
  <si>
    <t>8435057005258</t>
  </si>
  <si>
    <t>KINCREM P. ROUGES 'KF' nº 4.77</t>
  </si>
  <si>
    <t>KF0477</t>
  </si>
  <si>
    <t>8435057005296</t>
  </si>
  <si>
    <t>KINCREM P. ROUGES 'KF' nº 5.66</t>
  </si>
  <si>
    <t>KF0566</t>
  </si>
  <si>
    <t>8435057005210</t>
  </si>
  <si>
    <t>KINCREM P. ROUGES 'KF' nº 5.67</t>
  </si>
  <si>
    <t>KF0567</t>
  </si>
  <si>
    <t>8435057005241</t>
  </si>
  <si>
    <t>KINCREM P. ROUGES 'KF' nº 5.77</t>
  </si>
  <si>
    <t>KF0577</t>
  </si>
  <si>
    <t>8435057005289</t>
  </si>
  <si>
    <t>KINCREM P. ROUGES 'KF' nº 6.64</t>
  </si>
  <si>
    <t>KF0664</t>
  </si>
  <si>
    <t>8435057005180</t>
  </si>
  <si>
    <t>KINCREM P. ROUGES 'KF' nº 6.66</t>
  </si>
  <si>
    <t>KF0666</t>
  </si>
  <si>
    <t>8435057005203</t>
  </si>
  <si>
    <t>KINCREM P. ROUGES 'KF' nº 6.67</t>
  </si>
  <si>
    <t>KF0667</t>
  </si>
  <si>
    <t>8435057005234</t>
  </si>
  <si>
    <t>KINCREM P. ROUGES 'KF' nº 6.77</t>
  </si>
  <si>
    <t>KF0677</t>
  </si>
  <si>
    <t>8435057005272</t>
  </si>
  <si>
    <t>KINCREM P. ROUGES 'KF' nº 7.64</t>
  </si>
  <si>
    <t>KF0764</t>
  </si>
  <si>
    <t>8435057005173</t>
  </si>
  <si>
    <t>KINCREM P. ROUGES 'KF' nº 7.66</t>
  </si>
  <si>
    <t>KF0766</t>
  </si>
  <si>
    <t>8435057005197</t>
  </si>
  <si>
    <t>KINCREM P. ROUGES 'KF' nº 7.67</t>
  </si>
  <si>
    <t>KF0767</t>
  </si>
  <si>
    <t>8435057005227</t>
  </si>
  <si>
    <t>KINCREM P. ROUGES 'KF' nº 7.77</t>
  </si>
  <si>
    <t>KF0777</t>
  </si>
  <si>
    <t>8435057005265</t>
  </si>
  <si>
    <t>KINCREM P. ROUGES 'KF' nº 8.64</t>
  </si>
  <si>
    <t>KF0864</t>
  </si>
  <si>
    <t>8435057005166</t>
  </si>
  <si>
    <t>LOTE INTRO. COLOR VIBRANCE</t>
  </si>
  <si>
    <t>KFLOCV1</t>
  </si>
  <si>
    <t>8435057054386</t>
  </si>
  <si>
    <t>KFLOCV2</t>
  </si>
  <si>
    <t>8435057054393</t>
  </si>
  <si>
    <t>KFLOCV3</t>
  </si>
  <si>
    <t>8435057054409</t>
  </si>
  <si>
    <t>KFLOCVD</t>
  </si>
  <si>
    <t>8435057054416</t>
  </si>
  <si>
    <t>OXYD. BLONDES 'KF' 120 ML.</t>
  </si>
  <si>
    <t>KFOB12</t>
  </si>
  <si>
    <t>8435057003995</t>
  </si>
  <si>
    <t>OXYD.CREME 10 VOL.1000 ML.KF</t>
  </si>
  <si>
    <t>KFOC10</t>
  </si>
  <si>
    <t>8435057003902</t>
  </si>
  <si>
    <t>OXYD.CREME 20 VOL.1000 ML."KF"</t>
  </si>
  <si>
    <t>KFOC20</t>
  </si>
  <si>
    <t>8435057003919</t>
  </si>
  <si>
    <t>OXYD. CREME 20 VOL. 60 ML."KF"</t>
  </si>
  <si>
    <t>KFOC20I</t>
  </si>
  <si>
    <t>8435057004008</t>
  </si>
  <si>
    <t>OXYD.CREME 30 VOL.1000 ML."KF"</t>
  </si>
  <si>
    <t>KFOC30</t>
  </si>
  <si>
    <t>8435057003926</t>
  </si>
  <si>
    <t>OXYD. CREME 30 VOL. 60 ML."KF"</t>
  </si>
  <si>
    <t>KFOC30I</t>
  </si>
  <si>
    <t>8435057004015</t>
  </si>
  <si>
    <t>OXYD.CREME 40 VOL. 1000 ML"KF"</t>
  </si>
  <si>
    <t>KFOC40</t>
  </si>
  <si>
    <t>8435057003933</t>
  </si>
  <si>
    <t>OXYD.CREME 40 VOL. 60 ML. "KF"</t>
  </si>
  <si>
    <t>KFOC40I</t>
  </si>
  <si>
    <t>8435057004022</t>
  </si>
  <si>
    <t>OX.C. PLUS 10 VOL. 1000 ML.</t>
  </si>
  <si>
    <t>KFOP10</t>
  </si>
  <si>
    <t>8435057003940</t>
  </si>
  <si>
    <t>OX.C. PLUS 20 VOL. 1000 ML.</t>
  </si>
  <si>
    <t>KFOP20</t>
  </si>
  <si>
    <t>8435057003957</t>
  </si>
  <si>
    <t>OX.COLOR PLUS 20 VOL. 60 ML.</t>
  </si>
  <si>
    <t>KFOP20I</t>
  </si>
  <si>
    <t>8435057004039</t>
  </si>
  <si>
    <t>OX.COLOR PLUS 30 VOL. 1000 ML.</t>
  </si>
  <si>
    <t>KFOP30</t>
  </si>
  <si>
    <t>8435057003964</t>
  </si>
  <si>
    <t>OX.COLOR PLUS 30 VOL. 60 ML.</t>
  </si>
  <si>
    <t>KFOP30I</t>
  </si>
  <si>
    <t>8435057004046</t>
  </si>
  <si>
    <t>OXYD. BLONDES 'KF' 1000 ML.</t>
  </si>
  <si>
    <t>KFOXBL</t>
  </si>
  <si>
    <t>8435057003971</t>
  </si>
  <si>
    <t>COLOR BALANCE EST. 24 x 12 ml.</t>
  </si>
  <si>
    <t>KFCOBA</t>
  </si>
  <si>
    <t>8435057004053</t>
  </si>
  <si>
    <t>COLOR CLEANSER  75 ml.</t>
  </si>
  <si>
    <t>KFCOCL</t>
  </si>
  <si>
    <t>8435057004077</t>
  </si>
  <si>
    <t>COLOR REMOVER EST. 2 x 50 ml.</t>
  </si>
  <si>
    <t>KFCORE</t>
  </si>
  <si>
    <t>8435057004084</t>
  </si>
  <si>
    <t>COLOR SCREEN TARRO 75 ml.</t>
  </si>
  <si>
    <t>KFCOSC</t>
  </si>
  <si>
    <t>8435057004060</t>
  </si>
  <si>
    <t>COLOR VIBRANCE COPPER V44</t>
  </si>
  <si>
    <t>KFCVCO</t>
  </si>
  <si>
    <t>8435057006095</t>
  </si>
  <si>
    <t>COLOR VIBRANCE PURPLE V77</t>
  </si>
  <si>
    <t>KFCVPU</t>
  </si>
  <si>
    <t>8435057006118</t>
  </si>
  <si>
    <t>COLOR VIBRANCE RED V66</t>
  </si>
  <si>
    <t>KFCVRE</t>
  </si>
  <si>
    <t>8435057006101</t>
  </si>
  <si>
    <t>SHAMPOO EQUILIBRANT 'KF'</t>
  </si>
  <si>
    <t>KFSHEQ</t>
  </si>
  <si>
    <t>8435057003988</t>
  </si>
  <si>
    <t>Champu Equilibr. K.PRESTIGE</t>
  </si>
  <si>
    <t>CHEQKP</t>
  </si>
  <si>
    <t>8435057001205</t>
  </si>
  <si>
    <t>Oxid. Kinblond 40 VOL. Litro</t>
  </si>
  <si>
    <t>OXB40L</t>
  </si>
  <si>
    <t>8435057001199</t>
  </si>
  <si>
    <t>Oxid. Kinblond 180 ml.</t>
  </si>
  <si>
    <t>OXBL18</t>
  </si>
  <si>
    <t>8435057003575</t>
  </si>
  <si>
    <t>Oxid. Prestige 20 VOL.Litro</t>
  </si>
  <si>
    <t>OXP20L</t>
  </si>
  <si>
    <t>8435057001090</t>
  </si>
  <si>
    <t>Oxid. Prestige 20 VOL. 120 ml.</t>
  </si>
  <si>
    <t>OXP20P</t>
  </si>
  <si>
    <t>8435057001120</t>
  </si>
  <si>
    <t>Oxid. Prestige 30 VOL. 60 ml.</t>
  </si>
  <si>
    <t>OXP30I</t>
  </si>
  <si>
    <t>8435057001267</t>
  </si>
  <si>
    <t>OXID. PRESTIGE 30 VOL. Litro</t>
  </si>
  <si>
    <t>OXP30L</t>
  </si>
  <si>
    <t>8435057001106</t>
  </si>
  <si>
    <t>Oxid. Prestige 30 VOL. 120 ml.</t>
  </si>
  <si>
    <t>OXP30P</t>
  </si>
  <si>
    <t>8435057001137</t>
  </si>
  <si>
    <t>Oxid. Prestige 40 VOL. 60 ml.</t>
  </si>
  <si>
    <t>OXP40I</t>
  </si>
  <si>
    <t>8435057001274</t>
  </si>
  <si>
    <t>Oxid. Prestige 40 VOL. Litro</t>
  </si>
  <si>
    <t>OXP40L</t>
  </si>
  <si>
    <t>8435057001113</t>
  </si>
  <si>
    <t>Ox. Prestige 40 VOL. 120 ml.</t>
  </si>
  <si>
    <t>OXP40P</t>
  </si>
  <si>
    <t>8435057001144</t>
  </si>
  <si>
    <t>Oxid. Rouge 20 VOL. 60 ml.</t>
  </si>
  <si>
    <t>OXR20I</t>
  </si>
  <si>
    <t>8435057001281</t>
  </si>
  <si>
    <t>Oxid. K.Rouge 20 VOL. Litro</t>
  </si>
  <si>
    <t>OXR20L</t>
  </si>
  <si>
    <t>8435057001151</t>
  </si>
  <si>
    <t>Oxid. K.Rouge 20 VOL. 120 ml.</t>
  </si>
  <si>
    <t>OXR20P</t>
  </si>
  <si>
    <t>8435057001175</t>
  </si>
  <si>
    <t>Oxid. Rouge 30 VOL. 60 ml.</t>
  </si>
  <si>
    <t>OXR30I</t>
  </si>
  <si>
    <t>8435057001298</t>
  </si>
  <si>
    <t>Oxid. K.Rouge 30 VOL. Litro</t>
  </si>
  <si>
    <t>OXR30L</t>
  </si>
  <si>
    <t>8435057001168</t>
  </si>
  <si>
    <t>Oxid. K.Rouge 30 VOL. 120 ml.</t>
  </si>
  <si>
    <t>OXR30P</t>
  </si>
  <si>
    <t>8435057001182</t>
  </si>
  <si>
    <t>Ox. Prestige 20 V. 60 ML. (E)</t>
  </si>
  <si>
    <t>OXP20IV</t>
  </si>
  <si>
    <t>8435057001908</t>
  </si>
  <si>
    <t>Ox. Prestige 30 V. 60 ML. (E)</t>
  </si>
  <si>
    <t>OXP30IV</t>
  </si>
  <si>
    <t>8435057001915</t>
  </si>
  <si>
    <t>Ox. Prestige 40 V. 60 ML. (E)</t>
  </si>
  <si>
    <t>OXP40IV</t>
  </si>
  <si>
    <t>8435057001922</t>
  </si>
  <si>
    <t>Ox. Rouge 20 VOL. 60 ML. (E)</t>
  </si>
  <si>
    <t>OXR20IV</t>
  </si>
  <si>
    <t>8435057001939</t>
  </si>
  <si>
    <t>Ox. Rouge 30 VOL. 60 ML. (E)</t>
  </si>
  <si>
    <t>OXR30IV</t>
  </si>
  <si>
    <t>8435057001946</t>
  </si>
  <si>
    <t>NEW COLOR 2000 Nº 00 NEUTRO</t>
  </si>
  <si>
    <t>MC00</t>
  </si>
  <si>
    <t>8435057005302</t>
  </si>
  <si>
    <t>NEW COLOR 2000 Nº 01 AMARILLO</t>
  </si>
  <si>
    <t>MC01</t>
  </si>
  <si>
    <t>8435057005319</t>
  </si>
  <si>
    <t>NEW COLOR 2000 Nº 02 ROJO</t>
  </si>
  <si>
    <t>MC02</t>
  </si>
  <si>
    <t>8435057005326</t>
  </si>
  <si>
    <t>NEW COLOR 2000 Nº 03 MAGENTA</t>
  </si>
  <si>
    <t>MC03</t>
  </si>
  <si>
    <t>8435057005333</t>
  </si>
  <si>
    <t>NEW COLOR 2000 Nº 04 VERDE</t>
  </si>
  <si>
    <t>MC04</t>
  </si>
  <si>
    <t>8435057005340</t>
  </si>
  <si>
    <t>NEW COLOR 2000 Nº 05 AZUL</t>
  </si>
  <si>
    <t>MC05</t>
  </si>
  <si>
    <t>8435057005357</t>
  </si>
  <si>
    <t>NEW COLOR 2000 Nº 06 VIOLETA</t>
  </si>
  <si>
    <t>MC06</t>
  </si>
  <si>
    <t>8435057005364</t>
  </si>
  <si>
    <t>NEWCOLOR COL.CREAM BEIGE</t>
  </si>
  <si>
    <t>NCCRBE</t>
  </si>
  <si>
    <t>8435057003810</t>
  </si>
  <si>
    <t>NEWCOLOR COL.CREAM CACAO</t>
  </si>
  <si>
    <t>NCCRCA</t>
  </si>
  <si>
    <t>8435057003865</t>
  </si>
  <si>
    <t>NEWCOLOR COL.CREAM CHERRY</t>
  </si>
  <si>
    <t>NCCRCH</t>
  </si>
  <si>
    <t>8435057003841</t>
  </si>
  <si>
    <t>NEWCOLOR COL.CREAM COPPER</t>
  </si>
  <si>
    <t>NCCRCO</t>
  </si>
  <si>
    <t>8435057003834</t>
  </si>
  <si>
    <t>NEWCOLOR COL.CREAM EBONY</t>
  </si>
  <si>
    <t>NCCREB</t>
  </si>
  <si>
    <t>8435057003889</t>
  </si>
  <si>
    <t>NEWCOLOR COL.CREAM GOLDEN</t>
  </si>
  <si>
    <t>NCCRGO</t>
  </si>
  <si>
    <t>8435057003827</t>
  </si>
  <si>
    <t>NEWCOLOR COL.CREAM MOKA</t>
  </si>
  <si>
    <t>NCCRMO</t>
  </si>
  <si>
    <t>8435057003872</t>
  </si>
  <si>
    <t>NEWCOLOR COL.CREAM PLATINE</t>
  </si>
  <si>
    <t>NCCRPL</t>
  </si>
  <si>
    <t>8435057003803</t>
  </si>
  <si>
    <t>NEWCOLOR COL.CREAM PURPLE</t>
  </si>
  <si>
    <t>NCCRPU</t>
  </si>
  <si>
    <t>8435057003858</t>
  </si>
  <si>
    <t>NEWCOLOR C.SHAMPOO BEIGE</t>
  </si>
  <si>
    <t>NCSHBE</t>
  </si>
  <si>
    <t>8435057003728</t>
  </si>
  <si>
    <t>NEWCOLOR C.SHAMPOO CACAO</t>
  </si>
  <si>
    <t>NCSHCA</t>
  </si>
  <si>
    <t>8435057003773</t>
  </si>
  <si>
    <t>NEWCOLOR C.SHAMPOO CHERRY</t>
  </si>
  <si>
    <t>NCSHCH</t>
  </si>
  <si>
    <t>8435057003759</t>
  </si>
  <si>
    <t>NEWCOLOR C.SHAMPOO COPPER</t>
  </si>
  <si>
    <t>NCSHCO</t>
  </si>
  <si>
    <t>8435057003742</t>
  </si>
  <si>
    <t>NEWCOLOR C.SHAMPOO EBONY</t>
  </si>
  <si>
    <t>NCSHEB</t>
  </si>
  <si>
    <t>8435057003797</t>
  </si>
  <si>
    <t>NEWCOLOR C.SHAMPOO GOLDEN</t>
  </si>
  <si>
    <t>NCSHGO</t>
  </si>
  <si>
    <t>8435057003735</t>
  </si>
  <si>
    <t>NEWCOLOR C.SHAMPOO MOKA</t>
  </si>
  <si>
    <t>NCSHMO</t>
  </si>
  <si>
    <t>8435057003780</t>
  </si>
  <si>
    <t>NEWCOLOR C.SHAMPOO PLATINE</t>
  </si>
  <si>
    <t>NCSHPL</t>
  </si>
  <si>
    <t>8435057003711</t>
  </si>
  <si>
    <t>NEWCOLOR C.SHAMPOO PURPLE</t>
  </si>
  <si>
    <t>NCSHPU</t>
  </si>
  <si>
    <t>8435057003766</t>
  </si>
  <si>
    <t>NEW C GLAMOUR nº 1.0 pack</t>
  </si>
  <si>
    <t>NG010</t>
  </si>
  <si>
    <t>8435057001991</t>
  </si>
  <si>
    <t>NEW C GLAMOUR nº 3.0 pack</t>
  </si>
  <si>
    <t>NG030</t>
  </si>
  <si>
    <t>8435057002004</t>
  </si>
  <si>
    <t>NEW C GLAMOUR nº 4.0 pack</t>
  </si>
  <si>
    <t>NG040</t>
  </si>
  <si>
    <t>8435057002011</t>
  </si>
  <si>
    <t>NEW C GLAMOUR nº 5.0 pack</t>
  </si>
  <si>
    <t>NG050</t>
  </si>
  <si>
    <t>8435057002028</t>
  </si>
  <si>
    <t>NEW C GLAMOUR nº 6.0 pack</t>
  </si>
  <si>
    <t>NG060</t>
  </si>
  <si>
    <t>8435057002035</t>
  </si>
  <si>
    <t>NEW C GLAMOUR nº 7.0 pack</t>
  </si>
  <si>
    <t>NG070</t>
  </si>
  <si>
    <t>8435057002042</t>
  </si>
  <si>
    <t>NEW C GLAMOUR nº 7.1 pack</t>
  </si>
  <si>
    <t>NG071</t>
  </si>
  <si>
    <t>8435057002059</t>
  </si>
  <si>
    <t>NEW C GLAMOUR nº 8.0 pack</t>
  </si>
  <si>
    <t>NG080</t>
  </si>
  <si>
    <t>8435057002066</t>
  </si>
  <si>
    <t>NEW C GLAMOUR nº 8.3 pack</t>
  </si>
  <si>
    <t>NG083</t>
  </si>
  <si>
    <t>8435057002073</t>
  </si>
  <si>
    <t>NEW C GLAMOUR nº 9.0 pack</t>
  </si>
  <si>
    <t>NG090</t>
  </si>
  <si>
    <t>8435057002080</t>
  </si>
  <si>
    <t>NEW C GLAMOUR nº 2.10 pack</t>
  </si>
  <si>
    <t>NG210</t>
  </si>
  <si>
    <t>8435057002097</t>
  </si>
  <si>
    <t>NEW C GLAMOUR nº 3.57 pack</t>
  </si>
  <si>
    <t>NG357</t>
  </si>
  <si>
    <t>8435057002103</t>
  </si>
  <si>
    <t>NEW C GLAMOUR nº 4.42 pack</t>
  </si>
  <si>
    <t>NG442</t>
  </si>
  <si>
    <t>8435057002110</t>
  </si>
  <si>
    <t>NEW C GLAMOUR nº 4.70 pack</t>
  </si>
  <si>
    <t>NG470</t>
  </si>
  <si>
    <t>8435057002127</t>
  </si>
  <si>
    <t>NEW C GLAMOUR nº 5.50 pack</t>
  </si>
  <si>
    <t>NG550</t>
  </si>
  <si>
    <t>8435057002134</t>
  </si>
  <si>
    <t>NEW C GLAMOUR nº 5.51 pack</t>
  </si>
  <si>
    <t>NG551</t>
  </si>
  <si>
    <t>8435057002141</t>
  </si>
  <si>
    <t>NEW C GLAMOUR nº 5.53 pack</t>
  </si>
  <si>
    <t>NG553</t>
  </si>
  <si>
    <t>8435057002158</t>
  </si>
  <si>
    <t>NEW C GLAMOUR nº 5.56 pack</t>
  </si>
  <si>
    <t>NG556</t>
  </si>
  <si>
    <t>8435057002165</t>
  </si>
  <si>
    <t>NEW C GLAMOUR nº 5.62 pack</t>
  </si>
  <si>
    <t>NG562</t>
  </si>
  <si>
    <t>8435057002172</t>
  </si>
  <si>
    <t>NEW C GLAMOUR nº 6.43 pack</t>
  </si>
  <si>
    <t>NG643</t>
  </si>
  <si>
    <t>8435057002189</t>
  </si>
  <si>
    <t>NEW C GLAMOUR nº 6.50 pack</t>
  </si>
  <si>
    <t>NG650</t>
  </si>
  <si>
    <t>8435057002196</t>
  </si>
  <si>
    <t>NEW C GLAMOUR nº 6.51 pack</t>
  </si>
  <si>
    <t>NG651</t>
  </si>
  <si>
    <t>8435057002202</t>
  </si>
  <si>
    <t>NEW C GLAMOUR nº 6.53 pack</t>
  </si>
  <si>
    <t>NG653</t>
  </si>
  <si>
    <t>8435057002219</t>
  </si>
  <si>
    <t>NEW C GLAMOUR nº 6.54 pack</t>
  </si>
  <si>
    <t>NG654</t>
  </si>
  <si>
    <t>8435057002226</t>
  </si>
  <si>
    <t>NEW C GLAMOUR nº 6.62 pack</t>
  </si>
  <si>
    <t>NG662</t>
  </si>
  <si>
    <t>8435057002233</t>
  </si>
  <si>
    <t>NEW C GLAMOUR nº 6.76 pack</t>
  </si>
  <si>
    <t>NG676</t>
  </si>
  <si>
    <t>8435057002240</t>
  </si>
  <si>
    <t>NEW C GLAMOUR nº 7.13 pack</t>
  </si>
  <si>
    <t>NG713</t>
  </si>
  <si>
    <t>8435057002257</t>
  </si>
  <si>
    <t>NEW C GLAMOUR nº 7.35 pack</t>
  </si>
  <si>
    <t>NG735</t>
  </si>
  <si>
    <t>8435057002264</t>
  </si>
  <si>
    <t>NEW C GLAMOUR nº 7.43 pack</t>
  </si>
  <si>
    <t>NG743</t>
  </si>
  <si>
    <t>8435057002271</t>
  </si>
  <si>
    <t>NEW C GLAMOUR nº 7.44 pack</t>
  </si>
  <si>
    <t>NG744</t>
  </si>
  <si>
    <t>8435057002288</t>
  </si>
  <si>
    <t>NEW C GLAMOUR nº 7.52 pack</t>
  </si>
  <si>
    <t>NG752</t>
  </si>
  <si>
    <t>8435057002295</t>
  </si>
  <si>
    <t>NEW C GLAMOUR nº 7.64 pack</t>
  </si>
  <si>
    <t>NG764</t>
  </si>
  <si>
    <t>8435057002301</t>
  </si>
  <si>
    <t>NEW C GLAMOUR nº 7.66 pack</t>
  </si>
  <si>
    <t>NG766</t>
  </si>
  <si>
    <t>8435057002318</t>
  </si>
  <si>
    <t>NEW C GLAMOUR nº 8.33 pack</t>
  </si>
  <si>
    <t>NG833</t>
  </si>
  <si>
    <t>8435057002325</t>
  </si>
  <si>
    <t>NEW C GLAMOUR nº 8.34 pack</t>
  </si>
  <si>
    <t>NG834</t>
  </si>
  <si>
    <t>8435057002332</t>
  </si>
  <si>
    <t>NEW C GLAMOUR nº 8.46 pack</t>
  </si>
  <si>
    <t>NG846</t>
  </si>
  <si>
    <t>8435057002349</t>
  </si>
  <si>
    <t>NEW C GLAMOUR nº 9.03 pack</t>
  </si>
  <si>
    <t>NG903</t>
  </si>
  <si>
    <t>8435057002356</t>
  </si>
  <si>
    <t>NEW C GLAMOUR nº M44 pack</t>
  </si>
  <si>
    <t>NGM44</t>
  </si>
  <si>
    <t>8435057002363</t>
  </si>
  <si>
    <t>NEW C GLAMOUR nº M66 pack</t>
  </si>
  <si>
    <t>NGM66</t>
  </si>
  <si>
    <t>8435057002370</t>
  </si>
  <si>
    <t>NEW C GLAMOUR nº M67 pack</t>
  </si>
  <si>
    <t>NGM67</t>
  </si>
  <si>
    <t>8435057002387</t>
  </si>
  <si>
    <t>DEVELOPER 1000 ML.</t>
  </si>
  <si>
    <t>NGDE10</t>
  </si>
  <si>
    <t>8435057002394</t>
  </si>
  <si>
    <t>DEVELOPER 120 ML.</t>
  </si>
  <si>
    <t>NGDE12</t>
  </si>
  <si>
    <t>8435057002400</t>
  </si>
  <si>
    <t>DEVELOPER INTENSE 1000 ML.</t>
  </si>
  <si>
    <t>NGDI10</t>
  </si>
  <si>
    <t>8435057002417</t>
  </si>
  <si>
    <t>DEVELOPER INTENSE 120 ML.</t>
  </si>
  <si>
    <t>NGDI12</t>
  </si>
  <si>
    <t>8435057002424</t>
  </si>
  <si>
    <t>PROMO LOTE CONQUISTA KINCREM</t>
  </si>
  <si>
    <t>LOKF09</t>
  </si>
  <si>
    <t>8435057054195</t>
  </si>
  <si>
    <t>KINBLOND BLEACHING POWDER 500 GR</t>
  </si>
  <si>
    <t>KBTA50</t>
  </si>
  <si>
    <t>8435057006514</t>
  </si>
  <si>
    <t>KINBLOND EST. 24 SOBRE 30 GRS.</t>
  </si>
  <si>
    <t>KBES24</t>
  </si>
  <si>
    <t>8435057006538</t>
  </si>
  <si>
    <t>KINCREM 'KF' 1 TUBO nº 1.0</t>
  </si>
  <si>
    <t>EF0010</t>
  </si>
  <si>
    <t>8435057007214</t>
  </si>
  <si>
    <t>KINCREM 'KF' 1 TUBO nº 1.1</t>
  </si>
  <si>
    <t>EF0011</t>
  </si>
  <si>
    <t>8435057007221</t>
  </si>
  <si>
    <t>KINCREM 'KF' 1 TUBO nº 2.0</t>
  </si>
  <si>
    <t>EF0020</t>
  </si>
  <si>
    <t>8435057007238</t>
  </si>
  <si>
    <t>KINCREM 'KF' 1 TUBO nº 3.0</t>
  </si>
  <si>
    <t>EF0030</t>
  </si>
  <si>
    <t>8435057007245</t>
  </si>
  <si>
    <t>KINCREM 'KF' 1 TUBO nº 4.0</t>
  </si>
  <si>
    <t>EF0040</t>
  </si>
  <si>
    <t>8435057007252</t>
  </si>
  <si>
    <t>KINCREM 'KF' 1 TUBO nº 4.3</t>
  </si>
  <si>
    <t>EF0043</t>
  </si>
  <si>
    <t>8435057007269</t>
  </si>
  <si>
    <t>KINCREM 'KF' 1 TUBO nº 5.0</t>
  </si>
  <si>
    <t>EF0050</t>
  </si>
  <si>
    <t>8435057007276</t>
  </si>
  <si>
    <t>KINCREM 'KF' 1 TUBO nº 5.1</t>
  </si>
  <si>
    <t>EF0051</t>
  </si>
  <si>
    <t>8435057007283</t>
  </si>
  <si>
    <t>KINCREM 'KF' 1 TUBO nº 5.3</t>
  </si>
  <si>
    <t>EF0053</t>
  </si>
  <si>
    <t>8435057007290</t>
  </si>
  <si>
    <t>KINCREM 'KF' 1 TUBO nº 6.0</t>
  </si>
  <si>
    <t>EF0060</t>
  </si>
  <si>
    <t>8435057007306</t>
  </si>
  <si>
    <t>KINCREM 'KF' 1 TUBO nº 6.1</t>
  </si>
  <si>
    <t>EF0061</t>
  </si>
  <si>
    <t>8435057007313</t>
  </si>
  <si>
    <t>KINCREM 'KF' 1 TUBO nº 6.3</t>
  </si>
  <si>
    <t>EF0063</t>
  </si>
  <si>
    <t>8435057007320</t>
  </si>
  <si>
    <t>KINCREM 'KF' 1 TUBO nº 7.0</t>
  </si>
  <si>
    <t>EF0070</t>
  </si>
  <si>
    <t>843505700733</t>
  </si>
  <si>
    <t>KINCREM 'KF' 1 TUBO nº 7.1</t>
  </si>
  <si>
    <t>EF0071</t>
  </si>
  <si>
    <t>8435057007344</t>
  </si>
  <si>
    <t>KINCREM 'KF' 1 TUBO nº 7.3</t>
  </si>
  <si>
    <t>EF0073</t>
  </si>
  <si>
    <t>8435057007351</t>
  </si>
  <si>
    <t>KINCREM 'KF' 1 TUBO nº 7.9</t>
  </si>
  <si>
    <t>EF0079</t>
  </si>
  <si>
    <t>8435057007368</t>
  </si>
  <si>
    <t>KINCREM 'KF' 1 TUBO nº 8.0</t>
  </si>
  <si>
    <t>EF0080</t>
  </si>
  <si>
    <t>8435057007375</t>
  </si>
  <si>
    <t>KINCREM 'KF' 1 TUBO nº 8.1</t>
  </si>
  <si>
    <t>EF0081</t>
  </si>
  <si>
    <t>8435057007382</t>
  </si>
  <si>
    <t>KINCREM 'KF' 1 TUBO nº 8.2</t>
  </si>
  <si>
    <t>EF0082</t>
  </si>
  <si>
    <t>8435057007399</t>
  </si>
  <si>
    <t>KINCREM 'KF' 1 TUBO nº 8.3</t>
  </si>
  <si>
    <t>EF0083</t>
  </si>
  <si>
    <t>8435057007405</t>
  </si>
  <si>
    <t>KINCREM 'KF' 1 TUBO nº 9.0</t>
  </si>
  <si>
    <t>EF0090</t>
  </si>
  <si>
    <t>8435057007412</t>
  </si>
  <si>
    <t>KINCREM 'KF' 1 TUBO nº 9.1</t>
  </si>
  <si>
    <t>EF0091</t>
  </si>
  <si>
    <t>8435057007429</t>
  </si>
  <si>
    <t>KINCREM 'KF' 1 TUBO nº 9.3</t>
  </si>
  <si>
    <t>EF0093</t>
  </si>
  <si>
    <t>8435057007436</t>
  </si>
  <si>
    <t>KINCREM 'KF' 1 TUBO nº 9.9</t>
  </si>
  <si>
    <t>EF0099</t>
  </si>
  <si>
    <t>8435057007443</t>
  </si>
  <si>
    <t>KINCREM 'KF' 1 TUBO nº 10.0</t>
  </si>
  <si>
    <t>EF0100</t>
  </si>
  <si>
    <t>8435057007450</t>
  </si>
  <si>
    <t>KINCREM 'KF' 1 TUBO nº 10.1</t>
  </si>
  <si>
    <t>EF0101</t>
  </si>
  <si>
    <t>8435057007467</t>
  </si>
  <si>
    <t>KINCREM 'KF' 1 TUBO nº 10.3</t>
  </si>
  <si>
    <t>EF0103</t>
  </si>
  <si>
    <t>8435057007474</t>
  </si>
  <si>
    <t>KINCREM 'KF' 1 TUBO nº 3.00</t>
  </si>
  <si>
    <t>EF0300</t>
  </si>
  <si>
    <t>8435057007481</t>
  </si>
  <si>
    <t>KINCREM 'KF' 1 TUBO nº 4.00</t>
  </si>
  <si>
    <t>EF0400</t>
  </si>
  <si>
    <t>8435057007498</t>
  </si>
  <si>
    <t>KINCREM 'KF' 1 TUBO nº 5.00</t>
  </si>
  <si>
    <t>EF0500</t>
  </si>
  <si>
    <t>8435057007504</t>
  </si>
  <si>
    <t>KINCREM 'KF' 1 TUBO nº 6.00</t>
  </si>
  <si>
    <t>EF0600</t>
  </si>
  <si>
    <t>8435057007511</t>
  </si>
  <si>
    <t>KINCREM 'KF' 1 TUBO nº 6.01</t>
  </si>
  <si>
    <t>EF0601</t>
  </si>
  <si>
    <t>8435057007528</t>
  </si>
  <si>
    <t>KINCREM 'KF' 1 TUBO nº 6.12</t>
  </si>
  <si>
    <t>EF0612</t>
  </si>
  <si>
    <t>8435057007535</t>
  </si>
  <si>
    <t>KINCREM 'KF' 1 TUBO nº 6.31</t>
  </si>
  <si>
    <t>8435057007542</t>
  </si>
  <si>
    <t>KINCREM 'KF' 1 TUBO nº 6.32</t>
  </si>
  <si>
    <t>EF0632</t>
  </si>
  <si>
    <t>8435057007559</t>
  </si>
  <si>
    <t>KINCREM 'KF' 1 TUBO nº 6.34</t>
  </si>
  <si>
    <t>EF0634</t>
  </si>
  <si>
    <t>8435057007566</t>
  </si>
  <si>
    <t>KINCREM 'KF' 1 TUBO nº 7.00</t>
  </si>
  <si>
    <t>EF0700</t>
  </si>
  <si>
    <t>8435057007573</t>
  </si>
  <si>
    <t>KINCREM 'KF' 1 TUBO nº 7.01</t>
  </si>
  <si>
    <t>EF0701</t>
  </si>
  <si>
    <t>8435057007580</t>
  </si>
  <si>
    <t>KINCREM 'KF' 1 TUBO nº 7.31</t>
  </si>
  <si>
    <t>EF0731</t>
  </si>
  <si>
    <t>8435057007597</t>
  </si>
  <si>
    <t>KINCREM 'KF' 1 TUBO nº 7.32</t>
  </si>
  <si>
    <t>EF0732</t>
  </si>
  <si>
    <t>8435057007603</t>
  </si>
  <si>
    <t>KINCREM 'KF' 1 TUBO nº 7.33</t>
  </si>
  <si>
    <t>EF0733</t>
  </si>
  <si>
    <t>8435057007610</t>
  </si>
  <si>
    <t>KINCREM 'KF' 1 TUBO nº 7.34</t>
  </si>
  <si>
    <t>EF0734</t>
  </si>
  <si>
    <t>8435057007627</t>
  </si>
  <si>
    <t>KINCREM 'KF' 1 TUBO nº 8.00</t>
  </si>
  <si>
    <t>EF0800</t>
  </si>
  <si>
    <t>8435057007634</t>
  </si>
  <si>
    <t>KINCREM 'KF' 1 TUBO nº 8.01</t>
  </si>
  <si>
    <t>EF0801</t>
  </si>
  <si>
    <t>8435057007641</t>
  </si>
  <si>
    <t>KINCREM 'KF' 1 TUBO nº 8.31</t>
  </si>
  <si>
    <t>EF0831</t>
  </si>
  <si>
    <t>8435057007658</t>
  </si>
  <si>
    <t>KINCREM 'KF' 1 TUBO nº 8.32</t>
  </si>
  <si>
    <t>EF0832</t>
  </si>
  <si>
    <t>8435057007665</t>
  </si>
  <si>
    <t>KINCREM 'KF' 1 TUBO nº 8.33</t>
  </si>
  <si>
    <t>EF0833</t>
  </si>
  <si>
    <t>8435057007672</t>
  </si>
  <si>
    <t>KINCREM 'KF' 1 TUBO nº 8.34</t>
  </si>
  <si>
    <t>EF0834</t>
  </si>
  <si>
    <t>8435057007689</t>
  </si>
  <si>
    <t>KINCREM 'KF' 1 TUBO nº 9.00</t>
  </si>
  <si>
    <t>EF0900</t>
  </si>
  <si>
    <t>8435057007696</t>
  </si>
  <si>
    <t>KINCREM 'KF' 1 TUBO nº 9.01</t>
  </si>
  <si>
    <t>EF0901</t>
  </si>
  <si>
    <t>8435057007702</t>
  </si>
  <si>
    <t>KINCREM 'KF' 1 TUBO nº 9.12</t>
  </si>
  <si>
    <t>8435057007719</t>
  </si>
  <si>
    <t>KINCREM 'KF' 1 TUBO nº 9.31</t>
  </si>
  <si>
    <t>EF0931</t>
  </si>
  <si>
    <t>8435057007726</t>
  </si>
  <si>
    <t>KINCREM 'KF' 1 TUBO nº 9.32</t>
  </si>
  <si>
    <t>EF0932</t>
  </si>
  <si>
    <t>8435057007733</t>
  </si>
  <si>
    <t>KINCREM 'KF' 1 TUBO nº M/00</t>
  </si>
  <si>
    <t>EF0M00</t>
  </si>
  <si>
    <t>8435057007740</t>
  </si>
  <si>
    <t>KINCREM 'KF' 1 TUBO nº M/11</t>
  </si>
  <si>
    <t>EF0M11</t>
  </si>
  <si>
    <t>8435057007757</t>
  </si>
  <si>
    <t>KINCREM 'KF' 1 TUBO nº M/33</t>
  </si>
  <si>
    <t>EF0M33</t>
  </si>
  <si>
    <t>8435057007764</t>
  </si>
  <si>
    <t>KINCREM 'KF' 1 TUBO nº M/44</t>
  </si>
  <si>
    <t>EF0M44</t>
  </si>
  <si>
    <t>8435057007771</t>
  </si>
  <si>
    <t>KINCREM 'KF' 1 TUBO nº M/66</t>
  </si>
  <si>
    <t>EF0M66</t>
  </si>
  <si>
    <t>8435057007788</t>
  </si>
  <si>
    <t>KINCREM 'KF' 1 TUBO nº M/77</t>
  </si>
  <si>
    <t>EF0M77</t>
  </si>
  <si>
    <t>8435057007795</t>
  </si>
  <si>
    <t>KINCREM 'KF' 1 TUBO nº M/88</t>
  </si>
  <si>
    <t>EF0M88</t>
  </si>
  <si>
    <t>8435057007801</t>
  </si>
  <si>
    <t>KINCREM 'KF' 1 TUBO nº M/99</t>
  </si>
  <si>
    <t>EF0M99</t>
  </si>
  <si>
    <t>8435057007818</t>
  </si>
  <si>
    <t>KINCREM 'KF' 1 TUBO nº 10.00</t>
  </si>
  <si>
    <t>EF1000</t>
  </si>
  <si>
    <t>8435057007825</t>
  </si>
  <si>
    <t>KINCREM 'KF' 1 TUBO nº 10.01</t>
  </si>
  <si>
    <t>EF1001</t>
  </si>
  <si>
    <t>8435057007832</t>
  </si>
  <si>
    <t>KINCREM 'KF' 1 TUBO nº 10.32</t>
  </si>
  <si>
    <t>EF1032</t>
  </si>
  <si>
    <t>8435057007849</t>
  </si>
  <si>
    <t>KINCREM 'KF' 1 TUBO nº 11.0</t>
  </si>
  <si>
    <t>EF0110</t>
  </si>
  <si>
    <t>8435057007856</t>
  </si>
  <si>
    <t>KINCREM 'KF' 1 TUBO nº 11.1</t>
  </si>
  <si>
    <t>EF0111</t>
  </si>
  <si>
    <t>8435057007863</t>
  </si>
  <si>
    <t>KINCREM 'KF' 1 TUBO nº 11.3</t>
  </si>
  <si>
    <t>EF0113</t>
  </si>
  <si>
    <t>8435057007870</t>
  </si>
  <si>
    <t>KINCREM 'KF' 1 TUBO nº 12.0</t>
  </si>
  <si>
    <t>EF0120</t>
  </si>
  <si>
    <t>8435057007887</t>
  </si>
  <si>
    <t>KINCREM 'KF' 1 TUBO nº 12.1</t>
  </si>
  <si>
    <t>EF0121</t>
  </si>
  <si>
    <t>8435057007894</t>
  </si>
  <si>
    <t>KINCREM 'KF' 1 TUBO nº 11.02</t>
  </si>
  <si>
    <t>EF1102</t>
  </si>
  <si>
    <t>8435057007900</t>
  </si>
  <si>
    <t>KINCREM 'KF' 1 TUBO nº 11.12</t>
  </si>
  <si>
    <t>EF1112</t>
  </si>
  <si>
    <t>8435057007917</t>
  </si>
  <si>
    <t>KINCREM 'KF' 1 TUBO nº 11.32</t>
  </si>
  <si>
    <t>EF1132</t>
  </si>
  <si>
    <t>8435057007924</t>
  </si>
  <si>
    <t>KINCREM 'KF' 1 TUBO nº 11.34</t>
  </si>
  <si>
    <t>EF1134</t>
  </si>
  <si>
    <t>8435057007931</t>
  </si>
  <si>
    <t>KINCREM 'KF' 1 TUBO nº 3.5</t>
  </si>
  <si>
    <t>EF0035</t>
  </si>
  <si>
    <t>8435057007948</t>
  </si>
  <si>
    <t>KINCREM 'KF' 1 TUBO nº 4.5</t>
  </si>
  <si>
    <t>EF0045</t>
  </si>
  <si>
    <t>8435057007955</t>
  </si>
  <si>
    <t>KINCREM 'KF' 1 TUBO nº 5.4</t>
  </si>
  <si>
    <t>EF0054</t>
  </si>
  <si>
    <t>8435057007962</t>
  </si>
  <si>
    <t>KINCREM 'KF' 1 TUBO nº 5.5</t>
  </si>
  <si>
    <t>EF0055</t>
  </si>
  <si>
    <t>8435057007979</t>
  </si>
  <si>
    <t>KINCREM 'KF' 1 TUBO nº 6.5</t>
  </si>
  <si>
    <t>EF0065</t>
  </si>
  <si>
    <t>8435057007986</t>
  </si>
  <si>
    <t>KINCREM 'KF' 1 TUBO nº 7.4</t>
  </si>
  <si>
    <t>EF0074</t>
  </si>
  <si>
    <t>8435057007993</t>
  </si>
  <si>
    <t>KINCREM 'KF' 1 TUBO nº 7.5</t>
  </si>
  <si>
    <t>EF0075</t>
  </si>
  <si>
    <t>8435057008006</t>
  </si>
  <si>
    <t>KINCREM 'KF' 1 TUBO nº 4.42</t>
  </si>
  <si>
    <t>EF0442</t>
  </si>
  <si>
    <t>8435057008013</t>
  </si>
  <si>
    <t>KINCREM 'KF' 1 TUBO nº 4.50</t>
  </si>
  <si>
    <t>EF0450</t>
  </si>
  <si>
    <t>8435057008020</t>
  </si>
  <si>
    <t>KINCREM 'KF' 1 TUBO nº 4.51</t>
  </si>
  <si>
    <t>EF0451</t>
  </si>
  <si>
    <t>8435057008037</t>
  </si>
  <si>
    <t>KINCREM 'KF' 1 TUBO nº 4.53</t>
  </si>
  <si>
    <t>EF0453</t>
  </si>
  <si>
    <t>8435057008044</t>
  </si>
  <si>
    <t>KINCREM 'KF' 1 TUBO nº 5.45</t>
  </si>
  <si>
    <t>EF0545</t>
  </si>
  <si>
    <t>8435057008051</t>
  </si>
  <si>
    <t>KINCREM 'KF' 1 TUBO nº 5.50</t>
  </si>
  <si>
    <t>EF0550</t>
  </si>
  <si>
    <t>8435057008068</t>
  </si>
  <si>
    <t>KINCREM 'KF' 1 TUBO nº 5.51</t>
  </si>
  <si>
    <t>EF0551</t>
  </si>
  <si>
    <t>8435057008075</t>
  </si>
  <si>
    <t>KINCREM 'KF' 1 TUBO nº 5.52</t>
  </si>
  <si>
    <t>EF0552</t>
  </si>
  <si>
    <t>8435057008082</t>
  </si>
  <si>
    <t>KINCREM 'KF' 1 TUBO nº 5.53</t>
  </si>
  <si>
    <t>EF0553</t>
  </si>
  <si>
    <t>8435057008099</t>
  </si>
  <si>
    <t>KINCREM 'KF' 1 TUBO nº 6.42</t>
  </si>
  <si>
    <t>EF0642</t>
  </si>
  <si>
    <t>8435057008105</t>
  </si>
  <si>
    <t>KINCREM 'KF' 1 TUBO nº 6.43</t>
  </si>
  <si>
    <t>EF0643</t>
  </si>
  <si>
    <t>8435057008112</t>
  </si>
  <si>
    <t>KINCREM 'KF' 1 TUBO nº 6.44</t>
  </si>
  <si>
    <t>EF0644</t>
  </si>
  <si>
    <t>8435057008129</t>
  </si>
  <si>
    <t>KINCREM 'KF' 1 TUBO nº 6.45</t>
  </si>
  <si>
    <t>EF0645</t>
  </si>
  <si>
    <t>8435057008136</t>
  </si>
  <si>
    <t>KINCREM 'KF' 1 TUBO nº 6.50</t>
  </si>
  <si>
    <t>EF0650</t>
  </si>
  <si>
    <t>8435057008143</t>
  </si>
  <si>
    <t>KINCREM 'KF' 1 TUBO nº 6.51</t>
  </si>
  <si>
    <t>EF0651</t>
  </si>
  <si>
    <t>8435057008150</t>
  </si>
  <si>
    <t>KINCREM 'KF' 1 TUBO nº 6.52</t>
  </si>
  <si>
    <t>EF0652</t>
  </si>
  <si>
    <t>8435057008167</t>
  </si>
  <si>
    <t>KINCREM 'KF' 1 TUBO nº 6.53</t>
  </si>
  <si>
    <t>EF0653</t>
  </si>
  <si>
    <t>8435057008174</t>
  </si>
  <si>
    <t>KINCREM 'KF' 1 TUBO nº 6.54</t>
  </si>
  <si>
    <t>EF0654</t>
  </si>
  <si>
    <t>8435057008181</t>
  </si>
  <si>
    <t>KINCREM 'KF' 1 TUBO nº 7.44</t>
  </si>
  <si>
    <t>EF0744</t>
  </si>
  <si>
    <t>8435057008198</t>
  </si>
  <si>
    <t>KINCREM 'KF' 1 TUBO nº 7.45</t>
  </si>
  <si>
    <t>EF0745</t>
  </si>
  <si>
    <t>8435057008204</t>
  </si>
  <si>
    <t>KINCREM 'KF' 1 TUBO nº 7.50</t>
  </si>
  <si>
    <t>EF0750</t>
  </si>
  <si>
    <t>8435057008211</t>
  </si>
  <si>
    <t>KINCREM 'KF' 1 TUBO nº 7.51</t>
  </si>
  <si>
    <t>EF0751</t>
  </si>
  <si>
    <t>8435057008228</t>
  </si>
  <si>
    <t>KINCREM 'KF' 1 TUBO nº 7.52</t>
  </si>
  <si>
    <t>EF0752</t>
  </si>
  <si>
    <t>8435057008235</t>
  </si>
  <si>
    <t>KINCREM 'KF' 1 TUBO nº 7.53</t>
  </si>
  <si>
    <t>EF0753</t>
  </si>
  <si>
    <t>8435057008242</t>
  </si>
  <si>
    <t>KINCREM 'KF' 1 TUBO nº 8.43</t>
  </si>
  <si>
    <t>EF0843</t>
  </si>
  <si>
    <t>8435057008259</t>
  </si>
  <si>
    <t>KINCREM 'KF' 1 TUBO nº 8.44</t>
  </si>
  <si>
    <t>EF0844</t>
  </si>
  <si>
    <t>8435057008266</t>
  </si>
  <si>
    <t>KINCREM 'KF' 1 TUBO nº 8.45</t>
  </si>
  <si>
    <t>EF0845</t>
  </si>
  <si>
    <t>8435057008273</t>
  </si>
  <si>
    <t>KINCREM 'KF' 1 TUBO nº 8.51</t>
  </si>
  <si>
    <t>EF0851</t>
  </si>
  <si>
    <t>8435057008280</t>
  </si>
  <si>
    <t>KINCREM 'KF' 1 TUBO nº 8.53</t>
  </si>
  <si>
    <t>EF0853</t>
  </si>
  <si>
    <t>8435057008297</t>
  </si>
  <si>
    <t>KINCREM 'KF' 1 TUBO nº 8.54</t>
  </si>
  <si>
    <t>EF0854</t>
  </si>
  <si>
    <t>8435057008303</t>
  </si>
  <si>
    <t>KINCREM 'KF' 1 TUBO nº 4.67</t>
  </si>
  <si>
    <t>EF0467</t>
  </si>
  <si>
    <t>8435057008310</t>
  </si>
  <si>
    <t>KINCREM 'KF' 1 TUBO nº 4.77</t>
  </si>
  <si>
    <t>EF0477</t>
  </si>
  <si>
    <t>8435057008327</t>
  </si>
  <si>
    <t>KINCREM 'KF' 1 TUBO nº 5.66</t>
  </si>
  <si>
    <t>EF0566</t>
  </si>
  <si>
    <t>8435057008334</t>
  </si>
  <si>
    <t>KINCREM 'KF' 1 TUBO nº 5.67</t>
  </si>
  <si>
    <t>EF0567</t>
  </si>
  <si>
    <t>8435057008341</t>
  </si>
  <si>
    <t>KINCREM 'KF' 1 TUBO nº 5.77</t>
  </si>
  <si>
    <t>EF0577</t>
  </si>
  <si>
    <t>8435057008358</t>
  </si>
  <si>
    <t>KINCREM 'KF' 1 TUBO nº 6.64</t>
  </si>
  <si>
    <t>EF0664</t>
  </si>
  <si>
    <t>8435057008365</t>
  </si>
  <si>
    <t>KINCREM 'KF' 1 TUBO nº 6.66</t>
  </si>
  <si>
    <t>EF0666</t>
  </si>
  <si>
    <t>8435057008372</t>
  </si>
  <si>
    <t>KINCREM 'KF' 1 TUBO nº 6.67</t>
  </si>
  <si>
    <t>EF0667</t>
  </si>
  <si>
    <t>8435057008389</t>
  </si>
  <si>
    <t>KINCREM 'KF' 1 TUBO nº 6.77</t>
  </si>
  <si>
    <t>EF0677</t>
  </si>
  <si>
    <t>8435057008396</t>
  </si>
  <si>
    <t>KINCREM 'KF' 1 TUBO nº 7.64</t>
  </si>
  <si>
    <t>EF0764</t>
  </si>
  <si>
    <t>8435057008402</t>
  </si>
  <si>
    <t>KINCREM 'KF' 1 TUBO nº 7.66</t>
  </si>
  <si>
    <t>EF0766</t>
  </si>
  <si>
    <t>8435057008419</t>
  </si>
  <si>
    <t>KINCREM 'KF' 1 TUBO nº 7.67</t>
  </si>
  <si>
    <t>EF0767</t>
  </si>
  <si>
    <t>8435057008426</t>
  </si>
  <si>
    <t>KINCREM 'KF' 1 TUBO nº 7.77</t>
  </si>
  <si>
    <t>EF0777</t>
  </si>
  <si>
    <t>8435057008433</t>
  </si>
  <si>
    <t>KINCREM 'KF' 1 TUBO nº 8.64</t>
  </si>
  <si>
    <t>EF0864</t>
  </si>
  <si>
    <t>8435057008440</t>
  </si>
  <si>
    <t>KINBLOND BLEACHING POWDER 1.000 GR</t>
  </si>
  <si>
    <t>8435057008525</t>
  </si>
  <si>
    <t>NEW C GLAMOUR nº 10.0 pack</t>
  </si>
  <si>
    <t>NG100</t>
  </si>
  <si>
    <t>8435057008495</t>
  </si>
  <si>
    <t>NEW C GLAMOUR nº 10.3 pack</t>
  </si>
  <si>
    <t>NG103</t>
  </si>
  <si>
    <t>8435057008501</t>
  </si>
  <si>
    <t>NEW C GLAMOUR nº 9.9 pack</t>
  </si>
  <si>
    <t>NG099</t>
  </si>
  <si>
    <t>8435057008518</t>
  </si>
  <si>
    <t>KINCREM BROWNS 'CRK' nº 7.45/0</t>
  </si>
  <si>
    <t>KF7450</t>
  </si>
  <si>
    <t>8435057008464</t>
  </si>
  <si>
    <t>KINCREM BROWNS 'CRK' nº 8.45/0</t>
  </si>
  <si>
    <t>KF8450</t>
  </si>
  <si>
    <t>8435057008457</t>
  </si>
  <si>
    <t>KINCREM BROWNS 'CRK' nº 5.45/0</t>
  </si>
  <si>
    <t>KF5450</t>
  </si>
  <si>
    <t>8435057008488</t>
  </si>
  <si>
    <t>KINCREM BROWNS 'CRK' nº 6.45/0</t>
  </si>
  <si>
    <t>KF6450</t>
  </si>
  <si>
    <t>8435057008471</t>
  </si>
  <si>
    <t>LOTE 1 - INTENSE SEDUCTION</t>
  </si>
  <si>
    <t>8435057057905</t>
  </si>
  <si>
    <t>LOTE 2 - INTENSE SEDUCTION</t>
  </si>
  <si>
    <t>8435057057912</t>
  </si>
  <si>
    <t>LOTE 2B - INTENSE SEDUCTION</t>
  </si>
  <si>
    <t>8435057058018</t>
  </si>
  <si>
    <t>500610</t>
  </si>
  <si>
    <t>LOTE KIN ESSENTIALS (HONDURAS)</t>
  </si>
  <si>
    <t>500611</t>
  </si>
  <si>
    <t>LOTE CLIENTE NUEVO (HONDURAS)</t>
  </si>
  <si>
    <t>500612</t>
  </si>
  <si>
    <t>LOTE KIN ESSENTIALS HUNGRIA</t>
  </si>
  <si>
    <t>500614</t>
  </si>
  <si>
    <t>LOTE REPETICIÓN INT. SEDUCTION</t>
  </si>
  <si>
    <t>500615</t>
  </si>
  <si>
    <t>LOTE INTRO KIN ESSENTIALS</t>
  </si>
  <si>
    <t>KINCREM BASICS 'CRK' nº 1.0</t>
  </si>
  <si>
    <t>CK0010</t>
  </si>
  <si>
    <t>8435057008600</t>
  </si>
  <si>
    <t>KINCREM BASICS 'CRK' nº 2.0</t>
  </si>
  <si>
    <t>CK0020</t>
  </si>
  <si>
    <t>8435057008617</t>
  </si>
  <si>
    <t>KINCREM BASICS 'CRK' nº 3.0</t>
  </si>
  <si>
    <t>CK0030</t>
  </si>
  <si>
    <t>8435057008624</t>
  </si>
  <si>
    <t>KINCREM BASICS 'CRK' nº 4.0</t>
  </si>
  <si>
    <t>CK0040</t>
  </si>
  <si>
    <t>8435057008631</t>
  </si>
  <si>
    <t>KINCREM BASICS 'CRK' nº 5.0</t>
  </si>
  <si>
    <t>CK0050</t>
  </si>
  <si>
    <t>8435057008648</t>
  </si>
  <si>
    <t>KINCREM BASICS 'CRK' nº 6.0</t>
  </si>
  <si>
    <t>CK0060</t>
  </si>
  <si>
    <t>8435057008655</t>
  </si>
  <si>
    <t>KINCREM BASICS 'CRK' nº 7.0</t>
  </si>
  <si>
    <t>CK0070</t>
  </si>
  <si>
    <t>8435057008662</t>
  </si>
  <si>
    <t>KINCREM BASICS 'CRK' nº 8.0</t>
  </si>
  <si>
    <t>CK0080</t>
  </si>
  <si>
    <t>8435057008679</t>
  </si>
  <si>
    <t>KINCREM BASICS 'CRK' nº 9.0</t>
  </si>
  <si>
    <t>CK0090</t>
  </si>
  <si>
    <t>8435057008686</t>
  </si>
  <si>
    <t>KINCREM BASICS 'CRK' nº 10.0</t>
  </si>
  <si>
    <t>CK0100</t>
  </si>
  <si>
    <t>8435057008693</t>
  </si>
  <si>
    <t>KINCREM BASICS 'CRK' nº 3.00</t>
  </si>
  <si>
    <t>CK0300</t>
  </si>
  <si>
    <t>8435057008709</t>
  </si>
  <si>
    <t>KINCREM BASICS 'CRK' nº 4.00</t>
  </si>
  <si>
    <t>CK0400</t>
  </si>
  <si>
    <t>8435057008716</t>
  </si>
  <si>
    <t>KINCREM BASICS 'CRK' nº 5.00</t>
  </si>
  <si>
    <t>CK0500</t>
  </si>
  <si>
    <t>8435057008723</t>
  </si>
  <si>
    <t>KINCREM BASICS 'CRK' nº 6.00</t>
  </si>
  <si>
    <t>CK0600</t>
  </si>
  <si>
    <t>8435057008730</t>
  </si>
  <si>
    <t>KINCREM BASICS 'CRK' nº 7.00</t>
  </si>
  <si>
    <t>CK0700</t>
  </si>
  <si>
    <t>8435057008747</t>
  </si>
  <si>
    <t>KINCREM BASICS 'CRK' nº 8.00</t>
  </si>
  <si>
    <t>CK0800</t>
  </si>
  <si>
    <t>8435057008754</t>
  </si>
  <si>
    <t>KINCREM BASICS 'CRK' nº 9.00</t>
  </si>
  <si>
    <t>CK0900</t>
  </si>
  <si>
    <t>8435057008761</t>
  </si>
  <si>
    <t>KINCREM BASICS 'CRK' nº 10.00</t>
  </si>
  <si>
    <t>CK1000</t>
  </si>
  <si>
    <t>8435057008778</t>
  </si>
  <si>
    <t>KINCREM BASIC 'CRK' nº CN/3.0</t>
  </si>
  <si>
    <t>CKCN0030</t>
  </si>
  <si>
    <t>8435057008785</t>
  </si>
  <si>
    <t>KINCREM BASIC 'CRK' nº CN/4.0</t>
  </si>
  <si>
    <t>CKCN0040</t>
  </si>
  <si>
    <t>8435057008792</t>
  </si>
  <si>
    <t>KINCREM BASIC 'CRK' nº CN/5.0</t>
  </si>
  <si>
    <t>CKCN0050</t>
  </si>
  <si>
    <t>8435057008808</t>
  </si>
  <si>
    <t>KINCREM BASIC 'CRK' nº CN/6.0</t>
  </si>
  <si>
    <t>CKCN0060</t>
  </si>
  <si>
    <t>8435057008815</t>
  </si>
  <si>
    <t>KINCREM BASIC 'CRK' nº CN/7.0</t>
  </si>
  <si>
    <t>CKCN0070</t>
  </si>
  <si>
    <t>8435057008822</t>
  </si>
  <si>
    <t>KINCREM BASIC 'CRK' nº CN/8.0</t>
  </si>
  <si>
    <t>CKCN0080</t>
  </si>
  <si>
    <t>8435057008839</t>
  </si>
  <si>
    <t>KINCREM BASIC 'CRK' nº CN/9.0</t>
  </si>
  <si>
    <t>CKCN0090</t>
  </si>
  <si>
    <t>8435057008846</t>
  </si>
  <si>
    <t>KINCREM BASIC 'CRK' nº CN/10.0</t>
  </si>
  <si>
    <t>CKCN0100</t>
  </si>
  <si>
    <t>8435057008853</t>
  </si>
  <si>
    <t>KINCREM BASIC 'CRK' nº CN/3.00</t>
  </si>
  <si>
    <t>CKCN0300</t>
  </si>
  <si>
    <t>8435057008860</t>
  </si>
  <si>
    <t>KINCREM BASIC 'CRK' nº CN/4.00</t>
  </si>
  <si>
    <t>CKCN0400</t>
  </si>
  <si>
    <t>8435057008877</t>
  </si>
  <si>
    <t>KINCREM BASIC 'CRK' nº CN/5.00</t>
  </si>
  <si>
    <t>CKCN0500</t>
  </si>
  <si>
    <t>8435057008884</t>
  </si>
  <si>
    <t>KINCREM BASIC 'CRK' nº CN/6.00</t>
  </si>
  <si>
    <t>CKCN0600</t>
  </si>
  <si>
    <t>8435057008891</t>
  </si>
  <si>
    <t>KINCREM BASIC 'CRK' nº CN/7.00</t>
  </si>
  <si>
    <t>CKCN0700</t>
  </si>
  <si>
    <t>8435057008907</t>
  </si>
  <si>
    <t>KINCREM BASIC 'CRK' nº CN/8.00</t>
  </si>
  <si>
    <t>CKCN0800</t>
  </si>
  <si>
    <t>8435057008914</t>
  </si>
  <si>
    <t>KINCREM BASIC 'CRK' nº CN/9.00</t>
  </si>
  <si>
    <t>CKCN0900</t>
  </si>
  <si>
    <t>8435057008921</t>
  </si>
  <si>
    <t>KINCREM BASIC 'CRK' n CN/10.00</t>
  </si>
  <si>
    <t>CKCN1000</t>
  </si>
  <si>
    <t>8435057008938</t>
  </si>
  <si>
    <t>500651</t>
  </si>
  <si>
    <t>NATURAL TONES INTRO KIT 1</t>
  </si>
  <si>
    <t>500652</t>
  </si>
  <si>
    <t>NATURAL TONES INTRO KIT 1 DIST</t>
  </si>
  <si>
    <t>500653</t>
  </si>
  <si>
    <t>NATURAL TONES INTRO KIT 2</t>
  </si>
  <si>
    <t>500654</t>
  </si>
  <si>
    <t>PROMOCION ESPECIAL COLOR 1</t>
  </si>
  <si>
    <t>PROMOCION ESPECIAL COLOR 2</t>
  </si>
  <si>
    <t>600655</t>
  </si>
  <si>
    <t>OXIG.CREM 20 V.LIM. EDIT. 1000</t>
  </si>
  <si>
    <t>8435057008945</t>
  </si>
  <si>
    <t>KINCREM BASICS 'CRK' nº M/00</t>
  </si>
  <si>
    <t>8435057009041</t>
  </si>
  <si>
    <t>KINCREM BASICS 'CRK' nº M/11</t>
  </si>
  <si>
    <t>8435057009058</t>
  </si>
  <si>
    <t>KINCREM BASICS 'CRK' nº M/33</t>
  </si>
  <si>
    <t>8435057009065</t>
  </si>
  <si>
    <t>KINCREM BASICS 'CRK' nº M/44</t>
  </si>
  <si>
    <t>8435057009072</t>
  </si>
  <si>
    <t>KINCREM BASICS 'CRK' nº M/66</t>
  </si>
  <si>
    <t>8435057009089</t>
  </si>
  <si>
    <t>KINCREM BASICS 'CRK' nº M/77</t>
  </si>
  <si>
    <t>8435057009096</t>
  </si>
  <si>
    <t>KINCREM BASICS 'CRK' nº M/88</t>
  </si>
  <si>
    <t>8435057009102</t>
  </si>
  <si>
    <t>KINCREM BASICS 'CRK' nº M/99</t>
  </si>
  <si>
    <t>8435057009119</t>
  </si>
  <si>
    <t>KINCREM BASICS 'CRK' nº 9.9</t>
  </si>
  <si>
    <t>8435057009126</t>
  </si>
  <si>
    <t>KINCREM BASICS 'CRK' nº 7.9</t>
  </si>
  <si>
    <t>8435057009133</t>
  </si>
  <si>
    <t>KINCREM ROUGE 'CRK' nº 7.64</t>
  </si>
  <si>
    <t>CK0764</t>
  </si>
  <si>
    <t>8435057008952</t>
  </si>
  <si>
    <t>KINCREM ROUGE 'CRK' nº 7.66</t>
  </si>
  <si>
    <t>CK0766</t>
  </si>
  <si>
    <t>8435057008969</t>
  </si>
  <si>
    <t>KINCREM ROUGE 'CRK' nº 6.66</t>
  </si>
  <si>
    <t>CK0666</t>
  </si>
  <si>
    <t>8435057008976</t>
  </si>
  <si>
    <t>KINCREM ROUGE 'CRK' nº 6.67</t>
  </si>
  <si>
    <t>CK0667</t>
  </si>
  <si>
    <t>8435057008983</t>
  </si>
  <si>
    <t>KINCREM ROUGE 'CRK' nº 5.67</t>
  </si>
  <si>
    <t>CK0567</t>
  </si>
  <si>
    <t>8435057008990</t>
  </si>
  <si>
    <t>KINCREM ROUGE 'CRK' nº 4.67</t>
  </si>
  <si>
    <t>CK0467</t>
  </si>
  <si>
    <t>8435057009003</t>
  </si>
  <si>
    <t>KINCREM ROUGE 'CRK' nº 7.77</t>
  </si>
  <si>
    <t>CK0777</t>
  </si>
  <si>
    <t>8435057009010</t>
  </si>
  <si>
    <t>KINCREM ROUGE 'CRK' nº 5.77</t>
  </si>
  <si>
    <t>CK0577</t>
  </si>
  <si>
    <t>8435057009027</t>
  </si>
  <si>
    <t>KINCREM ROUGE 'CRK' nº 4.77</t>
  </si>
  <si>
    <t>CK0477</t>
  </si>
  <si>
    <t>8435057009034</t>
  </si>
  <si>
    <t>KINCREM BLOND 'CRK' nº 12.0</t>
  </si>
  <si>
    <t>8435057009140</t>
  </si>
  <si>
    <t>KINCREM BLOND 'CRK' nº 12.1</t>
  </si>
  <si>
    <t>8435057009157</t>
  </si>
  <si>
    <t>KINCREM BLOND 'CRK' nº 11.0</t>
  </si>
  <si>
    <t>8435057009164</t>
  </si>
  <si>
    <t>KINCREM BLOND 'CRK' nº 11.1</t>
  </si>
  <si>
    <t>8435057009171</t>
  </si>
  <si>
    <t>KINCREM BLOND 'CRK' nº 11.12</t>
  </si>
  <si>
    <t>8435057009188</t>
  </si>
  <si>
    <t>KINCREM BLOND 'CRK' nº 11.32</t>
  </si>
  <si>
    <t>8435057009195</t>
  </si>
  <si>
    <t>KINCREM P.BROWNS 'CRK' nº 7.50</t>
  </si>
  <si>
    <t>8435057009355</t>
  </si>
  <si>
    <t>KINCREM P.BROWNS 'CRK' nº 6.50</t>
  </si>
  <si>
    <t>8435057009348</t>
  </si>
  <si>
    <t>KINCREM P.BROWNS 'CRK' nº 5.50</t>
  </si>
  <si>
    <t>8435057009331</t>
  </si>
  <si>
    <t>KINCREM P.BROWNS 'CRK' nº 4.50</t>
  </si>
  <si>
    <t>8435057009324</t>
  </si>
  <si>
    <t>KINCREM 'CRK' 1TUBO nº CN/3.0</t>
  </si>
  <si>
    <t>8435057009621</t>
  </si>
  <si>
    <t>KINCREM 'CRK' 1TUBO nº CN/4.0</t>
  </si>
  <si>
    <t>8435057009638</t>
  </si>
  <si>
    <t>KINCREM 'CRK' 1TUBO nº CN/5.0</t>
  </si>
  <si>
    <t>8435057009645</t>
  </si>
  <si>
    <t>KINCREM 'CRK' 1TUBO nº CN/6.0</t>
  </si>
  <si>
    <t>8435057009652</t>
  </si>
  <si>
    <t>KINCREM 'CRK' 1TUBO nº CN/7.0</t>
  </si>
  <si>
    <t>8435057009669</t>
  </si>
  <si>
    <t>KINCREM 'CRK' 1TUBO nº CN/8.0</t>
  </si>
  <si>
    <t>8435057009676</t>
  </si>
  <si>
    <t>KINCREM 'CRK' 1TUBO nº CN/9.0</t>
  </si>
  <si>
    <t>8435057009683</t>
  </si>
  <si>
    <t>KINCREM 'CRK' 1TUBO nº CN/10.0</t>
  </si>
  <si>
    <t>8435057009690</t>
  </si>
  <si>
    <t>KINCREM 'CRK' 1TUBO nº CN/6.00</t>
  </si>
  <si>
    <t>8435057009706</t>
  </si>
  <si>
    <t>KINCREM 'CRK' 1TUBO nº CN/7.00</t>
  </si>
  <si>
    <t>8435057009713</t>
  </si>
  <si>
    <t>KINCREM 'CRK' 1TUBO nº CN/8.00</t>
  </si>
  <si>
    <t>8435057009720</t>
  </si>
  <si>
    <t>KINCREM P.BROWNS 'CRK' nº 4.51</t>
  </si>
  <si>
    <t>8435057009478</t>
  </si>
  <si>
    <t>KINCREM P.BROWNS 'CRK' nº 4.53</t>
  </si>
  <si>
    <t>8435057009485</t>
  </si>
  <si>
    <t>KINCREM P.BROWNS 'CRK' nº 5.51</t>
  </si>
  <si>
    <t>8435057009492</t>
  </si>
  <si>
    <t>KINCREM P.BROWNS 'CRK' nº 5.52</t>
  </si>
  <si>
    <t>8435057009508</t>
  </si>
  <si>
    <t>KINCREM P.BROWNS 'CRK' nº 5.53</t>
  </si>
  <si>
    <t>8435057009515</t>
  </si>
  <si>
    <t>KINCREM P.BROWNS 'CRK' nº 6.51</t>
  </si>
  <si>
    <t>8435057009522</t>
  </si>
  <si>
    <t>KINCREM P.BROWNS 'CRK' nº 6.52</t>
  </si>
  <si>
    <t>8435057009539</t>
  </si>
  <si>
    <t>KINCREM P.BROWNS 'CRK' nº 6.53</t>
  </si>
  <si>
    <t>8435057009546</t>
  </si>
  <si>
    <t>KINCREM P.BROWNS 'CRK' nº 6.54</t>
  </si>
  <si>
    <t>8435057009553</t>
  </si>
  <si>
    <t>KINCREM P.BROWNS 'CRK' nº 7.51</t>
  </si>
  <si>
    <t>8435057009560</t>
  </si>
  <si>
    <t>KINCREM P.BROWNS 'CRK' nº 7.52</t>
  </si>
  <si>
    <t>8435057009577</t>
  </si>
  <si>
    <t>KINCREM P.BROWNS 'CRK' nº 7.53</t>
  </si>
  <si>
    <t>8435057009584</t>
  </si>
  <si>
    <t>KINCREM P.BROWNS 'CRK' nº 8.51</t>
  </si>
  <si>
    <t>8435057009591</t>
  </si>
  <si>
    <t>KINCREM P.BROWNS 'CRK' nº 8.53</t>
  </si>
  <si>
    <t>8435057009607</t>
  </si>
  <si>
    <t>KINCREM P.BROWNS 'CRK' nº 8.54</t>
  </si>
  <si>
    <t>8435057009614</t>
  </si>
  <si>
    <t>KINCREM 'CRK' 1TUBO nº 6.50</t>
  </si>
  <si>
    <t>8435057009737</t>
  </si>
  <si>
    <t>KINCREM 'CRK' 1TUBO nº 7.50</t>
  </si>
  <si>
    <t>8435057009744</t>
  </si>
  <si>
    <t>KINCREM P.BROWNS 'CRK' nº 3.56</t>
  </si>
  <si>
    <t>8435057009874</t>
  </si>
  <si>
    <t>KINCREM P.BROWNS 'CRK' nº 4.56</t>
  </si>
  <si>
    <t>8435057009867</t>
  </si>
  <si>
    <t>KINCREM P.BROWNS 'CRK' nº 5.56</t>
  </si>
  <si>
    <t>8435057009850</t>
  </si>
  <si>
    <t>KINCREM P.BROWNS 'CRK' nº 6.56</t>
  </si>
  <si>
    <t>8435057009843</t>
  </si>
  <si>
    <t>KINCREM P.BROWNS 'CRK' nº 7.56</t>
  </si>
  <si>
    <t>8435057009836</t>
  </si>
  <si>
    <t>KINCREM P.BROWNS 'CRK' nº 5.4</t>
  </si>
  <si>
    <t>8435057009829</t>
  </si>
  <si>
    <t>KINCREM P.BROWNS 'CRK' nº 6.44</t>
  </si>
  <si>
    <t>8435057009812</t>
  </si>
  <si>
    <t>KINCREM P.BROWNS 'CRK' nº 6.43</t>
  </si>
  <si>
    <t>8435057009805</t>
  </si>
  <si>
    <t>KINCREM P.BROWNS 'CRK' nº 7.44</t>
  </si>
  <si>
    <t>8435057009799</t>
  </si>
  <si>
    <t>KINCREM P.BROWNS 'CRK' nº 7.4</t>
  </si>
  <si>
    <t>8435057009782</t>
  </si>
  <si>
    <t>KINCREM P.BROWNS 'CRK' nº 8.44</t>
  </si>
  <si>
    <t>8435057009775</t>
  </si>
  <si>
    <t>KINCREM P.BROWNS 'CRK' nº 8.43</t>
  </si>
  <si>
    <t>8435057009768</t>
  </si>
  <si>
    <t>KINCREM P.BASICS 'CRK' nº 6.34</t>
  </si>
  <si>
    <t>8435057009904</t>
  </si>
  <si>
    <t>KINCREM P.BASICS 'CRK' nº 7.34</t>
  </si>
  <si>
    <t>8435057009898</t>
  </si>
  <si>
    <t>KINCREM P.BASICS 'CRK' nº 8.34</t>
  </si>
  <si>
    <t>8435057009881</t>
  </si>
  <si>
    <t>KINCREM P.BASICS 'CRK' nº 4.3</t>
  </si>
  <si>
    <t>8435057009966</t>
  </si>
  <si>
    <t>KINCREM P.BASICS 'CRK' nº 5.3</t>
  </si>
  <si>
    <t>8435057009973</t>
  </si>
  <si>
    <t>KINCREM P.BASICS 'CRK' nº 6.3</t>
  </si>
  <si>
    <t>8435057009980</t>
  </si>
  <si>
    <t>KINCREM P.BASICS 'CRK' nº 7.3</t>
  </si>
  <si>
    <t>8435057009997</t>
  </si>
  <si>
    <t>KINCREM P.BASICS 'CRK' nº 8.3</t>
  </si>
  <si>
    <t>8435057010009</t>
  </si>
  <si>
    <t>KINCREM P.BASICS 'CRK' nº 9.3</t>
  </si>
  <si>
    <t>8435057010016</t>
  </si>
  <si>
    <t>KINCREM P.BASICS 'CRK' nº 10.3</t>
  </si>
  <si>
    <t>8435057010023</t>
  </si>
  <si>
    <t>KINCREM P.BASICS 'CRK' nº 7.31</t>
  </si>
  <si>
    <t>8435057010054</t>
  </si>
  <si>
    <t>KINCREM P.BASICS 'CRK' nº 8.31</t>
  </si>
  <si>
    <t>8435057010061</t>
  </si>
  <si>
    <t>KINCREM P.BASICS 'CRK' nº 9.31</t>
  </si>
  <si>
    <t>8435057010078</t>
  </si>
  <si>
    <t>KINCREM P.BASICS "CRK" nº 6.32</t>
  </si>
  <si>
    <t>8435057010085</t>
  </si>
  <si>
    <t>KINCREM P.BASICS "CRK" nº 7.32</t>
  </si>
  <si>
    <t>8435057010092</t>
  </si>
  <si>
    <t>KINCREM P.BASICS "CRK" nº 8.32</t>
  </si>
  <si>
    <t>8435057010108</t>
  </si>
  <si>
    <t>KINCREM P.BASICS "CRK" nº 9.32</t>
  </si>
  <si>
    <t>8435057010115</t>
  </si>
  <si>
    <t>KINCREM P.BASICS "CRK" nº 10.32</t>
  </si>
  <si>
    <t>8435057010122</t>
  </si>
  <si>
    <t>KINCREM P.BASICS "CRK" nº 1.1</t>
  </si>
  <si>
    <t>8435057010139</t>
  </si>
  <si>
    <t>KINCREM P.BASICS "CRK" nº 5.1</t>
  </si>
  <si>
    <t>8435057010146</t>
  </si>
  <si>
    <t>KINCREM P.BASICS "CRK" nº 6.1</t>
  </si>
  <si>
    <t>8435057010153</t>
  </si>
  <si>
    <t>KINCREM P.BASICS "CRK" nº 7.1</t>
  </si>
  <si>
    <t>8435057010160</t>
  </si>
  <si>
    <t>KINCREM P.BASICS "CRK" nº 8.1</t>
  </si>
  <si>
    <t>8435057010177</t>
  </si>
  <si>
    <t>KINCREM P.BASISCS "CRK" nº 9.1</t>
  </si>
  <si>
    <t>8435057010184</t>
  </si>
  <si>
    <t>KINCREM P.BASICS "CRK" nº 9.12</t>
  </si>
  <si>
    <t>8435057010191</t>
  </si>
  <si>
    <t>KINCREM P.BASICS "CRK" nº 10.1</t>
  </si>
  <si>
    <t>8435057010207</t>
  </si>
  <si>
    <t>CANDY C. RED VELVET 75 ml.</t>
  </si>
  <si>
    <t>8435057010337</t>
  </si>
  <si>
    <t>CANDY C. BLUE GUMMY 75 ml.</t>
  </si>
  <si>
    <t>8435057010344</t>
  </si>
  <si>
    <t>CANDY C. YELLOW MELLOW 75 ml.</t>
  </si>
  <si>
    <t>8435057010351</t>
  </si>
  <si>
    <t>CANDY C. PINK BUBBLEGUM 75 ml</t>
  </si>
  <si>
    <t>8435057010368</t>
  </si>
  <si>
    <t>CANDY C. GREEN MINT 75 ml</t>
  </si>
  <si>
    <t>8435057010399</t>
  </si>
  <si>
    <t>CANDY C. VIOLET CRUMBLE 75 ml</t>
  </si>
  <si>
    <t>8435057010405</t>
  </si>
  <si>
    <t>CANDY C. WHITE SUGAR 200 ml</t>
  </si>
  <si>
    <t>8435057010412</t>
  </si>
  <si>
    <t>CANDY C. RED VELVET 200 ml</t>
  </si>
  <si>
    <t>8435057010429</t>
  </si>
  <si>
    <t>CANDY C. BLUE GUMMY 200 ml</t>
  </si>
  <si>
    <t>8435057010436</t>
  </si>
  <si>
    <t>CANDY C. YELLOW MELLOW 200 ml</t>
  </si>
  <si>
    <t>8435057010443</t>
  </si>
  <si>
    <t>CANDY C. PINK BUBBLEGUM 200 ml</t>
  </si>
  <si>
    <t>8435057010450</t>
  </si>
  <si>
    <t>CANDY C. GREEN MINT 200 ml</t>
  </si>
  <si>
    <t>8435057010467</t>
  </si>
  <si>
    <t>CANDY C. VIOLET CRUMBLE 200 ml</t>
  </si>
  <si>
    <t>8435057010474</t>
  </si>
  <si>
    <t>CANDY C. SHAMPOO 200 ml</t>
  </si>
  <si>
    <t>8435057010481</t>
  </si>
  <si>
    <t>CANDY C.PACK BRIK 6 COLORES</t>
  </si>
  <si>
    <t>8435057010498</t>
  </si>
  <si>
    <t>LOT CANDY COLORS</t>
  </si>
  <si>
    <t>0000000500813</t>
  </si>
  <si>
    <t>KIN CANDY COLORS LOTE EXPORT.</t>
  </si>
  <si>
    <t>0000000500890</t>
  </si>
  <si>
    <t>COLOR SCREEN  100 ml.</t>
  </si>
  <si>
    <t>8435057011266</t>
  </si>
  <si>
    <t>8435057011822</t>
  </si>
  <si>
    <t>KINCREM CRK PLUS QUERATINA 1.0</t>
  </si>
  <si>
    <t>8435057012058</t>
  </si>
  <si>
    <t>KINCREM CRK PLUS QUERATINA 2.0</t>
  </si>
  <si>
    <t>8435057012065</t>
  </si>
  <si>
    <t>KINCREM CRK PLUS QUERATINA 3.0</t>
  </si>
  <si>
    <t>8435057012072</t>
  </si>
  <si>
    <t>KINCREM CRK PLUS QUERATINA 4.0</t>
  </si>
  <si>
    <t>8435057012089</t>
  </si>
  <si>
    <t>KINCREM CRK PLUS QUERATINA 5.0</t>
  </si>
  <si>
    <t>8435057012096</t>
  </si>
  <si>
    <t>KINCREM CRK PLUS QUERATINA 6.0</t>
  </si>
  <si>
    <t>8435057012102</t>
  </si>
  <si>
    <t>KINCREM CRK PLUS QUERATINA 7.0</t>
  </si>
  <si>
    <t>8435057012119</t>
  </si>
  <si>
    <t>KINCREM CRK PLUS QUERATINA 8.0</t>
  </si>
  <si>
    <t>8435057012126</t>
  </si>
  <si>
    <t>KINCREM CRK PLUS QUERATINA 9.0</t>
  </si>
  <si>
    <t>8435057012133</t>
  </si>
  <si>
    <t>KINCREM CRK PLUS QUERATINA 10.0</t>
  </si>
  <si>
    <t>8435057012140</t>
  </si>
  <si>
    <t>KINCREM CRK PLUS QUERATINA 3.00</t>
  </si>
  <si>
    <t>8435057012157</t>
  </si>
  <si>
    <t>KINCREM CRK PLUS QUERATINA 4.00</t>
  </si>
  <si>
    <t>8435057012164</t>
  </si>
  <si>
    <t>KINCREM CRK PLUS QUERATINA 5.00</t>
  </si>
  <si>
    <t>8435057012171</t>
  </si>
  <si>
    <t>KINCREM CRK PLUS QUERATINA 6.00</t>
  </si>
  <si>
    <t>8435057012188</t>
  </si>
  <si>
    <t>KINCREM CRK PLUS QUERATINA 7.00</t>
  </si>
  <si>
    <t>8435057012195</t>
  </si>
  <si>
    <t>KINCREM CRK PLUS QUERATINA 8.00</t>
  </si>
  <si>
    <t>8435057012201</t>
  </si>
  <si>
    <t>KINCREM CRK PLUS QUERATINA 9.00</t>
  </si>
  <si>
    <t>8435057012218</t>
  </si>
  <si>
    <t>KINCREM CRK PLUS QUERATINA 10.00</t>
  </si>
  <si>
    <t>8435057012225</t>
  </si>
  <si>
    <t>KINCREM CRK PLUS QUERATINA CN3.0</t>
  </si>
  <si>
    <t>8435057012232</t>
  </si>
  <si>
    <t>KINCREM CRK PLUS QUERATINA CN4.0</t>
  </si>
  <si>
    <t>8435057012249</t>
  </si>
  <si>
    <t>KINCREM CRK PLUS QUERATINA CN5.0</t>
  </si>
  <si>
    <t>8435057012256</t>
  </si>
  <si>
    <t>KINCREM CRK PLUS QUERATINA CN6.0</t>
  </si>
  <si>
    <t>8435057012263</t>
  </si>
  <si>
    <t>KINCREM CRK PLUS QUERATINA CN7.0</t>
  </si>
  <si>
    <t>8435057012270</t>
  </si>
  <si>
    <t>KINCREM CRK PLUS QUERATINA CN8.0</t>
  </si>
  <si>
    <t>8435057012287</t>
  </si>
  <si>
    <t>KINCREM CRK PLUS QUERATINA CN9.0</t>
  </si>
  <si>
    <t>8435057012294</t>
  </si>
  <si>
    <t>KINCREM CRK PLUS QUERATINA CN10.0</t>
  </si>
  <si>
    <t>8435057012300</t>
  </si>
  <si>
    <t>KINCREM CRK PLUS QUERATINA CN3.00</t>
  </si>
  <si>
    <t>8435057012317</t>
  </si>
  <si>
    <t>KINCREM CRK PLUS QUERATINA CN4.00</t>
  </si>
  <si>
    <t>8435057012324</t>
  </si>
  <si>
    <t>KINCREM CRK PLUS QUERATINA CN5.00</t>
  </si>
  <si>
    <t>8435057012331</t>
  </si>
  <si>
    <t>KINCREM CRK PLUS QUERATINA CN6.00</t>
  </si>
  <si>
    <t>8435057012348</t>
  </si>
  <si>
    <t>KINCREM CRK PLUS QUERATINA CN7.00</t>
  </si>
  <si>
    <t>8435057012355</t>
  </si>
  <si>
    <t>KINCREM CRK PLUS QUERATINA CN8.00</t>
  </si>
  <si>
    <t>8435057012362</t>
  </si>
  <si>
    <t>KINCREM CRK PLUS QUERATINA CN9.00</t>
  </si>
  <si>
    <t>8435057012379</t>
  </si>
  <si>
    <t>KINCREM CRK PLUS QUERATINA CN10.00</t>
  </si>
  <si>
    <t>8435057012386</t>
  </si>
  <si>
    <t>KINCREM CRK PLUS QUERATINA 7.9</t>
  </si>
  <si>
    <t>8435057012393</t>
  </si>
  <si>
    <t>KINCREM CRK PLUS QUERATINA 9.9</t>
  </si>
  <si>
    <t>8435057012409</t>
  </si>
  <si>
    <t>KINCREM CRK PLUS QUERATINA 1.1</t>
  </si>
  <si>
    <t>8435057012416</t>
  </si>
  <si>
    <t>KINCREM CRK PLUS QUERATINA 5.1</t>
  </si>
  <si>
    <t>8435057012423</t>
  </si>
  <si>
    <t>KINCREM CRK PLUS QUERATINA 6.1</t>
  </si>
  <si>
    <t>8435057012430</t>
  </si>
  <si>
    <t>KINCREM CRK PLUS QUERATINA 7.1</t>
  </si>
  <si>
    <t>8435057012447</t>
  </si>
  <si>
    <t>KINCREM CRK PLUS QUERATINA 8.1</t>
  </si>
  <si>
    <t>8435057012454</t>
  </si>
  <si>
    <t>KINCREM CRK PLUS QUERATINA 9.1</t>
  </si>
  <si>
    <t>8435057012461</t>
  </si>
  <si>
    <t>KINCREM CRK PLUS QUERATINA 9.12</t>
  </si>
  <si>
    <t>8435057012478</t>
  </si>
  <si>
    <t>KINCREM CRK PLUS QUERATINA 10.1</t>
  </si>
  <si>
    <t>8435057012485</t>
  </si>
  <si>
    <t>KINCREM CRK PLUS QUERATINA 4.3</t>
  </si>
  <si>
    <t>8435057012492</t>
  </si>
  <si>
    <t>KINCREM CRK PLUS QUERATINA 5.3</t>
  </si>
  <si>
    <t>8435057012508</t>
  </si>
  <si>
    <t>KINCREM CRK PLUS QUERATINA 6.3</t>
  </si>
  <si>
    <t>8435057012515</t>
  </si>
  <si>
    <t>KINCREM CRK PLUS QUERATINA 7.3</t>
  </si>
  <si>
    <t>8435057012522</t>
  </si>
  <si>
    <t>KINCREM CRK PLUS QUERATINA 8.3</t>
  </si>
  <si>
    <t>8435057012539</t>
  </si>
  <si>
    <t>KINCREM CRK PLUS QUERATINA 9.3</t>
  </si>
  <si>
    <t>8435057012546</t>
  </si>
  <si>
    <t>KINCREM CRK PLUS QUERATINA 10.3</t>
  </si>
  <si>
    <t>8435057012553</t>
  </si>
  <si>
    <t>KINCREM CRK PLUS QUERATINA 7.31</t>
  </si>
  <si>
    <t>8435057012560</t>
  </si>
  <si>
    <t>KINCREM CRK PLUS QUERATINA 8.31</t>
  </si>
  <si>
    <t>8435057012577</t>
  </si>
  <si>
    <t>KINCREM CRK PLUS QUERATINA 9.31</t>
  </si>
  <si>
    <t>8435057012584</t>
  </si>
  <si>
    <t>KINCREM CRK PLUS QUERATINA 6.32</t>
  </si>
  <si>
    <t>8435057012591</t>
  </si>
  <si>
    <t>KINCREM CRK PLUS QUERATINA 7.32</t>
  </si>
  <si>
    <t>8435057012607</t>
  </si>
  <si>
    <t>KINCREM CRK PLUS QUERATINA 8.32</t>
  </si>
  <si>
    <t>8435057012614</t>
  </si>
  <si>
    <t>KINCREM CRK PLUS QUERATINA 9.32</t>
  </si>
  <si>
    <t>8435057012621</t>
  </si>
  <si>
    <t>KINCREM CRK PLUS QUERATINA 10.32</t>
  </si>
  <si>
    <t>8435057012638</t>
  </si>
  <si>
    <t>KINCREM CRK PLUS QUERATINA 6.34</t>
  </si>
  <si>
    <t>8435057012645</t>
  </si>
  <si>
    <t>KINCREM CRK PLUS QUERATINA 7.34</t>
  </si>
  <si>
    <t>8435057012652</t>
  </si>
  <si>
    <t>KINCREM CRK PLUS QUERATINA 8.34</t>
  </si>
  <si>
    <t>8435057012669</t>
  </si>
  <si>
    <t>KINCREM CRK PLUS QUERATINA M/00</t>
  </si>
  <si>
    <t>8435057012676</t>
  </si>
  <si>
    <t>KINCREM CRK PLUS QUERATINA M/11</t>
  </si>
  <si>
    <t>8435057012683</t>
  </si>
  <si>
    <t>KINCREM CRK PLUS QUERATINA M/33</t>
  </si>
  <si>
    <t>8435057012690</t>
  </si>
  <si>
    <t>KINCREM CRK PLUS QUERATINA M/44</t>
  </si>
  <si>
    <t>8435057012706</t>
  </si>
  <si>
    <t>KINCREM CRK PLUS QUERATINA M/66</t>
  </si>
  <si>
    <t>8435057012713</t>
  </si>
  <si>
    <t>KINCREM CRK PLUS QUERATINA M/77</t>
  </si>
  <si>
    <t>8435057012720</t>
  </si>
  <si>
    <t>KINCREM CRK PLUS QUERATINA M/88</t>
  </si>
  <si>
    <t>8435057012737</t>
  </si>
  <si>
    <t>KINCREM CRK PLUS QUERATINA M/99</t>
  </si>
  <si>
    <t>8435057012744</t>
  </si>
  <si>
    <t>KINCREM CRK PLUS QUERATINA 5.45</t>
  </si>
  <si>
    <t>8435057012751</t>
  </si>
  <si>
    <t>KINCREM CRK PLUS QUERATINA 6.45</t>
  </si>
  <si>
    <t>8435057012768</t>
  </si>
  <si>
    <t>KINCREM CRK PLUS QUERATINA 7.45</t>
  </si>
  <si>
    <t>8435057012775</t>
  </si>
  <si>
    <t>KINCREM CRK PLUS QUERATINA 8.45</t>
  </si>
  <si>
    <t>8435057012782</t>
  </si>
  <si>
    <t>KINCREM CRK PLUS QUERATINA 6.43</t>
  </si>
  <si>
    <t>8435057012799</t>
  </si>
  <si>
    <t>KINCREM CRK PLUS QUERATINA 8.43</t>
  </si>
  <si>
    <t>8435057012805</t>
  </si>
  <si>
    <t>KINCREM CRK PLUS QUERATINA 5.4</t>
  </si>
  <si>
    <t>8435057012812</t>
  </si>
  <si>
    <t>KINCREM CRK PLUS QUERATINA 7.4</t>
  </si>
  <si>
    <t>8435057012829</t>
  </si>
  <si>
    <t>KINCREM CRK PLUS QUERATINA 6.44</t>
  </si>
  <si>
    <t>8435057012836</t>
  </si>
  <si>
    <t>KINCREM CRK PLUS QUERATINA 7.44</t>
  </si>
  <si>
    <t>8435057012843</t>
  </si>
  <si>
    <t>KINCREM CRK PLUS QUERATINA 8.44</t>
  </si>
  <si>
    <t>8435057012850</t>
  </si>
  <si>
    <t>KINCREM CRK PLUS QUERATINA 4.50</t>
  </si>
  <si>
    <t>8435057012867</t>
  </si>
  <si>
    <t>KINCREM CRK PLUS QUERATINA 5.50</t>
  </si>
  <si>
    <t>8435057012874</t>
  </si>
  <si>
    <t>KINCREM CRK PLUS QUERATINA 6.50</t>
  </si>
  <si>
    <t>8435057012881</t>
  </si>
  <si>
    <t>KINCREM CRK PLUS QUERATINA 7.50</t>
  </si>
  <si>
    <t>8435057012898</t>
  </si>
  <si>
    <t>KINCREM CRK PLUS QUERATINA 4.51</t>
  </si>
  <si>
    <t>8435057012904</t>
  </si>
  <si>
    <t>KINCREM CRK PLUS QUERATINA 5.51</t>
  </si>
  <si>
    <t>8435057012911</t>
  </si>
  <si>
    <t>KINCREM CRK PLUS QUERATINA 6.51</t>
  </si>
  <si>
    <t>8435057012928</t>
  </si>
  <si>
    <t>KINCREM CRK PLUS QUERATINA 7.51</t>
  </si>
  <si>
    <t>8435057012935</t>
  </si>
  <si>
    <t>KINCREM CRK PLUS QUERATINA 8.51</t>
  </si>
  <si>
    <t>8435057012942</t>
  </si>
  <si>
    <t>KINCREM CRK PLUS QUERATINA 5.52</t>
  </si>
  <si>
    <t>8435057012959</t>
  </si>
  <si>
    <t>KINCREM CRK PLUS QUERATINA 6.52</t>
  </si>
  <si>
    <t>8435057012966</t>
  </si>
  <si>
    <t>KINCREM CRK PLUS QUERATINA 7.52</t>
  </si>
  <si>
    <t>8435057012973</t>
  </si>
  <si>
    <t>KINCREM CRK PLUS QUERATINA 4.53</t>
  </si>
  <si>
    <t>8435057012980</t>
  </si>
  <si>
    <t>KINCREM CRK PLUS QUERATINA 5.53</t>
  </si>
  <si>
    <t>8435057012997</t>
  </si>
  <si>
    <t>KINCREM CRK PLUS QUERATINA 6.53</t>
  </si>
  <si>
    <t>8435057013000</t>
  </si>
  <si>
    <t>KINCREM CRK PLUS QUERATINA 7.53</t>
  </si>
  <si>
    <t>8435057013017</t>
  </si>
  <si>
    <t>KINCREM CRK PLUS QUERATINA 8.53</t>
  </si>
  <si>
    <t>8435057013024</t>
  </si>
  <si>
    <t>KINCREM CRK PLUS QUERATINA 6.54</t>
  </si>
  <si>
    <t>8435057013031</t>
  </si>
  <si>
    <t>KINCREM CRK PLUS QUERATINA 8.54</t>
  </si>
  <si>
    <t>8435057013048</t>
  </si>
  <si>
    <t>KINCREM CRK PLUS QUERATINA 3.56</t>
  </si>
  <si>
    <t>8435057013055</t>
  </si>
  <si>
    <t>KINCREM CRK PLUS QUERATINA 4.56</t>
  </si>
  <si>
    <t>8435057013062</t>
  </si>
  <si>
    <t>KINCREM CRK PLUS QUERATINA 5.56</t>
  </si>
  <si>
    <t>8435057013079</t>
  </si>
  <si>
    <t>KINCREM CRK PLUS QUERATINA 6.56</t>
  </si>
  <si>
    <t>8435057013086</t>
  </si>
  <si>
    <t>KINCREM CRK PLUS QUERATINA 7.56</t>
  </si>
  <si>
    <t>8435057013093</t>
  </si>
  <si>
    <t>KINCREM CRK PLUS QUERATINA 7.64</t>
  </si>
  <si>
    <t>8435057013109</t>
  </si>
  <si>
    <t>KINCREM CRK PLUS QUERATINA 6.66</t>
  </si>
  <si>
    <t>8435057013116</t>
  </si>
  <si>
    <t>KINCREM CRK PLUS QUERATINA 7.66</t>
  </si>
  <si>
    <t>8435057013123</t>
  </si>
  <si>
    <t>KINCREM CRK PLUS QUERATINA 4.67</t>
  </si>
  <si>
    <t>8435057013130</t>
  </si>
  <si>
    <t>KINCREM CRK PLUS QUERATINA 5.67</t>
  </si>
  <si>
    <t>8435057013147</t>
  </si>
  <si>
    <t>KINCREM CRK PLUS QUERATINA 6.67</t>
  </si>
  <si>
    <t>8435057013154</t>
  </si>
  <si>
    <t>KINCREM CRK PLUS QUERATINA 4.77</t>
  </si>
  <si>
    <t>8435057013161</t>
  </si>
  <si>
    <t>KINCREM CRK PLUS QUERATINA 5.77</t>
  </si>
  <si>
    <t>8435057013178</t>
  </si>
  <si>
    <t>KINCREM CRK PLUS QUERATINA 7.77</t>
  </si>
  <si>
    <t>8435057013185</t>
  </si>
  <si>
    <t>KINCREM CRK PLUS QUERATINA C44</t>
  </si>
  <si>
    <t>8435057013192</t>
  </si>
  <si>
    <t>KINCREM CRK PLUS QUERATINA C55</t>
  </si>
  <si>
    <t>8435057013208</t>
  </si>
  <si>
    <t>KINCREM CRK PLUS QUERATINA C66</t>
  </si>
  <si>
    <t>8435057013215</t>
  </si>
  <si>
    <t>KINCREM CRK PLUS QUERATINA C77</t>
  </si>
  <si>
    <t>8435057013222</t>
  </si>
  <si>
    <t>KINCREM CRK PLUS QUERATINA 11.0</t>
  </si>
  <si>
    <t>8435057013239</t>
  </si>
  <si>
    <t>KINCREM CRK PLUS QUERATINA 11.1</t>
  </si>
  <si>
    <t>8435057013246</t>
  </si>
  <si>
    <t>KINCREM CRK PLUS QUERATINA 11.12</t>
  </si>
  <si>
    <t>8435057013253</t>
  </si>
  <si>
    <t>KINCREM CRK PLUS QUERATINA 11.32</t>
  </si>
  <si>
    <t>8435057013260</t>
  </si>
  <si>
    <t>KINCREM CRK PLUS QUERATINA 12.0</t>
  </si>
  <si>
    <t>8435057013277</t>
  </si>
  <si>
    <t>KINCREM CRK PLUS QUERATINA 12.1</t>
  </si>
  <si>
    <t>8435057013284</t>
  </si>
  <si>
    <t>CREME OXYDANT 10 VOL. 1000 ML</t>
  </si>
  <si>
    <t>8435057013314</t>
  </si>
  <si>
    <t>CREME OXYDANT 20 VOL. 1000 ML</t>
  </si>
  <si>
    <t>8435057013321</t>
  </si>
  <si>
    <t>CREME OXYDANT 30 VOL. 1000 ML</t>
  </si>
  <si>
    <t>8435057013338</t>
  </si>
  <si>
    <t>CREME OXYDANT 40 VOL. 1.000 ML</t>
  </si>
  <si>
    <t>8435057013345</t>
  </si>
  <si>
    <t>COLOR PLUS OXYDANT 10 VOL. 1000 ML</t>
  </si>
  <si>
    <t>8435057013352</t>
  </si>
  <si>
    <t>COLOR PLUS OXYDANT 20 VOL. 1000 ML</t>
  </si>
  <si>
    <t>8435057013369</t>
  </si>
  <si>
    <t>COLOR PLUS OXYDANT 30 VOL. 1.000 ML</t>
  </si>
  <si>
    <t>8435057013376</t>
  </si>
  <si>
    <t>BLONDES OXYDANT 40 VOL. 1.000 ML</t>
  </si>
  <si>
    <t>8435057013383</t>
  </si>
  <si>
    <t>BLONDES OXYDANT 40 VOL. 120 ML</t>
  </si>
  <si>
    <t>8435057013390</t>
  </si>
  <si>
    <t>CREME OXYDANT 20 VOL. 60 ML</t>
  </si>
  <si>
    <t>8435057013406</t>
  </si>
  <si>
    <t>CREME OXYDANT 30 VOL. 60 ML</t>
  </si>
  <si>
    <t>8435057013413</t>
  </si>
  <si>
    <t>CREME OXYDANT 40 VOL. 60 ML</t>
  </si>
  <si>
    <t>8435057013420</t>
  </si>
  <si>
    <t>COLOR PLUS OXYDANT 20 VOL. 60 ML</t>
  </si>
  <si>
    <t>8435057013437</t>
  </si>
  <si>
    <t>COLOR PLUS OXYDANT 30 VOL. 60 ML</t>
  </si>
  <si>
    <t>8435057013444</t>
  </si>
  <si>
    <t>EARTH NUDES COLLECTION 6.647</t>
  </si>
  <si>
    <t>8435057014014</t>
  </si>
  <si>
    <t>EARTH NUDES COLLECTION 7.512</t>
  </si>
  <si>
    <t>8435057014021</t>
  </si>
  <si>
    <t>EARTH NUDES COLLECTION 8.348</t>
  </si>
  <si>
    <t>8435057014038</t>
  </si>
  <si>
    <t>EARTH NUDES COLLECTION 8.762</t>
  </si>
  <si>
    <t>8435057014045</t>
  </si>
  <si>
    <t>KINCREM COLOR 1.0 100 ML</t>
  </si>
  <si>
    <t>8435057015233</t>
  </si>
  <si>
    <t>KINCREM COLOR 2.0 100 ML</t>
  </si>
  <si>
    <t>8435057015240</t>
  </si>
  <si>
    <t>KINCREM COLOR 3.0 100 ML</t>
  </si>
  <si>
    <t>8435057015257</t>
  </si>
  <si>
    <t>KINCREM COLOR 4.0 100 ML</t>
  </si>
  <si>
    <t>8435057015264</t>
  </si>
  <si>
    <t>KINCREM COLOR 5.0 100 ML</t>
  </si>
  <si>
    <t>8435057015271</t>
  </si>
  <si>
    <t>KINCREM COLOR 6.0 100 ML</t>
  </si>
  <si>
    <t>8435057015288</t>
  </si>
  <si>
    <t>KINCREM COLOR 7.0 100 ML</t>
  </si>
  <si>
    <t>8435057015295</t>
  </si>
  <si>
    <t>KINCREM COLOR 8.0 100 ML</t>
  </si>
  <si>
    <t>8435057015301</t>
  </si>
  <si>
    <t>KINCREM COLOR 9.0 100 ML</t>
  </si>
  <si>
    <t>8435057015318</t>
  </si>
  <si>
    <t>KINCREM COLOR 10.0 100 ML</t>
  </si>
  <si>
    <t>8435057015325</t>
  </si>
  <si>
    <t>KINCREM COLOR 3.00 100 ML</t>
  </si>
  <si>
    <t>8435057015332</t>
  </si>
  <si>
    <t>KINCREM COLOR 4.00 100 ML</t>
  </si>
  <si>
    <t>8435057015349</t>
  </si>
  <si>
    <t>KINCREM COLOR 5.00 100 ML</t>
  </si>
  <si>
    <t>8435057015356</t>
  </si>
  <si>
    <t>KINCREM COLOR 6.00 100 ML</t>
  </si>
  <si>
    <t>8435057015363</t>
  </si>
  <si>
    <t>KINCREM COLOR 7.00 100 ML</t>
  </si>
  <si>
    <t>8435057015370</t>
  </si>
  <si>
    <t>KINCREM COLOR 8.00 100 ML</t>
  </si>
  <si>
    <t>8435057015387</t>
  </si>
  <si>
    <t>KINCREM COLOR 9.00 100 ML</t>
  </si>
  <si>
    <t>8435057015394</t>
  </si>
  <si>
    <t>KINCREM COLOR 10.00 100 ML</t>
  </si>
  <si>
    <t>8435057015400</t>
  </si>
  <si>
    <t>KINCREM COLOR 4.08 100 ML</t>
  </si>
  <si>
    <t>8435057015417</t>
  </si>
  <si>
    <t>KINCREM COLOR 5.08 100 ML</t>
  </si>
  <si>
    <t>8435057015424</t>
  </si>
  <si>
    <t>KINCREM COLOR 6.08 100 ML</t>
  </si>
  <si>
    <t>8435057015431</t>
  </si>
  <si>
    <t>KINCREM COLOR 7.08 100 ML</t>
  </si>
  <si>
    <t>8435057015448</t>
  </si>
  <si>
    <t>KINCREM COLOR 8.08 100 ML</t>
  </si>
  <si>
    <t>8435057015455</t>
  </si>
  <si>
    <t>KINCREM COLOR 1.1 100 ML</t>
  </si>
  <si>
    <t>8435057015462</t>
  </si>
  <si>
    <t>KINCREM COLOR 5.1 100 ML</t>
  </si>
  <si>
    <t>8435057015479</t>
  </si>
  <si>
    <t>KINCREM COLOR 6.1 100 ML</t>
  </si>
  <si>
    <t>8435057015486</t>
  </si>
  <si>
    <t>KINCREM COLOR 7.1 100 ML</t>
  </si>
  <si>
    <t>8435057015493</t>
  </si>
  <si>
    <t>KINCREM COLOR 8.1 100 ML</t>
  </si>
  <si>
    <t>8435057015509</t>
  </si>
  <si>
    <t>KINCREM COLOR 9.1 100 ML</t>
  </si>
  <si>
    <t>8435057015516</t>
  </si>
  <si>
    <t>KINCREM COLOR 10.1 100 ML</t>
  </si>
  <si>
    <t>8435057015523</t>
  </si>
  <si>
    <t>KINCREM COLOR 6.12 100 ML</t>
  </si>
  <si>
    <t>8435057015530</t>
  </si>
  <si>
    <t>KINCREM COLOR 7.12 100 ML</t>
  </si>
  <si>
    <t>8435057015547</t>
  </si>
  <si>
    <t>KINCREM COLOR 8.12 100 ML</t>
  </si>
  <si>
    <t>8435057015554</t>
  </si>
  <si>
    <t>KINCREM COLOR 9.12 100 ML</t>
  </si>
  <si>
    <t>8435057015561</t>
  </si>
  <si>
    <t>KINCREM COLOR 8.13 100 ML</t>
  </si>
  <si>
    <t>8435057015578</t>
  </si>
  <si>
    <t>KINCREM COLOR 9.13 100 ML</t>
  </si>
  <si>
    <t>8435057015585</t>
  </si>
  <si>
    <t>KINCREM COLOR 10.13 100 ML</t>
  </si>
  <si>
    <t>8435057015592</t>
  </si>
  <si>
    <t>KINCREM COLOR 9.2 100 ML</t>
  </si>
  <si>
    <t>8435057015608</t>
  </si>
  <si>
    <t>KINCREM COLOR 10.2 100 ML</t>
  </si>
  <si>
    <t>8435057015615</t>
  </si>
  <si>
    <t>KINCREM COLOR 8.21 100 ML</t>
  </si>
  <si>
    <t>8435057015622</t>
  </si>
  <si>
    <t>KINCREM COLOR 9.21 100 ML</t>
  </si>
  <si>
    <t>8435057015639</t>
  </si>
  <si>
    <t>KINCREM COLOR 10.21 100 ML</t>
  </si>
  <si>
    <t>8435057015646</t>
  </si>
  <si>
    <t>KINCREM COLOR 4.3 100 ML</t>
  </si>
  <si>
    <t>8435057015653</t>
  </si>
  <si>
    <t>KINCREM COLOR 5.3 100 ML</t>
  </si>
  <si>
    <t>8435057015660</t>
  </si>
  <si>
    <t>KINCREM COLOR 6.3 100 ML</t>
  </si>
  <si>
    <t>8435057015677</t>
  </si>
  <si>
    <t>KINCREM COLOR 7.3 100 ML</t>
  </si>
  <si>
    <t>8435057015684</t>
  </si>
  <si>
    <t>KINCREM COLOR 8.3 100 ML</t>
  </si>
  <si>
    <t>8435057015691</t>
  </si>
  <si>
    <t>KINCREM COLOR 9.3 100 ML</t>
  </si>
  <si>
    <t>8435057015707</t>
  </si>
  <si>
    <t>KINCREM COLOR 10.3 100 ML</t>
  </si>
  <si>
    <t>8435057015714</t>
  </si>
  <si>
    <t>KINCREM COLOR 7.31 100 ML</t>
  </si>
  <si>
    <t>8435057015721</t>
  </si>
  <si>
    <t>KINCREM COLOR 8.31 100 ML</t>
  </si>
  <si>
    <t>8435057015738</t>
  </si>
  <si>
    <t>KINCREM COLOR 9.31 100 ML</t>
  </si>
  <si>
    <t>8435057015745</t>
  </si>
  <si>
    <t>KINCREM COLOR 6.32 100 ML</t>
  </si>
  <si>
    <t>8435057015752</t>
  </si>
  <si>
    <t>KINCREM COLOR 7.32 100 ML</t>
  </si>
  <si>
    <t>8435057015769</t>
  </si>
  <si>
    <t>KINCREM COLOR 8.32 100 ML</t>
  </si>
  <si>
    <t>8435057015776</t>
  </si>
  <si>
    <t>KINCREM COLOR 9.32 100 ML</t>
  </si>
  <si>
    <t>8435057015783</t>
  </si>
  <si>
    <t>KINCREM COLOR 10.32 100 ML</t>
  </si>
  <si>
    <t>8435057015790</t>
  </si>
  <si>
    <t>KINCREM COLOR 6.34 100 ML</t>
  </si>
  <si>
    <t>8435057015806</t>
  </si>
  <si>
    <t>KINCREM COLOR 7.34 100 ML</t>
  </si>
  <si>
    <t>8435057015813</t>
  </si>
  <si>
    <t>KINCREM COLOR 8.34 100 ML</t>
  </si>
  <si>
    <t>8435057015820</t>
  </si>
  <si>
    <t>KINCREM COLOR 5.4 100 ML</t>
  </si>
  <si>
    <t>8435057015837</t>
  </si>
  <si>
    <t>KINCREM COLOR 7.4 100 ML</t>
  </si>
  <si>
    <t>8435057015844</t>
  </si>
  <si>
    <t>KINCREM COLOR 6.43 100 ML</t>
  </si>
  <si>
    <t>8435057015851</t>
  </si>
  <si>
    <t>KINCREM COLOR 8.43 100 ML</t>
  </si>
  <si>
    <t>8435057015868</t>
  </si>
  <si>
    <t>KINCREM COLOR 6.44 100 ML</t>
  </si>
  <si>
    <t>8435057015875</t>
  </si>
  <si>
    <t>KINCREM COLOR 7.44 100 ML</t>
  </si>
  <si>
    <t>8435057015882</t>
  </si>
  <si>
    <t>KINCREM COLOR 8.44 100 ML</t>
  </si>
  <si>
    <t>8435057015899</t>
  </si>
  <si>
    <t>KINCREM COLOR 5.45 100 ML</t>
  </si>
  <si>
    <t>8435057015905</t>
  </si>
  <si>
    <t>KINCREM COLOR 6.45 100 ML</t>
  </si>
  <si>
    <t>8435057015912</t>
  </si>
  <si>
    <t>KINCREM COLOR 7.45 100 ML</t>
  </si>
  <si>
    <t>8435057015929</t>
  </si>
  <si>
    <t>KINCREM COLOR 8.45 100 ML</t>
  </si>
  <si>
    <t>8435057015936</t>
  </si>
  <si>
    <t>KINCREM COLOR 4.50 100 ML</t>
  </si>
  <si>
    <t>8435057015943</t>
  </si>
  <si>
    <t>KINCREM COLOR 5.50 100 ML</t>
  </si>
  <si>
    <t>8435057015950</t>
  </si>
  <si>
    <t>KINCREM COLOR 6.50 100 ML</t>
  </si>
  <si>
    <t>8435057015967</t>
  </si>
  <si>
    <t>KINCREM COLOR 7.50 100 ML</t>
  </si>
  <si>
    <t>8435057015974</t>
  </si>
  <si>
    <t>KINCREM COLOR 4.51 100 ML</t>
  </si>
  <si>
    <t>8435057015981</t>
  </si>
  <si>
    <t>KINCREM COLOR 5.51 100 ML</t>
  </si>
  <si>
    <t>8435057015998</t>
  </si>
  <si>
    <t>KINCREM COLOR 6.51 100 ML</t>
  </si>
  <si>
    <t>8435057016001</t>
  </si>
  <si>
    <t>KINCREM COLOR 7.51 100 ML</t>
  </si>
  <si>
    <t>8435057016018</t>
  </si>
  <si>
    <t>KINCREM COLOR 8.51 100 ML</t>
  </si>
  <si>
    <t>8435057016025</t>
  </si>
  <si>
    <t>KINCREM COLOR 5.52 100 ML</t>
  </si>
  <si>
    <t>8435057016032</t>
  </si>
  <si>
    <t>KINCREM COLOR 6.52 100 ML</t>
  </si>
  <si>
    <t>8435057016049</t>
  </si>
  <si>
    <t>KINCREM COLOR 7.52 100 ML</t>
  </si>
  <si>
    <t>8435057016056</t>
  </si>
  <si>
    <t>KINCREM COLOR 4.53 100 ML</t>
  </si>
  <si>
    <t>8435057016063</t>
  </si>
  <si>
    <t>KINCREM COLOR 5.53 100 ML</t>
  </si>
  <si>
    <t>8435057016070</t>
  </si>
  <si>
    <t>KINCREM COLOR 6.53 100 ML</t>
  </si>
  <si>
    <t>8435057016087</t>
  </si>
  <si>
    <t>KINCREM COLOR 7.53 100 ML</t>
  </si>
  <si>
    <t>8435057016094</t>
  </si>
  <si>
    <t>KINCREM COLOR 8.53 100 ML</t>
  </si>
  <si>
    <t>8435057016100</t>
  </si>
  <si>
    <t>KINCREM COLOR 6.54 100 ML</t>
  </si>
  <si>
    <t>8435057016117</t>
  </si>
  <si>
    <t>KINCREM COLOR 8.54 100 ML</t>
  </si>
  <si>
    <t>8435057016124</t>
  </si>
  <si>
    <t>KINCREM COLOR 3.56 100 ML</t>
  </si>
  <si>
    <t>8435057016131</t>
  </si>
  <si>
    <t>KINCREM COLOR 4.56 100 ML</t>
  </si>
  <si>
    <t>8435057016148</t>
  </si>
  <si>
    <t>KINCREM COLOR 5.56 100 ML</t>
  </si>
  <si>
    <t>8435057016155</t>
  </si>
  <si>
    <t>KINCREM COLOR 6.56 100 ML</t>
  </si>
  <si>
    <t>8435057016162</t>
  </si>
  <si>
    <t>KINCREM COLOR 7.56 100 ML</t>
  </si>
  <si>
    <t>8435057016179</t>
  </si>
  <si>
    <t>KINCREM COLOR 7.64 100 ML</t>
  </si>
  <si>
    <t>8435057016186</t>
  </si>
  <si>
    <t>KINCREM COLOR 6.66 100 ML</t>
  </si>
  <si>
    <t>8435057016193</t>
  </si>
  <si>
    <t>KINCREM COLOR 7.66 100 ML</t>
  </si>
  <si>
    <t>8435057016209</t>
  </si>
  <si>
    <t>KINCREM COLOR 4.67 100 ML</t>
  </si>
  <si>
    <t>8435057016216</t>
  </si>
  <si>
    <t>KINCREM COLOR 5.67 100 ML</t>
  </si>
  <si>
    <t>8435057016223</t>
  </si>
  <si>
    <t>KINCREM COLOR 6.67 100 ML</t>
  </si>
  <si>
    <t>8435057016230</t>
  </si>
  <si>
    <t>KINCREM COLOR 4.77 100 ML</t>
  </si>
  <si>
    <t>8435057016247</t>
  </si>
  <si>
    <t>KINCREM COLOR 6.77 100 ML</t>
  </si>
  <si>
    <t>8435057016254</t>
  </si>
  <si>
    <t>KINCREM COLOR 7.77 100 ML</t>
  </si>
  <si>
    <t>8435057016261</t>
  </si>
  <si>
    <t>KINCREM COLOR 7.9 100 ML</t>
  </si>
  <si>
    <t>8435057016278</t>
  </si>
  <si>
    <t>KINCREM COLOR 9.9 100 ML</t>
  </si>
  <si>
    <t>8435057016285</t>
  </si>
  <si>
    <t>KINCREM COLOR 11.0 100 ML</t>
  </si>
  <si>
    <t>8435057016292</t>
  </si>
  <si>
    <t>KINCREM COLOR 12.0 100 ML</t>
  </si>
  <si>
    <t>8435057016308</t>
  </si>
  <si>
    <t>KINCREM COLOR 11.1 100 ML</t>
  </si>
  <si>
    <t>8435057016315</t>
  </si>
  <si>
    <t>KINCREM COLOR 12.1 100 ML</t>
  </si>
  <si>
    <t>8435057016322</t>
  </si>
  <si>
    <t>KINCREM COLOR 11.12 100 ML</t>
  </si>
  <si>
    <t>8435057016339</t>
  </si>
  <si>
    <t>KINCREM COLOR 11.32 100 ML</t>
  </si>
  <si>
    <t>8435057016346</t>
  </si>
  <si>
    <t>KINCREM COLOR M/00 100 ML</t>
  </si>
  <si>
    <t>8435057016353</t>
  </si>
  <si>
    <t>KINCREM COLOR M/11 100 ML</t>
  </si>
  <si>
    <t>8435057016360</t>
  </si>
  <si>
    <t>KINCREM COLOR M/33 100 ML</t>
  </si>
  <si>
    <t>8435057016377</t>
  </si>
  <si>
    <t>KINCREM COLOR M/44 100 ML</t>
  </si>
  <si>
    <t>8435057016384</t>
  </si>
  <si>
    <t>KINCREM COLOR M/66 100 ML</t>
  </si>
  <si>
    <t>8435057016391</t>
  </si>
  <si>
    <t>KINCREM COLOR M/77 100 ML</t>
  </si>
  <si>
    <t>8435057016407</t>
  </si>
  <si>
    <t>KINCREM COLOR M/88 100 ML</t>
  </si>
  <si>
    <t>8435057016414</t>
  </si>
  <si>
    <t>KINCREM COLOR M/99 100 ML</t>
  </si>
  <si>
    <t>8435057016421</t>
  </si>
  <si>
    <t>KINCREM COLOR ACTIVE CREAM OXIDANT 10 VOL 1.000 ML</t>
  </si>
  <si>
    <t>8435057016438</t>
  </si>
  <si>
    <t>KINCREM COLOR ACTIVE CREAM OXIDANT 20 VOL 1.000 ML</t>
  </si>
  <si>
    <t>8435057016445</t>
  </si>
  <si>
    <t>KINCREM COLOR ACTIVE CREAM OXIDANT 30 VOL 1.000 ML</t>
  </si>
  <si>
    <t>8435057016452</t>
  </si>
  <si>
    <t>KINCREM COLOR ACTIVE CREAM OXIDANT 40 VOL 1.000 ML</t>
  </si>
  <si>
    <t>8435057016469</t>
  </si>
  <si>
    <t>KINCREM COLOR ACTIVE CREAM OXIDANT 10 VOL 100 ML</t>
  </si>
  <si>
    <t>8435057016476</t>
  </si>
  <si>
    <t>KINCREM COLOR ACTIVE CREAM OXIDANT 20 VOL 100 ML</t>
  </si>
  <si>
    <t>8435057016483</t>
  </si>
  <si>
    <t>KINCREM COLOR ACTIVE CREAM OXIDANT 30 VOL 100 ML</t>
  </si>
  <si>
    <t>8435057016490</t>
  </si>
  <si>
    <t>KINCREM COLOR ACTIVE CREAM OXIDANT 40 VOL 100 ML</t>
  </si>
  <si>
    <t>8435057016506</t>
  </si>
  <si>
    <t>SILVER-COLOR SHAMPOO 1000 ml.</t>
  </si>
  <si>
    <t>SCSH10</t>
  </si>
  <si>
    <t>8435057003261</t>
  </si>
  <si>
    <t>SILVER-COLOR SHAMPOO 250 ml.</t>
  </si>
  <si>
    <t>SCSH25</t>
  </si>
  <si>
    <t>8435057003049</t>
  </si>
  <si>
    <t>VITAL-COLOR C. EXTRACT 200 ml.</t>
  </si>
  <si>
    <t>VCCE20</t>
  </si>
  <si>
    <t>8435057003407</t>
  </si>
  <si>
    <t>VITAL-COLOR C. EXTRACT 200 ml</t>
  </si>
  <si>
    <t>VCCE20E</t>
  </si>
  <si>
    <t>8435057005944</t>
  </si>
  <si>
    <t>VITAL-COLOR C. MASK T. 1000 ml</t>
  </si>
  <si>
    <t>VCCM10</t>
  </si>
  <si>
    <t>8435057003568</t>
  </si>
  <si>
    <t>VITAL-COLOR C. MASK T 1000 ml</t>
  </si>
  <si>
    <t>VCCM10E</t>
  </si>
  <si>
    <t>8435057005920</t>
  </si>
  <si>
    <t>VITAL-COLOR COLOR MASK 150 ml.</t>
  </si>
  <si>
    <t>VCCM15</t>
  </si>
  <si>
    <t>8435057003391</t>
  </si>
  <si>
    <t>VCCM15E</t>
  </si>
  <si>
    <t>8435057005937</t>
  </si>
  <si>
    <t>VITAL COLOR COLOR MASK 450 ml.</t>
  </si>
  <si>
    <t>VCCM50</t>
  </si>
  <si>
    <t>8435057005784</t>
  </si>
  <si>
    <t>VITAL-COLOR CONDITIONER 1000</t>
  </si>
  <si>
    <t>VCCO10</t>
  </si>
  <si>
    <t>8435057003254</t>
  </si>
  <si>
    <t>VCCO10E</t>
  </si>
  <si>
    <t>8435057005951</t>
  </si>
  <si>
    <t>VITAL-COLOR CONDITIONER 200 ml</t>
  </si>
  <si>
    <t>VCCO20</t>
  </si>
  <si>
    <t>8435057003032</t>
  </si>
  <si>
    <t>VCCO20E</t>
  </si>
  <si>
    <t>8435057005968</t>
  </si>
  <si>
    <t>VITAL-COLOR CONDITIONER</t>
  </si>
  <si>
    <t>VCCOB5</t>
  </si>
  <si>
    <t>8435057005852</t>
  </si>
  <si>
    <t>VITAL COLOR DEEP COLOR</t>
  </si>
  <si>
    <t>VCDE04</t>
  </si>
  <si>
    <t>8435057003629</t>
  </si>
  <si>
    <t>VITAL COLOR DEEP COLOR USA</t>
  </si>
  <si>
    <t>VCDE04E</t>
  </si>
  <si>
    <t>8435057005975</t>
  </si>
  <si>
    <t>VCDE24</t>
  </si>
  <si>
    <t>8435057003650</t>
  </si>
  <si>
    <t>VCDE24E</t>
  </si>
  <si>
    <t>8435057005982</t>
  </si>
  <si>
    <t>VITAL-COLOR SHAMPOO 1000 ml.</t>
  </si>
  <si>
    <t>VCSH10</t>
  </si>
  <si>
    <t>8435057003247</t>
  </si>
  <si>
    <t>VITAL COLOR SHAMPOO 1000 ml.</t>
  </si>
  <si>
    <t>VCSH10E</t>
  </si>
  <si>
    <t>8435057005913</t>
  </si>
  <si>
    <t>VITAL-COLOR SHAMPOO 250 ml.</t>
  </si>
  <si>
    <t>VCSH25</t>
  </si>
  <si>
    <t>8435057003025</t>
  </si>
  <si>
    <t>VCSH25E</t>
  </si>
  <si>
    <t>8435057005999</t>
  </si>
  <si>
    <t>VITAL-COLOR SHAMPOO BIDON 5 Lt</t>
  </si>
  <si>
    <t>VCSHB5</t>
  </si>
  <si>
    <t>8435057005838</t>
  </si>
  <si>
    <t>ENERGY DEEP ENERGY EST. 4 TUB</t>
  </si>
  <si>
    <t>CFDE04</t>
  </si>
  <si>
    <t>8435057003636</t>
  </si>
  <si>
    <t>ENERGY DEEP ENERGY EST. 24 TUB</t>
  </si>
  <si>
    <t>CFDE24</t>
  </si>
  <si>
    <t>8435057003667</t>
  </si>
  <si>
    <t>CUTI-FORTE ENERGY EXTRACT 200</t>
  </si>
  <si>
    <t>CFEX20</t>
  </si>
  <si>
    <t>8435057003438</t>
  </si>
  <si>
    <t>CUTI-FORTE SHAMPOO 1000 ml.</t>
  </si>
  <si>
    <t>CFSH10</t>
  </si>
  <si>
    <t>8435057003285</t>
  </si>
  <si>
    <t>CUTI-FORTE SHAMPOO 250 ml.</t>
  </si>
  <si>
    <t>CFSH25</t>
  </si>
  <si>
    <t>8435057003070</t>
  </si>
  <si>
    <t>CUTI-GLOSS SHAMPOO 1000 ml.</t>
  </si>
  <si>
    <t>CGSH10</t>
  </si>
  <si>
    <t>8435057003292</t>
  </si>
  <si>
    <t>CUTI-GLOSS SHAMPOO 250 ml.</t>
  </si>
  <si>
    <t>CGSH25</t>
  </si>
  <si>
    <t>8435057003087</t>
  </si>
  <si>
    <t>CUTI-GLOSS SHAMPOO BIDON 5 Lts</t>
  </si>
  <si>
    <t>CGSHB5</t>
  </si>
  <si>
    <t>8435057005821</t>
  </si>
  <si>
    <t>VIGOR-PERM CONDITIONER 200 ml.</t>
  </si>
  <si>
    <t>VPCO20</t>
  </si>
  <si>
    <t>8435057003063</t>
  </si>
  <si>
    <t>VIGOR-PERM SHAMPOO 1000 ml.</t>
  </si>
  <si>
    <t>VPSH10</t>
  </si>
  <si>
    <t>8435057003278</t>
  </si>
  <si>
    <t>VIGOR-PERM SHAMPOO 250 ml.</t>
  </si>
  <si>
    <t>VPSH25</t>
  </si>
  <si>
    <t>8435057003056</t>
  </si>
  <si>
    <t>LISSAGE INTENSE FLUID CONTROL</t>
  </si>
  <si>
    <t>LIFLCO</t>
  </si>
  <si>
    <t>8435057003209</t>
  </si>
  <si>
    <t>LISSAGE INTENSE GEL LISS 1000</t>
  </si>
  <si>
    <t>LIGL10</t>
  </si>
  <si>
    <t>8435057003339</t>
  </si>
  <si>
    <t>LISSAGE INTENSE GEL LISS 200</t>
  </si>
  <si>
    <t>LIGL20</t>
  </si>
  <si>
    <t>8435057003193</t>
  </si>
  <si>
    <t>LISSAGE INTENSE LISS MASK 1000</t>
  </si>
  <si>
    <t>LILM10</t>
  </si>
  <si>
    <t>8435057005791</t>
  </si>
  <si>
    <t>LISSAGE INTENSE LISS MASK 200</t>
  </si>
  <si>
    <t>LILM20</t>
  </si>
  <si>
    <t>8435057003186</t>
  </si>
  <si>
    <t>LISSAGE INTENSE SHAMPOO 1000</t>
  </si>
  <si>
    <t>LISH10</t>
  </si>
  <si>
    <t>8435057003315</t>
  </si>
  <si>
    <t>LISSAGE INTENSE SHAMPOO 250 ml</t>
  </si>
  <si>
    <t>LISH25</t>
  </si>
  <si>
    <t>8435057003179</t>
  </si>
  <si>
    <t>LISSAGE INTENSE SHAMPOO</t>
  </si>
  <si>
    <t>LISHB5</t>
  </si>
  <si>
    <t>8435057005807</t>
  </si>
  <si>
    <t>DEEP LOTE 'Español'</t>
  </si>
  <si>
    <t>DELOES</t>
  </si>
  <si>
    <t>8435057005425</t>
  </si>
  <si>
    <t>DEEP LOTE -Export-</t>
  </si>
  <si>
    <t>DELOEX</t>
  </si>
  <si>
    <t>8435057005432</t>
  </si>
  <si>
    <t>DEEP LOTE NUTRI REPAIR Export</t>
  </si>
  <si>
    <t>DELONRX</t>
  </si>
  <si>
    <t>8435057005449</t>
  </si>
  <si>
    <t>DEEP LOTE VITAL COLOR Export</t>
  </si>
  <si>
    <t>DELOVCX</t>
  </si>
  <si>
    <t>8435057005456</t>
  </si>
  <si>
    <t>LOTE TRATAMIENTO (Packs)</t>
  </si>
  <si>
    <t>LOTR06</t>
  </si>
  <si>
    <t>8435057005524</t>
  </si>
  <si>
    <t>LOTE STIMULANT ANTICAIDA</t>
  </si>
  <si>
    <t>LOSTI09</t>
  </si>
  <si>
    <t>8435057054553</t>
  </si>
  <si>
    <t>EQUILIBRE BI-PHASE 200 ml.</t>
  </si>
  <si>
    <t>EQBP20</t>
  </si>
  <si>
    <t>8435057003414</t>
  </si>
  <si>
    <t>KW EQUILIBRE BI-PHASE 500 ml.</t>
  </si>
  <si>
    <t>EQBP50</t>
  </si>
  <si>
    <t>8435057003421</t>
  </si>
  <si>
    <t>NUTRI R. DEEP REPAIR EST. 4 TU</t>
  </si>
  <si>
    <t>NRDE04</t>
  </si>
  <si>
    <t>8435057003612</t>
  </si>
  <si>
    <t>NUTRI R. DEEP REPAIR EST. 24 T</t>
  </si>
  <si>
    <t>NRDE24</t>
  </si>
  <si>
    <t>8435057003643</t>
  </si>
  <si>
    <t>NUTRI-REPAIR EXTRACT 200 ml.</t>
  </si>
  <si>
    <t>NREX20</t>
  </si>
  <si>
    <t>8435057002998</t>
  </si>
  <si>
    <t>N-REPAIR N. MASK C. FINOS 1000</t>
  </si>
  <si>
    <t>NRMF10</t>
  </si>
  <si>
    <t>8435057003551</t>
  </si>
  <si>
    <t>N-REPAIR N.MASK C.FINOS 150</t>
  </si>
  <si>
    <t>NRMF15</t>
  </si>
  <si>
    <t>8435057002967</t>
  </si>
  <si>
    <t>N-REPAIR N.MASK C.GRUESOS</t>
  </si>
  <si>
    <t>NRMG10</t>
  </si>
  <si>
    <t>8435057003544</t>
  </si>
  <si>
    <t>NUTRI-REPAIR N. MASK C.GRUESOS</t>
  </si>
  <si>
    <t>NRMG15</t>
  </si>
  <si>
    <t>8435057002974</t>
  </si>
  <si>
    <t>NUTRI-REPAIR N.MASK C.GRUESOS</t>
  </si>
  <si>
    <t>NRMG50</t>
  </si>
  <si>
    <t>8435057005777</t>
  </si>
  <si>
    <t>NUTRI-REPAIR SERUM 50 ml.</t>
  </si>
  <si>
    <t>NRSERU</t>
  </si>
  <si>
    <t>8435057002981</t>
  </si>
  <si>
    <t>NUTRI-REPAIR SHAMPOO 1000 ml.</t>
  </si>
  <si>
    <t>NRSH10</t>
  </si>
  <si>
    <t>8435057003216</t>
  </si>
  <si>
    <t>NUTRI-REPAIR SHAMPOO 250 ml.</t>
  </si>
  <si>
    <t>NRSH25</t>
  </si>
  <si>
    <t>8435057002950</t>
  </si>
  <si>
    <t>NUTRI REPAIR SHAMPOO</t>
  </si>
  <si>
    <t>NRSHB5</t>
  </si>
  <si>
    <t>8435057005814</t>
  </si>
  <si>
    <t>NUTRI-SILK CONDITIONER 1000 ml</t>
  </si>
  <si>
    <t>NSCO10</t>
  </si>
  <si>
    <t>8435057003230</t>
  </si>
  <si>
    <t>NUTRI-SILK CONDITIONER 200 ml.</t>
  </si>
  <si>
    <t>NSCO20</t>
  </si>
  <si>
    <t>8435057003018</t>
  </si>
  <si>
    <t>NUTRI-SILK CONDITIONER</t>
  </si>
  <si>
    <t>NSCOB5</t>
  </si>
  <si>
    <t>8435057005845</t>
  </si>
  <si>
    <t>NUTRI-SILK SHAMPOO 1000 ml.</t>
  </si>
  <si>
    <t>NSSH10</t>
  </si>
  <si>
    <t>8435057003223</t>
  </si>
  <si>
    <t>NUTRI-SILK SHAMPOO 250 ml.</t>
  </si>
  <si>
    <t>NSSH25</t>
  </si>
  <si>
    <t>8435057003001</t>
  </si>
  <si>
    <t>NUTRI SILK SHAMPOO BIDON 5 LTS</t>
  </si>
  <si>
    <t>NSSHB5</t>
  </si>
  <si>
    <t>8435057005869</t>
  </si>
  <si>
    <t>NUTRI REPAIR MASK CAB. GRUESOS</t>
  </si>
  <si>
    <t>NRMG2T</t>
  </si>
  <si>
    <t>8435057006125</t>
  </si>
  <si>
    <t>PACK TRATAMIENTO ANTICAIDA</t>
  </si>
  <si>
    <t>PATAAC</t>
  </si>
  <si>
    <t>8435057003704</t>
  </si>
  <si>
    <t>PACK TRATAMIENTO ANTIGRASA</t>
  </si>
  <si>
    <t>PATAAG</t>
  </si>
  <si>
    <t>8435057003698</t>
  </si>
  <si>
    <t>PACK TRATAMIENTO CASPA GRASA</t>
  </si>
  <si>
    <t>PATACG</t>
  </si>
  <si>
    <t>8435057003674</t>
  </si>
  <si>
    <t>PACK TRATAMIENTO CASPA SECA</t>
  </si>
  <si>
    <t>PATACS</t>
  </si>
  <si>
    <t>8435057003681</t>
  </si>
  <si>
    <t>VITAL COLOR COLOR MASK 2 x 500</t>
  </si>
  <si>
    <t>VCCM2T</t>
  </si>
  <si>
    <t>8435057006132</t>
  </si>
  <si>
    <t>NORMALIZE GEL PURIFICANT</t>
  </si>
  <si>
    <t>NOPEGE</t>
  </si>
  <si>
    <t>8435057003452</t>
  </si>
  <si>
    <t>NORMALIZE SH.CASPA GRASA 1000</t>
  </si>
  <si>
    <t>NOSG10</t>
  </si>
  <si>
    <t>8435057003353</t>
  </si>
  <si>
    <t>NORMALIZE SH.CASPA GRASA 250</t>
  </si>
  <si>
    <t>NOSG25</t>
  </si>
  <si>
    <t>8435057003100</t>
  </si>
  <si>
    <t>NORMALIZE SH.CASPA SECA 1000</t>
  </si>
  <si>
    <t>NOSS10</t>
  </si>
  <si>
    <t>8435057003346</t>
  </si>
  <si>
    <t>NORMALIZE SHAMP.CASPA SECA 250</t>
  </si>
  <si>
    <t>NOSS25</t>
  </si>
  <si>
    <t>8435057003094</t>
  </si>
  <si>
    <t>NORMALIZE TONIC PURIFICANT</t>
  </si>
  <si>
    <t>NOTOPU</t>
  </si>
  <si>
    <t>8435057003117</t>
  </si>
  <si>
    <t>REGULIZE MASK REGUL 6 x 50 ml.</t>
  </si>
  <si>
    <t>REMARE</t>
  </si>
  <si>
    <t>8435057003476</t>
  </si>
  <si>
    <t>REGULIZE SHAMPOO 1000 ml.</t>
  </si>
  <si>
    <t>RESH10</t>
  </si>
  <si>
    <t>8435057003360</t>
  </si>
  <si>
    <t>REGULIZE SHAMPOO 250 ml.</t>
  </si>
  <si>
    <t>RESH25</t>
  </si>
  <si>
    <t>8435057003124</t>
  </si>
  <si>
    <t>REGULIZE TONIC REGUL 100 ml.</t>
  </si>
  <si>
    <t>RETORE</t>
  </si>
  <si>
    <t>8435057003131</t>
  </si>
  <si>
    <t>SENSITIVE MASSAGE SENSITIVE</t>
  </si>
  <si>
    <t>SEMASE</t>
  </si>
  <si>
    <t>8435057003490</t>
  </si>
  <si>
    <t>SENSITIVE SHAMPOO 1000 ml.</t>
  </si>
  <si>
    <t>SESH10</t>
  </si>
  <si>
    <t>8435057003384</t>
  </si>
  <si>
    <t>SENSITIVE SHAMPOO 250 ml.</t>
  </si>
  <si>
    <t>SESH25</t>
  </si>
  <si>
    <t>8435057003162</t>
  </si>
  <si>
    <t>STIMULANT COMPLEXE T-ACTIVE</t>
  </si>
  <si>
    <t>STCOTA</t>
  </si>
  <si>
    <t>8435057003445</t>
  </si>
  <si>
    <t>STIMULANT SHAMPOO 1000 ml.</t>
  </si>
  <si>
    <t>STSH10</t>
  </si>
  <si>
    <t>8435057003377</t>
  </si>
  <si>
    <t>STIMULANT SHAMPOO 250 ml.</t>
  </si>
  <si>
    <t>STSH25</t>
  </si>
  <si>
    <t>8435057003148</t>
  </si>
  <si>
    <t>STIMULANT TONIC ACTIVE 100 ml.</t>
  </si>
  <si>
    <t>STTOAC</t>
  </si>
  <si>
    <t>8435057003155</t>
  </si>
  <si>
    <t>SUNCARE CREAM 150 ML.</t>
  </si>
  <si>
    <t>KASUCR</t>
  </si>
  <si>
    <t>8435057002622</t>
  </si>
  <si>
    <t>SUNCARE SHAMPOO 250 ML.</t>
  </si>
  <si>
    <t>KASUSH</t>
  </si>
  <si>
    <t>8435057002615</t>
  </si>
  <si>
    <t>SUNCARE SPRAY 200 ML.</t>
  </si>
  <si>
    <t>KASUSP</t>
  </si>
  <si>
    <t>8435057002639</t>
  </si>
  <si>
    <t>LOTE SUNCARE 2008 (6 Packs)</t>
  </si>
  <si>
    <t>SULNP08</t>
  </si>
  <si>
    <t>8435057006026</t>
  </si>
  <si>
    <t>LOTE SUNCARE 2008 (5 Pacs)</t>
  </si>
  <si>
    <t>SULO08</t>
  </si>
  <si>
    <t>8435057005890</t>
  </si>
  <si>
    <t>LOTE SUNCARE 2009 (6 Packs)</t>
  </si>
  <si>
    <t>SULO09</t>
  </si>
  <si>
    <t>8435057054003</t>
  </si>
  <si>
    <t>LOTE SUNCARE 2009 EXPORT</t>
  </si>
  <si>
    <t>SULO09E</t>
  </si>
  <si>
    <t>8435057054188</t>
  </si>
  <si>
    <t>LOTE SUNCARE 2007 '12 Packs'</t>
  </si>
  <si>
    <t>SULOE1</t>
  </si>
  <si>
    <t>8435057005548</t>
  </si>
  <si>
    <t>LOTE SUNCARE 2007 '6 Packs'</t>
  </si>
  <si>
    <t>SULOE2</t>
  </si>
  <si>
    <t>8435057005555</t>
  </si>
  <si>
    <t>SULOEX1</t>
  </si>
  <si>
    <t>8435057005562</t>
  </si>
  <si>
    <t>LOTE SUNCARE 2007 ' 6 Packs'</t>
  </si>
  <si>
    <t>SULOEX2</t>
  </si>
  <si>
    <t>8435057005579</t>
  </si>
  <si>
    <t>SULPT08</t>
  </si>
  <si>
    <t>8435057006019</t>
  </si>
  <si>
    <t>LOTE SUNCARE 2008 (5 Packs)</t>
  </si>
  <si>
    <t>SULT08</t>
  </si>
  <si>
    <t>8435057005906</t>
  </si>
  <si>
    <t>PACK SUNCARE 2008</t>
  </si>
  <si>
    <t>SUPA08</t>
  </si>
  <si>
    <t>8435057005876</t>
  </si>
  <si>
    <t>PACK SUNCARE 2006 bolso+3 fcos</t>
  </si>
  <si>
    <t>SUPAE6</t>
  </si>
  <si>
    <t>8435057005586</t>
  </si>
  <si>
    <t>PACK SUNCARE 2007</t>
  </si>
  <si>
    <t>SUPAE7</t>
  </si>
  <si>
    <t>8435057005593</t>
  </si>
  <si>
    <t>SUPT08</t>
  </si>
  <si>
    <t>8435057005883</t>
  </si>
  <si>
    <t>SOBRE CUTI FORTE SHAMPOO +</t>
  </si>
  <si>
    <t>SMCFSHEX</t>
  </si>
  <si>
    <t>8435057052795</t>
  </si>
  <si>
    <t>SOBRE LISSAGE INTENS.SHAMPOO +</t>
  </si>
  <si>
    <t>SMLISHGL</t>
  </si>
  <si>
    <t>8435057051651</t>
  </si>
  <si>
    <t>SOBRE NUTRI-REPAIR SHAMPOO +</t>
  </si>
  <si>
    <t>SMNRSHEX</t>
  </si>
  <si>
    <t>8435057051668</t>
  </si>
  <si>
    <t>SOBRE VITAL COLOR SHAMP. +</t>
  </si>
  <si>
    <t>SMVCSHCE</t>
  </si>
  <si>
    <t>8435057051675</t>
  </si>
  <si>
    <t>PROMO LOTE STIMULANT ANTICAIDA</t>
  </si>
  <si>
    <t>LOSTI09I</t>
  </si>
  <si>
    <t>8435057054638</t>
  </si>
  <si>
    <t>LOTE 1 SUNCARE 2010 (6 PACS)</t>
  </si>
  <si>
    <t>8435057056403</t>
  </si>
  <si>
    <t>LOTE 2 SUNCARE 2010 (9 PACS)</t>
  </si>
  <si>
    <t>8435057056410</t>
  </si>
  <si>
    <t>KINACTIF SHAMPOO COLOR 250 ML.</t>
  </si>
  <si>
    <t>8435057006545</t>
  </si>
  <si>
    <t>KINACTIF COLOR SHAMPOO 1.000 ML</t>
  </si>
  <si>
    <t>8435057006552</t>
  </si>
  <si>
    <t>KINACTIF CONDITIONER COLOR 200 ML</t>
  </si>
  <si>
    <t>8435057006569</t>
  </si>
  <si>
    <t>KINACTIF CONDITIONER COLOR 1.000 ML</t>
  </si>
  <si>
    <t>8435057006576</t>
  </si>
  <si>
    <t>KINACTIF COLOR MASK 200 ML</t>
  </si>
  <si>
    <t>8435057006583</t>
  </si>
  <si>
    <t>KINACTIF COLOR MASK 900 ML</t>
  </si>
  <si>
    <t>8435057006590</t>
  </si>
  <si>
    <t>KINACTIF INJECTOR COLOR</t>
  </si>
  <si>
    <t>8435057006606</t>
  </si>
  <si>
    <t>KINACTIF COLOR RECONSTRUCTOR 150 ML</t>
  </si>
  <si>
    <t>8435057006613</t>
  </si>
  <si>
    <t>KINACTIF EXTRACT COLOR 150 ML.</t>
  </si>
  <si>
    <t>8435057006620</t>
  </si>
  <si>
    <t>KINACTIF COLOR SEALER 200 ML</t>
  </si>
  <si>
    <t>8435057006637</t>
  </si>
  <si>
    <t>KINACTIF SHAMPOO SILVER 250 ML</t>
  </si>
  <si>
    <t>8435057006644</t>
  </si>
  <si>
    <t>KINACTIF SILVER SHAMPOO 1.000 ML</t>
  </si>
  <si>
    <t>8435057006651</t>
  </si>
  <si>
    <t>KINACTIF SHAMPOO CURL 250 ML.</t>
  </si>
  <si>
    <t>8435057006668</t>
  </si>
  <si>
    <t>KINACTIF CURL SHAMPOO 1.000 ML</t>
  </si>
  <si>
    <t>8435057006675</t>
  </si>
  <si>
    <t>KINACTIF CURL MASK 200 ML</t>
  </si>
  <si>
    <t>8435057006682</t>
  </si>
  <si>
    <t>KINACTIF CURL MASK 900 ML</t>
  </si>
  <si>
    <t>8435057006699</t>
  </si>
  <si>
    <t>KINACTIF CURL ACTIVATOR 200 ML</t>
  </si>
  <si>
    <t>8435057006705</t>
  </si>
  <si>
    <t>KINACTIF SHAMPOO ENERGY 250 ML</t>
  </si>
  <si>
    <t>8435057006712</t>
  </si>
  <si>
    <t>KINACTIF SHAMPOO ENERGY</t>
  </si>
  <si>
    <t>8435057006729</t>
  </si>
  <si>
    <t>KINACTIF MASK ENERGY 200 ML.</t>
  </si>
  <si>
    <t>8435057006736</t>
  </si>
  <si>
    <t>KINACTIF MASK ENERGY 900 ML.</t>
  </si>
  <si>
    <t>8435057006743</t>
  </si>
  <si>
    <t>KINACTIF INJECTOR ENERGY</t>
  </si>
  <si>
    <t>8435057006750</t>
  </si>
  <si>
    <t>KINACTIF ENERGY RECONSTRUCTOR 150 ML</t>
  </si>
  <si>
    <t>8435057006767</t>
  </si>
  <si>
    <t>KINACTIF EXTRACT ENERGY 150 ML</t>
  </si>
  <si>
    <t>8435057006774</t>
  </si>
  <si>
    <t>KINACTIF SHAMPOO LISS 250 ML.</t>
  </si>
  <si>
    <t>8435057006781</t>
  </si>
  <si>
    <t>KINACTIF LISS SHAMPOO 1.000 ML</t>
  </si>
  <si>
    <t>8435057006798</t>
  </si>
  <si>
    <t>KINACTIF CONDITIONER LISS 200 ML</t>
  </si>
  <si>
    <t>8435057006804</t>
  </si>
  <si>
    <t>KINACTIF CONDITIONER LISS</t>
  </si>
  <si>
    <t>8435057006811</t>
  </si>
  <si>
    <t>KINACTIF MASK LISS 200 ML.</t>
  </si>
  <si>
    <t>8435057006828</t>
  </si>
  <si>
    <t>KINACTIF MASK LISS 900 ML.</t>
  </si>
  <si>
    <t>8435057006835</t>
  </si>
  <si>
    <t>KINACTIF EXTRACT LISS 150 ML</t>
  </si>
  <si>
    <t>8435057006842</t>
  </si>
  <si>
    <t>KINACTIF SERUM LISS 150 ML</t>
  </si>
  <si>
    <t>8435057006859</t>
  </si>
  <si>
    <t>KINACTIF SHAMPOO NUTRI 1</t>
  </si>
  <si>
    <t>8435057006866</t>
  </si>
  <si>
    <t>KINACTIF SHAMPOO NUTRI 1 SOFT 1.000 ML</t>
  </si>
  <si>
    <t>8435057006873</t>
  </si>
  <si>
    <t>KINACTIF CONDITIONER NUTRI 200 ML</t>
  </si>
  <si>
    <t>8435057006880</t>
  </si>
  <si>
    <t>KINACTIF CONDITIONER NUTRI 1.000 ML</t>
  </si>
  <si>
    <t>8435057006897</t>
  </si>
  <si>
    <t>KINACTIF HYDRATOR NUTRI 200 ML</t>
  </si>
  <si>
    <t>8435057006903</t>
  </si>
  <si>
    <t>KINACTIF SHAMPOO NUTRI 2</t>
  </si>
  <si>
    <t>8435057006910</t>
  </si>
  <si>
    <t>KINACTIF NUTRI SHAMPOO - 2 RICH 1.000 ML</t>
  </si>
  <si>
    <t>8435057006927</t>
  </si>
  <si>
    <t>KINACTIF MASK NUTRI 200 ML.</t>
  </si>
  <si>
    <t>8435057006934</t>
  </si>
  <si>
    <t>KINACTIF MASK NUTRI 900 ML.</t>
  </si>
  <si>
    <t>8435057006941</t>
  </si>
  <si>
    <t>KINACTIF SERUM NUTRI 50 ML.</t>
  </si>
  <si>
    <t>8435057006958</t>
  </si>
  <si>
    <t>KINACTIF SHAMPOO NUTRI 3</t>
  </si>
  <si>
    <t>8435057006965</t>
  </si>
  <si>
    <t>KINACTIF NUTRI SHAMPOO - 3 INTENSE 1.000 ML</t>
  </si>
  <si>
    <t>8435057006972</t>
  </si>
  <si>
    <t>KINACTIF INJECTOR NUTRI</t>
  </si>
  <si>
    <t>8435057006989</t>
  </si>
  <si>
    <t>KINACTIF NUTRI RECONSTRUCTOR 150 ML</t>
  </si>
  <si>
    <t>8435057006996</t>
  </si>
  <si>
    <t>KINACTIF EXTRACT NUTRI 150 ML</t>
  </si>
  <si>
    <t>8435057007009</t>
  </si>
  <si>
    <t>KINACTIF SHAMPOO FORCE 250 ML</t>
  </si>
  <si>
    <t>8435057007016</t>
  </si>
  <si>
    <t>KINACTIF SHAMPOO FORCE 1000 ML</t>
  </si>
  <si>
    <t>8435057007023</t>
  </si>
  <si>
    <t>KINACTIF TONIC FORCE 150 ML</t>
  </si>
  <si>
    <t>8435057007030</t>
  </si>
  <si>
    <t>KINACTIF COMPLEXE TRICO-ACTIVE</t>
  </si>
  <si>
    <t>8435057007047</t>
  </si>
  <si>
    <t>KINACTIF SHAMPOO PURITY DRY</t>
  </si>
  <si>
    <t>8435057007054</t>
  </si>
  <si>
    <t>KINACTIF PURITY SHAMPOO DRY DANDRUFF 1.000 ML</t>
  </si>
  <si>
    <t>8435057007061</t>
  </si>
  <si>
    <t>KINACTIF SHAMPOO PURITY OILY</t>
  </si>
  <si>
    <t>8435057007078</t>
  </si>
  <si>
    <t>KINACTIF SHAMPOO PURITY OILY DANDRUFF 1.000 ML</t>
  </si>
  <si>
    <t>8435057007085</t>
  </si>
  <si>
    <t>KINACTIF TONIC PURITY 150 ML</t>
  </si>
  <si>
    <t>8435057007092</t>
  </si>
  <si>
    <t>KINACTIF PURITY GEL 6 X 50 ML</t>
  </si>
  <si>
    <t>8435057007115</t>
  </si>
  <si>
    <t>KINACTIF SHAMPOO BALANCE</t>
  </si>
  <si>
    <t>8435057007122</t>
  </si>
  <si>
    <t>KINACTIF BALANCE SHAMPOO 1.000 ML</t>
  </si>
  <si>
    <t>8435057007139</t>
  </si>
  <si>
    <t>KINACTIF TONIC BALANCE 150 ML</t>
  </si>
  <si>
    <t>8435057007146</t>
  </si>
  <si>
    <t>KINACTIF CLAY BALANCE</t>
  </si>
  <si>
    <t>8435057007160</t>
  </si>
  <si>
    <t>KINACTIF SHAMPOO CALM 250 ML.</t>
  </si>
  <si>
    <t>8435057007177</t>
  </si>
  <si>
    <t>KINACTIF SHAMPOO CALM 1000 ML</t>
  </si>
  <si>
    <t>8435057007184</t>
  </si>
  <si>
    <t>KINACTIF MASSAGE CALM 6 X 50 ML</t>
  </si>
  <si>
    <t>8435057007207</t>
  </si>
  <si>
    <t>LOTE SUNCARE 2010 EXPORT</t>
  </si>
  <si>
    <t>8435057056427</t>
  </si>
  <si>
    <t>NULO - SOBRE COLOR SHAMP.+ MASK</t>
  </si>
  <si>
    <t>8435057057516</t>
  </si>
  <si>
    <t>SOBRE NUTRI SHAMPOO + MASK</t>
  </si>
  <si>
    <t>8435057057523</t>
  </si>
  <si>
    <t>SOBRE ENERGY SHAMP.+ MASK</t>
  </si>
  <si>
    <t>8435057057530</t>
  </si>
  <si>
    <t>SOBRE LISS SHAMP.+ MASK</t>
  </si>
  <si>
    <t>8435057057547</t>
  </si>
  <si>
    <t>PACK ANTICAIDA</t>
  </si>
  <si>
    <t>LOTE 1 KA NUTRI</t>
  </si>
  <si>
    <t>8435057057288</t>
  </si>
  <si>
    <t>LOTE 2 KA COLOR + SILVER</t>
  </si>
  <si>
    <t>8435057057295</t>
  </si>
  <si>
    <t>LOTE 3 KA ENERGY</t>
  </si>
  <si>
    <t>8435057057301</t>
  </si>
  <si>
    <t>LOTE 4 KA LISS + CURL</t>
  </si>
  <si>
    <t>8435057057318</t>
  </si>
  <si>
    <t>LOTE 5 KA PURITY+BALANCE+CALM</t>
  </si>
  <si>
    <t>8435057057325</t>
  </si>
  <si>
    <t>LOTE 6 KA FORCE</t>
  </si>
  <si>
    <t>8435057057332</t>
  </si>
  <si>
    <t>LOTE ANTICAIDA 2010 (15 PACS)</t>
  </si>
  <si>
    <t>8435057057356</t>
  </si>
  <si>
    <t>LOTE 1 KA NUTRI 'Export'</t>
  </si>
  <si>
    <t>8435057057554</t>
  </si>
  <si>
    <t>LOTE 2 KA COLOR+SILVER 'Export</t>
  </si>
  <si>
    <t>8435057057561</t>
  </si>
  <si>
    <t>LOTE 3 KA ENERGY 'Export'</t>
  </si>
  <si>
    <t>8435057057578</t>
  </si>
  <si>
    <t>LOTE 4 KA LISS + CURL 'Export'</t>
  </si>
  <si>
    <t>8435057057585</t>
  </si>
  <si>
    <t>LOTE 5 KA PUR+BAL+CAL 'Export'</t>
  </si>
  <si>
    <t>8435057057592</t>
  </si>
  <si>
    <t>LOTE 6 KA FORCE 'Export'</t>
  </si>
  <si>
    <t>8435057057608</t>
  </si>
  <si>
    <t>LOTE REDUC. 1 KA NUTRI</t>
  </si>
  <si>
    <t>8435057057707</t>
  </si>
  <si>
    <t>LOTE REDUC. 2 KA COLOR</t>
  </si>
  <si>
    <t>8435057057714</t>
  </si>
  <si>
    <t>LOTE REDUC. 3 KA ENERGY</t>
  </si>
  <si>
    <t>8435057057721</t>
  </si>
  <si>
    <t>LOTE REDUC. 4 KA LISS + CURL</t>
  </si>
  <si>
    <t>8435057057738</t>
  </si>
  <si>
    <t>LOTE REDUC. 5 KA PUR+BAL+CALM</t>
  </si>
  <si>
    <t>8435057057745</t>
  </si>
  <si>
    <t>LOTE REDUC. 6 KA FORCE</t>
  </si>
  <si>
    <t>8435057057752</t>
  </si>
  <si>
    <t>LOTE ANTICAIDA FORCE (10 PACKS</t>
  </si>
  <si>
    <t>8435057057882</t>
  </si>
  <si>
    <t>KINACTIF SUNCARE SHAMPOO 250 ML</t>
  </si>
  <si>
    <t>8435057008532</t>
  </si>
  <si>
    <t>KINACTIF RECONSTRUCTOR SUNCARE</t>
  </si>
  <si>
    <t>8435057008549</t>
  </si>
  <si>
    <t>KINACTIF SUNCARE PROTECTOR 200 ML</t>
  </si>
  <si>
    <t>8435057008556</t>
  </si>
  <si>
    <t>INTRO KIT KERATIN NUTRI</t>
  </si>
  <si>
    <t>8435057057899</t>
  </si>
  <si>
    <t>510214</t>
  </si>
  <si>
    <t>LOTE SUNCARE EXPORT 5 PACKS</t>
  </si>
  <si>
    <t>PACK SUNCARE 2011</t>
  </si>
  <si>
    <t>8435057058025</t>
  </si>
  <si>
    <t>LOTE SUNCARE 2011</t>
  </si>
  <si>
    <t>0000005102167</t>
  </si>
  <si>
    <t>510217</t>
  </si>
  <si>
    <t>LOTE SUNCARE EXPORT</t>
  </si>
  <si>
    <t>510218</t>
  </si>
  <si>
    <t>PROMOCIÓN EXPOSITOR KIN</t>
  </si>
  <si>
    <t>510219</t>
  </si>
  <si>
    <t>INTRO KIT COLLAGEN TREATMENT</t>
  </si>
  <si>
    <t>510222</t>
  </si>
  <si>
    <t>KINACTIF LISS LOTE BASICO</t>
  </si>
  <si>
    <t>INTRO KIT COLLAGEN TREATMENT D</t>
  </si>
  <si>
    <t>8435057058094</t>
  </si>
  <si>
    <t>INTRO KIT KERATIN NUTRI D</t>
  </si>
  <si>
    <t>8435057058100</t>
  </si>
  <si>
    <t>SACHET NUTRI 1 SHAMPOO 8 ML</t>
  </si>
  <si>
    <t>8435057009393</t>
  </si>
  <si>
    <t>SACHET COLOR SHAMPOO 8 ML</t>
  </si>
  <si>
    <t>8435057009409</t>
  </si>
  <si>
    <t>SACHET ENERGY SHAMPOO 8 ML</t>
  </si>
  <si>
    <t>8435057009416</t>
  </si>
  <si>
    <t>SACHET CALM SHAMPOO 8 ML</t>
  </si>
  <si>
    <t>8435057009423</t>
  </si>
  <si>
    <t>SACHET NUTRI EXTRACT 8 ML</t>
  </si>
  <si>
    <t>8435057009430</t>
  </si>
  <si>
    <t>SACHET COLOR EXTRACT 8 ML</t>
  </si>
  <si>
    <t>8435057009447</t>
  </si>
  <si>
    <t>SACHET ENERGY EXTRACT 8 ML</t>
  </si>
  <si>
    <t>8435057009454</t>
  </si>
  <si>
    <t>PACK FORCE SLEEVE</t>
  </si>
  <si>
    <t>8435057058117</t>
  </si>
  <si>
    <t>KINACTIF OLEO NUTRI 100 ML</t>
  </si>
  <si>
    <t>8435057010047</t>
  </si>
  <si>
    <t>LOTE OLEO NUTRI</t>
  </si>
  <si>
    <t>0000000510247</t>
  </si>
  <si>
    <t>PACK AHORRO SUNCARE</t>
  </si>
  <si>
    <t>0000000510254</t>
  </si>
  <si>
    <t>SUNC. PROTECTOR CAJA EXPOSIT.</t>
  </si>
  <si>
    <t>0000000510255</t>
  </si>
  <si>
    <t>LOTE SUNCARE 2014</t>
  </si>
  <si>
    <t>0000000510256</t>
  </si>
  <si>
    <t>LOTE FORCE 2014 DIST</t>
  </si>
  <si>
    <t>0000000510258</t>
  </si>
  <si>
    <t>LOTE FORCE 2014 (sha..+comple)</t>
  </si>
  <si>
    <t>0000000510259</t>
  </si>
  <si>
    <t>LOTE FORCE (12 PACKS)</t>
  </si>
  <si>
    <t>0000000510261</t>
  </si>
  <si>
    <t>PACK RETAIL SUNCARE 2015</t>
  </si>
  <si>
    <t>8435057010665</t>
  </si>
  <si>
    <t>LOTE SUNCARE 2015</t>
  </si>
  <si>
    <t>8435057010689</t>
  </si>
  <si>
    <t>PACK KINACTIF RETAIL ENERGY</t>
  </si>
  <si>
    <t>8435057010719</t>
  </si>
  <si>
    <t>PACK KINACTIF RETAIL COLOR</t>
  </si>
  <si>
    <t>8435057010726</t>
  </si>
  <si>
    <t>PACK KINACTIF RETAIL NUTRI</t>
  </si>
  <si>
    <t>8435057010733</t>
  </si>
  <si>
    <t>KINACTIF FORCE PACK (descatalogat)</t>
  </si>
  <si>
    <t>8435057011259</t>
  </si>
  <si>
    <t>KINACTIF PURITY OILY PACK 2015</t>
  </si>
  <si>
    <t>8435057011297</t>
  </si>
  <si>
    <t>KINACTIF PURITY DRY PACK 2015</t>
  </si>
  <si>
    <t>8435057011303</t>
  </si>
  <si>
    <t>KINACTIF BALANCE PACK 2015</t>
  </si>
  <si>
    <t>8435057011310</t>
  </si>
  <si>
    <t>PACK RESCUE KIT</t>
  </si>
  <si>
    <t>8435057011372</t>
  </si>
  <si>
    <t>KINACTIF SUNCARE RECONSTRUCTOR 150 ML</t>
  </si>
  <si>
    <t>8435057011846</t>
  </si>
  <si>
    <t>KINACTIF SUNCARE PACK 2016</t>
  </si>
  <si>
    <t>8435057058223</t>
  </si>
  <si>
    <t>KA SUNCARE LOTE 8 PACK 2016</t>
  </si>
  <si>
    <t>8435057058230</t>
  </si>
  <si>
    <t>KA SUNCARE LOTE 12 PACK 2016</t>
  </si>
  <si>
    <t>8435057058254</t>
  </si>
  <si>
    <t>KINACTIF SUNCARE PACK 2017</t>
  </si>
  <si>
    <t>8435057058285</t>
  </si>
  <si>
    <t>KINACTIF LOTE SUNCARE 2017</t>
  </si>
  <si>
    <t>8435057058308</t>
  </si>
  <si>
    <t>KINACTIF DUO PACK NUTRI</t>
  </si>
  <si>
    <t>8435057013451</t>
  </si>
  <si>
    <t>KINACTIF DUO PACK ENERGY</t>
  </si>
  <si>
    <t>8435057013468</t>
  </si>
  <si>
    <t>KINACTIF FORCE PACK + NECESER</t>
  </si>
  <si>
    <t>8435057013727</t>
  </si>
  <si>
    <t>KINACTIF SUNCARE PACK 2018</t>
  </si>
  <si>
    <t>8435057013734</t>
  </si>
  <si>
    <t>KINACTIF SUNCARE PACK</t>
  </si>
  <si>
    <t>8435057014113</t>
  </si>
  <si>
    <t>KINACTIF FORCE PACK</t>
  </si>
  <si>
    <t>8435057014199</t>
  </si>
  <si>
    <t>LOTE CAMPAÑA SUNCARE 2020</t>
  </si>
  <si>
    <t>8435057014861</t>
  </si>
  <si>
    <t>KINACTIF COLOR SHAMPOO 300 ML</t>
  </si>
  <si>
    <t>8435057015028</t>
  </si>
  <si>
    <t>KINACTIF SILVER SHAMPOO 300 ML</t>
  </si>
  <si>
    <t>8435057015035</t>
  </si>
  <si>
    <t>KINACTIF CURL SHAMPOO 300 ML</t>
  </si>
  <si>
    <t>8435057015042</t>
  </si>
  <si>
    <t>KINACTIF ENERGY SHAMPOO 300 ML</t>
  </si>
  <si>
    <t>8435057015059</t>
  </si>
  <si>
    <t>KINACTIF LISS SHAMPOO 300 ML</t>
  </si>
  <si>
    <t>8435057015066</t>
  </si>
  <si>
    <t>KINACTIF NUTRI 1 SHAMPOO SOFT 300 ML</t>
  </si>
  <si>
    <t>8435057015073</t>
  </si>
  <si>
    <t>KINACTIF NUTRI 2 SHAMPOO RICH 300 ML</t>
  </si>
  <si>
    <t>8435057015080</t>
  </si>
  <si>
    <t>KINACTIF NUTRI 3 SHAMPOO INT. 300 ML</t>
  </si>
  <si>
    <t>8435057015097</t>
  </si>
  <si>
    <t>KINACTIF SUNCARE SHAMPOO 300 ML</t>
  </si>
  <si>
    <t>8435057015103</t>
  </si>
  <si>
    <t>KINACTIF FORCE SHAMPOO 300 ML</t>
  </si>
  <si>
    <t>8435057015110</t>
  </si>
  <si>
    <t>KINACTIF PURITY SHAMPOO DRY 300 ML</t>
  </si>
  <si>
    <t>8435057015127</t>
  </si>
  <si>
    <t>KINACTIF PURITY SHAMPOO OILY 300 ML</t>
  </si>
  <si>
    <t>8435057015134</t>
  </si>
  <si>
    <t>KINACTIF BALANCE SHAMPOO 300 ML</t>
  </si>
  <si>
    <t>8435057015141</t>
  </si>
  <si>
    <t>KINACTIF CALM SHAMPOO 300 ML</t>
  </si>
  <si>
    <t>8435057015158</t>
  </si>
  <si>
    <t>KINACTIF NUTRI CONDITIONER 300 ML</t>
  </si>
  <si>
    <t>8435057017008</t>
  </si>
  <si>
    <t>KINACTIF COLOR CONDITIONER 300 ML</t>
  </si>
  <si>
    <t>8435057017015</t>
  </si>
  <si>
    <t>KINACTIF LISS CONDITIONER 300 ML</t>
  </si>
  <si>
    <t>8435057017022</t>
  </si>
  <si>
    <t>KINACTIF SUNCARE PACK FREE SHAMPOO 250 ML</t>
  </si>
  <si>
    <t>8435057015226</t>
  </si>
  <si>
    <t>8435057016889</t>
  </si>
  <si>
    <t>KINACTIF SUNCARE PACK SHAMPOO 250 ML</t>
  </si>
  <si>
    <t>8435057017213</t>
  </si>
  <si>
    <t>KINACTIF SUNCARE PACK SHAMPOO 300 ML</t>
  </si>
  <si>
    <t>8435057017220</t>
  </si>
  <si>
    <t>KINACTIF DEEP CARE BASE 250 ML</t>
  </si>
  <si>
    <t>8435057018005</t>
  </si>
  <si>
    <t>KINACTIF DAILY MOISTURIZING SHAMPOO 300 ML</t>
  </si>
  <si>
    <t>8435057018012</t>
  </si>
  <si>
    <t>KINACTIF DAILY MOISTURIZING SHAMPOO 1.000 ML</t>
  </si>
  <si>
    <t>8435057018029</t>
  </si>
  <si>
    <t>KINACTIF RICH NOURISHING SHAMPOO 300 ML</t>
  </si>
  <si>
    <t>8435057018036</t>
  </si>
  <si>
    <t>KINACTIF RICH NOURISHING SHAMPOO 1.000 ML</t>
  </si>
  <si>
    <t>8435057018043</t>
  </si>
  <si>
    <t>KINACTIF NOURISHING 2-IN-1 MASK 200 ML</t>
  </si>
  <si>
    <t>8435057018050</t>
  </si>
  <si>
    <t>KINACTIF NOURISHING 2-IN-1 MASK 900 ML</t>
  </si>
  <si>
    <t>8435057018067</t>
  </si>
  <si>
    <t>KINACTIF INTENSIVE NOURISHING SHOT 100 ML</t>
  </si>
  <si>
    <t>8435057018074</t>
  </si>
  <si>
    <t>KINACTIF MOISTURIZING CONDITIONING SPRAY 200 ML</t>
  </si>
  <si>
    <t>8435057018081</t>
  </si>
  <si>
    <t>KINACTIF NOURISHING MELTING EXTRACT 150 ML</t>
  </si>
  <si>
    <t>8435057018098</t>
  </si>
  <si>
    <t>KINACTIF RICH RECONSTRUCTING SHAMPOO 300 ML</t>
  </si>
  <si>
    <t>8435057018104</t>
  </si>
  <si>
    <t>KINACTIF RICH RECONSTRUCTING SHAMPOO 1.000 ML</t>
  </si>
  <si>
    <t>8435057018111</t>
  </si>
  <si>
    <t>KINACTIF RECONSTRUCTING 2-IN-1 MASK 200 ML</t>
  </si>
  <si>
    <t>8435057018128</t>
  </si>
  <si>
    <t>KINACTIF RECONSTRUCTING 2-IN-1 MASK 900 ML</t>
  </si>
  <si>
    <t>8435057018135</t>
  </si>
  <si>
    <t>KINACTIF INTENSIVE RECONSTRUCTING SHOT 100 ML</t>
  </si>
  <si>
    <t>8435057018142</t>
  </si>
  <si>
    <t>KINACTIF RECONSTRUCTING MELTING EXTRACT 150 ML</t>
  </si>
  <si>
    <t>8435057018159</t>
  </si>
  <si>
    <t>KINACTIF MILD EXPANDING SHAMPOO 300 ML</t>
  </si>
  <si>
    <t>8435057018166</t>
  </si>
  <si>
    <t>KINACTIF MILD EXPANDING SHAMPOO 1.000 ML</t>
  </si>
  <si>
    <t>8435057018173</t>
  </si>
  <si>
    <t>KINACTIF EXPANDING 2-IN-1 MASK 200 ML</t>
  </si>
  <si>
    <t>8435057018180</t>
  </si>
  <si>
    <t>KINACTIF EXPANDING ROOT FOAM 150 ML</t>
  </si>
  <si>
    <t>8435057018197</t>
  </si>
  <si>
    <t>KINACTIF CALMING AFTER S. SHAMPOO &amp; SH. GEL 300 ML</t>
  </si>
  <si>
    <t>8435057018203</t>
  </si>
  <si>
    <t>KINACTIF CALMING AFTER SUN 2-IN-1 MASK 200 ML</t>
  </si>
  <si>
    <t>8435057018210</t>
  </si>
  <si>
    <t>KINACTIF SUN PROTECTIVE SHIELD MILK 200 ML</t>
  </si>
  <si>
    <t>8435057018227</t>
  </si>
  <si>
    <t>PACK SACHETS KINACTIF DAILY MOISTURIZING SHAMPOO</t>
  </si>
  <si>
    <t>8435057018500</t>
  </si>
  <si>
    <t>PACK SACHETS KINACTIF RICH NOURISHING SHAMPOO</t>
  </si>
  <si>
    <t>8435057018517</t>
  </si>
  <si>
    <t>PACK SACHETS KINACTIF NOURISHING 2-IN-1 MASK</t>
  </si>
  <si>
    <t>8435057018524</t>
  </si>
  <si>
    <t>PACK SACHETS KINACTIF NOURISHING MELTING EXTRACT</t>
  </si>
  <si>
    <t>8435057018531</t>
  </si>
  <si>
    <t>PACK SACHETS KINACTIF RICH RECONSTRUCTING SHAMPOO</t>
  </si>
  <si>
    <t>8435057018548</t>
  </si>
  <si>
    <t>PACK SACHETS KINACTIF RECONSTRUCTING 2-IN-1 MASK</t>
  </si>
  <si>
    <t>8435057018555</t>
  </si>
  <si>
    <t>PACK SACHETS KINACTIF RECONSTRUCTING MELT. EXTRACT</t>
  </si>
  <si>
    <t>8435057018562</t>
  </si>
  <si>
    <t>PACK SACHETS KINACTIF MILD EXPANDING SHAMPOO</t>
  </si>
  <si>
    <t>8435057018579</t>
  </si>
  <si>
    <t>PACK SACHETS KINACTIF EXPANDING 2-IN-1 MASK</t>
  </si>
  <si>
    <t>8435057018586</t>
  </si>
  <si>
    <t>KINACTIF DAILY MOISTURIZING SHAMPOO 50 ML</t>
  </si>
  <si>
    <t>8435057018616</t>
  </si>
  <si>
    <t>KINESSENCES SHAMPOO 300 ML</t>
  </si>
  <si>
    <t>8435057010269</t>
  </si>
  <si>
    <t>KINESSENCES SHAMPOO OES 60 ML</t>
  </si>
  <si>
    <t>8435057010276</t>
  </si>
  <si>
    <t>KINESSENCES MASK 200 ML</t>
  </si>
  <si>
    <t>8435057010283</t>
  </si>
  <si>
    <t>KINESSENCES MASK OES 60 ML.</t>
  </si>
  <si>
    <t>8435057010290</t>
  </si>
  <si>
    <t>KINESSENCES OIL 30 ML</t>
  </si>
  <si>
    <t>8435057011433</t>
  </si>
  <si>
    <t>8435057011440</t>
  </si>
  <si>
    <t>8435057010306</t>
  </si>
  <si>
    <t>KINESSENCES OIL 10 ML</t>
  </si>
  <si>
    <t>8435057010313</t>
  </si>
  <si>
    <t>KINESSENCES OIL CAJA EXPENDED.</t>
  </si>
  <si>
    <t>8435057058148</t>
  </si>
  <si>
    <t>KINESSENCES KIT MINI</t>
  </si>
  <si>
    <t>8435057058155</t>
  </si>
  <si>
    <t>KINESSENCES MALETA 3 PROD</t>
  </si>
  <si>
    <t>0000000512009</t>
  </si>
  <si>
    <t>KINESSENCES LOTE 6 UDS</t>
  </si>
  <si>
    <t>0000000512010</t>
  </si>
  <si>
    <t>KINESSENCES LOTE 12 UDS</t>
  </si>
  <si>
    <t>0000000512011</t>
  </si>
  <si>
    <t>KINESSENCES LOTE 12 UDS...</t>
  </si>
  <si>
    <t>0000000512012</t>
  </si>
  <si>
    <t>KINESSENCES PACK RETAIL</t>
  </si>
  <si>
    <t>8435057010504</t>
  </si>
  <si>
    <t>KINESSENCES LOT 12 PACKS</t>
  </si>
  <si>
    <t>0000000512016</t>
  </si>
  <si>
    <t>KINESSENCES OIL CREAM 50 ML</t>
  </si>
  <si>
    <t>8435057010603</t>
  </si>
  <si>
    <t>KINESSENCES OIL CREAM EXP T/50</t>
  </si>
  <si>
    <t>KINESSENCE MASK ESTUCHE SOBRE</t>
  </si>
  <si>
    <t>8435057058179</t>
  </si>
  <si>
    <t>KINESSENCES MASK C/EXPENDEDORA</t>
  </si>
  <si>
    <t>8435057010672</t>
  </si>
  <si>
    <t>SACHET OIL CREAM 3 ML</t>
  </si>
  <si>
    <t>8435057010771</t>
  </si>
  <si>
    <t>KINESSENCES INTRO KIT</t>
  </si>
  <si>
    <t>8435057010696</t>
  </si>
  <si>
    <t>KINESSENCES DEVELOPER 12V 1000</t>
  </si>
  <si>
    <t>8435057010788</t>
  </si>
  <si>
    <t>KINESSENCES DEVELOPER 24V 1000</t>
  </si>
  <si>
    <t>8435057010795</t>
  </si>
  <si>
    <t>KINESSENCES DEVELOPER 36V 1000</t>
  </si>
  <si>
    <t>8435057010801</t>
  </si>
  <si>
    <t>KINESSENCES DEVELOPER 12V 60 ML</t>
  </si>
  <si>
    <t>8435057010818</t>
  </si>
  <si>
    <t>KINESSENCES DEVELOPER 24V 60</t>
  </si>
  <si>
    <t>8435057010825</t>
  </si>
  <si>
    <t>KINESSENCES DEVELOPER 36V 60 ML</t>
  </si>
  <si>
    <t>8435057010832</t>
  </si>
  <si>
    <t>KINESSENCES COLOR nº 1.0</t>
  </si>
  <si>
    <t>KE10</t>
  </si>
  <si>
    <t>8435057010849</t>
  </si>
  <si>
    <t>KINESSENCES COLOR nº 3.0</t>
  </si>
  <si>
    <t>8435057010856</t>
  </si>
  <si>
    <t>KINESSENCES COLOR nº 4.0</t>
  </si>
  <si>
    <t>8435057010863</t>
  </si>
  <si>
    <t>KINESSENCES COLOR nº 5.0</t>
  </si>
  <si>
    <t>8435057010870</t>
  </si>
  <si>
    <t>KINESSENCES COLOR nº 6.0</t>
  </si>
  <si>
    <t>8435057010887</t>
  </si>
  <si>
    <t>KINESSENCES COLOR nº 7.0</t>
  </si>
  <si>
    <t>8435057010894</t>
  </si>
  <si>
    <t>KINESSENCES COLOR nº 8.0</t>
  </si>
  <si>
    <t>8435057010900</t>
  </si>
  <si>
    <t>KINESSENCES COLOR nº 9.0</t>
  </si>
  <si>
    <t>8435057010917</t>
  </si>
  <si>
    <t>KINESSENCES COLOR nº 10.0</t>
  </si>
  <si>
    <t>8435057010924</t>
  </si>
  <si>
    <t>KINESSENCES COLOR nº 8.1</t>
  </si>
  <si>
    <t>8435057010931</t>
  </si>
  <si>
    <t>KINESSENCES COLOR nº 10.1</t>
  </si>
  <si>
    <t>8435057010948</t>
  </si>
  <si>
    <t>KINESSENCES COLOR nº 7.3</t>
  </si>
  <si>
    <t>8435057010955</t>
  </si>
  <si>
    <t>KINESSENCES COLOR nº 8.3</t>
  </si>
  <si>
    <t>8435057010962</t>
  </si>
  <si>
    <t>KINESSENCES COLOR nº 7.32</t>
  </si>
  <si>
    <t>8435057010979</t>
  </si>
  <si>
    <t>KINESSENCES COLOR nº 8.32</t>
  </si>
  <si>
    <t>8435057010986</t>
  </si>
  <si>
    <t>KINESSENCES COLOR nº 9.32</t>
  </si>
  <si>
    <t>8435057010993</t>
  </si>
  <si>
    <t>KINESSENCES COLOR nº 8.34</t>
  </si>
  <si>
    <t>8435057011006</t>
  </si>
  <si>
    <t>8435057011013</t>
  </si>
  <si>
    <t>KINESSENCES COLOR nº 5.50</t>
  </si>
  <si>
    <t>8435057011020</t>
  </si>
  <si>
    <t>KINESSENCES COLOR nº 6.50</t>
  </si>
  <si>
    <t>8435057011037</t>
  </si>
  <si>
    <t>KINESSENCES COLOR nº 7.50</t>
  </si>
  <si>
    <t>8435057011044</t>
  </si>
  <si>
    <t>KINESSENCES COLOR nº 4.51</t>
  </si>
  <si>
    <t>8435057011051</t>
  </si>
  <si>
    <t>KINESSENCES COLOR nº 6.51</t>
  </si>
  <si>
    <t>8435057011068</t>
  </si>
  <si>
    <t>KINESSENCES COLOR nº 8.51</t>
  </si>
  <si>
    <t>8435057011075</t>
  </si>
  <si>
    <t>KINESSENCES COLOR nº 6.53</t>
  </si>
  <si>
    <t>8435057011082</t>
  </si>
  <si>
    <t>KINESSENCES COLOR nº 8.53</t>
  </si>
  <si>
    <t>8435057011099</t>
  </si>
  <si>
    <t>KINESSENCES COLOR nº 7.56</t>
  </si>
  <si>
    <t>8435057011105</t>
  </si>
  <si>
    <t>KINESSENCES COLOR nº 6.66</t>
  </si>
  <si>
    <t>8435057011112</t>
  </si>
  <si>
    <t>KINESSENCES COLOR nº 5.67</t>
  </si>
  <si>
    <t>8435057011129</t>
  </si>
  <si>
    <t>KINESSENCES COLOR nº 4.77</t>
  </si>
  <si>
    <t>8435057011136</t>
  </si>
  <si>
    <t>8435057011242</t>
  </si>
  <si>
    <t>KINESSENCES SHAMPOO 1.000 ML</t>
  </si>
  <si>
    <t>8435057011273</t>
  </si>
  <si>
    <t>KINESSENCES MASK 900 ML</t>
  </si>
  <si>
    <t>8435057011280</t>
  </si>
  <si>
    <t>KINESSENCES OIL CREAM 20 ML</t>
  </si>
  <si>
    <t>8435057011396</t>
  </si>
  <si>
    <t>KINESSENCES CREMA DE MANOS 75 ML</t>
  </si>
  <si>
    <t>8435057011426</t>
  </si>
  <si>
    <t>KINESSENCES DEVELOPER 6V 1000</t>
  </si>
  <si>
    <t>8435057011808</t>
  </si>
  <si>
    <t>KINESSENCES DEVELOPER 6V 120</t>
  </si>
  <si>
    <t>8435057011815</t>
  </si>
  <si>
    <t>8435057011464</t>
  </si>
  <si>
    <t>8435057011471</t>
  </si>
  <si>
    <t>8435057011488</t>
  </si>
  <si>
    <t>8435057011495</t>
  </si>
  <si>
    <t>8435057011501</t>
  </si>
  <si>
    <t>KINESSENCES COLOR 1.1</t>
  </si>
  <si>
    <t>8435057011518</t>
  </si>
  <si>
    <t>8435057011525</t>
  </si>
  <si>
    <t>8435057011532</t>
  </si>
  <si>
    <t>8435057011549</t>
  </si>
  <si>
    <t>8435057011556</t>
  </si>
  <si>
    <t>8435057011563</t>
  </si>
  <si>
    <t>8435057011570</t>
  </si>
  <si>
    <t>8435057011587</t>
  </si>
  <si>
    <t>8435057011594</t>
  </si>
  <si>
    <t>8435057011600</t>
  </si>
  <si>
    <t>8435057011617</t>
  </si>
  <si>
    <t>KINESSENCES COLOR 6.32</t>
  </si>
  <si>
    <t>8435057011624</t>
  </si>
  <si>
    <t>8435057011631</t>
  </si>
  <si>
    <t>8435057011648</t>
  </si>
  <si>
    <t>8435057011655</t>
  </si>
  <si>
    <t>8435057011662</t>
  </si>
  <si>
    <t>8435057011679</t>
  </si>
  <si>
    <t>8435057011686</t>
  </si>
  <si>
    <t>8435057011693</t>
  </si>
  <si>
    <t>8435057011709</t>
  </si>
  <si>
    <t>8435057011716</t>
  </si>
  <si>
    <t>8435057011723</t>
  </si>
  <si>
    <t>8435057011730</t>
  </si>
  <si>
    <t>8435057011747</t>
  </si>
  <si>
    <t>8435057011754</t>
  </si>
  <si>
    <t>8435057011761</t>
  </si>
  <si>
    <t>8435057011778</t>
  </si>
  <si>
    <t>8435057011785</t>
  </si>
  <si>
    <t>8435057011792</t>
  </si>
  <si>
    <t>KINESSENCES CREMA DE MANOS 300 ML</t>
  </si>
  <si>
    <t>8435057011457</t>
  </si>
  <si>
    <t>KINESSENCES DEVELOPER 12V 120</t>
  </si>
  <si>
    <t>8435057011839</t>
  </si>
  <si>
    <t>KINESSENCES HAND CREAM LOTE EXPO</t>
  </si>
  <si>
    <t>8435057058247</t>
  </si>
  <si>
    <t>KINESSENCES DETOX SHAMPOO 60 ML</t>
  </si>
  <si>
    <t>8435057011853</t>
  </si>
  <si>
    <t>KINESSENCES DETOX SHAMPOO 300 ML</t>
  </si>
  <si>
    <t>8435057011860</t>
  </si>
  <si>
    <t>KINESSENCES DETOX SHAMPOO 1.000 ML</t>
  </si>
  <si>
    <t>8435057011877</t>
  </si>
  <si>
    <t>KINESSENCES DETOX MASK 60 ML</t>
  </si>
  <si>
    <t>8435057011884</t>
  </si>
  <si>
    <t>KINESSENCES DETOX MASK 200 ML</t>
  </si>
  <si>
    <t>8435057011891</t>
  </si>
  <si>
    <t>KINESSENCES DETOX MASK 900 ML</t>
  </si>
  <si>
    <t>8435057011907</t>
  </si>
  <si>
    <t>KINESSENCES DETOX SMOOTHIE 20 ML</t>
  </si>
  <si>
    <t>8435057011914</t>
  </si>
  <si>
    <t>KINESSENCES DETOX SMOOTHIE 50 ML</t>
  </si>
  <si>
    <t>8435057011921</t>
  </si>
  <si>
    <t>KINESSENCES DETOX TRAVEL KIT (ANTIGUO)</t>
  </si>
  <si>
    <t>8435057058261</t>
  </si>
  <si>
    <t>KINESSENCES DETOX LOTE 380€</t>
  </si>
  <si>
    <t>8435057011945</t>
  </si>
  <si>
    <t>KINESSENCES DETOX LOTE</t>
  </si>
  <si>
    <t>8435057011952</t>
  </si>
  <si>
    <t>KINESSENCES DETOX EXPORT LOTE</t>
  </si>
  <si>
    <t>8435057011969</t>
  </si>
  <si>
    <t>KINESSENCES DETOX NECTAR 20 ML</t>
  </si>
  <si>
    <t>8435057011938</t>
  </si>
  <si>
    <t>KINESSENCES DETOX NECTAR 150 ML</t>
  </si>
  <si>
    <t>8435057011976</t>
  </si>
  <si>
    <t>LOTE INTRODUCCION NECTAR 18 UDS</t>
  </si>
  <si>
    <t>8435057011990</t>
  </si>
  <si>
    <t>LOTE INTRODUCCION NECTAR 6 UDS</t>
  </si>
  <si>
    <t>8435057012003</t>
  </si>
  <si>
    <t>LOTE INTRODUCCION NECTAR 12 UDS</t>
  </si>
  <si>
    <t>8435057012010</t>
  </si>
  <si>
    <t>KINESSENCES HANDCREAM LOTE EXPO</t>
  </si>
  <si>
    <t>8435057058278</t>
  </si>
  <si>
    <t>KINESSENCES LOT OIL CREAM 2017</t>
  </si>
  <si>
    <t>8435057058315</t>
  </si>
  <si>
    <t>KINESS. DETOX INTROKIT 2017 D</t>
  </si>
  <si>
    <t>8435057058329</t>
  </si>
  <si>
    <t>KINESS. DETOX INTROKIT 2017 VD</t>
  </si>
  <si>
    <t>8435057058339</t>
  </si>
  <si>
    <t>KINESSENCES LOTE REVENTA 2017</t>
  </si>
  <si>
    <t>8435057012041</t>
  </si>
  <si>
    <t>8435057013666</t>
  </si>
  <si>
    <t>8435057013673</t>
  </si>
  <si>
    <t>8435057013680</t>
  </si>
  <si>
    <t>8435057013697</t>
  </si>
  <si>
    <t>8435057013703</t>
  </si>
  <si>
    <t>8435057013710</t>
  </si>
  <si>
    <t>KINESSENCES OES PACK OIL</t>
  </si>
  <si>
    <t>8435057013833</t>
  </si>
  <si>
    <t>KINESSENCES OES PACK OIL CREAM</t>
  </si>
  <si>
    <t>8435057013840</t>
  </si>
  <si>
    <t>KINESSENCES DETOX PACK SMOOTH.</t>
  </si>
  <si>
    <t>8435057013857</t>
  </si>
  <si>
    <t>KINESSENCES DETOX PACK NECTAR</t>
  </si>
  <si>
    <t>8435057013864</t>
  </si>
  <si>
    <t>KINESSENCES RESTORE OVERNIGHT 150 ML</t>
  </si>
  <si>
    <t>8435057013970</t>
  </si>
  <si>
    <t>KINESSENCES RESTORE SHAMPOO 300 ML</t>
  </si>
  <si>
    <t>8435057014069</t>
  </si>
  <si>
    <t>KINESSENCES RESTORE SHAMPOO 1.000 ML</t>
  </si>
  <si>
    <t>8435057014076</t>
  </si>
  <si>
    <t>KINESSENCES RESTORE MASK 200 ML</t>
  </si>
  <si>
    <t>8435057014083</t>
  </si>
  <si>
    <t>KINESSENCES RESTORE MASK 900 ML</t>
  </si>
  <si>
    <t>8435057014090</t>
  </si>
  <si>
    <t>KINESSENCES RESTORE PRE-BASE 6 X 25 ML</t>
  </si>
  <si>
    <t>8435057014106</t>
  </si>
  <si>
    <t>8435057014127</t>
  </si>
  <si>
    <t>8435057014144</t>
  </si>
  <si>
    <t>8435057014151</t>
  </si>
  <si>
    <t>KINESSENCES DETOX PACK SMOOTHIE</t>
  </si>
  <si>
    <t>8435057014168</t>
  </si>
  <si>
    <t>KINESSENCES RESTORE PACK</t>
  </si>
  <si>
    <t>8435057014120</t>
  </si>
  <si>
    <t>KINESSENCES RESTORE MASK 50 ml</t>
  </si>
  <si>
    <t>8435057014205</t>
  </si>
  <si>
    <t>KINESSENCES OES MASK 50 ml</t>
  </si>
  <si>
    <t>8435057014212</t>
  </si>
  <si>
    <t>KINESSENCES DETOX MASK 50 ml</t>
  </si>
  <si>
    <t>8435057014229</t>
  </si>
  <si>
    <t>RUST COLLECTION 5.519</t>
  </si>
  <si>
    <t>8435057014694</t>
  </si>
  <si>
    <t>RUST COLLECTION 6.762</t>
  </si>
  <si>
    <t>8435057014700</t>
  </si>
  <si>
    <t>RUST COLLECTION 7.456</t>
  </si>
  <si>
    <t>8435057014717</t>
  </si>
  <si>
    <t>RUST COLLECTION 9.231</t>
  </si>
  <si>
    <t>8435057014724</t>
  </si>
  <si>
    <t>8435057014830</t>
  </si>
  <si>
    <t>KINESSENCES OES TRAVEL KIT</t>
  </si>
  <si>
    <t>8435057014977</t>
  </si>
  <si>
    <t>KINESSENCES DETOX TRAVEL KIT</t>
  </si>
  <si>
    <t>8435057014984</t>
  </si>
  <si>
    <t>KINESSENCES RESTORE TRAVEL KIT</t>
  </si>
  <si>
    <t>8435057014991</t>
  </si>
  <si>
    <t>KINESSENCES RESTORE SHAMPOO 60 ML</t>
  </si>
  <si>
    <t>8435057014847</t>
  </si>
  <si>
    <t>PACK SACHETS DUPLO KINESSENCES OES</t>
  </si>
  <si>
    <t>8435057016629</t>
  </si>
  <si>
    <t>PACK SACHETS DUPLO KINESSENCES DETOX</t>
  </si>
  <si>
    <t>8435057016636</t>
  </si>
  <si>
    <t>PACK SACHETS DUPLO KINESSENCES RESTORE</t>
  </si>
  <si>
    <t>8435057016643</t>
  </si>
  <si>
    <t>8435057016896</t>
  </si>
  <si>
    <t>8435057016902</t>
  </si>
  <si>
    <t>8435057016919</t>
  </si>
  <si>
    <t>8435057016926</t>
  </si>
  <si>
    <t>8435057016933</t>
  </si>
  <si>
    <t>KINESSENCES NOURISH GENTLE SHAMPOO 300 ML</t>
  </si>
  <si>
    <t>8435057017039</t>
  </si>
  <si>
    <t>KINESSENCES NOURISH GENTLE SHAMPOO 1.000 ML</t>
  </si>
  <si>
    <t>8435057017046</t>
  </si>
  <si>
    <t>KINESSENCES NOURISH INTENSE MASK 200 ML</t>
  </si>
  <si>
    <t>8435057017053</t>
  </si>
  <si>
    <t>KINESSENCES NOURISH INTENSE MASK 900 ML</t>
  </si>
  <si>
    <t>8435057017060</t>
  </si>
  <si>
    <t>KINESSENCES NOURISH OIL 30 ML</t>
  </si>
  <si>
    <t>8435057017077</t>
  </si>
  <si>
    <t>KINESSENCES NOURISH OIL CREAM 50 ML</t>
  </si>
  <si>
    <t>8435057017084</t>
  </si>
  <si>
    <t>KINESSENCES ANTIOX GENTLE SHAMPOO 300 ML</t>
  </si>
  <si>
    <t>8435057017091</t>
  </si>
  <si>
    <t>KINESSENCES ANTIOX GENTLE SHAMPOO 1.000 ML</t>
  </si>
  <si>
    <t>8435057017107</t>
  </si>
  <si>
    <t>KINESSENCES ANTIOX INTENSE MASK 200 ML</t>
  </si>
  <si>
    <t>8435057017114</t>
  </si>
  <si>
    <t>KINESSENCES ANTIOX INTENSE MASK 900 ML</t>
  </si>
  <si>
    <t>8435057017121</t>
  </si>
  <si>
    <t>KINESSENCES ANTIOX SMOOTHIE 50 ML</t>
  </si>
  <si>
    <t>8435057017138</t>
  </si>
  <si>
    <t>KINESSENCES ANTIOX NECTAR 150 ML</t>
  </si>
  <si>
    <t>8435057017145</t>
  </si>
  <si>
    <t>KINESSENCES RESTORE GENTLE SHAMPOO 300 ML</t>
  </si>
  <si>
    <t>8435057017152</t>
  </si>
  <si>
    <t>KINESSENCES RESTORE GENTLE SHAMPOO 1.000 ML</t>
  </si>
  <si>
    <t>8435057017169</t>
  </si>
  <si>
    <t>KINESSENCES RESTORE INTENSE MASK 200 ML</t>
  </si>
  <si>
    <t>8435057017176</t>
  </si>
  <si>
    <t>KINESSENCES RESTORE INTENSE MASK 900 ML</t>
  </si>
  <si>
    <t>8435057017183</t>
  </si>
  <si>
    <t>KINESSENCES RESTORE OVERNIGHT INFUSION 150 ML</t>
  </si>
  <si>
    <t>8435057017190</t>
  </si>
  <si>
    <t>KINESSENCES RESTORE REPAIRING BOOSTER 125 ML</t>
  </si>
  <si>
    <t>8435057017206</t>
  </si>
  <si>
    <t>PACK SACHETS KINESS. NOURISH GENTLE SHAMPOO</t>
  </si>
  <si>
    <t>8435057018234</t>
  </si>
  <si>
    <t>PACK SACHETS KINESS. NOURISH INTENSE MASK</t>
  </si>
  <si>
    <t>8435057018241</t>
  </si>
  <si>
    <t>PACK SACHETS KINESS. NOURISH OIL CREAM</t>
  </si>
  <si>
    <t>8435057018258</t>
  </si>
  <si>
    <t>PACK SACHETS KINESS. ANTIOX GENTLE SHAMPOO</t>
  </si>
  <si>
    <t>8435057018265</t>
  </si>
  <si>
    <t>PACK SACHETS KINESS. ANTIOX INTENSE MASK</t>
  </si>
  <si>
    <t>8435057018272</t>
  </si>
  <si>
    <t>PACK SACHETS KINESS. ANTIOX SMOOTHIE</t>
  </si>
  <si>
    <t>8435057018289</t>
  </si>
  <si>
    <t>PACK SACHETS KINESS. RESTORE GENTLE SHAMPOO</t>
  </si>
  <si>
    <t>8435057018296</t>
  </si>
  <si>
    <t>PACK SACHETS KINESS. RESTORE INTENSE MASK</t>
  </si>
  <si>
    <t>8435057018302</t>
  </si>
  <si>
    <t>PACK SACHETS KINESS. RESTORE OVERNIGHT INFUSION</t>
  </si>
  <si>
    <t>8435057018319</t>
  </si>
  <si>
    <t>KINESSENCES NOURISH HAND CREAM 50 ML</t>
  </si>
  <si>
    <t>8435057018593</t>
  </si>
  <si>
    <t>KINESSENCES COLOR 1.0 100 ML.</t>
  </si>
  <si>
    <t>8435057017237</t>
  </si>
  <si>
    <t>KINESSENCES COLOR 3.0 100 ML.</t>
  </si>
  <si>
    <t>8435057017251</t>
  </si>
  <si>
    <t>KINESSENCES COLOR 4.0 100 ML.</t>
  </si>
  <si>
    <t>8435057017268</t>
  </si>
  <si>
    <t>KINESSENCES COLOR 5.0 100 ML.</t>
  </si>
  <si>
    <t>8435057017275</t>
  </si>
  <si>
    <t>KINESSENCES COLOR 6.0 100 ML.</t>
  </si>
  <si>
    <t>8435057017282</t>
  </si>
  <si>
    <t>KINESSENCES COLOR 7.0 100 ML.</t>
  </si>
  <si>
    <t>8435057017299</t>
  </si>
  <si>
    <t>KINESSENCES COLOR 8.0 100 ML.</t>
  </si>
  <si>
    <t>8435057017305</t>
  </si>
  <si>
    <t>KINESSENCES COLOR 9.0 100 ML.</t>
  </si>
  <si>
    <t>8435057017312</t>
  </si>
  <si>
    <t>KINESSENCES COLOR 10.0 100 ML.</t>
  </si>
  <si>
    <t>8435057017329</t>
  </si>
  <si>
    <t>KINESSENCES COLOR 6.02 100 ML.</t>
  </si>
  <si>
    <t>8435057017336</t>
  </si>
  <si>
    <t>KINESSENCES COLOR 7.02 100 ML.</t>
  </si>
  <si>
    <t>8435057017343</t>
  </si>
  <si>
    <t>KINESSENCES COLOR 8.02 100 ML.</t>
  </si>
  <si>
    <t>8435057017350</t>
  </si>
  <si>
    <t>KINESSENCES COLOR 9.02 100 ML.</t>
  </si>
  <si>
    <t>8435057017367</t>
  </si>
  <si>
    <t>KINESSENCES COLOR 1.1 100 ML.</t>
  </si>
  <si>
    <t>8435057017374</t>
  </si>
  <si>
    <t>KINESSENCES COLOR 5.1 100 ML.</t>
  </si>
  <si>
    <t>8435057017381</t>
  </si>
  <si>
    <t>KINESSENCES COLOR 6.1 100 ML.</t>
  </si>
  <si>
    <t>8435057017398</t>
  </si>
  <si>
    <t>KINESSENCES COLOR 7.1 100 ML.</t>
  </si>
  <si>
    <t>8435057017404</t>
  </si>
  <si>
    <t>KINESSENCES COLOR 8.1 100 ML.</t>
  </si>
  <si>
    <t>8435057017411</t>
  </si>
  <si>
    <t>KINESSENCES COLOR 9.1 100 ML.</t>
  </si>
  <si>
    <t>8435057017428</t>
  </si>
  <si>
    <t>KINESSENCES COLOR 10.1 100 ML.</t>
  </si>
  <si>
    <t>8435057017985</t>
  </si>
  <si>
    <t>KINESSENCES COLOR 6.12 100 ML.</t>
  </si>
  <si>
    <t>8435057017459</t>
  </si>
  <si>
    <t>KINESSENCES COLOR 7.12 100 ML.</t>
  </si>
  <si>
    <t>8435057017466</t>
  </si>
  <si>
    <t>KINESSENCES COLOR 9.12 100 ML.</t>
  </si>
  <si>
    <t>8435057017473</t>
  </si>
  <si>
    <t>KINESSENCES COLOR 10.12 100 ML.</t>
  </si>
  <si>
    <t>8435057017480</t>
  </si>
  <si>
    <t>KINESSENCES COLOR 7.13 100 ML.</t>
  </si>
  <si>
    <t>8435057017497</t>
  </si>
  <si>
    <t>KINESSENCES COLOR 9.13 100 ML.</t>
  </si>
  <si>
    <t>8435057017503</t>
  </si>
  <si>
    <t>KINESSENCES COLOR 10.13 100 ML.</t>
  </si>
  <si>
    <t>8435057017510</t>
  </si>
  <si>
    <t>KINESSENCES COLOR 5.19 100 ML.</t>
  </si>
  <si>
    <t>8435057017435</t>
  </si>
  <si>
    <t>KINESSENCES COLOR 7.19 100 ML.</t>
  </si>
  <si>
    <t>8435057017442</t>
  </si>
  <si>
    <t>KINESSENCES COLOR 9.21 100 ML.</t>
  </si>
  <si>
    <t>8435057017527</t>
  </si>
  <si>
    <t>KINESSENCES COLOR 10.21 100 ML.</t>
  </si>
  <si>
    <t>8435057017534</t>
  </si>
  <si>
    <t>KINESSENCES COLOR 7.23 100 ML.</t>
  </si>
  <si>
    <t>8435057017541</t>
  </si>
  <si>
    <t>KINESSENCES COLOR 9.23 100 ML.</t>
  </si>
  <si>
    <t>8435057017558</t>
  </si>
  <si>
    <t>KINESSENCES COLOR 6.3 100 ML.</t>
  </si>
  <si>
    <t>8435057017565</t>
  </si>
  <si>
    <t>KINESSENCES COLOR 7.3 100 ML.</t>
  </si>
  <si>
    <t>8435057017572</t>
  </si>
  <si>
    <t>KINESSENCES COLOR 8.3 100 ML.</t>
  </si>
  <si>
    <t>8435057017589</t>
  </si>
  <si>
    <t>KINESSENCES COLOR 9.3 100 ML.</t>
  </si>
  <si>
    <t>8435057017596</t>
  </si>
  <si>
    <t>KINESSENCES COLOR 7.32 100 ML.</t>
  </si>
  <si>
    <t>8435057017602</t>
  </si>
  <si>
    <t>KINESSENCES COLOR 8.32 100 ML.</t>
  </si>
  <si>
    <t>8435057017619</t>
  </si>
  <si>
    <t>KINESSENCES COLOR 9.32 100 ML.</t>
  </si>
  <si>
    <t>8435057017626</t>
  </si>
  <si>
    <t>KINESSENCES COLOR 10.32 100 ML.</t>
  </si>
  <si>
    <t>8435057017633</t>
  </si>
  <si>
    <t>KINESSENCES COLOR 6.34 100 ML.</t>
  </si>
  <si>
    <t>8435057017640</t>
  </si>
  <si>
    <t>KINESSENCES COLOR 8.34 100 ML.</t>
  </si>
  <si>
    <t>8435057017657</t>
  </si>
  <si>
    <t>KINESSENCES COLOR 7.4 100 ML.</t>
  </si>
  <si>
    <t>8435057017664</t>
  </si>
  <si>
    <t>KINESSENCES COLOR 6.43 100 ML.</t>
  </si>
  <si>
    <t>8435057017671</t>
  </si>
  <si>
    <t>KINESSENCES COLOR 8.43 100 ML.</t>
  </si>
  <si>
    <t>8435057017688</t>
  </si>
  <si>
    <t>KINESSENCES COLOR 7.44 100 ML.</t>
  </si>
  <si>
    <t>8435057017695</t>
  </si>
  <si>
    <t>KINESSENCES COLOR 8.44 100 ML.</t>
  </si>
  <si>
    <t>8435057017701</t>
  </si>
  <si>
    <t>KINESSENCES COLOR 4.50 100 ML.</t>
  </si>
  <si>
    <t>8435057017718</t>
  </si>
  <si>
    <t>KINESSENCES COLOR 5.50 100 ML.</t>
  </si>
  <si>
    <t>8435057017725</t>
  </si>
  <si>
    <t>KINESSENCES COLOR 6.50 100 ML.</t>
  </si>
  <si>
    <t>8435057017732</t>
  </si>
  <si>
    <t>KINESSENCES COLOR 7.50 100 ML.</t>
  </si>
  <si>
    <t>8435057017749</t>
  </si>
  <si>
    <t>KINESSENCES COLOR 4.51 100 ML.</t>
  </si>
  <si>
    <t>8435057017756</t>
  </si>
  <si>
    <t>KINESSENCES COLOR 5.51 100 ML.</t>
  </si>
  <si>
    <t>8435057017763</t>
  </si>
  <si>
    <t>KINESSENCES COLOR 6.51 100 ML.</t>
  </si>
  <si>
    <t>8435057017770</t>
  </si>
  <si>
    <t>KINESSENCES COLOR 7.51 100 ML.</t>
  </si>
  <si>
    <t>8435057017787</t>
  </si>
  <si>
    <t>KINESSENCES COLOR 8.51 100 ML.</t>
  </si>
  <si>
    <t>8435057017794</t>
  </si>
  <si>
    <t>KINESSENCES COLOR 6.53 100 ML.</t>
  </si>
  <si>
    <t>8435057017800</t>
  </si>
  <si>
    <t>KINESSENCES COLOR 7.53 100 ML.</t>
  </si>
  <si>
    <t>8435057017817</t>
  </si>
  <si>
    <t>KINESSENCES COLOR 5.56 100 ML.</t>
  </si>
  <si>
    <t>8435057017824</t>
  </si>
  <si>
    <t>KINESSENCES COLOR 6.66 100 ML.</t>
  </si>
  <si>
    <t>8435057017831</t>
  </si>
  <si>
    <t>KINESSENCES COLOR 7.66 100 ML.</t>
  </si>
  <si>
    <t>8435057017848</t>
  </si>
  <si>
    <t>KINESSENCES COLOR 5.67 100 ML.</t>
  </si>
  <si>
    <t>8435057017855</t>
  </si>
  <si>
    <t>KINESSENCES COLOR 6.67 100 ML.</t>
  </si>
  <si>
    <t>8435057017862</t>
  </si>
  <si>
    <t>KINESSENCES COLOR 6.76 100 ML.</t>
  </si>
  <si>
    <t>8435057017879</t>
  </si>
  <si>
    <t>KINESSENCES COLOR 4.77 100 ML.</t>
  </si>
  <si>
    <t>8435057017886</t>
  </si>
  <si>
    <t>KINESSENCES COLOR 6.77 100 ML.</t>
  </si>
  <si>
    <t>8435057017893</t>
  </si>
  <si>
    <t>KINESS. COLOR ACTIVE C. DEVELOPER 6 VOL 1.000 ML.</t>
  </si>
  <si>
    <t>8435057017909</t>
  </si>
  <si>
    <t>KINESS. COLOR ACTIVE C. DEVELOPER 12 VOL 1.000 ML.</t>
  </si>
  <si>
    <t>8435057017916</t>
  </si>
  <si>
    <t>KINESS. COLOR ACTIVE C. DEVELOPER 24 VOL 1.000 ML.</t>
  </si>
  <si>
    <t>8435057017923</t>
  </si>
  <si>
    <t>KINESS. COLOR ACTIVE C. DEVELOPER 36 VOL 1.000 ML.</t>
  </si>
  <si>
    <t>8435057017930</t>
  </si>
  <si>
    <t>KINESS. COLOR ACTIVE C. DEVELOPER 6 VOL 100 ML.</t>
  </si>
  <si>
    <t>8435057017947</t>
  </si>
  <si>
    <t>KINESS. COLOR ACTIVE C. DEVELOPER 12 VOL 100 ML.</t>
  </si>
  <si>
    <t>8435057017954</t>
  </si>
  <si>
    <t>KINESS. COLOR ACTIVE C. DEVELOPER 24 VOL 100 ML.</t>
  </si>
  <si>
    <t>8435057017961</t>
  </si>
  <si>
    <t>KINESS. COLOR ACTIVE C. DEVELOPER 36 VOL 100 ML.</t>
  </si>
  <si>
    <t>8435057017978</t>
  </si>
  <si>
    <t>STYLIUM AIRMOUSSE Fco. 150 ml.</t>
  </si>
  <si>
    <t>STAIRM</t>
  </si>
  <si>
    <t>8435057002691</t>
  </si>
  <si>
    <t>STYLIUM CRYSTAL JELLY 250 ml.</t>
  </si>
  <si>
    <t>STCJ25</t>
  </si>
  <si>
    <t>8435057002936</t>
  </si>
  <si>
    <t>STYLIUM CRYSTAL JELLY Tarro 75</t>
  </si>
  <si>
    <t>STCRJE</t>
  </si>
  <si>
    <t>8435057002608</t>
  </si>
  <si>
    <t>STYLIUM CURLY Fco. 200 ml.</t>
  </si>
  <si>
    <t>STCURL</t>
  </si>
  <si>
    <t>8435057002783</t>
  </si>
  <si>
    <t>STYLIUM DEFINER Tarro 75 ml.</t>
  </si>
  <si>
    <t>STDEFI</t>
  </si>
  <si>
    <t>8435057002578</t>
  </si>
  <si>
    <t>STYLIUM DYNAMIC Bote 500 ml.</t>
  </si>
  <si>
    <t>STDYNA</t>
  </si>
  <si>
    <t>8435057002714</t>
  </si>
  <si>
    <t>STYLIUM DYNAMIC Bote 50 ml.</t>
  </si>
  <si>
    <t>STDYNAP</t>
  </si>
  <si>
    <t>8435057002844</t>
  </si>
  <si>
    <t>STYLIUM ENERGIC 500 ml.</t>
  </si>
  <si>
    <t>STENER</t>
  </si>
  <si>
    <t>8435057002769</t>
  </si>
  <si>
    <t>STYLIUM ENERGIC Bote 50 ml.</t>
  </si>
  <si>
    <t>STENERP</t>
  </si>
  <si>
    <t>8435057002837</t>
  </si>
  <si>
    <t>STYLIUM FIBER Tarro 75 ml.</t>
  </si>
  <si>
    <t>STFIBE</t>
  </si>
  <si>
    <t>8435057002585</t>
  </si>
  <si>
    <t>STYLIUM GLAZER Tarro 75 ml.</t>
  </si>
  <si>
    <t>STGLAZ</t>
  </si>
  <si>
    <t>8435057002592</t>
  </si>
  <si>
    <t>STYLIUM GLOSSY Stick de 50 ml.</t>
  </si>
  <si>
    <t>STGLOS</t>
  </si>
  <si>
    <t>8435057002813</t>
  </si>
  <si>
    <t>STYLIUM GOOP tubo 150 ml.</t>
  </si>
  <si>
    <t>STGOOP</t>
  </si>
  <si>
    <t>8435057002660</t>
  </si>
  <si>
    <t>STYLIUM GUMMY stick de 50 ml.</t>
  </si>
  <si>
    <t>STGUMM</t>
  </si>
  <si>
    <t>8435057002653</t>
  </si>
  <si>
    <t>STYLIUM MODELE 300 ml.</t>
  </si>
  <si>
    <t>STMODE</t>
  </si>
  <si>
    <t>8435057002752</t>
  </si>
  <si>
    <t>STYLIUM MODELE Bote 50 ml.</t>
  </si>
  <si>
    <t>STMODEP</t>
  </si>
  <si>
    <t>8435057002851</t>
  </si>
  <si>
    <t>STYLIUM MOULDER Tarro 75 ml.</t>
  </si>
  <si>
    <t>STMOUL</t>
  </si>
  <si>
    <t>8435057002561</t>
  </si>
  <si>
    <t>STYLIUM RADIANCE Fco. 100 ml.</t>
  </si>
  <si>
    <t>STRADI</t>
  </si>
  <si>
    <t>8435057002820</t>
  </si>
  <si>
    <t>STYLIUM SKULPTOR Tubo 200 ml.</t>
  </si>
  <si>
    <t>STSKUL</t>
  </si>
  <si>
    <t>8435057002790</t>
  </si>
  <si>
    <t>STYLIUM SKULPTOR Tubo 50 ml.</t>
  </si>
  <si>
    <t>STSKULP</t>
  </si>
  <si>
    <t>8435057002875</t>
  </si>
  <si>
    <t>STYLIUM STICK 75 ml.</t>
  </si>
  <si>
    <t>STSTIC</t>
  </si>
  <si>
    <t>8435057002646</t>
  </si>
  <si>
    <t>STYLIUM THERMIC Fco. 200 ml.</t>
  </si>
  <si>
    <t>STTHER</t>
  </si>
  <si>
    <t>8435057002721</t>
  </si>
  <si>
    <t>STYLIUM VOLUME Bote 300 ml.</t>
  </si>
  <si>
    <t>STVOLU</t>
  </si>
  <si>
    <t>8435057002707</t>
  </si>
  <si>
    <t>STYLIUM VOLUME Bote 50 ml.</t>
  </si>
  <si>
    <t>STVOLUP</t>
  </si>
  <si>
    <t>8435057002868</t>
  </si>
  <si>
    <t>STYLIUM WET &amp; SHINE Tubo 150</t>
  </si>
  <si>
    <t>STWESH</t>
  </si>
  <si>
    <t>8435057002806</t>
  </si>
  <si>
    <t>STYLIUM X-LASTIC Tubo 200 ml.</t>
  </si>
  <si>
    <t>STXLAS</t>
  </si>
  <si>
    <t>8435057002745</t>
  </si>
  <si>
    <t>STYLIUM X-LASTIC Tubo 50 ml.</t>
  </si>
  <si>
    <t>STXLASP</t>
  </si>
  <si>
    <t>8435057002882</t>
  </si>
  <si>
    <t>STYLIUM XPANSOR Fco. 200 ml.</t>
  </si>
  <si>
    <t>STXPAN</t>
  </si>
  <si>
    <t>8435057002738</t>
  </si>
  <si>
    <t>STYLIUM X-TREM Fco. 200 ml.</t>
  </si>
  <si>
    <t>STXTRE</t>
  </si>
  <si>
    <t>8435057002776</t>
  </si>
  <si>
    <t>8435057009201</t>
  </si>
  <si>
    <t>8435057009218</t>
  </si>
  <si>
    <t>8435057009225</t>
  </si>
  <si>
    <t>8435057009232</t>
  </si>
  <si>
    <t>8435057009249</t>
  </si>
  <si>
    <t>KINSTYLE CRYSTAL JELLY 250 ML.</t>
  </si>
  <si>
    <t>8435057009256</t>
  </si>
  <si>
    <t>KINSTYLE MAT GUM 100 ML.</t>
  </si>
  <si>
    <t>8435057009263</t>
  </si>
  <si>
    <t>KINSTYLE CURLY CREAM 150 ML</t>
  </si>
  <si>
    <t>8435057009270</t>
  </si>
  <si>
    <t>KINSTYLE THERMIC SPRAY 200 ML</t>
  </si>
  <si>
    <t>8435057009287</t>
  </si>
  <si>
    <t>KINSTYLE GLAM TOUCH 125 ML.</t>
  </si>
  <si>
    <t>8435057009294</t>
  </si>
  <si>
    <t>KINSTYLE X-TREM ECO SPRAY 200 ML</t>
  </si>
  <si>
    <t>8435057009751</t>
  </si>
  <si>
    <t>KINSTYLE HARD ROCK 200 ML</t>
  </si>
  <si>
    <t>8435057009928</t>
  </si>
  <si>
    <t>KINSTYLE FIBER PASTE 100 ML</t>
  </si>
  <si>
    <t>8435057010214</t>
  </si>
  <si>
    <t>KINSTYLE STAR WAX 100 ml.</t>
  </si>
  <si>
    <t>8435057010320</t>
  </si>
  <si>
    <t>KINSTYLE POTION CREAM 150 ML</t>
  </si>
  <si>
    <t>8435057010375</t>
  </si>
  <si>
    <t>LOTE  KINSTYLE POTION</t>
  </si>
  <si>
    <t>0000000520067</t>
  </si>
  <si>
    <t>KINSTYLE GELLIN 200 ml</t>
  </si>
  <si>
    <t>8435057011402</t>
  </si>
  <si>
    <t>KINSTYLE GLAM TOUCH 100 ml</t>
  </si>
  <si>
    <t>8435057011983</t>
  </si>
  <si>
    <t>SACHET MAKING WAVES 8 ML DÍPTICO</t>
  </si>
  <si>
    <t>8435057012027</t>
  </si>
  <si>
    <t>KINSTYLE MAKING WAVES 150 ML.</t>
  </si>
  <si>
    <t>8435057012034</t>
  </si>
  <si>
    <t>KINSTYLE CURLY CREAM 30 ML</t>
  </si>
  <si>
    <t>8435057013987</t>
  </si>
  <si>
    <t>KINSTYLE POTION CREAM 30 ML</t>
  </si>
  <si>
    <t>8435057013994</t>
  </si>
  <si>
    <t>KINSTYLE MAKING WAVES 30 ML</t>
  </si>
  <si>
    <t>8435057014007</t>
  </si>
  <si>
    <t>HAUTE HAIR SHIMMER 150 ML</t>
  </si>
  <si>
    <t>8435057014748</t>
  </si>
  <si>
    <t>HAUTE SEA SALT MIST 200 ML</t>
  </si>
  <si>
    <t>8435057014755</t>
  </si>
  <si>
    <t>HAUTE THICKENING CREAM 150 ML</t>
  </si>
  <si>
    <t>8435057014762</t>
  </si>
  <si>
    <t>HAUTE DRY SHAMPOO &amp; VOLUME</t>
  </si>
  <si>
    <t>8435057014779</t>
  </si>
  <si>
    <t>HAUTE WAX STICK 50 ML</t>
  </si>
  <si>
    <t>8435057014786</t>
  </si>
  <si>
    <t>8435057014793</t>
  </si>
  <si>
    <t>KINSTYLE POTION C. COLOMBIA 30 ML</t>
  </si>
  <si>
    <t>8435057014854</t>
  </si>
  <si>
    <t>PACK SACHETS KINSTYLE CURLY CREAM</t>
  </si>
  <si>
    <t>8435057016650</t>
  </si>
  <si>
    <t>PACK SACHETS KINSTYLE POTION CREAM</t>
  </si>
  <si>
    <t>8435057016667</t>
  </si>
  <si>
    <t>8435057016674</t>
  </si>
  <si>
    <t>HAUTE THICKENING CREAM 30 ML</t>
  </si>
  <si>
    <t>8435057014939</t>
  </si>
  <si>
    <t>KINSTYLE POTION PINK EDITION 150 ML</t>
  </si>
  <si>
    <t>8435057015004</t>
  </si>
  <si>
    <t>KINSTYLE CURLY PINK EDITION 150 ML</t>
  </si>
  <si>
    <t>8435057015011</t>
  </si>
  <si>
    <t>KINSTYLE POTION CREAM XMAS EDIT. 30 ML</t>
  </si>
  <si>
    <t>8435057016803</t>
  </si>
  <si>
    <t>8435057016940</t>
  </si>
  <si>
    <t>8435057016957</t>
  </si>
  <si>
    <t>KINWORKS FIXING GEL EXTRAF.</t>
  </si>
  <si>
    <t>KWFXGE</t>
  </si>
  <si>
    <t>8435057003605</t>
  </si>
  <si>
    <t>KINWORKS FIXING GEL FUERTE</t>
  </si>
  <si>
    <t>KWFXGF</t>
  </si>
  <si>
    <t>8435057003599</t>
  </si>
  <si>
    <t>KINWORKS FIXING LAC EXTRAFUER.</t>
  </si>
  <si>
    <t>KWFXLE</t>
  </si>
  <si>
    <t>8435057003513</t>
  </si>
  <si>
    <t>KINWORKS FIXING LAC FUERTE</t>
  </si>
  <si>
    <t>KWFXLF</t>
  </si>
  <si>
    <t>8435057003520</t>
  </si>
  <si>
    <t>KINWORKS FINISH SPRAY EXTRAF</t>
  </si>
  <si>
    <t>KWLAE1</t>
  </si>
  <si>
    <t>8435057002684</t>
  </si>
  <si>
    <t>KINWORKS FINISH SPRAY FUERTE</t>
  </si>
  <si>
    <t>KWLAF1</t>
  </si>
  <si>
    <t>8435057002677</t>
  </si>
  <si>
    <t>KINWORKS SHAPING WET 500 ml.</t>
  </si>
  <si>
    <t>KWSHWE</t>
  </si>
  <si>
    <t>8435057002943</t>
  </si>
  <si>
    <t>KINWORKS SETTING P. C. GRUESOS</t>
  </si>
  <si>
    <t>KWSPCG</t>
  </si>
  <si>
    <t>8435057005760</t>
  </si>
  <si>
    <t>KINWORKS SETTING P. C. NORMAL</t>
  </si>
  <si>
    <t>KWSPCN</t>
  </si>
  <si>
    <t>8435057005753</t>
  </si>
  <si>
    <t>KINWORKS TOUCHING SPRAY 400 ml</t>
  </si>
  <si>
    <t>KWTOUC</t>
  </si>
  <si>
    <t>8435057003537</t>
  </si>
  <si>
    <t>KINWORKS BLEACHING POWDER 1 KG</t>
  </si>
  <si>
    <t>KWDECO</t>
  </si>
  <si>
    <t>8435057003582</t>
  </si>
  <si>
    <t>KINWORKS BLEACHING POWDER 2</t>
  </si>
  <si>
    <t>KWDECO2</t>
  </si>
  <si>
    <t>8435057006002</t>
  </si>
  <si>
    <t>KINWORKS  I-GLOO 500 ML.</t>
  </si>
  <si>
    <t>8435057009935</t>
  </si>
  <si>
    <t>KW. SHAMPOO MANZANA ACIDA</t>
  </si>
  <si>
    <t>8435057009942</t>
  </si>
  <si>
    <t>KW. SHAMPOO TROPICAL FRUITS</t>
  </si>
  <si>
    <t>8435057009959</t>
  </si>
  <si>
    <t>KW. SHAMPOO SWEET KOKO 400 ML.</t>
  </si>
  <si>
    <t>8435057010221</t>
  </si>
  <si>
    <t>KW. SHAMPOO POWER SPORTS 400 ML</t>
  </si>
  <si>
    <t>8435057010238</t>
  </si>
  <si>
    <t>KINWORKS PURE &amp; FRESH SHAMPOO 400 ML</t>
  </si>
  <si>
    <t>8435057010245</t>
  </si>
  <si>
    <t>KINWORKS BLEACHING POWDER 500 G</t>
  </si>
  <si>
    <t>8435057010252</t>
  </si>
  <si>
    <t>LOTE  KINWORKS PURE &amp; FRESH</t>
  </si>
  <si>
    <t>0000000530020</t>
  </si>
  <si>
    <t>KW EQUILIBRE BIPHASE 400 ML</t>
  </si>
  <si>
    <t>8435057010610</t>
  </si>
  <si>
    <t>KINWORKS TSUBAKI SHAMPOO 400 ML</t>
  </si>
  <si>
    <t>8435057010641</t>
  </si>
  <si>
    <t>KW. MASCARILLA TSUBAKI 200 ML.</t>
  </si>
  <si>
    <t>8435057010658</t>
  </si>
  <si>
    <t>KINWORKS PURE &amp; FRESH BI-PHASE 400 ML</t>
  </si>
  <si>
    <t>8435057010702</t>
  </si>
  <si>
    <t>KINWORKS FIXING LAC 400 ML</t>
  </si>
  <si>
    <t>8435057011341</t>
  </si>
  <si>
    <t>KINWORKS SHAPING WET 2 MEDIUM</t>
  </si>
  <si>
    <t>8435057011358</t>
  </si>
  <si>
    <t>KINWORKS L-33 COMPLEX</t>
  </si>
  <si>
    <t>8435057011419</t>
  </si>
  <si>
    <t>KINWORKS GREEN APPLE SHAMPOO 5 L</t>
  </si>
  <si>
    <t>8435057016964</t>
  </si>
  <si>
    <t>8435057016988</t>
  </si>
  <si>
    <t>KINWORKS EQUILIBRE BI-PHASE 400 ML</t>
  </si>
  <si>
    <t>8435057016995</t>
  </si>
  <si>
    <t>KINWORKS SHAPING WET 400 ML</t>
  </si>
  <si>
    <t>8435057016971</t>
  </si>
  <si>
    <t>KINWORKS FIXING LAC 4-FIRM 400 ML</t>
  </si>
  <si>
    <t>8435057018609</t>
  </si>
  <si>
    <t>CHAMPU HIERBAS GFA. 5 Lts</t>
  </si>
  <si>
    <t>CHHRE</t>
  </si>
  <si>
    <t>8435057005371</t>
  </si>
  <si>
    <t>CHAMPU PINO GFA. 5 Lts.</t>
  </si>
  <si>
    <t>CHPRE</t>
  </si>
  <si>
    <t>8435057005388</t>
  </si>
  <si>
    <t>CREMA SEDINOR 1 LT.</t>
  </si>
  <si>
    <t>CRS10</t>
  </si>
  <si>
    <t>8435057005395</t>
  </si>
  <si>
    <t>L-33 PLACENTA</t>
  </si>
  <si>
    <t>LOA33</t>
  </si>
  <si>
    <t>8435057003896</t>
  </si>
  <si>
    <t>PROTECTOR ACONDICIONADOR</t>
  </si>
  <si>
    <t>LOPRO</t>
  </si>
  <si>
    <t>8435057005418</t>
  </si>
  <si>
    <t>SEDINOR LOCION Brushing</t>
  </si>
  <si>
    <t>PLBSL</t>
  </si>
  <si>
    <t>8435057005401</t>
  </si>
  <si>
    <t>NEUTRALIZANTE KINPERM  1000</t>
  </si>
  <si>
    <t>NEKP1</t>
  </si>
  <si>
    <t>8435057002486</t>
  </si>
  <si>
    <t>NEUTRALIZANTE KINPERM EST.</t>
  </si>
  <si>
    <t>NEKPE</t>
  </si>
  <si>
    <t>8435057002530</t>
  </si>
  <si>
    <t>KINPERM Nº 0 Est.</t>
  </si>
  <si>
    <t>PEKP0</t>
  </si>
  <si>
    <t>8435057002493</t>
  </si>
  <si>
    <t>KINPERM Nº 1 Est.</t>
  </si>
  <si>
    <t>PEKP1</t>
  </si>
  <si>
    <t>8435057002509</t>
  </si>
  <si>
    <t>KINPERM Nº 2 Est.</t>
  </si>
  <si>
    <t>PEKP2</t>
  </si>
  <si>
    <t>8435057002516</t>
  </si>
  <si>
    <t>KINPERM Nº 3 Est.</t>
  </si>
  <si>
    <t>PEKP3</t>
  </si>
  <si>
    <t>8435057002523</t>
  </si>
  <si>
    <t>KIN FIX ESPUMOSO</t>
  </si>
  <si>
    <t>NEFES</t>
  </si>
  <si>
    <t>8435057002899</t>
  </si>
  <si>
    <t>PERMAN. CLASSIC Nº 0 FUERTE</t>
  </si>
  <si>
    <t>PECN0</t>
  </si>
  <si>
    <t>8435057002905</t>
  </si>
  <si>
    <t>PERMAN. CLASSIC Nº 1 NORMAL</t>
  </si>
  <si>
    <t>PECN1</t>
  </si>
  <si>
    <t>8435057002912</t>
  </si>
  <si>
    <t>PERMAN. CLASSIC Nº 2 SUAVE</t>
  </si>
  <si>
    <t>PECN2</t>
  </si>
  <si>
    <t>8435057002929</t>
  </si>
  <si>
    <t>BRUSHING BRILLANTE</t>
  </si>
  <si>
    <t>PLBBR</t>
  </si>
  <si>
    <t>8435057005609</t>
  </si>
  <si>
    <t>BRUSHING CENIZA</t>
  </si>
  <si>
    <t>PLBCE</t>
  </si>
  <si>
    <t>8435057005616</t>
  </si>
  <si>
    <t>BRUSHING NACAR</t>
  </si>
  <si>
    <t>PLBNA</t>
  </si>
  <si>
    <t>8435057005623</t>
  </si>
  <si>
    <t>BRUSHING PERLA</t>
  </si>
  <si>
    <t>PLBPE</t>
  </si>
  <si>
    <t>8435057005630</t>
  </si>
  <si>
    <t>BRUSHING PLATA</t>
  </si>
  <si>
    <t>PLBPL</t>
  </si>
  <si>
    <t>8435057005647</t>
  </si>
  <si>
    <t>BRUSHING RUBIO SAFARI</t>
  </si>
  <si>
    <t>PLBRS</t>
  </si>
  <si>
    <t>8435057005654</t>
  </si>
  <si>
    <t>KINPLIS CABELLOS GRASOS</t>
  </si>
  <si>
    <t>PLKAZ</t>
  </si>
  <si>
    <t>8435057005661</t>
  </si>
  <si>
    <t>KINPLIS COLOR CASTAÑO</t>
  </si>
  <si>
    <t>PLKCA</t>
  </si>
  <si>
    <t>8435057005678</t>
  </si>
  <si>
    <t>KINPLIS COLOR CENIZA</t>
  </si>
  <si>
    <t>PLKCE</t>
  </si>
  <si>
    <t>8435057005685</t>
  </si>
  <si>
    <t>KINPLIS COLOR GRIS ESTELAR</t>
  </si>
  <si>
    <t>PLKGE</t>
  </si>
  <si>
    <t>8435057005692</t>
  </si>
  <si>
    <t>KINPLIS COLOR GRIS PERLA</t>
  </si>
  <si>
    <t>PLKGP</t>
  </si>
  <si>
    <t>8435057005708</t>
  </si>
  <si>
    <t>KINPLIS COLOR PLATA</t>
  </si>
  <si>
    <t>PLKPL</t>
  </si>
  <si>
    <t>8435057005715</t>
  </si>
  <si>
    <t>KINPLIS CABELLOS NORMALES</t>
  </si>
  <si>
    <t>PLKRO</t>
  </si>
  <si>
    <t>8435057005722</t>
  </si>
  <si>
    <t>KINPLIS CABELLOS SECOS</t>
  </si>
  <si>
    <t>PLKVE</t>
  </si>
  <si>
    <t>8435057005739</t>
  </si>
  <si>
    <t>PLIS MOLDEADOR</t>
  </si>
  <si>
    <t>PLPMO</t>
  </si>
  <si>
    <t>8435057005746</t>
  </si>
  <si>
    <t>KINLISS SHAMPOO 500</t>
  </si>
  <si>
    <t>KLSHAM</t>
  </si>
  <si>
    <t>8435057008563</t>
  </si>
  <si>
    <t>KINLISS CREAM INTENSE 1</t>
  </si>
  <si>
    <t>KLINT1</t>
  </si>
  <si>
    <t>8435057008570</t>
  </si>
  <si>
    <t>KINLISS CREAM SOFT 2</t>
  </si>
  <si>
    <t>KLSOF2</t>
  </si>
  <si>
    <t>8435057008587</t>
  </si>
  <si>
    <t>KINLISS TREAT 500</t>
  </si>
  <si>
    <t>KLTREA</t>
  </si>
  <si>
    <t>8435057008594</t>
  </si>
  <si>
    <t>540036</t>
  </si>
  <si>
    <t>KINLISS LOTE 1</t>
  </si>
  <si>
    <t>540038</t>
  </si>
  <si>
    <t>INTRO KIT KINLISS 2012</t>
  </si>
  <si>
    <t>540039</t>
  </si>
  <si>
    <t>KINLISS LOTE EXPORT</t>
  </si>
  <si>
    <t>BIOTIN SHAMPOO LIMIT EDITION</t>
  </si>
  <si>
    <t>8435057009317</t>
  </si>
  <si>
    <t>DECOLORANTE GOLD EDITION 500</t>
  </si>
  <si>
    <t>8435057009300</t>
  </si>
  <si>
    <t>SOBRE SHAMPOO ACIDPLUS 15ml</t>
  </si>
  <si>
    <t>8435057009362</t>
  </si>
  <si>
    <t>SOBRE BALSAM ACIDPLUS 15 ML.</t>
  </si>
  <si>
    <t>8435057009379</t>
  </si>
  <si>
    <t>DRY SHAMPOO 200 ml</t>
  </si>
  <si>
    <t>8435057010382</t>
  </si>
  <si>
    <t>KINBOX PROSPECCION COMERCIAL</t>
  </si>
  <si>
    <t>8435057013291</t>
  </si>
  <si>
    <t>KINBOX KIT PROSPECTS</t>
  </si>
  <si>
    <t>8435057013307</t>
  </si>
  <si>
    <t>8435057013871</t>
  </si>
  <si>
    <t>8435057013888</t>
  </si>
  <si>
    <t>KINMASTER COLOR CLEANSER 75 ML</t>
  </si>
  <si>
    <t>8435057013949</t>
  </si>
  <si>
    <t>KINMASTER COLOR SCREEN 75 ML</t>
  </si>
  <si>
    <t>8435057013956</t>
  </si>
  <si>
    <t>KINMASTER COLOR REMOVER 2 x 50 ML</t>
  </si>
  <si>
    <t>8435057013963</t>
  </si>
  <si>
    <t>KINMASTER NO YELLOW 1.000 ML</t>
  </si>
  <si>
    <t>8435057014243</t>
  </si>
  <si>
    <t>KINMASTER TOTAL CONTROL 125 ML</t>
  </si>
  <si>
    <t>8435057014809</t>
  </si>
  <si>
    <t>KIN HAND SANITIZER GEL 200 ML</t>
  </si>
  <si>
    <t>8435057014946</t>
  </si>
  <si>
    <t>KIN HAND SANITIZER GEL 1.000 ML</t>
  </si>
  <si>
    <t>8435057014953</t>
  </si>
  <si>
    <t>KIN HAND SANITIZER GEL 75 ML</t>
  </si>
  <si>
    <t>8435057014960</t>
  </si>
  <si>
    <t>KINMASTER NO YELLOW SHAMPOO 250 ML</t>
  </si>
  <si>
    <t>8435057015196</t>
  </si>
  <si>
    <t>KINMASTER NO ORANGE 1.000 ML</t>
  </si>
  <si>
    <t>8435057015202</t>
  </si>
  <si>
    <t>KINMASTER NO ORANGE SHAMPOO 250 ML</t>
  </si>
  <si>
    <t>8435057015219</t>
  </si>
  <si>
    <t>KINPERM SHAPING LOTION Nº 0</t>
  </si>
  <si>
    <t>8435057016834</t>
  </si>
  <si>
    <t>KINPERM SHAPING LOTION Nº 1</t>
  </si>
  <si>
    <t>8435057016841</t>
  </si>
  <si>
    <t>KINPERM SHAPING LOTION Nº 2</t>
  </si>
  <si>
    <t>8435057016858</t>
  </si>
  <si>
    <t>KINPERM SHAPING LOTION Nº 3</t>
  </si>
  <si>
    <t>8435057016865</t>
  </si>
  <si>
    <t>8435057016872</t>
  </si>
  <si>
    <t>KINMEN SHAMPOO ENERGY 250 ML.</t>
  </si>
  <si>
    <t>KMSHEN</t>
  </si>
  <si>
    <t>8435057006149</t>
  </si>
  <si>
    <t>KINMEN SHAMPOO PURITY 250 ML.</t>
  </si>
  <si>
    <t>KMSHPU</t>
  </si>
  <si>
    <t>8435057006163</t>
  </si>
  <si>
    <t>KINMEN SHAMPOO FORCE 250 ML</t>
  </si>
  <si>
    <t>KMSHFO</t>
  </si>
  <si>
    <t>8435057006156</t>
  </si>
  <si>
    <t>KINMEN TONIC PURITY 150 ML.</t>
  </si>
  <si>
    <t>KMTOPU</t>
  </si>
  <si>
    <t>8435057006194</t>
  </si>
  <si>
    <t>KINMEN FORCE TONIC 150 ML</t>
  </si>
  <si>
    <t>KMTOFO</t>
  </si>
  <si>
    <t>8435057006187</t>
  </si>
  <si>
    <t>KINMEN STYLING WET GEL 200 ML.</t>
  </si>
  <si>
    <t>KMWEGE</t>
  </si>
  <si>
    <t>8435057006170</t>
  </si>
  <si>
    <t>KINMEN STYLING MAT WAX 75 ML.</t>
  </si>
  <si>
    <t>KMMAWA</t>
  </si>
  <si>
    <t>8435057006200</t>
  </si>
  <si>
    <t>KINMEN STYLING WILD PASTE</t>
  </si>
  <si>
    <t>KMWIPA</t>
  </si>
  <si>
    <t>8435057006217</t>
  </si>
  <si>
    <t>KINMEN STYLING POWER JELLY</t>
  </si>
  <si>
    <t>KMPOJE</t>
  </si>
  <si>
    <t>8435057006224</t>
  </si>
  <si>
    <t>SOBRE KINMEN SHAMPOO + WET GEL</t>
  </si>
  <si>
    <t>SMKMSHWG</t>
  </si>
  <si>
    <t>8435057054683</t>
  </si>
  <si>
    <t>LOTE INTRO. KINMEN 1</t>
  </si>
  <si>
    <t>8435057055079</t>
  </si>
  <si>
    <t>LOTE INTRO. KINMEN 2</t>
  </si>
  <si>
    <t>KMLO2</t>
  </si>
  <si>
    <t>8435057055086</t>
  </si>
  <si>
    <t>LOTE KINMEN BELGIUM</t>
  </si>
  <si>
    <t>KMLOBE</t>
  </si>
  <si>
    <t>8435057055987</t>
  </si>
  <si>
    <t>LOTE KINMEN BELGIUM 2</t>
  </si>
  <si>
    <t>KMLOBE2</t>
  </si>
  <si>
    <t>8435057055994</t>
  </si>
  <si>
    <t>LOTE KINMEN 'Inglés'</t>
  </si>
  <si>
    <t>LOKMIN</t>
  </si>
  <si>
    <t>8435057056007</t>
  </si>
  <si>
    <t>LOTE KINMEN 'Alemán'</t>
  </si>
  <si>
    <t>KMLOAL</t>
  </si>
  <si>
    <t>8435057055970</t>
  </si>
  <si>
    <t>LOTE KINMEN 1 "Francés"</t>
  </si>
  <si>
    <t>KMLOFR1</t>
  </si>
  <si>
    <t>8435057056274</t>
  </si>
  <si>
    <t>550018</t>
  </si>
  <si>
    <t>LOTE KINMEN ESPECIAL</t>
  </si>
  <si>
    <t>SOBRE KINMEN SHAMP.ENERGY 8 ml</t>
  </si>
  <si>
    <t>8435057009461</t>
  </si>
  <si>
    <t>KINMEN STYLING MAT WAX 100 ML.</t>
  </si>
  <si>
    <t>8435057010757</t>
  </si>
  <si>
    <t>KINMEN STYLING WILD PASTE 100</t>
  </si>
  <si>
    <t>8435057010764</t>
  </si>
  <si>
    <t>KINMEN FORCE PACK 2015</t>
  </si>
  <si>
    <t>8435057011327</t>
  </si>
  <si>
    <t>KINMEN PURITY PACK 2015</t>
  </si>
  <si>
    <t>8435057011334</t>
  </si>
  <si>
    <t>KINMEN STYLING POWER JELLY 250</t>
  </si>
  <si>
    <t>8435057011365</t>
  </si>
  <si>
    <t>KINMEN 3-IN-1 SHAMPOO 100 ML</t>
  </si>
  <si>
    <t>8435057013475</t>
  </si>
  <si>
    <t>KINMEN 3-IN-1 SHAMPOO 500 ML</t>
  </si>
  <si>
    <t>8435057013482</t>
  </si>
  <si>
    <t>KINMEN SILVER SHAMPOO 500 ML</t>
  </si>
  <si>
    <t>8435057013499</t>
  </si>
  <si>
    <t>KINMEN SILVER SHAMPOO 1.000 ML</t>
  </si>
  <si>
    <t>8435057013505</t>
  </si>
  <si>
    <t>KINMEN FORCE SHAMPOO 500 ML</t>
  </si>
  <si>
    <t>8435057013512</t>
  </si>
  <si>
    <t>KINMEN FORCE SHAMPOO 1.000 ML</t>
  </si>
  <si>
    <t>8435057013529</t>
  </si>
  <si>
    <t>KINMEN FORCE TONIC 125 ML</t>
  </si>
  <si>
    <t>8435057013536</t>
  </si>
  <si>
    <t>KINMEN BEARD SHAMPOO 250 ML</t>
  </si>
  <si>
    <t>8435057013543</t>
  </si>
  <si>
    <t>KINMEN BEARD CREAM 50 ML</t>
  </si>
  <si>
    <t>8435057013550</t>
  </si>
  <si>
    <t>KINMEN HAIR MATTE CLAY 100 ML</t>
  </si>
  <si>
    <t>8435057013567</t>
  </si>
  <si>
    <t>KINMEN HAIR FIBER PASTE 100 ML</t>
  </si>
  <si>
    <t>8435057013574</t>
  </si>
  <si>
    <t>KINMEN HAIR POMADE 100 ML</t>
  </si>
  <si>
    <t>8435057013581</t>
  </si>
  <si>
    <t>KINMEN HAIR JELLY 100 ML</t>
  </si>
  <si>
    <t>8435057013598</t>
  </si>
  <si>
    <t>KINMEN FINISHING SET 4 x 15 ML</t>
  </si>
  <si>
    <t>8435057013642</t>
  </si>
  <si>
    <t>KINMEN HAIR MATTE CLAY 15 ml</t>
  </si>
  <si>
    <t>8435057013604</t>
  </si>
  <si>
    <t>KINMEN HAIR FIBER PASTE 15 ml</t>
  </si>
  <si>
    <t>8435057013611</t>
  </si>
  <si>
    <t>KINMEN HAIR POMADE 15 ml</t>
  </si>
  <si>
    <t>8435057013628</t>
  </si>
  <si>
    <t>KINMEN HAIR JELLY 15 ml</t>
  </si>
  <si>
    <t>8435057013635</t>
  </si>
  <si>
    <t>KINMEN 3-IN-1 DUO PACK</t>
  </si>
  <si>
    <t>8435057013659</t>
  </si>
  <si>
    <t>KINMEN FORCE DUO KRAFT PACK</t>
  </si>
  <si>
    <t>8435057013895</t>
  </si>
  <si>
    <t>KINMEN BEARD DUO PACK</t>
  </si>
  <si>
    <t>8435057013901</t>
  </si>
  <si>
    <t>KINMEN SILVER SHAMPOO 100 ML</t>
  </si>
  <si>
    <t>8435057013925</t>
  </si>
  <si>
    <t>KINMEN FORCE SHAMPOO 100 ML</t>
  </si>
  <si>
    <t>8435057013932</t>
  </si>
  <si>
    <t>KINMEN FORCE DUO PACK</t>
  </si>
  <si>
    <t>8435057014052</t>
  </si>
  <si>
    <t>KINMEN SHAVING CREAM 125 ML</t>
  </si>
  <si>
    <t>8435057014175</t>
  </si>
  <si>
    <t>KINMEN AFTER SHAVE BALM 75 ML</t>
  </si>
  <si>
    <t>8435057014182</t>
  </si>
  <si>
    <t>KINMEN 3-IN-1 SHAMPOO 300 ML</t>
  </si>
  <si>
    <t>8435057016513</t>
  </si>
  <si>
    <t>KINMEN SILVER SHAMPOO 300 ML</t>
  </si>
  <si>
    <t>8435057016520</t>
  </si>
  <si>
    <t>KINMEN FORCE SHAMPOO 300 ML</t>
  </si>
  <si>
    <t>8435057016537</t>
  </si>
  <si>
    <t>8435057016544</t>
  </si>
  <si>
    <t>8435057016551</t>
  </si>
  <si>
    <t>8435057016568</t>
  </si>
  <si>
    <t>PACK SACHETS KINMEN HAIR WET GEL</t>
  </si>
  <si>
    <t>8435057016681</t>
  </si>
  <si>
    <t>PACK SACHETS KINMEN 3-IN-1</t>
  </si>
  <si>
    <t>8435057016698</t>
  </si>
  <si>
    <t>PACK SACHETS KINMEN BEARD CREAM</t>
  </si>
  <si>
    <t>8435057016704</t>
  </si>
  <si>
    <t>KINMEN HAIR WET GEL 150 ML</t>
  </si>
  <si>
    <t>8435057016605</t>
  </si>
  <si>
    <t>KINMEN HAIR POWER GEL 150 ML</t>
  </si>
  <si>
    <t>8435057016612</t>
  </si>
  <si>
    <t>8435057017992</t>
  </si>
  <si>
    <t>KREMATIN 6 (60 GRS) : A</t>
  </si>
  <si>
    <t>FAK60A</t>
  </si>
  <si>
    <t>8435057049993</t>
  </si>
  <si>
    <t>KREMATIN 6 (60 GRS) : B</t>
  </si>
  <si>
    <t>FAK60B</t>
  </si>
  <si>
    <t>8435057049986</t>
  </si>
  <si>
    <t>KREMATIN 6 (60 GRS) : C</t>
  </si>
  <si>
    <t>FAK60C</t>
  </si>
  <si>
    <t>8435057049979</t>
  </si>
  <si>
    <t>KREMATIN 6 (60 GRS) : D</t>
  </si>
  <si>
    <t>FAK60D</t>
  </si>
  <si>
    <t>8435057049962</t>
  </si>
  <si>
    <t>KREMATIN 6 (60 GRS) : E</t>
  </si>
  <si>
    <t>FAK60E</t>
  </si>
  <si>
    <t>8435057049955</t>
  </si>
  <si>
    <t>KREMATIN 6 (60 GRS) : F</t>
  </si>
  <si>
    <t>FAK60F</t>
  </si>
  <si>
    <t>8435057049948</t>
  </si>
  <si>
    <t>KREMATIN 6 (60 GRS) : G</t>
  </si>
  <si>
    <t>FAK60G</t>
  </si>
  <si>
    <t>8435057049931</t>
  </si>
  <si>
    <t>KREMATIN 6 (60 GRS) : H</t>
  </si>
  <si>
    <t>FAK60H</t>
  </si>
  <si>
    <t>8435057049924</t>
  </si>
  <si>
    <t>KREMATIN 6 (60 GRS) : I</t>
  </si>
  <si>
    <t>FAK60I</t>
  </si>
  <si>
    <t>8435057049917</t>
  </si>
  <si>
    <t>KREMATIN 6 (60 GRS) : J</t>
  </si>
  <si>
    <t>FAK60J</t>
  </si>
  <si>
    <t>8435057049900</t>
  </si>
  <si>
    <t>KREMATIN 6 (60 GRS) : K</t>
  </si>
  <si>
    <t>FAK60K</t>
  </si>
  <si>
    <t>8435057049894</t>
  </si>
  <si>
    <t>KREMATIN 6 (60 GRS) : L</t>
  </si>
  <si>
    <t>FAK60L</t>
  </si>
  <si>
    <t>8435057049887</t>
  </si>
  <si>
    <t>KREMATIN 6 (60 GRS) : M</t>
  </si>
  <si>
    <t>FAK60M</t>
  </si>
  <si>
    <t>8435057049870</t>
  </si>
  <si>
    <t>KREMATIN 6 (60 GRS) : Ñ</t>
  </si>
  <si>
    <t>FAK60Ñ</t>
  </si>
  <si>
    <t>8435057049863</t>
  </si>
  <si>
    <t>KREMATIN 6 (60 GRS) : O</t>
  </si>
  <si>
    <t>FAK60O</t>
  </si>
  <si>
    <t>8435057049856</t>
  </si>
  <si>
    <t>KREMATIN 6 (60 GRS) : P</t>
  </si>
  <si>
    <t>FAK60P</t>
  </si>
  <si>
    <t>8435057049849</t>
  </si>
  <si>
    <t>KREMATIN 6 (60 GRS) : Q</t>
  </si>
  <si>
    <t>FAK60Q</t>
  </si>
  <si>
    <t>8435057049832</t>
  </si>
  <si>
    <t>KREMATIN 6 (60 GRS) : R</t>
  </si>
  <si>
    <t>FAK60R</t>
  </si>
  <si>
    <t>8435057049825</t>
  </si>
  <si>
    <t>KREMATIN 6 (60 GRS) : S</t>
  </si>
  <si>
    <t>FAK60S</t>
  </si>
  <si>
    <t>8435057049818</t>
  </si>
  <si>
    <t>KREMATIN 6 (60 GRS) : T</t>
  </si>
  <si>
    <t>FAK60T</t>
  </si>
  <si>
    <t>8435057049801</t>
  </si>
  <si>
    <t>KREMATIN 6 (60 GRS) : V</t>
  </si>
  <si>
    <t>FAK60V</t>
  </si>
  <si>
    <t>8435057049795</t>
  </si>
  <si>
    <t>KREMATIN 6 (60 GRS) : W</t>
  </si>
  <si>
    <t>FAK60W</t>
  </si>
  <si>
    <t>8435057049788</t>
  </si>
  <si>
    <t>KREMATIN 6 (60 GRS) : Y</t>
  </si>
  <si>
    <t>FAK60Y</t>
  </si>
  <si>
    <t>8435057049771</t>
  </si>
  <si>
    <t>KREMATIN 6 (60 GRS) : CH</t>
  </si>
  <si>
    <t>FAK6CH</t>
  </si>
  <si>
    <t>8435057049764</t>
  </si>
  <si>
    <t>KREMATIN 6 (60 GRS) : E/1</t>
  </si>
  <si>
    <t>FAK6E1</t>
  </si>
  <si>
    <t>8435057049757</t>
  </si>
  <si>
    <t>KREMATIN 6 (60 GRS) : LL</t>
  </si>
  <si>
    <t>FAK6LL</t>
  </si>
  <si>
    <t>8435057049740</t>
  </si>
  <si>
    <t>KREMATIN 6 (60 GRS) : P/1</t>
  </si>
  <si>
    <t>FAK6P1</t>
  </si>
  <si>
    <t>8435057049733</t>
  </si>
  <si>
    <t>KREMATIN 6 (60 GRS) : Q/A</t>
  </si>
  <si>
    <t>FAK6QA</t>
  </si>
  <si>
    <t>8435057049726</t>
  </si>
  <si>
    <t>KREMATIN 6 (60 GRS) : V/A</t>
  </si>
  <si>
    <t>FAK6VA</t>
  </si>
  <si>
    <t>8435057049719</t>
  </si>
  <si>
    <t>KREMATIN 6 (60 GRS) : X/A</t>
  </si>
  <si>
    <t>FAK6XA</t>
  </si>
  <si>
    <t>8435057049702</t>
  </si>
  <si>
    <t>FASHION BAÑO Nº 1-N</t>
  </si>
  <si>
    <t>FB001N</t>
  </si>
  <si>
    <t>8435057049696</t>
  </si>
  <si>
    <t>FASHION BAÑO Nº 3-N</t>
  </si>
  <si>
    <t>FB003N</t>
  </si>
  <si>
    <t>8435057049689</t>
  </si>
  <si>
    <t>FASHION BAÑO Nº 4-N</t>
  </si>
  <si>
    <t>FB004N</t>
  </si>
  <si>
    <t>8435057049672</t>
  </si>
  <si>
    <t>FASHION BAÑO Nº 5-N</t>
  </si>
  <si>
    <t>FB005N</t>
  </si>
  <si>
    <t>8435057049665</t>
  </si>
  <si>
    <t>FASHION BAÑO Nº 7-N</t>
  </si>
  <si>
    <t>FB007N</t>
  </si>
  <si>
    <t>8435057049658</t>
  </si>
  <si>
    <t>FASHION BAÑO Nº 8-N</t>
  </si>
  <si>
    <t>FB008N</t>
  </si>
  <si>
    <t>8435057049641</t>
  </si>
  <si>
    <t>FASHION BAÑO Nº 3.57</t>
  </si>
  <si>
    <t>FB0357</t>
  </si>
  <si>
    <t>8435057049634</t>
  </si>
  <si>
    <t>FASHION BAÑO Nº 4.70</t>
  </si>
  <si>
    <t>FB0470</t>
  </si>
  <si>
    <t>8435057049627</t>
  </si>
  <si>
    <t>FASHION BAÑO Nº 5.50</t>
  </si>
  <si>
    <t>FB0550</t>
  </si>
  <si>
    <t>8435057049610</t>
  </si>
  <si>
    <t>FASHION BAÑO Nº 6.24</t>
  </si>
  <si>
    <t>FB0624</t>
  </si>
  <si>
    <t>8435057049603</t>
  </si>
  <si>
    <t>FASHION BAÑO Nº 6.35</t>
  </si>
  <si>
    <t>FB0635</t>
  </si>
  <si>
    <t>8435057049597</t>
  </si>
  <si>
    <t>FASHION BAÑO Nº 6.50</t>
  </si>
  <si>
    <t>FB0650</t>
  </si>
  <si>
    <t>8435057049580</t>
  </si>
  <si>
    <t>FASHION BAÑO Nº 6.62</t>
  </si>
  <si>
    <t>FB0662</t>
  </si>
  <si>
    <t>8435057049573</t>
  </si>
  <si>
    <t>FASHION BAÑO Nº 7.53</t>
  </si>
  <si>
    <t>FB0753</t>
  </si>
  <si>
    <t>8435057049566</t>
  </si>
  <si>
    <t>FASHION BAÑO Nº 7.66</t>
  </si>
  <si>
    <t>FB0766</t>
  </si>
  <si>
    <t>8435057049559</t>
  </si>
  <si>
    <t>FASHION BAÑO Nº 8.33</t>
  </si>
  <si>
    <t>FB0833</t>
  </si>
  <si>
    <t>8435057049542</t>
  </si>
  <si>
    <t>FASHION BAÑO Nº 8.3-N</t>
  </si>
  <si>
    <t>FB083N</t>
  </si>
  <si>
    <t>8435057049535</t>
  </si>
  <si>
    <t>FASHION BAÑO Nº D-44</t>
  </si>
  <si>
    <t>FB0D44</t>
  </si>
  <si>
    <t>8435057049528</t>
  </si>
  <si>
    <t>FASHION BAÑO Nº D-66</t>
  </si>
  <si>
    <t>FB0D66</t>
  </si>
  <si>
    <t>8435057049511</t>
  </si>
  <si>
    <t>FASHION BAÑO Nº D-77</t>
  </si>
  <si>
    <t>FB0D77</t>
  </si>
  <si>
    <t>8435057049504</t>
  </si>
  <si>
    <t>TINTE KHATIONS nº 101</t>
  </si>
  <si>
    <t>TH0101</t>
  </si>
  <si>
    <t>8435057049498</t>
  </si>
  <si>
    <t>TINTE KHATIONS nº 102</t>
  </si>
  <si>
    <t>TH0102</t>
  </si>
  <si>
    <t>8435057049481</t>
  </si>
  <si>
    <t>TINTE KHATIONS nº 103</t>
  </si>
  <si>
    <t>TH0103</t>
  </si>
  <si>
    <t>8435057049474</t>
  </si>
  <si>
    <t>TINTE KHATIONS nº 104</t>
  </si>
  <si>
    <t>TH0104</t>
  </si>
  <si>
    <t>8435057049467</t>
  </si>
  <si>
    <t>TINTE KHATIONS nº 105</t>
  </si>
  <si>
    <t>TH0105</t>
  </si>
  <si>
    <t>8435057049450</t>
  </si>
  <si>
    <t>TINTE KHATIONS nº 106</t>
  </si>
  <si>
    <t>TH0106</t>
  </si>
  <si>
    <t>8435057049443</t>
  </si>
  <si>
    <t>TINTE KHATIONS nº 107</t>
  </si>
  <si>
    <t>TH0107</t>
  </si>
  <si>
    <t>8435057049436</t>
  </si>
  <si>
    <t>TINTE KHATIONS nº 108</t>
  </si>
  <si>
    <t>TH0108</t>
  </si>
  <si>
    <t>8435057049429</t>
  </si>
  <si>
    <t>TINTE KHATIONS nº 109</t>
  </si>
  <si>
    <t>TH0109</t>
  </si>
  <si>
    <t>8435057049412</t>
  </si>
  <si>
    <t>TINTE KHATIONS nº 125</t>
  </si>
  <si>
    <t>TH0125</t>
  </si>
  <si>
    <t>8435057049405</t>
  </si>
  <si>
    <t>TINTE KHATIONS nº 126</t>
  </si>
  <si>
    <t>TH0126</t>
  </si>
  <si>
    <t>8435057049399</t>
  </si>
  <si>
    <t>TINTE KHATIONS nº 127</t>
  </si>
  <si>
    <t>TH0127</t>
  </si>
  <si>
    <t>8435057049382</t>
  </si>
  <si>
    <t>TINTE KHATIONS nº 128</t>
  </si>
  <si>
    <t>TH0128</t>
  </si>
  <si>
    <t>8435057049375</t>
  </si>
  <si>
    <t>TINTE KHATIONS nº 129</t>
  </si>
  <si>
    <t>TH0129</t>
  </si>
  <si>
    <t>8435057049368</t>
  </si>
  <si>
    <t>TINTE KHATIONS nº 145</t>
  </si>
  <si>
    <t>TH0145</t>
  </si>
  <si>
    <t>8435057049351</t>
  </si>
  <si>
    <t>TINTE KHATIONS nº 146</t>
  </si>
  <si>
    <t>TH0146</t>
  </si>
  <si>
    <t>8435057049344</t>
  </si>
  <si>
    <t>TINTE KHATIONS nº 147</t>
  </si>
  <si>
    <t>TH0147</t>
  </si>
  <si>
    <t>8435057049337</t>
  </si>
  <si>
    <t>TINTE KHATIONS nº 148</t>
  </si>
  <si>
    <t>TH0148</t>
  </si>
  <si>
    <t>8435057049320</t>
  </si>
  <si>
    <t>TINTE KHATIONS nº 153</t>
  </si>
  <si>
    <t>TH0153</t>
  </si>
  <si>
    <t>8435057049313</t>
  </si>
  <si>
    <t>TINTE KHATIONS nº 154</t>
  </si>
  <si>
    <t>TH0154</t>
  </si>
  <si>
    <t>8435057049306</t>
  </si>
  <si>
    <t>TINTE KHATIONS nº 155</t>
  </si>
  <si>
    <t>TH0155</t>
  </si>
  <si>
    <t>8435057049290</t>
  </si>
  <si>
    <t>TINTE KHATIONS nº 156</t>
  </si>
  <si>
    <t>TH0156</t>
  </si>
  <si>
    <t>8435057049283</t>
  </si>
  <si>
    <t>TINTE KHATIONS nº 110 A</t>
  </si>
  <si>
    <t>TH110A</t>
  </si>
  <si>
    <t>8435057047562</t>
  </si>
  <si>
    <t>TINTE KHATIONS nº 130 A</t>
  </si>
  <si>
    <t>TH130A</t>
  </si>
  <si>
    <t>8435057047548</t>
  </si>
  <si>
    <t>TINTE KHATIONS nº 1</t>
  </si>
  <si>
    <t>TH0001</t>
  </si>
  <si>
    <t>8435057049252</t>
  </si>
  <si>
    <t>TINTE KHATIONS nº 2</t>
  </si>
  <si>
    <t>TH0002</t>
  </si>
  <si>
    <t>8435057049245</t>
  </si>
  <si>
    <t>TINTE KHATIONS nº 3</t>
  </si>
  <si>
    <t>TH0003</t>
  </si>
  <si>
    <t>8435057049238</t>
  </si>
  <si>
    <t>TINTE KHATIONS nº 4</t>
  </si>
  <si>
    <t>TH0004</t>
  </si>
  <si>
    <t>8435057049221</t>
  </si>
  <si>
    <t>TINTE KHATIONS nº 5</t>
  </si>
  <si>
    <t>TH0005</t>
  </si>
  <si>
    <t>8435057049214</t>
  </si>
  <si>
    <t>TINTE KHATIONS nº 6</t>
  </si>
  <si>
    <t>TH0006</t>
  </si>
  <si>
    <t>8435057049207</t>
  </si>
  <si>
    <t>TINTE KHATIONS nº 7</t>
  </si>
  <si>
    <t>TH0007</t>
  </si>
  <si>
    <t>8435057049191</t>
  </si>
  <si>
    <t>TINTE KHATIONS nº 8</t>
  </si>
  <si>
    <t>TH0008</t>
  </si>
  <si>
    <t>8435057049184</t>
  </si>
  <si>
    <t>TINTE KHATIONS nº 9</t>
  </si>
  <si>
    <t>TH0009</t>
  </si>
  <si>
    <t>8435057049177</t>
  </si>
  <si>
    <t>TINTE KHATIONS nº 10</t>
  </si>
  <si>
    <t>TH0010</t>
  </si>
  <si>
    <t>8435057049160</t>
  </si>
  <si>
    <t>TINTE KHATIONS nº 135</t>
  </si>
  <si>
    <t>TH0135</t>
  </si>
  <si>
    <t>8435057049153</t>
  </si>
  <si>
    <t>TINTE KHATIONS nº 136</t>
  </si>
  <si>
    <t>TH0136</t>
  </si>
  <si>
    <t>8435057049146</t>
  </si>
  <si>
    <t>TINTE KHATIONS nº 137</t>
  </si>
  <si>
    <t>TH0137</t>
  </si>
  <si>
    <t>8435057049139</t>
  </si>
  <si>
    <t>TINTE KHATIONS nº 138</t>
  </si>
  <si>
    <t>TH0138</t>
  </si>
  <si>
    <t>8435057049122</t>
  </si>
  <si>
    <t>TINTE KHATIONS nº 139</t>
  </si>
  <si>
    <t>TH0139</t>
  </si>
  <si>
    <t>8435057049115</t>
  </si>
  <si>
    <t>TINTE KHATIONS nº 407</t>
  </si>
  <si>
    <t>TH0407</t>
  </si>
  <si>
    <t>8435057049108</t>
  </si>
  <si>
    <t>TINTE KHATIONS nº 408</t>
  </si>
  <si>
    <t>TH0408</t>
  </si>
  <si>
    <t>8435057049092</t>
  </si>
  <si>
    <t>TINTE KHATIONS nº 409</t>
  </si>
  <si>
    <t>TH0409</t>
  </si>
  <si>
    <t>8435057049085</t>
  </si>
  <si>
    <t>TINTE KHATIONS nº 120 A</t>
  </si>
  <si>
    <t>TH120A</t>
  </si>
  <si>
    <t>8435057047555</t>
  </si>
  <si>
    <t>TINTE KHATIONS nº 140 A</t>
  </si>
  <si>
    <t>TH140A</t>
  </si>
  <si>
    <t>8435057047531</t>
  </si>
  <si>
    <t>TINTE KHATIONS nº 253</t>
  </si>
  <si>
    <t>TH0253</t>
  </si>
  <si>
    <t>8435057049047</t>
  </si>
  <si>
    <t>TINTE KHATIONS nº 254</t>
  </si>
  <si>
    <t>TH0254</t>
  </si>
  <si>
    <t>8435057049030</t>
  </si>
  <si>
    <t>TINTE KHATIONS nº 255</t>
  </si>
  <si>
    <t>TH0255</t>
  </si>
  <si>
    <t>8435057049023</t>
  </si>
  <si>
    <t>TINTE KHATIONS nº 264</t>
  </si>
  <si>
    <t>TH0264</t>
  </si>
  <si>
    <t>8435057049016</t>
  </si>
  <si>
    <t>TINTE KHATIONS nº 265</t>
  </si>
  <si>
    <t>TH0265</t>
  </si>
  <si>
    <t>8435057049009</t>
  </si>
  <si>
    <t>TINTE KHATIONS nº 266</t>
  </si>
  <si>
    <t>TH0266</t>
  </si>
  <si>
    <t>8435057048996</t>
  </si>
  <si>
    <t>TINTE KHATIONS nº 267</t>
  </si>
  <si>
    <t>TH0267</t>
  </si>
  <si>
    <t>8435057048989</t>
  </si>
  <si>
    <t>TINTE KHATIONS nº 366</t>
  </si>
  <si>
    <t>TH0366</t>
  </si>
  <si>
    <t>8435057048972</t>
  </si>
  <si>
    <t>TINTE KHATIONS nº 377</t>
  </si>
  <si>
    <t>TH0377</t>
  </si>
  <si>
    <t>8435057048965</t>
  </si>
  <si>
    <t>TINTE KHATIONS nº 155 A</t>
  </si>
  <si>
    <t>TH155A</t>
  </si>
  <si>
    <t>8435057048958</t>
  </si>
  <si>
    <t>TINTE KHATIONS nº 366 A</t>
  </si>
  <si>
    <t>TH366A</t>
  </si>
  <si>
    <t>8435057048941</t>
  </si>
  <si>
    <t>TINTE KHATIONS nº 367 A</t>
  </si>
  <si>
    <t>TH367A</t>
  </si>
  <si>
    <t>8435057048934</t>
  </si>
  <si>
    <t>SPEJO'S COLOR Nº 1</t>
  </si>
  <si>
    <t>SP0001</t>
  </si>
  <si>
    <t>8435057048927</t>
  </si>
  <si>
    <t>SPEJO'S COLOR Nº 2</t>
  </si>
  <si>
    <t>SP0002</t>
  </si>
  <si>
    <t>8435057048910</t>
  </si>
  <si>
    <t>SPEJO'S COLOR Nº 3</t>
  </si>
  <si>
    <t>SP0003</t>
  </si>
  <si>
    <t>8435057048903</t>
  </si>
  <si>
    <t>SPEJO'S COLOR Nº 4</t>
  </si>
  <si>
    <t>SP0004</t>
  </si>
  <si>
    <t>8435057048897</t>
  </si>
  <si>
    <t>SPEJO'S COLOR Nº 5</t>
  </si>
  <si>
    <t>SP0005</t>
  </si>
  <si>
    <t>8435057048880</t>
  </si>
  <si>
    <t>SPEJO'S COLOR Nº 6</t>
  </si>
  <si>
    <t>SP0006</t>
  </si>
  <si>
    <t>8435057048873</t>
  </si>
  <si>
    <t>SPEJO'S COLOR Nº 7</t>
  </si>
  <si>
    <t>SP0007</t>
  </si>
  <si>
    <t>8435057048866</t>
  </si>
  <si>
    <t>SPEJO'S COLOR Nº 8</t>
  </si>
  <si>
    <t>SP0008</t>
  </si>
  <si>
    <t>8435057048859</t>
  </si>
  <si>
    <t>SPEJO'S COLOR Nº 9</t>
  </si>
  <si>
    <t>SP0009</t>
  </si>
  <si>
    <t>8435057048842</t>
  </si>
  <si>
    <t>SPEJO'S COLOR Nº 10</t>
  </si>
  <si>
    <t>SP0010</t>
  </si>
  <si>
    <t>8435057048835</t>
  </si>
  <si>
    <t>SPEJO'S COLOR Nº 1.1</t>
  </si>
  <si>
    <t>SP0011</t>
  </si>
  <si>
    <t>8435057048828</t>
  </si>
  <si>
    <t>SPEJO'S COLOR Nº 4.3</t>
  </si>
  <si>
    <t>SP0043</t>
  </si>
  <si>
    <t>8435057048798</t>
  </si>
  <si>
    <t>SPEJO'S COLOR Nº 5.3</t>
  </si>
  <si>
    <t>SP0053</t>
  </si>
  <si>
    <t>8435057048767</t>
  </si>
  <si>
    <t>SPEJO'S COLOR Nº 5.4</t>
  </si>
  <si>
    <t>SP0054</t>
  </si>
  <si>
    <t>8435057047364</t>
  </si>
  <si>
    <t>SPEJO'S COLOR Nº 5.5</t>
  </si>
  <si>
    <t>SP0055</t>
  </si>
  <si>
    <t>8435057048750</t>
  </si>
  <si>
    <t>SPEJO'S COLOR Nº 6.1</t>
  </si>
  <si>
    <t>SP0061</t>
  </si>
  <si>
    <t>8435057048743</t>
  </si>
  <si>
    <t>SPEJO'S COLOR Nº 6.3</t>
  </si>
  <si>
    <t>SP0063</t>
  </si>
  <si>
    <t>8435057048736</t>
  </si>
  <si>
    <t>SPEJO'S COLOR Nº 6.5</t>
  </si>
  <si>
    <t>SP0065</t>
  </si>
  <si>
    <t>8435057048729</t>
  </si>
  <si>
    <t>SPEJO'S COLOR Nº 6.6</t>
  </si>
  <si>
    <t>SP0066</t>
  </si>
  <si>
    <t>8435057048712</t>
  </si>
  <si>
    <t>SPEJO'S COLOR Nº 7.1</t>
  </si>
  <si>
    <t>SP0071</t>
  </si>
  <si>
    <t>8435057048705</t>
  </si>
  <si>
    <t>SPEJO'S COLOR Nº 7.3</t>
  </si>
  <si>
    <t>SP0073</t>
  </si>
  <si>
    <t>8435057048699</t>
  </si>
  <si>
    <t>SPEJO'S COLOR Nº 7.4</t>
  </si>
  <si>
    <t>SP0074</t>
  </si>
  <si>
    <t>8435057048682</t>
  </si>
  <si>
    <t>SPEJO'S COLOR Nº 7.5</t>
  </si>
  <si>
    <t>SP0075</t>
  </si>
  <si>
    <t>8435057048675</t>
  </si>
  <si>
    <t>SPEJO'S COLOR Nº 7.6</t>
  </si>
  <si>
    <t>SP0076</t>
  </si>
  <si>
    <t>8435057048668</t>
  </si>
  <si>
    <t>SPEJO'S COLOR Nº 8.1</t>
  </si>
  <si>
    <t>SP0081</t>
  </si>
  <si>
    <t>8435057048651</t>
  </si>
  <si>
    <t>SPEJO'S COLOR Nº 8.3</t>
  </si>
  <si>
    <t>SP0083</t>
  </si>
  <si>
    <t>8435057048644</t>
  </si>
  <si>
    <t>SPEJO'S COLOR Nº 8.6</t>
  </si>
  <si>
    <t>SP0086</t>
  </si>
  <si>
    <t>8435057048637</t>
  </si>
  <si>
    <t>SPEJO'S COLOR Nº 9.1</t>
  </si>
  <si>
    <t>SP0091</t>
  </si>
  <si>
    <t>8435057048620</t>
  </si>
  <si>
    <t>SPEJO'S COLOR Nº 9.3</t>
  </si>
  <si>
    <t>SP0093</t>
  </si>
  <si>
    <t>8435057048613</t>
  </si>
  <si>
    <t>SPEJO'S COLOR Nº 9.6</t>
  </si>
  <si>
    <t>SP0096</t>
  </si>
  <si>
    <t>8435057048606</t>
  </si>
  <si>
    <t>SPEJO'S COLOR Nº 10.1</t>
  </si>
  <si>
    <t>SP0101</t>
  </si>
  <si>
    <t>8435057048521</t>
  </si>
  <si>
    <t>SPEJO'S COLOR Nº 10.3</t>
  </si>
  <si>
    <t>SP0103</t>
  </si>
  <si>
    <t>8435057048514</t>
  </si>
  <si>
    <t>SPEJO'S COLOR Nº 10.6</t>
  </si>
  <si>
    <t>SP0106</t>
  </si>
  <si>
    <t>8435057048507</t>
  </si>
  <si>
    <t>SPEJO'S COLOR Nº 11.0</t>
  </si>
  <si>
    <t>SP0110</t>
  </si>
  <si>
    <t>8435057048491</t>
  </si>
  <si>
    <t>SPEJO'S COLOR Nº 11.1</t>
  </si>
  <si>
    <t>SP0111</t>
  </si>
  <si>
    <t>8435057048484</t>
  </si>
  <si>
    <t>SPEJO'S COLOR Nº 11.3</t>
  </si>
  <si>
    <t>SP0113</t>
  </si>
  <si>
    <t>8435057048132</t>
  </si>
  <si>
    <t>SPEJO'S COLOR Nº 11.6</t>
  </si>
  <si>
    <t>SP0116</t>
  </si>
  <si>
    <t>8435057048477</t>
  </si>
  <si>
    <t>SPEJO'S COLOR Nº 12.0</t>
  </si>
  <si>
    <t>SP0120</t>
  </si>
  <si>
    <t>8435057048781</t>
  </si>
  <si>
    <t>SPEJO'S COLOR Nº 12.1</t>
  </si>
  <si>
    <t>SP0121</t>
  </si>
  <si>
    <t>8435057048774</t>
  </si>
  <si>
    <t>SPEJO'S COLOR Nº 4.00</t>
  </si>
  <si>
    <t>SP0400</t>
  </si>
  <si>
    <t>8435057048163</t>
  </si>
  <si>
    <t>SPEJO'S COLOR Nº 4.20</t>
  </si>
  <si>
    <t>SP0420</t>
  </si>
  <si>
    <t>8435057048453</t>
  </si>
  <si>
    <t>SPEJO'S COLOR Nº 4.72</t>
  </si>
  <si>
    <t>SP0472</t>
  </si>
  <si>
    <t>8435057048460</t>
  </si>
  <si>
    <t>SPEJO'S COLOR Nº 5.00</t>
  </si>
  <si>
    <t>SP0500</t>
  </si>
  <si>
    <t>8435057048187</t>
  </si>
  <si>
    <t>SPEJO'S COLOR Nº 5.51</t>
  </si>
  <si>
    <t>SP0551</t>
  </si>
  <si>
    <t>8435057048446</t>
  </si>
  <si>
    <t>SPEJO'S COLOR Nº 5.52</t>
  </si>
  <si>
    <t>SP0552</t>
  </si>
  <si>
    <t>8435057048439</t>
  </si>
  <si>
    <t>SPEJO'S COLOR Nº 5.53</t>
  </si>
  <si>
    <t>SP0553</t>
  </si>
  <si>
    <t>8435057048422</t>
  </si>
  <si>
    <t>SPEJO'S COLOR Nº 5.72</t>
  </si>
  <si>
    <t>SP0572</t>
  </si>
  <si>
    <t>8435057048408</t>
  </si>
  <si>
    <t>SPEJO'S COLOR Nº 6.00</t>
  </si>
  <si>
    <t>SP0600</t>
  </si>
  <si>
    <t>8435057048392</t>
  </si>
  <si>
    <t>SPEJO'S COLOR Nº 6.20</t>
  </si>
  <si>
    <t>SP0620</t>
  </si>
  <si>
    <t>8435057048415</t>
  </si>
  <si>
    <t>SPEJO'S COLOR Nº 6.31</t>
  </si>
  <si>
    <t>SP0631</t>
  </si>
  <si>
    <t>8435057048385</t>
  </si>
  <si>
    <t>SPEJO'S COLOR Nº 6.43</t>
  </si>
  <si>
    <t>SP0643</t>
  </si>
  <si>
    <t>8435057048378</t>
  </si>
  <si>
    <t>SPEJO'S COLOR Nº 6.45</t>
  </si>
  <si>
    <t>SP0645</t>
  </si>
  <si>
    <t>8435057048361</t>
  </si>
  <si>
    <t>SPEJO'S COLOR Nº 6.51</t>
  </si>
  <si>
    <t>SP0651</t>
  </si>
  <si>
    <t>8435057048354</t>
  </si>
  <si>
    <t>SPEJO'S COLOR Nº 6.52</t>
  </si>
  <si>
    <t>SP0652</t>
  </si>
  <si>
    <t>8435057047357</t>
  </si>
  <si>
    <t>SPEJO'S COLOR Nº 6.53</t>
  </si>
  <si>
    <t>SP0653</t>
  </si>
  <si>
    <t>8435057048347</t>
  </si>
  <si>
    <t>SPEJO'S COLOR Nº 6.72</t>
  </si>
  <si>
    <t>SP0672</t>
  </si>
  <si>
    <t>8435057048330</t>
  </si>
  <si>
    <t>SPEJO'S COLOR Nº 6.74</t>
  </si>
  <si>
    <t>SP0674</t>
  </si>
  <si>
    <t>8435057048323</t>
  </si>
  <si>
    <t>SPEJO'S COLOR Nº 6.77</t>
  </si>
  <si>
    <t>SP0677</t>
  </si>
  <si>
    <t>8435057048316</t>
  </si>
  <si>
    <t>SPEJO'S COLOR Nº 7.00</t>
  </si>
  <si>
    <t>SP0700</t>
  </si>
  <si>
    <t>8435057048309</t>
  </si>
  <si>
    <t>SPEJO'S COLOR Nº 7.20</t>
  </si>
  <si>
    <t>SP0720</t>
  </si>
  <si>
    <t>8435057048156</t>
  </si>
  <si>
    <t>SPEJO'S COLOR Nº 7.31</t>
  </si>
  <si>
    <t>SP0731</t>
  </si>
  <si>
    <t>8435057048286</t>
  </si>
  <si>
    <t>SPEJO'S COLOR Nº 7.44</t>
  </si>
  <si>
    <t>SP0744</t>
  </si>
  <si>
    <t>8435057048279</t>
  </si>
  <si>
    <t>SPEJO'S COLOR Nº 7.45</t>
  </si>
  <si>
    <t>SP0745</t>
  </si>
  <si>
    <t>8435057048262</t>
  </si>
  <si>
    <t>SPEJO'S COLOR Nº 7.51</t>
  </si>
  <si>
    <t>SP0751</t>
  </si>
  <si>
    <t>8435057047340</t>
  </si>
  <si>
    <t>SPEJO'S COLOR Nº 7.52</t>
  </si>
  <si>
    <t>SP0752</t>
  </si>
  <si>
    <t>8435057047333</t>
  </si>
  <si>
    <t>SPEJO'S COLOR Nº 7.53</t>
  </si>
  <si>
    <t>SP0753</t>
  </si>
  <si>
    <t>8435057047326</t>
  </si>
  <si>
    <t>SPEJO'S COLOR Nº 7.74</t>
  </si>
  <si>
    <t>SP0774</t>
  </si>
  <si>
    <t>8435057048255</t>
  </si>
  <si>
    <t>SPEJO'S COLOR Nº 7.77</t>
  </si>
  <si>
    <t>SP0777</t>
  </si>
  <si>
    <t>8435057048293</t>
  </si>
  <si>
    <t>SPEJO'S COLOR Nº 8.00</t>
  </si>
  <si>
    <t>SP0800</t>
  </si>
  <si>
    <t>8435057048248</t>
  </si>
  <si>
    <t>SPEJO'S COLOR Nº 8.31</t>
  </si>
  <si>
    <t>SP0831</t>
  </si>
  <si>
    <t>8435057048231</t>
  </si>
  <si>
    <t>SPEJO'S COLOR Nº 8.33</t>
  </si>
  <si>
    <t>SP0833</t>
  </si>
  <si>
    <t>8435057048224</t>
  </si>
  <si>
    <t>SPEJO'S COLOR Nº 8.34</t>
  </si>
  <si>
    <t>SP0834</t>
  </si>
  <si>
    <t>8435057048217</t>
  </si>
  <si>
    <t>SPEJO'S COLOR Nº 8.44</t>
  </si>
  <si>
    <t>SP0844</t>
  </si>
  <si>
    <t>8435057047319</t>
  </si>
  <si>
    <t>SPEJO'S COLOR Nº 8.45</t>
  </si>
  <si>
    <t>SP0845</t>
  </si>
  <si>
    <t>8435057048200</t>
  </si>
  <si>
    <t>SPEJO'S COLOR Nº 8.51</t>
  </si>
  <si>
    <t>SP0851</t>
  </si>
  <si>
    <t>8435057047302</t>
  </si>
  <si>
    <t>SPEJO'S COLOR Nº 9.00</t>
  </si>
  <si>
    <t>SP0900</t>
  </si>
  <si>
    <t>8435057048194</t>
  </si>
  <si>
    <t>SPEJO'S COLOR Nº 9.31</t>
  </si>
  <si>
    <t>SP0931</t>
  </si>
  <si>
    <t>8435057048170</t>
  </si>
  <si>
    <t>SPEJO'S COLOR Nº 9.91</t>
  </si>
  <si>
    <t>SP0991</t>
  </si>
  <si>
    <t>8435057048804</t>
  </si>
  <si>
    <t>SPEJO'S COLOR Nº C44</t>
  </si>
  <si>
    <t>SP0C44</t>
  </si>
  <si>
    <t>8435057047296</t>
  </si>
  <si>
    <t>SPEJO'S COLOR Nº C72</t>
  </si>
  <si>
    <t>SP0C72</t>
  </si>
  <si>
    <t>8435057047289</t>
  </si>
  <si>
    <t>SPEJO'S COLOR Nº C77</t>
  </si>
  <si>
    <t>SP0C77</t>
  </si>
  <si>
    <t>8435057047272</t>
  </si>
  <si>
    <t>SPEJO'S COLOR Nº 0/00</t>
  </si>
  <si>
    <t>SP0M00</t>
  </si>
  <si>
    <t>8435057048811</t>
  </si>
  <si>
    <t>SPEJO'S COLOR Nº 0/11</t>
  </si>
  <si>
    <t>SP0M11</t>
  </si>
  <si>
    <t>8435057048590</t>
  </si>
  <si>
    <t>SPEJO'S COLOR Nº 0/22</t>
  </si>
  <si>
    <t>SP0M22</t>
  </si>
  <si>
    <t>8435057048583</t>
  </si>
  <si>
    <t>SPEJO'S COLOR Nº 0/33</t>
  </si>
  <si>
    <t>SP0M33</t>
  </si>
  <si>
    <t>8435057048576</t>
  </si>
  <si>
    <t>SPEJO'S COLOR Nº 0/44</t>
  </si>
  <si>
    <t>SP0M44</t>
  </si>
  <si>
    <t>8435057048569</t>
  </si>
  <si>
    <t>SPEJO'S COLOR Nº 0/77</t>
  </si>
  <si>
    <t>SP0M77</t>
  </si>
  <si>
    <t>8435057048552</t>
  </si>
  <si>
    <t>SPEJO'S COLOR Nº 0/88</t>
  </si>
  <si>
    <t>SP0M88</t>
  </si>
  <si>
    <t>8435057048545</t>
  </si>
  <si>
    <t>SPEJO'S COLOR Nº 0/99</t>
  </si>
  <si>
    <t>SP0M99</t>
  </si>
  <si>
    <t>8435057048538</t>
  </si>
  <si>
    <t>SPEJO'S COLOR Nº 11.12</t>
  </si>
  <si>
    <t>SP1112</t>
  </si>
  <si>
    <t>8435057048149</t>
  </si>
  <si>
    <t>DIETISA BALSAMO RECUP. 75 ML.</t>
  </si>
  <si>
    <t>DIBARE</t>
  </si>
  <si>
    <t>8435057048033</t>
  </si>
  <si>
    <t>KABLANC (400 grs)</t>
  </si>
  <si>
    <t>FAK00</t>
  </si>
  <si>
    <t>8435057048026</t>
  </si>
  <si>
    <t>OXIGENADA CREMA 30 VOL.(FANS)</t>
  </si>
  <si>
    <t>FAO30</t>
  </si>
  <si>
    <t>8435057047999</t>
  </si>
  <si>
    <t>HERBAL MASC. ANTI-ROTURA RESIS</t>
  </si>
  <si>
    <t>HEMAAR</t>
  </si>
  <si>
    <t>8435057047951</t>
  </si>
  <si>
    <t>HERBAL MASC. COLOR LUMIERE</t>
  </si>
  <si>
    <t>HEMACL</t>
  </si>
  <si>
    <t>8435057047944</t>
  </si>
  <si>
    <t>HERBAL MASC. LISSE ABSOLUTE</t>
  </si>
  <si>
    <t>HEMALA</t>
  </si>
  <si>
    <t>8435057047937</t>
  </si>
  <si>
    <t>HERBAL MASC. HIDRAT. RICH CREM</t>
  </si>
  <si>
    <t>HEMARC</t>
  </si>
  <si>
    <t>8435057047920</t>
  </si>
  <si>
    <t>HERBAL MASC. RIZOS HIGH DEFIN.</t>
  </si>
  <si>
    <t>HEMARI</t>
  </si>
  <si>
    <t>8435057047913</t>
  </si>
  <si>
    <t>HERBAL MASC. SOLAR</t>
  </si>
  <si>
    <t>HEMASO</t>
  </si>
  <si>
    <t>8435057047906</t>
  </si>
  <si>
    <t>HERBAL MASC. COLOR CASTAÑO INT</t>
  </si>
  <si>
    <t>HEMCCI</t>
  </si>
  <si>
    <t>8435057047890</t>
  </si>
  <si>
    <t>HERBAL MASC. COLOR  DORADOS</t>
  </si>
  <si>
    <t>HEMCDO</t>
  </si>
  <si>
    <t>8435057047883</t>
  </si>
  <si>
    <t>HERBAL MASC. COLOR NEGRO</t>
  </si>
  <si>
    <t>HEMCNA</t>
  </si>
  <si>
    <t>8435057047876</t>
  </si>
  <si>
    <t>HERBAL MASC. COLOR PLATINOS</t>
  </si>
  <si>
    <t>HEMCPL</t>
  </si>
  <si>
    <t>8435057047869</t>
  </si>
  <si>
    <t>HERBAL ACOND. ANTI-ROTURA</t>
  </si>
  <si>
    <t>HEACAR</t>
  </si>
  <si>
    <t>8435057047616</t>
  </si>
  <si>
    <t>HERBAL ACOND. BRILLO INTENSO</t>
  </si>
  <si>
    <t>HEACBI</t>
  </si>
  <si>
    <t>8435057047524</t>
  </si>
  <si>
    <t>HERBAL ACOND. COLOR LUMIERE</t>
  </si>
  <si>
    <t>HEACCL</t>
  </si>
  <si>
    <t>8435057047609</t>
  </si>
  <si>
    <t>HERBAL ACOND. CAB. NATURALES</t>
  </si>
  <si>
    <t>HEACCN</t>
  </si>
  <si>
    <t>8435057047517</t>
  </si>
  <si>
    <t>HERBAL ACOND. HYDRATION RICH</t>
  </si>
  <si>
    <t>HEACHR</t>
  </si>
  <si>
    <t>8435057047593</t>
  </si>
  <si>
    <t>HERBAL ACOND. LISSE</t>
  </si>
  <si>
    <t>HEACLI</t>
  </si>
  <si>
    <t>8435057047500</t>
  </si>
  <si>
    <t>HERBAL ACOND. REFLEJOS DORADOS</t>
  </si>
  <si>
    <t>HEACRD</t>
  </si>
  <si>
    <t>8435057047494</t>
  </si>
  <si>
    <t>HERBAL ACOND. RIZOS</t>
  </si>
  <si>
    <t>HEACRI</t>
  </si>
  <si>
    <t>8435057047586</t>
  </si>
  <si>
    <t>HERBAL SHAMPOO ANTI-ROTURA</t>
  </si>
  <si>
    <t>HESHAR</t>
  </si>
  <si>
    <t>8435057047487</t>
  </si>
  <si>
    <t>HERBAL SHAMPOO BRILLO INTENSO</t>
  </si>
  <si>
    <t>HESHBI</t>
  </si>
  <si>
    <t>8435057047418</t>
  </si>
  <si>
    <t>HERBAL SHAMPOO COLOR LUMIERE</t>
  </si>
  <si>
    <t>HESHCL</t>
  </si>
  <si>
    <t>8435057047470</t>
  </si>
  <si>
    <t>HERBAL SHAMPOO CAB. NATURAL</t>
  </si>
  <si>
    <t>HESHCN</t>
  </si>
  <si>
    <t>8435057047401</t>
  </si>
  <si>
    <t>HERBAL SHAMPOO HYDRATION</t>
  </si>
  <si>
    <t>HESHHR</t>
  </si>
  <si>
    <t>8435057047463</t>
  </si>
  <si>
    <t>HERBAL SHAMPOO LISSE</t>
  </si>
  <si>
    <t>HESHLI</t>
  </si>
  <si>
    <t>8435057047432</t>
  </si>
  <si>
    <t>HERBAL SHAMPOO PURIFICANTE</t>
  </si>
  <si>
    <t>HESHPU</t>
  </si>
  <si>
    <t>8435057047395</t>
  </si>
  <si>
    <t>HERBAL SHAMPOO REF. DORADOS</t>
  </si>
  <si>
    <t>HESHRD</t>
  </si>
  <si>
    <t>8435057047371</t>
  </si>
  <si>
    <t>HERBAL SHAMPOO REVITALIZANTE</t>
  </si>
  <si>
    <t>HESHRE</t>
  </si>
  <si>
    <t>8435057047388</t>
  </si>
  <si>
    <t>HERBAL SHAMPOO RIZOS</t>
  </si>
  <si>
    <t>HESHRI</t>
  </si>
  <si>
    <t>8435057047425</t>
  </si>
  <si>
    <t>HERBAL SHAMPOO TONIFICANTE</t>
  </si>
  <si>
    <t>HESHTO</t>
  </si>
  <si>
    <t>8435057047456</t>
  </si>
  <si>
    <t>SHAMPOO LOR-MUN NEUTRO</t>
  </si>
  <si>
    <t>HUCNE</t>
  </si>
  <si>
    <t>8435057047852</t>
  </si>
  <si>
    <t>CHAMPU PINO 5 LT. (HULMA)</t>
  </si>
  <si>
    <t>HUCPR</t>
  </si>
  <si>
    <t>8435057047845</t>
  </si>
  <si>
    <t>DECOLORACION 500 GR. (HULMA)</t>
  </si>
  <si>
    <t>HUD00</t>
  </si>
  <si>
    <t>8435057047838</t>
  </si>
  <si>
    <t>KENVIN BRUSHING PLATA</t>
  </si>
  <si>
    <t>HUKPL</t>
  </si>
  <si>
    <t>8435057006231</t>
  </si>
  <si>
    <t>NEUTRALIZANTE LIQUIDO (Hulma)</t>
  </si>
  <si>
    <t>HUNLI</t>
  </si>
  <si>
    <t>8435057047821</t>
  </si>
  <si>
    <t>OXIGENADA CREM 20 Vol.(HULMA)</t>
  </si>
  <si>
    <t>HUO20</t>
  </si>
  <si>
    <t>8435057047814</t>
  </si>
  <si>
    <t>OXIGENADA CREM 30 Vol.(Hulma)</t>
  </si>
  <si>
    <t>HUO30</t>
  </si>
  <si>
    <t>8435057047807</t>
  </si>
  <si>
    <t>OXIGENADA CREM 40 Vol.(Hulma)</t>
  </si>
  <si>
    <t>HUO40</t>
  </si>
  <si>
    <t>8435057047791</t>
  </si>
  <si>
    <t>PERMANENTE H-1 SUAVE</t>
  </si>
  <si>
    <t>HUPH1</t>
  </si>
  <si>
    <t>8435057047784</t>
  </si>
  <si>
    <t>PERMANENTE H-2 NORMAL</t>
  </si>
  <si>
    <t>HUPH2</t>
  </si>
  <si>
    <t>8435057047777</t>
  </si>
  <si>
    <t>PERMANENTE H-3 FUERTE</t>
  </si>
  <si>
    <t>HUPH3</t>
  </si>
  <si>
    <t>8435057047760</t>
  </si>
  <si>
    <t>HULMA PLIS PLATA KALIN 5</t>
  </si>
  <si>
    <t>HUPPL</t>
  </si>
  <si>
    <t>8435057047753</t>
  </si>
  <si>
    <t>REVELADOR REFLEJOS 1 LT.</t>
  </si>
  <si>
    <t>HUR10</t>
  </si>
  <si>
    <t>8435057047746</t>
  </si>
  <si>
    <t>SIAN CREMA SUAVIZANTE</t>
  </si>
  <si>
    <t>HUS00</t>
  </si>
  <si>
    <t>8435057047579</t>
  </si>
  <si>
    <t>OXIGENADA CREMA 40 Vol.(SLOBEL</t>
  </si>
  <si>
    <t>SLO40</t>
  </si>
  <si>
    <t>8435057047708</t>
  </si>
  <si>
    <t>PLIS ACLARANTE (SLOBEL)</t>
  </si>
  <si>
    <t>SLPAC</t>
  </si>
  <si>
    <t>8435057047692</t>
  </si>
  <si>
    <t>PLIS COLOR CASTAÑO (SLOBEL)</t>
  </si>
  <si>
    <t>SLPCA</t>
  </si>
  <si>
    <t>8435057047685</t>
  </si>
  <si>
    <t>PLIS CABELLOS NORMALES (SL)</t>
  </si>
  <si>
    <t>SLPCN</t>
  </si>
  <si>
    <t>8435057047661</t>
  </si>
  <si>
    <t>PLIS COLOR CENIZA OSCURO (SL)</t>
  </si>
  <si>
    <t>SLPCO</t>
  </si>
  <si>
    <t>8435057047654</t>
  </si>
  <si>
    <t>PLIS COLOR GRIS PERLA (SLOBEL)</t>
  </si>
  <si>
    <t>SLPGP</t>
  </si>
  <si>
    <t>8435057047647</t>
  </si>
  <si>
    <t>SPEJOS CERA EFECTO BRILLO 50</t>
  </si>
  <si>
    <t>SPCEBR</t>
  </si>
  <si>
    <t>8435057006385</t>
  </si>
  <si>
    <t>SPEJOS CREMA ALISADORA 200 ml.</t>
  </si>
  <si>
    <t>SPCRAL</t>
  </si>
  <si>
    <t>SPEJOS CREMA ACCION COLOR</t>
  </si>
  <si>
    <t>SPCRCO</t>
  </si>
  <si>
    <t>8435057006309</t>
  </si>
  <si>
    <t>SPEJOS CREMA NUTRIC. INTENSA</t>
  </si>
  <si>
    <t>SPCRNU</t>
  </si>
  <si>
    <t>8435057006316</t>
  </si>
  <si>
    <t>SPEJOS DECOLORACION 1 KG.</t>
  </si>
  <si>
    <t>SPDECO</t>
  </si>
  <si>
    <t>8435057047449</t>
  </si>
  <si>
    <t>SPEJOS FLUIDO ALISANTE ACTIVO</t>
  </si>
  <si>
    <t>SPFLAL</t>
  </si>
  <si>
    <t>8435057006354</t>
  </si>
  <si>
    <t>SPEJOS FLUIDO REAFIRM. RIZOS</t>
  </si>
  <si>
    <t>SPFLRI</t>
  </si>
  <si>
    <t>8435057006361</t>
  </si>
  <si>
    <t>SPEJOS MASC. ALISANTE ACTIVA</t>
  </si>
  <si>
    <t>SPMAAL</t>
  </si>
  <si>
    <t>8435057006330</t>
  </si>
  <si>
    <t>SPEJOS MASC. ACCION COLOR</t>
  </si>
  <si>
    <t>SPMACO</t>
  </si>
  <si>
    <t>8435057006323</t>
  </si>
  <si>
    <t>SPEJOS MASC. NUTRICION INT.</t>
  </si>
  <si>
    <t>SPMANI</t>
  </si>
  <si>
    <t>8435057006347</t>
  </si>
  <si>
    <t>SPEJOS OXIDANTE CREMA 12 VOL.</t>
  </si>
  <si>
    <t>SPOC12</t>
  </si>
  <si>
    <t>8435057047265</t>
  </si>
  <si>
    <t>SPEJOS OXIDANTE CREMA 20 VOL.</t>
  </si>
  <si>
    <t>SPOC20</t>
  </si>
  <si>
    <t>8435057047258</t>
  </si>
  <si>
    <t>SPEJOS OXIDANTE CREMA 30 VOL.</t>
  </si>
  <si>
    <t>SPOC30</t>
  </si>
  <si>
    <t>8435057047241</t>
  </si>
  <si>
    <t>SPEJOS OXIDANTE CREMA 40 VOL.</t>
  </si>
  <si>
    <t>SPOC40</t>
  </si>
  <si>
    <t>8435057047234</t>
  </si>
  <si>
    <t>SPEJOS SHAMPOO ALISANTE ACT.</t>
  </si>
  <si>
    <t>SPSHAL</t>
  </si>
  <si>
    <t>8435057006255</t>
  </si>
  <si>
    <t>SPEJOS SHAMPOO ACCION COLOR</t>
  </si>
  <si>
    <t>SPSHCO</t>
  </si>
  <si>
    <t>8435057006248</t>
  </si>
  <si>
    <t>SPEJOS SHAMPOO VOLUMEN ACTIVO</t>
  </si>
  <si>
    <t>SPSHCP</t>
  </si>
  <si>
    <t>8435057006262</t>
  </si>
  <si>
    <t>SPEJOS SHAMPOO ESP. DESCAMACIO</t>
  </si>
  <si>
    <t>SPSHCS</t>
  </si>
  <si>
    <t>8435057006286</t>
  </si>
  <si>
    <t>SPEJOS SHAMPOO ESP. GRASA</t>
  </si>
  <si>
    <t>SPSHGR</t>
  </si>
  <si>
    <t>8435057006293</t>
  </si>
  <si>
    <t>SPEJOS SHAMPOO NUTRIC. INTENSA</t>
  </si>
  <si>
    <t>SPSHNU</t>
  </si>
  <si>
    <t>8435057006279</t>
  </si>
  <si>
    <t>FLORAL N.REPAIR SHAMPOO 1000</t>
  </si>
  <si>
    <t>8435057006392</t>
  </si>
  <si>
    <t>FLORAL N.REPAIR SHAMPOO 250</t>
  </si>
  <si>
    <t>8435057006408</t>
  </si>
  <si>
    <t>FLORAL VOLUME SHAMPOO 250</t>
  </si>
  <si>
    <t>8435057006415</t>
  </si>
  <si>
    <t>FLORAL VITAL C. SHAMPOO 1000</t>
  </si>
  <si>
    <t>8435057006422</t>
  </si>
  <si>
    <t>FLORAL VITAL C. SHAMPOO 250</t>
  </si>
  <si>
    <t>8435057006439</t>
  </si>
  <si>
    <t>FLORAL C.SILVER SHAMPOO 250</t>
  </si>
  <si>
    <t>8435057006446</t>
  </si>
  <si>
    <t>FLORAL SENSITIVE SHAMPOO 250</t>
  </si>
  <si>
    <t>8435057006453</t>
  </si>
  <si>
    <t>FLORAL REGUL.CONDITION. 1000</t>
  </si>
  <si>
    <t>8435057006460</t>
  </si>
  <si>
    <t>FLORAL REGUL. CONDITION. 250</t>
  </si>
  <si>
    <t>8435057006477</t>
  </si>
  <si>
    <t>FLORAL REGULAR MASK 150</t>
  </si>
  <si>
    <t>8435057006484</t>
  </si>
  <si>
    <t>FLORAL VITAL C. MASK 150</t>
  </si>
  <si>
    <t>8435057006491</t>
  </si>
  <si>
    <t>FLORAL ENERGY LEAVE-IN 250</t>
  </si>
  <si>
    <t>8435057006507</t>
  </si>
  <si>
    <t>RED'S KERATIN Nº 2.10</t>
  </si>
  <si>
    <t>8435290525001</t>
  </si>
  <si>
    <t>RED'S KERATIN Nº 1.0</t>
  </si>
  <si>
    <t>8435290525018</t>
  </si>
  <si>
    <t>RED'S KERATIN Nº 3.0</t>
  </si>
  <si>
    <t>8435290525025</t>
  </si>
  <si>
    <t>RED'S KERATIN Nº 4.0</t>
  </si>
  <si>
    <t>8435290525032</t>
  </si>
  <si>
    <t>RED'S KERATIN Nº 5.0</t>
  </si>
  <si>
    <t>8435290525049</t>
  </si>
  <si>
    <t>RED'S KERATIN Nº 6.0</t>
  </si>
  <si>
    <t>8435290525056</t>
  </si>
  <si>
    <t>RED'S KERATIN Nº 7.0</t>
  </si>
  <si>
    <t>8435290525063</t>
  </si>
  <si>
    <t>RED'S KERATIN Nº 8.0</t>
  </si>
  <si>
    <t>8435290525070</t>
  </si>
  <si>
    <t>RED'S KERATIN Nº 9.0</t>
  </si>
  <si>
    <t>8435290525087</t>
  </si>
  <si>
    <t>RED'S KERATIN Nº 10.0</t>
  </si>
  <si>
    <t>8435290525094</t>
  </si>
  <si>
    <t>RED'S KERATIN Nº 4.00</t>
  </si>
  <si>
    <t>8435290525100</t>
  </si>
  <si>
    <t>RED'S KERATIN Nº 5.00</t>
  </si>
  <si>
    <t>8435290525117</t>
  </si>
  <si>
    <t>RED'S KERATIN Nº 6.00</t>
  </si>
  <si>
    <t>8435290525124</t>
  </si>
  <si>
    <t>RED'S KERATIN Nº 7.00</t>
  </si>
  <si>
    <t>8435290525131</t>
  </si>
  <si>
    <t>RED'S KERATIN Nº 8.00</t>
  </si>
  <si>
    <t>8435290525148</t>
  </si>
  <si>
    <t>RED'S KERATIN Nº 9.00</t>
  </si>
  <si>
    <t>8435290525155</t>
  </si>
  <si>
    <t>RED'S KERATIN Nº 6.1</t>
  </si>
  <si>
    <t>8435290525360</t>
  </si>
  <si>
    <t>RED'S KERATIN Nº 7.1</t>
  </si>
  <si>
    <t>8435290525377</t>
  </si>
  <si>
    <t>RED'S KERATIN Nº 8.1</t>
  </si>
  <si>
    <t>8435290525384</t>
  </si>
  <si>
    <t>RED'S KERATIN Nº 9.12</t>
  </si>
  <si>
    <t>8435290525391</t>
  </si>
  <si>
    <t>RED'S KERATIN Nº 5.3</t>
  </si>
  <si>
    <t>8435290525407</t>
  </si>
  <si>
    <t>RED'S KERATIN Nº 6.3</t>
  </si>
  <si>
    <t>8435290525414</t>
  </si>
  <si>
    <t>RED'S KERATIN Nº 7.3</t>
  </si>
  <si>
    <t>8435290525421</t>
  </si>
  <si>
    <t>RED'S KERATIN Nº 8.3</t>
  </si>
  <si>
    <t>8435290525438</t>
  </si>
  <si>
    <t>RED'S KERATIN Nº 9.3</t>
  </si>
  <si>
    <t>8435290525445</t>
  </si>
  <si>
    <t>RED'S KERATIN Nº 6.34</t>
  </si>
  <si>
    <t>8435290525452</t>
  </si>
  <si>
    <t>RED'S KERATIN Nº 7.34</t>
  </si>
  <si>
    <t>8435290525469</t>
  </si>
  <si>
    <t>RED'S KERATIN Nº 8.34</t>
  </si>
  <si>
    <t>8435290525476</t>
  </si>
  <si>
    <t>RED'S KERATIN Nº 4.9</t>
  </si>
  <si>
    <t>8435290525209</t>
  </si>
  <si>
    <t>RED'S KERATIN Nº 5.9</t>
  </si>
  <si>
    <t>8435290525216</t>
  </si>
  <si>
    <t>RED'S KERATIN Nº 6.9</t>
  </si>
  <si>
    <t>8435290525223</t>
  </si>
  <si>
    <t>RED'S KERATIN Nº 7.9</t>
  </si>
  <si>
    <t>8435290525230</t>
  </si>
  <si>
    <t>RED'S KERATIN Nº 8.9</t>
  </si>
  <si>
    <t>8435290525247</t>
  </si>
  <si>
    <t>RED'S KERATIN Nº 6.93</t>
  </si>
  <si>
    <t>8435290525254</t>
  </si>
  <si>
    <t>RED'S KERATIN Nº 5.94</t>
  </si>
  <si>
    <t>8435290525278</t>
  </si>
  <si>
    <t>RED'S KERATIN Nº 6.94</t>
  </si>
  <si>
    <t>8435290525285</t>
  </si>
  <si>
    <t>RED'S KERATIN Nº 7.94</t>
  </si>
  <si>
    <t>8435290525292</t>
  </si>
  <si>
    <t>RED'S KERATIN Nº 4CH</t>
  </si>
  <si>
    <t>8435290525162</t>
  </si>
  <si>
    <t>RED'S KERATIN Nº 5CH</t>
  </si>
  <si>
    <t>8435290525179</t>
  </si>
  <si>
    <t>RED'S KERATIN Nº 6CH</t>
  </si>
  <si>
    <t>8435290525186</t>
  </si>
  <si>
    <t>RED'S KERATIN Nº 7CH</t>
  </si>
  <si>
    <t>8435290525193</t>
  </si>
  <si>
    <t>RED'S KERATIN Nº 7.93</t>
  </si>
  <si>
    <t>8435290525261</t>
  </si>
  <si>
    <t>RED'S KERATIN Nº 4.77</t>
  </si>
  <si>
    <t>8435290525308</t>
  </si>
  <si>
    <t>RED'S KERATIN Nº 5.77</t>
  </si>
  <si>
    <t>8435290525315</t>
  </si>
  <si>
    <t>RED'S KERATIN Nº 7.77</t>
  </si>
  <si>
    <t>8435290525322</t>
  </si>
  <si>
    <t>RED'S KERATIN Nº 4.67</t>
  </si>
  <si>
    <t>8435290525339</t>
  </si>
  <si>
    <t>RED'S KERATIN Nº 5.67</t>
  </si>
  <si>
    <t>8435290525346</t>
  </si>
  <si>
    <t>RED'S KERATIN Nº 6.66</t>
  </si>
  <si>
    <t>8435290525353</t>
  </si>
  <si>
    <t>RED'S KERATIN Nº 6.44</t>
  </si>
  <si>
    <t>8435290525483</t>
  </si>
  <si>
    <t>RED'S KERATIN Nº 7.44</t>
  </si>
  <si>
    <t>8435290525490</t>
  </si>
  <si>
    <t>RED'S KERATIN Nº 5.4</t>
  </si>
  <si>
    <t>8435290525506</t>
  </si>
  <si>
    <t>RED'S KERATIN Nº 7.4</t>
  </si>
  <si>
    <t>8435290525513</t>
  </si>
  <si>
    <t>RED'S KERATIN Nº 8.13</t>
  </si>
  <si>
    <t>8435290525551</t>
  </si>
  <si>
    <t>RED'S KERATIN Nº 9.13</t>
  </si>
  <si>
    <t>8435290525568</t>
  </si>
  <si>
    <t>RED'S KERATIN Nº 3.5</t>
  </si>
  <si>
    <t>8435290525520</t>
  </si>
  <si>
    <t>RED'S KERATIN Nº 4.5</t>
  </si>
  <si>
    <t>8435290525537</t>
  </si>
  <si>
    <t>RED'S KERATIN Nº 7.5</t>
  </si>
  <si>
    <t>8435290525544</t>
  </si>
  <si>
    <t>RED'S KERATIN Nº 900 S</t>
  </si>
  <si>
    <t>8435290525575</t>
  </si>
  <si>
    <t>RED'S KERATIN Nº 901 S</t>
  </si>
  <si>
    <t>8435290525582</t>
  </si>
  <si>
    <t>RED'S KERATIN Nº 912 S</t>
  </si>
  <si>
    <t>8435290525599</t>
  </si>
  <si>
    <t>RK OXIDANTE CREMA 20 V. 1 LT.</t>
  </si>
  <si>
    <t>8435290520907</t>
  </si>
  <si>
    <t>RK OXIDANTE CREMA 30 V. 1 LT.</t>
  </si>
  <si>
    <t>8435290520914</t>
  </si>
  <si>
    <t>RK OXIDANTE CREMA 40 V. 1 LT.</t>
  </si>
  <si>
    <t>8435290520921</t>
  </si>
  <si>
    <t>RK OXIDANTE CREMA 20 V. 120 ML</t>
  </si>
  <si>
    <t>8435290520938</t>
  </si>
  <si>
    <t>RK OXIDANTE CREMA 30 V. 120 ML</t>
  </si>
  <si>
    <t>8435290520945</t>
  </si>
  <si>
    <t>RK OXIDANTE CREMA 40 V. 120 ML</t>
  </si>
  <si>
    <t>8435290520952</t>
  </si>
  <si>
    <t>SOBRE RK SHAMPOO ANTICAIDA</t>
  </si>
  <si>
    <t>8435290529030</t>
  </si>
  <si>
    <t>SOBRE RK SHAMPOO EQUILIBRANTE</t>
  </si>
  <si>
    <t>8435290529009</t>
  </si>
  <si>
    <t>SOBRE RK SHAMPOO REPARADOR</t>
  </si>
  <si>
    <t>8435290529016</t>
  </si>
  <si>
    <t>SOBRE RK SHAMPOO COLOR</t>
  </si>
  <si>
    <t>8435290529023</t>
  </si>
  <si>
    <t>SOBRE RK MASCARILLA REPARADORA</t>
  </si>
  <si>
    <t>8435290529047</t>
  </si>
  <si>
    <t>SOBRE RK MASCARILLA COLOR</t>
  </si>
  <si>
    <t>8435290529054</t>
  </si>
  <si>
    <t>REDS TOTAL REPAIR SHAMPOO 1 LT</t>
  </si>
  <si>
    <t>8435290570216</t>
  </si>
  <si>
    <t>REDS TOTAL REPAIR SHAMPOO 500</t>
  </si>
  <si>
    <t>8435290570162</t>
  </si>
  <si>
    <t>REDS TOTAL COLOR SHAMPOO 1 LT.</t>
  </si>
  <si>
    <t>8435290570209</t>
  </si>
  <si>
    <t>REDS TOTAL COLOR SHAMPOO 500</t>
  </si>
  <si>
    <t>8435290570155</t>
  </si>
  <si>
    <t>REDS TOTAL VOLUME SHAMPO 1 LT.</t>
  </si>
  <si>
    <t>8435290570223</t>
  </si>
  <si>
    <t>REDS TOTAL VOLUME SHAMPOO 500</t>
  </si>
  <si>
    <t>8435290570186</t>
  </si>
  <si>
    <t>REDS TOTAL REPAIR EXTRACT 500</t>
  </si>
  <si>
    <t>8435290570179</t>
  </si>
  <si>
    <t>REDS TOTAL TECNOHIDRA SH 1000</t>
  </si>
  <si>
    <t>8435290570193</t>
  </si>
  <si>
    <t>ARGANIA OIL 10 ML. (Unidad)</t>
  </si>
  <si>
    <t>8435057010528</t>
  </si>
  <si>
    <t>ARGANIA OIL 30 ML. (Cristal)</t>
  </si>
  <si>
    <t>8435057010535</t>
  </si>
  <si>
    <t>ARGANIA SHAMPOO SACHET 10 ML.</t>
  </si>
  <si>
    <t>8435057010542</t>
  </si>
  <si>
    <t>ARGANIA SHAMPOO 250 ML.</t>
  </si>
  <si>
    <t>8435057010559</t>
  </si>
  <si>
    <t>ARGANIA ACONDIC. SACHET 10 ML.</t>
  </si>
  <si>
    <t>8435057010566</t>
  </si>
  <si>
    <t>ARGANIA ACONDIC. 250 ML.</t>
  </si>
  <si>
    <t>8435057010573</t>
  </si>
  <si>
    <t>ARGANIA MASK SACHET 30 ML.</t>
  </si>
  <si>
    <t>8435057010580</t>
  </si>
  <si>
    <t>ARGANIA MASK 300 ML.</t>
  </si>
  <si>
    <t>8435057010597</t>
  </si>
  <si>
    <t>ARGANIA OIL 100 ML.</t>
  </si>
  <si>
    <t>8435057011143</t>
  </si>
  <si>
    <t>ARUAL COLLECT. Nº  1</t>
  </si>
  <si>
    <t>8436012781231</t>
  </si>
  <si>
    <t>ARUAL COLLECT. Nº 2</t>
  </si>
  <si>
    <t>8436012781248</t>
  </si>
  <si>
    <t>ARUAL COLLECT. Nº 3</t>
  </si>
  <si>
    <t>8436012781255</t>
  </si>
  <si>
    <t>ARUAL COLLECT. Nº 4</t>
  </si>
  <si>
    <t>8436012781262</t>
  </si>
  <si>
    <t>ARUAL COLLECT. Nº 5</t>
  </si>
  <si>
    <t>8436012781279</t>
  </si>
  <si>
    <t>ARUAL COLLECT. Nº 6</t>
  </si>
  <si>
    <t>8436012781286</t>
  </si>
  <si>
    <t>ARUAL COLLECT. Nº 7</t>
  </si>
  <si>
    <t>8436012781293</t>
  </si>
  <si>
    <t>ARUAL COLLECT. Nº 8</t>
  </si>
  <si>
    <t>8436012781309</t>
  </si>
  <si>
    <t>ARUAL COLLECT. Nº 9</t>
  </si>
  <si>
    <t>8436012781316</t>
  </si>
  <si>
    <t>ARUAL COLLECT. Nº 10</t>
  </si>
  <si>
    <t>8436012781323</t>
  </si>
  <si>
    <t>ARUAL COLLECT. Nº 1.1</t>
  </si>
  <si>
    <t>8436012781330</t>
  </si>
  <si>
    <t>ARUAL COLLECT. Nº 5.1</t>
  </si>
  <si>
    <t>8436012781347</t>
  </si>
  <si>
    <t>ARUAL COLLECT. Nº 6.1</t>
  </si>
  <si>
    <t>8436012781354</t>
  </si>
  <si>
    <t>ARUAL COLLECT. Nº 7.1</t>
  </si>
  <si>
    <t>8436012781361</t>
  </si>
  <si>
    <t>ARUAL COLLECT. Nº 8.1</t>
  </si>
  <si>
    <t>8436012781378</t>
  </si>
  <si>
    <t>ARUAL COLLECT. Nº 9.1</t>
  </si>
  <si>
    <t>8436012781385</t>
  </si>
  <si>
    <t>ARUAL COLLECT. Nº 10.1</t>
  </si>
  <si>
    <t>8436012781392</t>
  </si>
  <si>
    <t>ARUAL COLLECT. Nº 5.3</t>
  </si>
  <si>
    <t>8436012781408</t>
  </si>
  <si>
    <t>ARUAL COLLECT. Nº 6.3</t>
  </si>
  <si>
    <t>8436012781415</t>
  </si>
  <si>
    <t>ARUAL COLLECT. Nº 7.3</t>
  </si>
  <si>
    <t>8436012781422</t>
  </si>
  <si>
    <t>ARUAL COLLECT. Nº 8.3</t>
  </si>
  <si>
    <t>8436012781439</t>
  </si>
  <si>
    <t>ARUAL COLLECT. Nº 9.3</t>
  </si>
  <si>
    <t>8436012781446</t>
  </si>
  <si>
    <t>ARUAL COLLECT. Nº 10.3</t>
  </si>
  <si>
    <t>8436012781453</t>
  </si>
  <si>
    <t>ARUAL COLLECT. Nº 7.32</t>
  </si>
  <si>
    <t>8436012781460</t>
  </si>
  <si>
    <t>ARUAL COLLECT. Nº 8.32</t>
  </si>
  <si>
    <t>8436012781477</t>
  </si>
  <si>
    <t>ARUAL COLLECT. Nº 9.32</t>
  </si>
  <si>
    <t>8436012781484</t>
  </si>
  <si>
    <t>ARUAL COLLECT. Nº 10.32</t>
  </si>
  <si>
    <t>8436012781491</t>
  </si>
  <si>
    <t>ARUAL COLLECT. Nº 6.34</t>
  </si>
  <si>
    <t>8436012781507</t>
  </si>
  <si>
    <t>ARUAL COLLECT. Nº 7.34</t>
  </si>
  <si>
    <t>8436012781514</t>
  </si>
  <si>
    <t>ARUAL COLLECT. Nº 8.34</t>
  </si>
  <si>
    <t>8436012781521</t>
  </si>
  <si>
    <t>ARUAL COLLECT. Nº 5.4</t>
  </si>
  <si>
    <t>8436012781538</t>
  </si>
  <si>
    <t>ARUAL COLLECT. Nº 7.4</t>
  </si>
  <si>
    <t>8436012781545</t>
  </si>
  <si>
    <t>ARUAL COLLECT. Nº 7.44</t>
  </si>
  <si>
    <t>8436012781552</t>
  </si>
  <si>
    <t>ARUAL COLLECT. Nº 8.44</t>
  </si>
  <si>
    <t>8436012781569</t>
  </si>
  <si>
    <t>ARUAL COLLECT. Nº 5.45</t>
  </si>
  <si>
    <t>8436012781576</t>
  </si>
  <si>
    <t>ARUAL COLLECT. Nº 6.45</t>
  </si>
  <si>
    <t>8436012781583</t>
  </si>
  <si>
    <t>ARUAL COLLECT. Nº 7.45</t>
  </si>
  <si>
    <t>8436012781590</t>
  </si>
  <si>
    <t>ARUAL COLLECT. Nº 8.45</t>
  </si>
  <si>
    <t>8436012781606</t>
  </si>
  <si>
    <t>ARUAL COLLECT. Nº 4.8</t>
  </si>
  <si>
    <t>8436012781613</t>
  </si>
  <si>
    <t>ARUAL COLLECT. Nº 5.8</t>
  </si>
  <si>
    <t>8436012781620</t>
  </si>
  <si>
    <t>ARUAL COLLECT. Nº 6.8</t>
  </si>
  <si>
    <t>8436012781637</t>
  </si>
  <si>
    <t>ARUAL COLLECT. Nº 7.8</t>
  </si>
  <si>
    <t>8436012781644</t>
  </si>
  <si>
    <t>ARUAL COLLECT. Nº 5.81</t>
  </si>
  <si>
    <t>8436012781651</t>
  </si>
  <si>
    <t>ARUAL COLLECT. Nº 6.81</t>
  </si>
  <si>
    <t>8436012781668</t>
  </si>
  <si>
    <t>ARUAL COLLECT. Nº 7.81</t>
  </si>
  <si>
    <t>8436012781675</t>
  </si>
  <si>
    <t>ARUAL COLLECT. Nº 8.81</t>
  </si>
  <si>
    <t>8436012781682</t>
  </si>
  <si>
    <t>ARUAL COLLECT. Nº 5.83</t>
  </si>
  <si>
    <t>8436012781699</t>
  </si>
  <si>
    <t>ARUAL COLLECT. Nº 6.83</t>
  </si>
  <si>
    <t>8436012781705</t>
  </si>
  <si>
    <t>ARUAL COLLECT. Nº 7.83</t>
  </si>
  <si>
    <t>8436012781712</t>
  </si>
  <si>
    <t>ARUAL COLLECT. Nº 8.83</t>
  </si>
  <si>
    <t>8436012781729</t>
  </si>
  <si>
    <t>ARUAL COLLECT. Nº 6.66</t>
  </si>
  <si>
    <t>8436012781736</t>
  </si>
  <si>
    <t>ARUAL COLLECT. Nº 7.66</t>
  </si>
  <si>
    <t>8436012781743</t>
  </si>
  <si>
    <t>ARUAL COLLECT. Nº 4.67</t>
  </si>
  <si>
    <t>8436012781750</t>
  </si>
  <si>
    <t>ARUAL COLLECT. Nº 5.67</t>
  </si>
  <si>
    <t>8436012781767</t>
  </si>
  <si>
    <t>ARUAL COLLECT. Nº 6.67</t>
  </si>
  <si>
    <t>8436012781774</t>
  </si>
  <si>
    <t>ARUAL COLLECT. Nº 4.77</t>
  </si>
  <si>
    <t>8436012781781</t>
  </si>
  <si>
    <t>ARUAL COLLECT. Nº 5.77</t>
  </si>
  <si>
    <t>8436012781798</t>
  </si>
  <si>
    <t>ARUAL COLLECT. Nº 7.77</t>
  </si>
  <si>
    <t>8436012781804</t>
  </si>
  <si>
    <t>ARUAL COLLECT. Nº 12/0</t>
  </si>
  <si>
    <t>8436012781811</t>
  </si>
  <si>
    <t>ARUAL COLLECT. Nº 12/1</t>
  </si>
  <si>
    <t>8436012781828</t>
  </si>
  <si>
    <t>ARUAL COLLECT. Nº 11/12</t>
  </si>
  <si>
    <t>8436012781835</t>
  </si>
  <si>
    <t>ARUAL COLLECT. Nº 11/0</t>
  </si>
  <si>
    <t>8436012781842</t>
  </si>
  <si>
    <t>ARUAL COLLECT. Nº 11/1</t>
  </si>
  <si>
    <t>8436012781859</t>
  </si>
  <si>
    <t>ARUAL COLLECT. Nº M/VL</t>
  </si>
  <si>
    <t>8436012781866</t>
  </si>
  <si>
    <t>ARUAL COLLECT. Nº M/R</t>
  </si>
  <si>
    <t>8436012781873</t>
  </si>
  <si>
    <t>ARUAL COLLECT. Nº M/A</t>
  </si>
  <si>
    <t>8436012781880</t>
  </si>
  <si>
    <t>ARUAL COLLECT. Nº M/V</t>
  </si>
  <si>
    <t>8436012781897</t>
  </si>
  <si>
    <t>ARUAL COLLECT. Nº A/00</t>
  </si>
  <si>
    <t>8436012781903</t>
  </si>
  <si>
    <t>ARUAL COLLECT. Nº M/PA</t>
  </si>
  <si>
    <t>8436012781910</t>
  </si>
  <si>
    <t>ARUAL COLLECT. Nº M/P</t>
  </si>
  <si>
    <t>8436012781927</t>
  </si>
  <si>
    <t>ARGAN GAMA OIL 10 ML. (12 UDS)</t>
  </si>
  <si>
    <t>8435057011150</t>
  </si>
  <si>
    <t>ARGAN GAMA OIL 100 ML.</t>
  </si>
  <si>
    <t>8435057011174</t>
  </si>
  <si>
    <t>ARGAN GAMA SHAMPOO 250 ML.</t>
  </si>
  <si>
    <t>8435057011181</t>
  </si>
  <si>
    <t>ARGAN GAMA ACONDICIONADOR 250</t>
  </si>
  <si>
    <t>8435057011198</t>
  </si>
  <si>
    <t>ARGAN GAMA MASK 300 ML.</t>
  </si>
  <si>
    <t>8435057011204</t>
  </si>
  <si>
    <t>ARGAN GAMA SHAMPOO SACHET 10</t>
  </si>
  <si>
    <t>8435057011211</t>
  </si>
  <si>
    <t>ARGAN GAMA ACONDIC. SACHET 10</t>
  </si>
  <si>
    <t>8435057011228</t>
  </si>
  <si>
    <t>ARGAN GAMA MASK SACHET 30 ML.</t>
  </si>
  <si>
    <t>8435057011235</t>
  </si>
  <si>
    <t>XP100 LIGHT RADIANCE Nº 1.0</t>
  </si>
  <si>
    <t>IT012976</t>
  </si>
  <si>
    <t>VR023349</t>
  </si>
  <si>
    <t>5499899096716</t>
  </si>
  <si>
    <t>XP100 LIGHT RADIANCE nº 3.0</t>
  </si>
  <si>
    <t>VR023348</t>
  </si>
  <si>
    <t>5499899096723</t>
  </si>
  <si>
    <t>XP100 LIGHT RADIANCE nº 4.0</t>
  </si>
  <si>
    <t>VR023347</t>
  </si>
  <si>
    <t>5499899096730</t>
  </si>
  <si>
    <t>XP100 LIGHT RADIANCE nº 5.0</t>
  </si>
  <si>
    <t>VR023346</t>
  </si>
  <si>
    <t>5499899096822</t>
  </si>
  <si>
    <t>XP100 LIGHT RADIANCE nº 6.0</t>
  </si>
  <si>
    <t>VR023345</t>
  </si>
  <si>
    <t>5499899096792</t>
  </si>
  <si>
    <t>XP100 LIGHT RADIANCE nº 7.0</t>
  </si>
  <si>
    <t>VR023344</t>
  </si>
  <si>
    <t>5499899096761</t>
  </si>
  <si>
    <t>XP100 LIGHT RADIANCE nº 8.0</t>
  </si>
  <si>
    <t>VR023343</t>
  </si>
  <si>
    <t>5499899096983</t>
  </si>
  <si>
    <t>XP100 LIGHT RADIANCE nº 9.0</t>
  </si>
  <si>
    <t>VR023342</t>
  </si>
  <si>
    <t>5499899096808</t>
  </si>
  <si>
    <t>XP100 LIGHT RADIANCE nº 9.01</t>
  </si>
  <si>
    <t>VR023350</t>
  </si>
  <si>
    <t>5499899096747</t>
  </si>
  <si>
    <t>XP100 LIGHT RADIANCE nº 5.1</t>
  </si>
  <si>
    <t>VR023352</t>
  </si>
  <si>
    <t>5499899096891</t>
  </si>
  <si>
    <t>XP100 LIGHT RADIANCE nº 7.1</t>
  </si>
  <si>
    <t>VR023351</t>
  </si>
  <si>
    <t>5499899096778</t>
  </si>
  <si>
    <t>XP100 LIGHT RADIANCE nº 9.12</t>
  </si>
  <si>
    <t>VR023353</t>
  </si>
  <si>
    <t>5499899097027</t>
  </si>
  <si>
    <t>XP100 LIGHT RADIANCE nº 9.03</t>
  </si>
  <si>
    <t>VR023354</t>
  </si>
  <si>
    <t>5499899096815</t>
  </si>
  <si>
    <t>XP100 LIGHT RADIANCE nº 7.3</t>
  </si>
  <si>
    <t>VR023355</t>
  </si>
  <si>
    <t>5499899096785</t>
  </si>
  <si>
    <t>XP100 LIGHT RADIANCE nº 5.37</t>
  </si>
  <si>
    <t>VR023357</t>
  </si>
  <si>
    <t>5499899096969</t>
  </si>
  <si>
    <t>XP100 LIGHT RADIANCE nº 6.37</t>
  </si>
  <si>
    <t>VR023356</t>
  </si>
  <si>
    <t>5499899096877</t>
  </si>
  <si>
    <t>XP100 LIGHT RADIANCE nº 7.43</t>
  </si>
  <si>
    <t>VR023358</t>
  </si>
  <si>
    <t>5499899096853</t>
  </si>
  <si>
    <t>XP100 LIGHT RADIANCE nº 6.45</t>
  </si>
  <si>
    <t>VR023360</t>
  </si>
  <si>
    <t>5499899096921</t>
  </si>
  <si>
    <t>XP100 LIGHT RADIANCE nº 7.45</t>
  </si>
  <si>
    <t>VR023359</t>
  </si>
  <si>
    <t>5499899096976</t>
  </si>
  <si>
    <t>XP100 LIGHT RADIANCE nº 5.56</t>
  </si>
  <si>
    <t>VR023361</t>
  </si>
  <si>
    <t>5499899096914</t>
  </si>
  <si>
    <t>XP100 LIGHT RADIANCE nº 4.25</t>
  </si>
  <si>
    <t>VR023363</t>
  </si>
  <si>
    <t>5499899096754</t>
  </si>
  <si>
    <t>XP100 LIGHT RADIANCE nº 5.25</t>
  </si>
  <si>
    <t>VR023362</t>
  </si>
  <si>
    <t>5499899097010</t>
  </si>
  <si>
    <t>XP100 LIGHT RADIANCE nº 6.7</t>
  </si>
  <si>
    <t>VR023365</t>
  </si>
  <si>
    <t>5499899097003</t>
  </si>
  <si>
    <t>XP100 LIGHT RADIANCE nº 7.7</t>
  </si>
  <si>
    <t>VR023364</t>
  </si>
  <si>
    <t>5499899096860</t>
  </si>
  <si>
    <t>XP100 LIGHT RADIANCE nº 6.71</t>
  </si>
  <si>
    <t>VR023367</t>
  </si>
  <si>
    <t>5499899096839</t>
  </si>
  <si>
    <t>XP100 LIGHT RADIANCE nº 8.71</t>
  </si>
  <si>
    <t>VR023366</t>
  </si>
  <si>
    <t>5499899096884</t>
  </si>
  <si>
    <t>XP100 LIGHT RADIANCE nº 5.73</t>
  </si>
  <si>
    <t>VR023371</t>
  </si>
  <si>
    <t>5499899096990</t>
  </si>
  <si>
    <t>XP100 LIGHT RADIANCE nº 6.73</t>
  </si>
  <si>
    <t>VR023370</t>
  </si>
  <si>
    <t>5499899096846</t>
  </si>
  <si>
    <t>XP100 LIGHT RADIANCE nº 7.73</t>
  </si>
  <si>
    <t>VR023369</t>
  </si>
  <si>
    <t>5499899096945</t>
  </si>
  <si>
    <t>XP100 LIGHT RADIANCE nº 8.73</t>
  </si>
  <si>
    <t>VR023368</t>
  </si>
  <si>
    <t>5499899096952</t>
  </si>
  <si>
    <t>XP100 LIGHT RADIANCE nº 5.75</t>
  </si>
  <si>
    <t>VR023373</t>
  </si>
  <si>
    <t>5499899096907</t>
  </si>
  <si>
    <t>XP100 LIGHT RADIANCE nº 6.75</t>
  </si>
  <si>
    <t>VR023372</t>
  </si>
  <si>
    <t>5499899096938</t>
  </si>
  <si>
    <t>XP100 LIGHT RADIANCE nº 4.77</t>
  </si>
  <si>
    <t>5499899105180</t>
  </si>
  <si>
    <t>XP100 LIGHT RADIANCE nº 6.77</t>
  </si>
  <si>
    <t>5499899105333</t>
  </si>
  <si>
    <t>XP100 CREAM DEVELOPER 6 VOL 250</t>
  </si>
  <si>
    <t>IT012977</t>
  </si>
  <si>
    <t>VR023338</t>
  </si>
  <si>
    <t>5499899097034</t>
  </si>
  <si>
    <t>XP100 CREAM DEVELOPER 6 VOL 1000</t>
  </si>
  <si>
    <t>IT012979</t>
  </si>
  <si>
    <t>VR023340</t>
  </si>
  <si>
    <t>5499899097058</t>
  </si>
  <si>
    <t>XP100 CREAM DEVELOPER 12 VOL 250</t>
  </si>
  <si>
    <t>IT012978</t>
  </si>
  <si>
    <t>VR023339</t>
  </si>
  <si>
    <t>5499899097041</t>
  </si>
  <si>
    <t>XP100 CREAM DEVELOPER 12 VOL 1000</t>
  </si>
  <si>
    <t>IT012980</t>
  </si>
  <si>
    <t>VR023341</t>
  </si>
  <si>
    <t>5499899097065</t>
  </si>
  <si>
    <t>CIRE TEXTURISANTE 100 ML.</t>
  </si>
  <si>
    <t>3663712010490</t>
  </si>
  <si>
    <t>GEL STRUCTURANT 150 ML.</t>
  </si>
  <si>
    <t>3663712010520</t>
  </si>
  <si>
    <t>GEL CRÉATIF 250 ML.</t>
  </si>
  <si>
    <t>3663712010506</t>
  </si>
  <si>
    <t>PÂTE FIBREUSE 100 ML.</t>
  </si>
  <si>
    <t>3663712010513</t>
  </si>
  <si>
    <t>SPRAY MULTIFONCTION 200 ML.</t>
  </si>
  <si>
    <t>3663712010483</t>
  </si>
  <si>
    <t>NICE COLOR Nº 4.81</t>
  </si>
  <si>
    <t>0000007006661</t>
  </si>
  <si>
    <t>NICE COLOR Nº 6.81</t>
  </si>
  <si>
    <t>0000007006678</t>
  </si>
  <si>
    <t>NICE COLOR Nº 8.81</t>
  </si>
  <si>
    <t>0000007006685</t>
  </si>
  <si>
    <t>XP100 LIGHT RADIANCE nº 8.81</t>
  </si>
  <si>
    <t>5499899105456</t>
  </si>
  <si>
    <t>XP100 LIGHT RADIANCE nº 10.81</t>
  </si>
  <si>
    <t>5499899105142</t>
  </si>
  <si>
    <t>XP100 LIGHT RADIANCE nº 7.82</t>
  </si>
  <si>
    <t>5499899105418</t>
  </si>
  <si>
    <t>BURBAN ALL-OVER SHAMPOO 250 ML.</t>
  </si>
  <si>
    <t>5499899104084</t>
  </si>
  <si>
    <t>BURBAN ALL-OVER SHAMPOO 500 ML.</t>
  </si>
  <si>
    <t>5499899109782</t>
  </si>
  <si>
    <t>BURBAN ALL-OVER SHAMPOO 1000 ML.</t>
  </si>
  <si>
    <t>5499899104091</t>
  </si>
  <si>
    <t>BURBAN HAIR &amp; SCALP TONIC 200 ML.</t>
  </si>
  <si>
    <t>5499899104145</t>
  </si>
  <si>
    <t>BURBAN HAIR &amp; SCALP TONIC 500 ML.</t>
  </si>
  <si>
    <t>5499899104152</t>
  </si>
  <si>
    <t>BURBAN FIBRE PASTE 100 ML.</t>
  </si>
  <si>
    <t>5499899104107</t>
  </si>
  <si>
    <t>BURBAN MATT PASTE 100 ML.</t>
  </si>
  <si>
    <t>5499899104114</t>
  </si>
  <si>
    <t>BURBAN HAIR POMADE 100 ML.</t>
  </si>
  <si>
    <t>5499899104121</t>
  </si>
  <si>
    <t>BURBAN EXTRA STRONG GEL 150 ML.</t>
  </si>
  <si>
    <t>5499899104138</t>
  </si>
  <si>
    <t>BURBAN BEARD BALM 75 ML.</t>
  </si>
  <si>
    <t>5499899104060</t>
  </si>
  <si>
    <t>BURBAN MOUSTACHE WAX 30 ML.</t>
  </si>
  <si>
    <t>5499899104077</t>
  </si>
  <si>
    <t>TSUBAKI OIL 100 ML.</t>
  </si>
  <si>
    <t>8435057013741</t>
  </si>
  <si>
    <t>TSUBAKI OIL 30 ML.  (Pet)</t>
  </si>
  <si>
    <t>8435057013758</t>
  </si>
  <si>
    <t>TSUBAKI OIL  10 ML. (12 Uds.)</t>
  </si>
  <si>
    <t>8435057013765</t>
  </si>
  <si>
    <t>TSUBAKI OIL SHAMPOO 250ML.</t>
  </si>
  <si>
    <t>8435057013772</t>
  </si>
  <si>
    <t>TSUBAKI OIL CONDITIONER 250 ML.</t>
  </si>
  <si>
    <t>8435057013789</t>
  </si>
  <si>
    <t>TSUBAKI OIL MASK 300ML.</t>
  </si>
  <si>
    <t>8435057013796</t>
  </si>
  <si>
    <t>CREME BOUCLES 200 ML.</t>
  </si>
  <si>
    <t>3663712036834</t>
  </si>
  <si>
    <t>TSUBAKI OIL SHAMPOO SACHET10ml</t>
  </si>
  <si>
    <t>8435057013802</t>
  </si>
  <si>
    <t>TSUBAKI OIL CONDIT. SACHET 10ml</t>
  </si>
  <si>
    <t>8435057013819</t>
  </si>
  <si>
    <t>TSUBAKI OIL MASK SACHET 30 ml.</t>
  </si>
  <si>
    <t>8435057013826</t>
  </si>
  <si>
    <t>COCUNAT PURE OILY SHAMPOO</t>
  </si>
  <si>
    <t>8436570020841</t>
  </si>
  <si>
    <t>COCUNAT PURE OILY CONDITIONER</t>
  </si>
  <si>
    <t>8436570020827</t>
  </si>
  <si>
    <t>PSALON OXID. CREMA 10 VOL.</t>
  </si>
  <si>
    <t>8435057014618</t>
  </si>
  <si>
    <t>PSALON OXID. CREMA 20 VOL.</t>
  </si>
  <si>
    <t>8435057014625</t>
  </si>
  <si>
    <t>PSALON OXID. CREMA 30 VOL.</t>
  </si>
  <si>
    <t>8435057014632</t>
  </si>
  <si>
    <t>BARCELÓ OXIGENTA 10 V. 2x70</t>
  </si>
  <si>
    <t>8435057014649</t>
  </si>
  <si>
    <t>BARCELÓ OXIGENTA 20 V. 2x70</t>
  </si>
  <si>
    <t>8435057014656</t>
  </si>
  <si>
    <t>BARCELÓ OXIGENTA 30 V. 2x70</t>
  </si>
  <si>
    <t>8435057014663</t>
  </si>
  <si>
    <t>BARCELÓ TINTE 2x35 ml. Nº1</t>
  </si>
  <si>
    <t>8435057014250</t>
  </si>
  <si>
    <t>BARCELÓ TINTE 2x35 ml. Nº 1.1</t>
  </si>
  <si>
    <t>8435057014267</t>
  </si>
  <si>
    <t>BARCELÓ TINTE 2x35 ml. Nº 7.62</t>
  </si>
  <si>
    <t>8435057014274</t>
  </si>
  <si>
    <t>BARCELÓ TINTE 2x35 ml. Nº 8.1</t>
  </si>
  <si>
    <t>8435057014281</t>
  </si>
  <si>
    <t>BARCELÓ TINTE 2x35 ml. Nº 3</t>
  </si>
  <si>
    <t>8435057014298</t>
  </si>
  <si>
    <t>BARCELÓ TINTE 2x35 ml. Nº 7</t>
  </si>
  <si>
    <t>8435057014304</t>
  </si>
  <si>
    <t>BARCELÓ TINTE 2x35 ml. Nº 8</t>
  </si>
  <si>
    <t>8435057014311</t>
  </si>
  <si>
    <t>BARCELÓ TINTE 2x35 ml. Nº 4</t>
  </si>
  <si>
    <t>8435057014328</t>
  </si>
  <si>
    <t>BARCELÓ TINTE 2x35 ml. Nº 5</t>
  </si>
  <si>
    <t>8435057014335</t>
  </si>
  <si>
    <t>BARCELÓ TINTE 2x35 ml. Nº 6</t>
  </si>
  <si>
    <t>8435057014342</t>
  </si>
  <si>
    <t>BARCELÓ TINTE 2x35 ml. Nº 7.1</t>
  </si>
  <si>
    <t>8435057014359</t>
  </si>
  <si>
    <t>BARCELÓ TINTE 2x35 ml. Nº 7.66</t>
  </si>
  <si>
    <t>8435057014366</t>
  </si>
  <si>
    <t>BARCELÓ TINTE 2x35 ml. Nº 5.66</t>
  </si>
  <si>
    <t>8435057014373</t>
  </si>
  <si>
    <t>BARCELÓ TINTE 2x35 ml. Nº 6.62</t>
  </si>
  <si>
    <t>8435057014380</t>
  </si>
  <si>
    <t>BARCELÓ TINTE 2x35 ml. Nº 5.62</t>
  </si>
  <si>
    <t>8435057014397</t>
  </si>
  <si>
    <t>BARCELÓ TINTE 2x35 ml. Nº 6.66</t>
  </si>
  <si>
    <t>8435057014403</t>
  </si>
  <si>
    <t>BARCELÓ TINTE 2x35 ml. Nº 7.00</t>
  </si>
  <si>
    <t>8435057014410</t>
  </si>
  <si>
    <t>BARCELÓ TINTE 2x35 ml. Nº 7.43</t>
  </si>
  <si>
    <t>8435057014427</t>
  </si>
  <si>
    <t>BARCELÓ TINTE 2x35 ml. Nº 10.1</t>
  </si>
  <si>
    <t>8435057014434</t>
  </si>
  <si>
    <t>BARCELÓ TINTE 2x35 ml. Nº 8.00</t>
  </si>
  <si>
    <t>8435057014441</t>
  </si>
  <si>
    <t>BARCELÓ TINTE 2x35 ml. Nº 8.3</t>
  </si>
  <si>
    <t>8435057014458</t>
  </si>
  <si>
    <t>BARCELÓ TINTE 2x35 ml. Nº 7.51</t>
  </si>
  <si>
    <t>8435057014465</t>
  </si>
  <si>
    <t>BARCELÓ TINTE 2x35 ml. Nº 10.3</t>
  </si>
  <si>
    <t>8435057014472</t>
  </si>
  <si>
    <t>BARCELÓ TINTE 2x35 ml. Nº 7.3</t>
  </si>
  <si>
    <t>8435057014489</t>
  </si>
  <si>
    <t>BARCELÓ TINTE 2x35 ml. Nº 6.43</t>
  </si>
  <si>
    <t>8435057014496</t>
  </si>
  <si>
    <t>BARCELÓ TINTE 2x35 ml. Nº 7.56</t>
  </si>
  <si>
    <t>8435057014502</t>
  </si>
  <si>
    <t>BARCELÓ TINTE 2x35 ml. Nº 5.56</t>
  </si>
  <si>
    <t>8435057014519</t>
  </si>
  <si>
    <t>BARCELÓ TINTE 2x35 ml. Nº 10</t>
  </si>
  <si>
    <t>8435057014526</t>
  </si>
  <si>
    <t>BARCELÓ TINTE 2x35 ml. Nº 8.51</t>
  </si>
  <si>
    <t>8435057014533</t>
  </si>
  <si>
    <t>BARCELÓ TINTE 2x35 ml. Nº 6.1</t>
  </si>
  <si>
    <t>8435057014540</t>
  </si>
  <si>
    <t>BARCELÓ TINTE 2x35 ml. Nº 0/12</t>
  </si>
  <si>
    <t>8435057014557</t>
  </si>
  <si>
    <t>BARCELÓ TINTE 2x35 ml. Nº 0/66</t>
  </si>
  <si>
    <t>8435057014564</t>
  </si>
  <si>
    <t>BARCELÓ TINTE 2x35 ml. Nº 0/99</t>
  </si>
  <si>
    <t>8435057014571</t>
  </si>
  <si>
    <t>BARCELÓ TINTE 2x35 ml. Nº 0/88</t>
  </si>
  <si>
    <t>8435057014588</t>
  </si>
  <si>
    <t>BARCELÓ TINTE 2x35 ml. Nº 9.1</t>
  </si>
  <si>
    <t>8435057014595</t>
  </si>
  <si>
    <t>BARCELÓ TINTE 2x35 ml. Nº 7.50</t>
  </si>
  <si>
    <t>8435057014601</t>
  </si>
  <si>
    <t>BARCELÓ TRAT.POST COLOR 10 ML.</t>
  </si>
  <si>
    <t>8435057014670</t>
  </si>
  <si>
    <t>SIBEL MOISTURE SHAMPOO 1 LT.</t>
  </si>
  <si>
    <t>5412058211720</t>
  </si>
  <si>
    <t>SIBEL MOIST. CONDITIONER 1 LT.</t>
  </si>
  <si>
    <t>5412058211744</t>
  </si>
  <si>
    <t>SIBEL MOIST. LEAVE IN 250 ML.</t>
  </si>
  <si>
    <t>5412058211768</t>
  </si>
  <si>
    <t>SIBEL COLOUR SHAMPOO 1 LT.</t>
  </si>
  <si>
    <t>5412058211775</t>
  </si>
  <si>
    <t>SIBEL COLOUR CONDITIONER 1 LT.</t>
  </si>
  <si>
    <t>5412058211782</t>
  </si>
  <si>
    <t>SIBEL COLOUR MASK 500 ML.</t>
  </si>
  <si>
    <t>5412058211799</t>
  </si>
  <si>
    <t>SIBEL COLOUR LEAVE TREAT. 250 ML.</t>
  </si>
  <si>
    <t>5412058211805</t>
  </si>
  <si>
    <t>SIBEL REPAIR SHAMPOO 1 LT.</t>
  </si>
  <si>
    <t>5412058211812</t>
  </si>
  <si>
    <t>SIBEL REPAIR CONDITIONER 1 LT.</t>
  </si>
  <si>
    <t>5412058211829</t>
  </si>
  <si>
    <t>SIBEL VOLUME SHAMPOO 1 LT.</t>
  </si>
  <si>
    <t>5412058211843</t>
  </si>
  <si>
    <t>SIBEL DEEP CLEANSER SHAMPOO 1 LT.</t>
  </si>
  <si>
    <t>5412058211850</t>
  </si>
  <si>
    <t>SIBEL NO YELLOW SHAMPOO 1 LT.</t>
  </si>
  <si>
    <t>5412058211867</t>
  </si>
  <si>
    <t>SIBEL REPAIR MASK 500 ML.</t>
  </si>
  <si>
    <t>5412058211836</t>
  </si>
  <si>
    <t>SIBEL MOISTURE SHAMPOO 5 LTS.</t>
  </si>
  <si>
    <t>5412058211737</t>
  </si>
  <si>
    <t>SIBEL MOISTURE CONDIT. 5 LTS.</t>
  </si>
  <si>
    <t>5412058211751</t>
  </si>
  <si>
    <t>COCU. PURE OILY SHAMP. TUB 200</t>
  </si>
  <si>
    <t>8436570021077</t>
  </si>
  <si>
    <t>COCU. PURE OILY CONDIT. TUB 200</t>
  </si>
  <si>
    <t>8436570021084</t>
  </si>
  <si>
    <t>COCU. RICH STRENGTHENING SHAMP.</t>
  </si>
  <si>
    <t>8436570020872</t>
  </si>
  <si>
    <t>COCUNAT RICH REPAIR CONDITION.</t>
  </si>
  <si>
    <t>8436570020889</t>
  </si>
  <si>
    <t>ARUAL COLLECT. Nº 4.00</t>
  </si>
  <si>
    <t>8436012783372</t>
  </si>
  <si>
    <t>ARUAL COLLECT. Nº 5.00</t>
  </si>
  <si>
    <t>8436012783389</t>
  </si>
  <si>
    <t>ARUAL COLLECT. Nº 6.00</t>
  </si>
  <si>
    <t>8436012783396</t>
  </si>
  <si>
    <t>ARUAL COLLECT. Nº 7.00</t>
  </si>
  <si>
    <t>8436012783402</t>
  </si>
  <si>
    <t>ARUAL COLLECT. Nº 8.00</t>
  </si>
  <si>
    <t>8436012783419</t>
  </si>
  <si>
    <t>ARUAL COLLECT. Nº 9.00</t>
  </si>
  <si>
    <t>8436012783426</t>
  </si>
  <si>
    <t>ARUAL COLLECT. Nº 4.81</t>
  </si>
  <si>
    <t>8436012783433</t>
  </si>
  <si>
    <t>ARUAL COLLECT. Nº 6.82</t>
  </si>
  <si>
    <t>8436012783440</t>
  </si>
  <si>
    <t>ARUAL COLLECT. Nº 7.82</t>
  </si>
  <si>
    <t>8436012783457</t>
  </si>
  <si>
    <t>ARUAL COLLECT. Nº 5.85</t>
  </si>
  <si>
    <t>8436012783464</t>
  </si>
  <si>
    <t>ARUAL COLLECT. Nº 7.85</t>
  </si>
  <si>
    <t>8436012783471</t>
  </si>
  <si>
    <t>SIBEL MOISTURE SHAMPOO 100 ML.</t>
  </si>
  <si>
    <t>5412058211881</t>
  </si>
  <si>
    <t>SIBEL COLOUR SHAMPOO 100 ML.</t>
  </si>
  <si>
    <t>5412058213656</t>
  </si>
  <si>
    <t>SIBEL REPAIR SHAMPOO 100 ML.</t>
  </si>
  <si>
    <t>5412058213649</t>
  </si>
  <si>
    <t>SIBEL POST COLOR SHAMPOO 1 LT.</t>
  </si>
  <si>
    <t>5412058211874</t>
  </si>
  <si>
    <t>SIBEL COLOR SHAMPOO 5 LTS.</t>
  </si>
  <si>
    <t>5412058214011</t>
  </si>
  <si>
    <t>SIBEL COLOUR CONDITION. 5 LTS.</t>
  </si>
  <si>
    <t>5412058214028</t>
  </si>
  <si>
    <t>SIBEL REPAIR SHAMPOO 5 LTS.</t>
  </si>
  <si>
    <t>5412058214035</t>
  </si>
  <si>
    <t>SIBEL REPAIR CONDITION. 5 LTS.</t>
  </si>
  <si>
    <t>5412058214042</t>
  </si>
  <si>
    <t>ARGAN GAMA OIL 30 ML. (PET)</t>
  </si>
  <si>
    <t>8435057011167</t>
  </si>
  <si>
    <t>SIBEL HAIR SKULPTOR 100 ML.</t>
  </si>
  <si>
    <t>5412058216121</t>
  </si>
  <si>
    <t>SEBELYS COLOR Nº 1.0</t>
  </si>
  <si>
    <t>8436556060007</t>
  </si>
  <si>
    <t>SEBELYS COLOR Nº 3.0</t>
  </si>
  <si>
    <t>8436556060014</t>
  </si>
  <si>
    <t>SEBELYS COLOR Nº 4.0</t>
  </si>
  <si>
    <t>8436556060021</t>
  </si>
  <si>
    <t>SEBELYS COLOR Nº 5.0</t>
  </si>
  <si>
    <t>8436556060038</t>
  </si>
  <si>
    <t>SEBELYS COLOR Nº 6.0</t>
  </si>
  <si>
    <t>8436556060045</t>
  </si>
  <si>
    <t>SEBELYS COLOR Nº 7.0</t>
  </si>
  <si>
    <t>8436556060052</t>
  </si>
  <si>
    <t>SEBELYS COLOR Nº 8.0</t>
  </si>
  <si>
    <t>8436556060069</t>
  </si>
  <si>
    <t>SEBELYS COLOR Nº 9.0</t>
  </si>
  <si>
    <t>8436556060076</t>
  </si>
  <si>
    <t>SEBELYS COLOR Nº 10.0</t>
  </si>
  <si>
    <t>8436556060083</t>
  </si>
  <si>
    <t>SEBELYS COLOR Nº 3.00</t>
  </si>
  <si>
    <t>8436556060090</t>
  </si>
  <si>
    <t>SEBELYS COLOR Nº 4.00</t>
  </si>
  <si>
    <t>8436556060106</t>
  </si>
  <si>
    <t>SEBELYS COLOR Nº 5.00</t>
  </si>
  <si>
    <t>8436556060113</t>
  </si>
  <si>
    <t>SEBELYS COLOR Nº 6.00</t>
  </si>
  <si>
    <t>8436556060120</t>
  </si>
  <si>
    <t>SEBELYS COLOR Nº 7.00</t>
  </si>
  <si>
    <t>8436556060137</t>
  </si>
  <si>
    <t>SEBELYS COLOR Nº 8.00</t>
  </si>
  <si>
    <t>8436556060144</t>
  </si>
  <si>
    <t>SEBELYS COLOR Nº 9.00</t>
  </si>
  <si>
    <t>8436556060151</t>
  </si>
  <si>
    <t>SEBELYS COLOR Nº 10.00</t>
  </si>
  <si>
    <t>8436556060168</t>
  </si>
  <si>
    <t>SEBELYS COLOR Nº 1.1</t>
  </si>
  <si>
    <t>8436556060175</t>
  </si>
  <si>
    <t>SEBELYS COLOR Nº 6.1</t>
  </si>
  <si>
    <t>8436556060182</t>
  </si>
  <si>
    <t>SEBELYS COLOR Nº 7.1</t>
  </si>
  <si>
    <t>8436556060199</t>
  </si>
  <si>
    <t>SEBELYS COLOR Nº 8.1</t>
  </si>
  <si>
    <t>8436556060205</t>
  </si>
  <si>
    <t>SEBELYS COLOR Nº 9.1</t>
  </si>
  <si>
    <t>8436556060212</t>
  </si>
  <si>
    <t>SEBELYS COLOR Nº 6.3</t>
  </si>
  <si>
    <t>8436556060229</t>
  </si>
  <si>
    <t>SEBELYS COLOR Nº 7.3</t>
  </si>
  <si>
    <t>8436556060236</t>
  </si>
  <si>
    <t>SEBELYS COLOR Nº 8.3</t>
  </si>
  <si>
    <t>8436556060243</t>
  </si>
  <si>
    <t>SEBELYS COLOR Nº 9.3</t>
  </si>
  <si>
    <t>8436556060250</t>
  </si>
  <si>
    <t>SEBELYS COLOR Nº 7.32</t>
  </si>
  <si>
    <t>8436556060267</t>
  </si>
  <si>
    <t>SEBELYS COLOR Nº 8.32</t>
  </si>
  <si>
    <t>8436556060274</t>
  </si>
  <si>
    <t>SEBELYS COLOR Nº 9.32</t>
  </si>
  <si>
    <t>8436556060281</t>
  </si>
  <si>
    <t>SEBELYS COLOR Nº 8.34</t>
  </si>
  <si>
    <t>8436556060298</t>
  </si>
  <si>
    <t>SEBELYS COLOR Nº 5.4</t>
  </si>
  <si>
    <t>8436556060304</t>
  </si>
  <si>
    <t>SEBELYS COLOR Nº 7.4</t>
  </si>
  <si>
    <t>8436556060311</t>
  </si>
  <si>
    <t>SEBELYS COLOR Nº 6.43</t>
  </si>
  <si>
    <t>8436556060328</t>
  </si>
  <si>
    <t>SEBELYS COLOR Nº 7.44</t>
  </si>
  <si>
    <t>8436556060335</t>
  </si>
  <si>
    <t>SEBELYS COLOR Nº 8.44</t>
  </si>
  <si>
    <t>8436556060342</t>
  </si>
  <si>
    <t>SEBELYS COLOR Nº 4.50</t>
  </si>
  <si>
    <t>8436556060359</t>
  </si>
  <si>
    <t>SEBELYS COLOR Nº 5.50</t>
  </si>
  <si>
    <t>8436556060366</t>
  </si>
  <si>
    <t>SEBELYS COLOR Nº 6.50</t>
  </si>
  <si>
    <t>8436556060373</t>
  </si>
  <si>
    <t>SEBELYS COLOR Nº 7.50</t>
  </si>
  <si>
    <t>8436556060380</t>
  </si>
  <si>
    <t>SEBELYS COLOR Nº 4.51</t>
  </si>
  <si>
    <t>8436556060397</t>
  </si>
  <si>
    <t>SEBELYS COLOR Nº 5.51</t>
  </si>
  <si>
    <t>8436556060403</t>
  </si>
  <si>
    <t>SEBELYS COLOR Nº 6.51</t>
  </si>
  <si>
    <t>8436556060410</t>
  </si>
  <si>
    <t>SEBELYS COLOR Nº 7.51</t>
  </si>
  <si>
    <t>8436556060427</t>
  </si>
  <si>
    <t>SEBELYS COLOR Nº 8.51</t>
  </si>
  <si>
    <t>8436556060434</t>
  </si>
  <si>
    <t>SEBELYS COLOR Nº 5.53</t>
  </si>
  <si>
    <t>8436556060441</t>
  </si>
  <si>
    <t>SEBELYS COLOR Nº 6.53</t>
  </si>
  <si>
    <t>8436556060458</t>
  </si>
  <si>
    <t>SEBELYS COLOR Nº 7.53</t>
  </si>
  <si>
    <t>8436556060465</t>
  </si>
  <si>
    <t>SEBELYS COLOR Nº 3.56</t>
  </si>
  <si>
    <t>8436556060472</t>
  </si>
  <si>
    <t>SEBELYS COLOR Nº 5.56</t>
  </si>
  <si>
    <t>8436556060489</t>
  </si>
  <si>
    <t>SEBELYS COLOR Nº 7.56</t>
  </si>
  <si>
    <t>8436556060496</t>
  </si>
  <si>
    <t>SEBELYS COLOR Nº 6.66</t>
  </si>
  <si>
    <t>8436556060502</t>
  </si>
  <si>
    <t>SEBELYS COLOR Nº 5.67</t>
  </si>
  <si>
    <t>8436556060519</t>
  </si>
  <si>
    <t>SEBELYS COLOR Nº 6.67</t>
  </si>
  <si>
    <t>8436556060526</t>
  </si>
  <si>
    <t>SEBELYS COLOR Nº 4.77</t>
  </si>
  <si>
    <t>8436556060533</t>
  </si>
  <si>
    <t>SEBELYS COLOR Nº 5.77</t>
  </si>
  <si>
    <t>8436556060540</t>
  </si>
  <si>
    <t>SEBELYS COLOR Nº 7.77</t>
  </si>
  <si>
    <t>8436556060557</t>
  </si>
  <si>
    <t>SEBELYS COLOR Nº 12.0</t>
  </si>
  <si>
    <t>8436556060564</t>
  </si>
  <si>
    <t>SEBELYS COLOR Nº 12.1</t>
  </si>
  <si>
    <t>8436556060571</t>
  </si>
  <si>
    <t>SEBELYS COLOR Nº 12.12</t>
  </si>
  <si>
    <t>8436556060588</t>
  </si>
  <si>
    <t>SEBELYS COLOR Nº 9.19</t>
  </si>
  <si>
    <t>8436556060595</t>
  </si>
  <si>
    <t>SEBELYS COLOR Nº 0/66</t>
  </si>
  <si>
    <t>8436556060601</t>
  </si>
  <si>
    <t>SEBELYS COLOR Nº 0/77</t>
  </si>
  <si>
    <t>8436556060618</t>
  </si>
  <si>
    <t>SEBELYS COLOR Nº 0/88</t>
  </si>
  <si>
    <t>8436556060625</t>
  </si>
  <si>
    <t>SEBELYS COLOR Nº 0/99</t>
  </si>
  <si>
    <t>8436556060632</t>
  </si>
  <si>
    <t>SEBELYS OX. CREAM 10 V.- 1000</t>
  </si>
  <si>
    <t>8436556060649</t>
  </si>
  <si>
    <t>SEBELYS OX. CREAM 20 V.- 1000</t>
  </si>
  <si>
    <t>8436556060656</t>
  </si>
  <si>
    <t>SEBELYS OX. CREAM 30 V.- 1000</t>
  </si>
  <si>
    <t>8436556060663</t>
  </si>
  <si>
    <t>SEBELYS OX. CREAM 40 V.- 1000</t>
  </si>
  <si>
    <t>8436556060670</t>
  </si>
  <si>
    <t>SEBELYS OX.CREAM 10 V. S/50+50</t>
  </si>
  <si>
    <t>8436556060687</t>
  </si>
  <si>
    <t>SEBELYS OX.CREAM 20 V. S/50+50</t>
  </si>
  <si>
    <t>8436556060694</t>
  </si>
  <si>
    <t>SEBELYS OX.CREAM 30 V.- 100 ML</t>
  </si>
  <si>
    <t>8436556060700</t>
  </si>
  <si>
    <t>SEBELYS OX.CREAM 40 V.- 100 ML</t>
  </si>
  <si>
    <t>8436556060717</t>
  </si>
  <si>
    <t>SEBELYS BLEACH POWDER B/500</t>
  </si>
  <si>
    <t>8436556060724</t>
  </si>
  <si>
    <t>SEBELYS BLEACH POWDER S/50 GR</t>
  </si>
  <si>
    <t>8436556060731</t>
  </si>
  <si>
    <t>SEBELYS  ACID SHAMPOO 1000</t>
  </si>
  <si>
    <t>8436556060748</t>
  </si>
  <si>
    <t>SEBELYS  ACID SHAMPOO 400 ML</t>
  </si>
  <si>
    <t>8436556060755</t>
  </si>
  <si>
    <t>SEBELYS OX.CREAM 10 V.- 100 ML</t>
  </si>
  <si>
    <t>8436556060762</t>
  </si>
  <si>
    <t>SEBELYS OX.CREAM 20 V.- 100 ML</t>
  </si>
  <si>
    <t>8436556060779</t>
  </si>
  <si>
    <t>SEBELYS BLEACH POWDER TARRO 500</t>
  </si>
  <si>
    <t>8435057014687</t>
  </si>
  <si>
    <t>SEBELYS COLOR 1.0 100 ML</t>
  </si>
  <si>
    <t>8436556061523</t>
  </si>
  <si>
    <t>SEBELYS COLOR 3.0 100 ML</t>
  </si>
  <si>
    <t>8436556061530</t>
  </si>
  <si>
    <t>SEBELYS COLOR 4.0 100 ML</t>
  </si>
  <si>
    <t>8436556060786</t>
  </si>
  <si>
    <t>SEBELYS COLOR 5.0 100 ML</t>
  </si>
  <si>
    <t>8436556060793</t>
  </si>
  <si>
    <t>SEBELYS COLOR 6.0 100 ML</t>
  </si>
  <si>
    <t>8436556060809</t>
  </si>
  <si>
    <t>SEBELYS COLOR 7.0 100 ML</t>
  </si>
  <si>
    <t>8436556060816</t>
  </si>
  <si>
    <t>SEBELYS COLOR 8.0 100 ML</t>
  </si>
  <si>
    <t>8436556060823</t>
  </si>
  <si>
    <t>SEBELYS COLOR 9.0 100 ML</t>
  </si>
  <si>
    <t>8436556060830</t>
  </si>
  <si>
    <t>SEBELYS COLOR 10.0 100 ML</t>
  </si>
  <si>
    <t>8436556060847</t>
  </si>
  <si>
    <t>SEBELYS COLOR 3.00 100 ML</t>
  </si>
  <si>
    <t>8436556060854</t>
  </si>
  <si>
    <t>SEBELYS COLOR 4.00 100 ML</t>
  </si>
  <si>
    <t>8436556060861</t>
  </si>
  <si>
    <t>SEBELYS COLOR 5.00 100 ML</t>
  </si>
  <si>
    <t>8436556060878</t>
  </si>
  <si>
    <t>SEBELYS COLOR 6.00 100 ML</t>
  </si>
  <si>
    <t>8436556060885</t>
  </si>
  <si>
    <t>SEBELYS COLOR 7.00 100 ML</t>
  </si>
  <si>
    <t>8436556060892</t>
  </si>
  <si>
    <t>SEBELYS COLOR 8.00 100 ML</t>
  </si>
  <si>
    <t>8436556060908</t>
  </si>
  <si>
    <t>SEBELYS COLOR 9.00 100 ML</t>
  </si>
  <si>
    <t>8436556060915</t>
  </si>
  <si>
    <t>SEBELYS COLOR 10.00 100 ML</t>
  </si>
  <si>
    <t>8436556060922</t>
  </si>
  <si>
    <t>SEBELYS COLOR 1.1 100 ML</t>
  </si>
  <si>
    <t>8436556060939</t>
  </si>
  <si>
    <t>SEBELYS COLOR 5.1 100 ML</t>
  </si>
  <si>
    <t>8436556060946</t>
  </si>
  <si>
    <t>SEBELYS COLOR 6.1 100 ML</t>
  </si>
  <si>
    <t>8436556060953</t>
  </si>
  <si>
    <t>SEBELYS COLOR 7.1 100 ML</t>
  </si>
  <si>
    <t>8436556060960</t>
  </si>
  <si>
    <t>SEBELYS COLOR 8.1 100 ML</t>
  </si>
  <si>
    <t>8436556060977</t>
  </si>
  <si>
    <t>SEBELYS COLOR 9.1 100 ML</t>
  </si>
  <si>
    <t>8436556060984</t>
  </si>
  <si>
    <t>SEBELYS COLOR 10.1 100 ML</t>
  </si>
  <si>
    <t>8436556060991</t>
  </si>
  <si>
    <t>SEBELYS COLOR 9.21 100 ML</t>
  </si>
  <si>
    <t>8436556061004</t>
  </si>
  <si>
    <t>SEBELYS COLOR 6.3 100 ML</t>
  </si>
  <si>
    <t>8436556061011</t>
  </si>
  <si>
    <t>SEBELYS COLOR 7.3 100 ML</t>
  </si>
  <si>
    <t>8436556061028</t>
  </si>
  <si>
    <t>SEBELYS COLOR 8.3 100 ML</t>
  </si>
  <si>
    <t>8436556061035</t>
  </si>
  <si>
    <t>SEBELYS COLOR 9.3 100 ML</t>
  </si>
  <si>
    <t>8436556061042</t>
  </si>
  <si>
    <t>SEBELYS COLOR 7.31 100 ML</t>
  </si>
  <si>
    <t>8436556061059</t>
  </si>
  <si>
    <t>SEBELYS COLOR 8.31 100 ML</t>
  </si>
  <si>
    <t>8436556061066</t>
  </si>
  <si>
    <t>SEBELYS COLOR 9.31 100 ML</t>
  </si>
  <si>
    <t>8436556061073</t>
  </si>
  <si>
    <t>SEBELYS COLOR 6.32 100 ML</t>
  </si>
  <si>
    <t>8436556061080</t>
  </si>
  <si>
    <t>SEBELYS COLOR 7.32 100 ML</t>
  </si>
  <si>
    <t>8436556061097</t>
  </si>
  <si>
    <t>SEBELYS COLOR 8.32 100 ML</t>
  </si>
  <si>
    <t>8436556061103</t>
  </si>
  <si>
    <t>SEBELYS COLOR 9.32 100 ML</t>
  </si>
  <si>
    <t>8436556061110</t>
  </si>
  <si>
    <t>SEBELYS COLOR 10.32 100 ML</t>
  </si>
  <si>
    <t>8436556061127</t>
  </si>
  <si>
    <t>SEBELYS COLOR 8.34 100 ML</t>
  </si>
  <si>
    <t>8436556061134</t>
  </si>
  <si>
    <t>SEBELYS COLOR 5.4 100 ML</t>
  </si>
  <si>
    <t>8436556061141</t>
  </si>
  <si>
    <t>SEBELYS COLOR 7.4 100 ML</t>
  </si>
  <si>
    <t>8436556061158</t>
  </si>
  <si>
    <t>SEBELYS COLOR 6.43 100 ML</t>
  </si>
  <si>
    <t>8436556061165</t>
  </si>
  <si>
    <t>SEBELYS COLOR 8.43 100 ML</t>
  </si>
  <si>
    <t>8436556061172</t>
  </si>
  <si>
    <t>SEBELYS COLOR 7.44 100 ML</t>
  </si>
  <si>
    <t>8436556061189</t>
  </si>
  <si>
    <t>SEBELYS COLOR 8.44 100 ML</t>
  </si>
  <si>
    <t>8436556061196</t>
  </si>
  <si>
    <t>SEBELYS COLOR 4.50 100 ML</t>
  </si>
  <si>
    <t>8436556061202</t>
  </si>
  <si>
    <t>SEBELYS COLOR 5.50 100 ML</t>
  </si>
  <si>
    <t>8436556061219</t>
  </si>
  <si>
    <t>SEBELYS COLOR 6.50 100 ML</t>
  </si>
  <si>
    <t>8436556061226</t>
  </si>
  <si>
    <t>SEBELYS COLOR 7.50 100 ML</t>
  </si>
  <si>
    <t>8436556061233</t>
  </si>
  <si>
    <t>SEBELYS COLOR 4.51 100 ML</t>
  </si>
  <si>
    <t>8436556061240</t>
  </si>
  <si>
    <t>SEBELYS COLOR 5.51 100 ML</t>
  </si>
  <si>
    <t>8436556061257</t>
  </si>
  <si>
    <t>SEBELYS COLOR 6.51 100 ML</t>
  </si>
  <si>
    <t>8436556061264</t>
  </si>
  <si>
    <t>SEBELYS COLOR 7.51 100 ML</t>
  </si>
  <si>
    <t>8436556061271</t>
  </si>
  <si>
    <t>SEBELYS COLOR 8.51 100 ML</t>
  </si>
  <si>
    <t>8436556061288</t>
  </si>
  <si>
    <t>SEBELYS COLOR 7.52 100 ML</t>
  </si>
  <si>
    <t>8436556061295</t>
  </si>
  <si>
    <t>SEBELYS COLOR 5.53 100 ML</t>
  </si>
  <si>
    <t>8436556061301</t>
  </si>
  <si>
    <t>SEBELYS COLOR 6.53 100 ML</t>
  </si>
  <si>
    <t>8436556061318</t>
  </si>
  <si>
    <t>SEBELYS COLOR 7.53 100 ML</t>
  </si>
  <si>
    <t>8436556061325</t>
  </si>
  <si>
    <t>SEBELYS COLOR 8.53 100 ML</t>
  </si>
  <si>
    <t>8436556061332</t>
  </si>
  <si>
    <t>SEBELYS COLOR 3.56 100 ML</t>
  </si>
  <si>
    <t>8436556061349</t>
  </si>
  <si>
    <t>SEBELYS COLOR 5.56 100 ML</t>
  </si>
  <si>
    <t>8436556061356</t>
  </si>
  <si>
    <t>SEBELYS COLOR 7.56 100 ML</t>
  </si>
  <si>
    <t>8436556061363</t>
  </si>
  <si>
    <t>SEBELYS COLOR 6.66 100 ML</t>
  </si>
  <si>
    <t>8436556061370</t>
  </si>
  <si>
    <t>SEBELYS COLOR 5.67 100 ML</t>
  </si>
  <si>
    <t>8436556061387</t>
  </si>
  <si>
    <t>SEBELYS COLOR 6.67 100 ML</t>
  </si>
  <si>
    <t>8436556061394</t>
  </si>
  <si>
    <t>SEBELYS COLOR 4.77 100 ML</t>
  </si>
  <si>
    <t>8436556061400</t>
  </si>
  <si>
    <t>SEBELYS COLOR 5.77 100 ML</t>
  </si>
  <si>
    <t>8436556061417</t>
  </si>
  <si>
    <t>SEBELYS COLOR 7.77 100 ML</t>
  </si>
  <si>
    <t>8436556061424</t>
  </si>
  <si>
    <t>SEBELYS COLOR 12.0 100 ML</t>
  </si>
  <si>
    <t>8436556061431</t>
  </si>
  <si>
    <t>SEBELYS COLOR 12.1 100 ML</t>
  </si>
  <si>
    <t>8436556061448</t>
  </si>
  <si>
    <t>SEBELYS COLOR 12.12 100 ML</t>
  </si>
  <si>
    <t>8436556061455</t>
  </si>
  <si>
    <t>SEBELYS COLOR 7.19 100 ML</t>
  </si>
  <si>
    <t>8436556061462</t>
  </si>
  <si>
    <t>SEBELYS COLOR 9.19 100 ML</t>
  </si>
  <si>
    <t>8436556061479</t>
  </si>
  <si>
    <t>SEBELYS CREAM OXIDANT 10V 1.000 ML</t>
  </si>
  <si>
    <t>8436556061486</t>
  </si>
  <si>
    <t>SEBELYS CREAM OXIDANT 20V 1.000 ML</t>
  </si>
  <si>
    <t>8436556061493</t>
  </si>
  <si>
    <t>SEBELYS CREAM OXIDANT 30V 1.000 ML</t>
  </si>
  <si>
    <t>8436556061509</t>
  </si>
  <si>
    <t>SEBELYS CREAM OXIDANT 40V 1.000 ML</t>
  </si>
  <si>
    <t>8436556061516</t>
  </si>
  <si>
    <t>SEBELYS CREAM OXIDANT 10V 100 ML</t>
  </si>
  <si>
    <t>8436556061547</t>
  </si>
  <si>
    <t>SEBELYS CREAM OXIDANT 20V 100 ML</t>
  </si>
  <si>
    <t>8436556061554</t>
  </si>
  <si>
    <t>SEBELYS CREAM OXIDANT 30V 100 ML</t>
  </si>
  <si>
    <t>8436556061561</t>
  </si>
  <si>
    <t>SEBELYS CREAM OXIDANT 40V 100 ML</t>
  </si>
  <si>
    <t>8436556061578</t>
  </si>
  <si>
    <t>SQUIZZ PUNK 340 GRS.</t>
  </si>
  <si>
    <t>7501438326081</t>
  </si>
  <si>
    <t>SQUIZZ ROCKERO 340 GRS.</t>
  </si>
  <si>
    <t>7501438326074</t>
  </si>
  <si>
    <t>SQUIZZ GALAN 340 GRS.</t>
  </si>
  <si>
    <t>7501438326067</t>
  </si>
  <si>
    <t>SQUIZZ SPORT 340 GRS.</t>
  </si>
  <si>
    <t>7501438326098</t>
  </si>
  <si>
    <t>TARRO PUNK 270 GRS.</t>
  </si>
  <si>
    <t>7501438311124</t>
  </si>
  <si>
    <t>TARRO ROCKERO 270 GRS.</t>
  </si>
  <si>
    <t>7501438311117</t>
  </si>
  <si>
    <t>TARRO GALAN 270 GRS.</t>
  </si>
  <si>
    <t>7501438311100</t>
  </si>
  <si>
    <t>TARRO SPORT 270 GRS.</t>
  </si>
  <si>
    <t>7501438311094</t>
  </si>
  <si>
    <t>SOBRE PUNK 10 GRS.</t>
  </si>
  <si>
    <t>7501438301675</t>
  </si>
  <si>
    <t>SOBRE ROCKERO 10 GRS.</t>
  </si>
  <si>
    <t>7501438301682</t>
  </si>
  <si>
    <t>SOBRE GALAN 10 GRS.</t>
  </si>
  <si>
    <t>7501438301699</t>
  </si>
  <si>
    <t>SOBRE SPORT 10 GRS.</t>
  </si>
  <si>
    <t>7501438301705</t>
  </si>
  <si>
    <t>LOTE 1 PROMOCION LANZAMIENTO</t>
  </si>
  <si>
    <t>0000000790015</t>
  </si>
  <si>
    <t>LOTE 2 PROMOCION ESPECIAL</t>
  </si>
  <si>
    <t>0000000790016</t>
  </si>
  <si>
    <t>LOTE 3 PROMOCION ESPECIAL</t>
  </si>
  <si>
    <t>0000000790017</t>
  </si>
  <si>
    <t>PULP RIOT COLOR ABSINTHE 118 ML.</t>
  </si>
  <si>
    <t>SSABSINTHE</t>
  </si>
  <si>
    <t>857472006050</t>
  </si>
  <si>
    <t>PULP RIOT COLOR AQUATIC 118 ML.</t>
  </si>
  <si>
    <t>SSAQUATIC</t>
  </si>
  <si>
    <t>857472006159</t>
  </si>
  <si>
    <t>PULP RIOT COLOR BLUSH 118 ML.</t>
  </si>
  <si>
    <t>SSBLUSH</t>
  </si>
  <si>
    <t>857472006012</t>
  </si>
  <si>
    <t>PULP RIOT COLOR CLEAR 118 ML.</t>
  </si>
  <si>
    <t>SSCLEAR</t>
  </si>
  <si>
    <t>857472006142</t>
  </si>
  <si>
    <t>PULP RIOT COLOR CUPID 118 ML.</t>
  </si>
  <si>
    <t>SSCUPID</t>
  </si>
  <si>
    <t>857472006029</t>
  </si>
  <si>
    <t>PULP RIOT COLOR FIREBALL 118 ML.</t>
  </si>
  <si>
    <t>SSFIREBALL</t>
  </si>
  <si>
    <t>857472006036</t>
  </si>
  <si>
    <t>PULP RIOT COLOR JAM 118 ML.</t>
  </si>
  <si>
    <t>SSJAM</t>
  </si>
  <si>
    <t>857472006098</t>
  </si>
  <si>
    <t>PULP RIOT COLOR LEMON 118 ML.</t>
  </si>
  <si>
    <t>SSLEMON</t>
  </si>
  <si>
    <t>857472006005</t>
  </si>
  <si>
    <t>PULP RIOT COLOR LILAC 118 ML.</t>
  </si>
  <si>
    <t>SSLILAC</t>
  </si>
  <si>
    <t>857472006081</t>
  </si>
  <si>
    <t>PULP RIOT COLOR MERCURY 118 ML.</t>
  </si>
  <si>
    <t>SSMERCURY</t>
  </si>
  <si>
    <t>857472006111</t>
  </si>
  <si>
    <t>PULP RIOT COLOR NIGHTFALL 118 ML.</t>
  </si>
  <si>
    <t>SSNIGHTFALL</t>
  </si>
  <si>
    <t>857472006074</t>
  </si>
  <si>
    <t>PULP RIOT COLOR NOIR 118 ML.</t>
  </si>
  <si>
    <t>SSNOIR</t>
  </si>
  <si>
    <t>857472006135</t>
  </si>
  <si>
    <t>PULP RIOT COLOR POWDER 118 ML.</t>
  </si>
  <si>
    <t>SSPOWDER</t>
  </si>
  <si>
    <t>857472006067</t>
  </si>
  <si>
    <t>PULP RIOT COLOR SEA GLASS 118 ML.</t>
  </si>
  <si>
    <t>SSSEAGLASS</t>
  </si>
  <si>
    <t>857472006043</t>
  </si>
  <si>
    <t>PULP RIOT COLOR SMOKE 118 ML.</t>
  </si>
  <si>
    <t>SSSMOKE</t>
  </si>
  <si>
    <t>857472006128</t>
  </si>
  <si>
    <t>PULP RIOT COLOR VELVET 118 ML.</t>
  </si>
  <si>
    <t>SSVELVET</t>
  </si>
  <si>
    <t>857472006104</t>
  </si>
  <si>
    <t>PUFF.ME 9 GR</t>
  </si>
  <si>
    <t>PUFF.ME DISPLAY</t>
  </si>
  <si>
    <t>PUFF.ME LIGHT 9 GR</t>
  </si>
  <si>
    <t>PUFF.ME LIGHT DISPLAY</t>
  </si>
  <si>
    <t>POWERDRY.ME 230 ML</t>
  </si>
  <si>
    <t>POWERDRY.ME DISPLAY</t>
  </si>
  <si>
    <t>FAB.ME 230 ML</t>
  </si>
  <si>
    <t>FAB.ME 230 ML DISPLAY</t>
  </si>
  <si>
    <t>FAB.ME 100 ML</t>
  </si>
  <si>
    <t>FAB.ME 100 ML DISPLAY</t>
  </si>
  <si>
    <t>POWERDRY.ME 100 ML</t>
  </si>
  <si>
    <t>POWERDRY.ME 100 ML DISPLAY</t>
  </si>
  <si>
    <t>PULP RIOT COLOR NIRVANA 118 ML</t>
  </si>
  <si>
    <t>EU SSNIRVANA</t>
  </si>
  <si>
    <t>0857472006302</t>
  </si>
  <si>
    <t>PULP RIOT COLOR AREA51 118 ML</t>
  </si>
  <si>
    <t>EU SSAREA51</t>
  </si>
  <si>
    <t>0857472006272</t>
  </si>
  <si>
    <t>PULP RIOT COLOR FIREFLY 118 ML</t>
  </si>
  <si>
    <t>EU SSFIREFLY</t>
  </si>
  <si>
    <t>0857472006296</t>
  </si>
  <si>
    <t>PULP RIOT TONER VIOLET 90 ML</t>
  </si>
  <si>
    <t>GLVIOLET</t>
  </si>
  <si>
    <t>0857472006333</t>
  </si>
  <si>
    <t>PULP RIOT TONER NATURAL 90 ML</t>
  </si>
  <si>
    <t>GLNATURAL</t>
  </si>
  <si>
    <t>0857472006357</t>
  </si>
  <si>
    <t>PULP RIOT TONER SILVER 90 ML</t>
  </si>
  <si>
    <t>GLSILVER</t>
  </si>
  <si>
    <t>0857472006340</t>
  </si>
  <si>
    <t>PULP RIOT TONER ICY 90 ML</t>
  </si>
  <si>
    <t>SSICY</t>
  </si>
  <si>
    <t>00857472006487</t>
  </si>
  <si>
    <t>PULP RIOT TONER ROSEGOLD 90 ML</t>
  </si>
  <si>
    <t>SSROSEGOLD</t>
  </si>
  <si>
    <t>00857472006470</t>
  </si>
  <si>
    <t>PULP RIOT TONER ASH 90 ML</t>
  </si>
  <si>
    <t>SSASH</t>
  </si>
  <si>
    <t>0857472006463</t>
  </si>
  <si>
    <t>PULP RIOT BLEACH LIGHTENER 500G</t>
  </si>
  <si>
    <t>GLOBALLIGHTENER</t>
  </si>
  <si>
    <t>0857472006258</t>
  </si>
  <si>
    <t>PULP RIOT CLAY LIGHTENER 500G.</t>
  </si>
  <si>
    <t>0857472006432</t>
  </si>
  <si>
    <t>PULP RIOT BLANK CANVAS 45 GRS.</t>
  </si>
  <si>
    <t>GLCOLORREMOVER</t>
  </si>
  <si>
    <t>0857472006364</t>
  </si>
  <si>
    <t>PULP RIOT 6 VOL. DEVEL. 885 ML</t>
  </si>
  <si>
    <t>EU SS6VOL</t>
  </si>
  <si>
    <t>0857472006210</t>
  </si>
  <si>
    <t>PULP RIOT 10 VOL. DEVEL. 885 ML</t>
  </si>
  <si>
    <t>EU SS10VOL</t>
  </si>
  <si>
    <t>0857472006241</t>
  </si>
  <si>
    <t>PULP RIOT 20 VOL. DEVEL. 885 ML</t>
  </si>
  <si>
    <t>EU SS20VOL</t>
  </si>
  <si>
    <t>0857472006203</t>
  </si>
  <si>
    <t>PULP RIOT 30 VOL. DEVEL. 885 ML</t>
  </si>
  <si>
    <t>EU SS30VOL</t>
  </si>
  <si>
    <t>0857472006227</t>
  </si>
  <si>
    <t>PULP RIOT 40 VOL. DEVEL. 885 ML</t>
  </si>
  <si>
    <t>EU SS40VOL</t>
  </si>
  <si>
    <t>0857472006234</t>
  </si>
  <si>
    <t>PULP RIOT BARCELONA SH. 295 ML</t>
  </si>
  <si>
    <t>0857472006388</t>
  </si>
  <si>
    <t>PULP RIOT BARCELONA SH. 975 ML</t>
  </si>
  <si>
    <t>0857472006395</t>
  </si>
  <si>
    <t>PULP RIOT BANGKOK SH. 295 ML</t>
  </si>
  <si>
    <t>0857472006449</t>
  </si>
  <si>
    <t>PULP RIOT BANGKOK SH. 975 ML</t>
  </si>
  <si>
    <t>0857472006494</t>
  </si>
  <si>
    <t>PULP RIOT TOKYO COND. 295 ML</t>
  </si>
  <si>
    <t>0857472006456</t>
  </si>
  <si>
    <t>PULP  RIOT TOKYO COND. 975 ML</t>
  </si>
  <si>
    <t>0857472006500</t>
  </si>
  <si>
    <t>INSTANT LINE SMOOTHER 19ML</t>
  </si>
  <si>
    <t>GILS</t>
  </si>
  <si>
    <t>INSTANT LINE SMOOTHER 30ML</t>
  </si>
  <si>
    <t>GILS30ML</t>
  </si>
  <si>
    <t>DREAM CREAM 50ML</t>
  </si>
  <si>
    <t>GPM50ML</t>
  </si>
  <si>
    <t>DREAM CREAM 15ML</t>
  </si>
  <si>
    <t>GPM15ML</t>
  </si>
  <si>
    <t>H'EYE'DRATOR EYE CREAM 15ML</t>
  </si>
  <si>
    <t>GHEC</t>
  </si>
  <si>
    <t>LINE SMOOTHING CONCEALER-BEIGE</t>
  </si>
  <si>
    <t>GLSC BE</t>
  </si>
  <si>
    <t>LINE SMOOTHING CONCEALER-HONEY</t>
  </si>
  <si>
    <t>GLSC HO</t>
  </si>
  <si>
    <t>LINE SMOOTHING CONCEALER-IVORY</t>
  </si>
  <si>
    <t>GLSC IV</t>
  </si>
  <si>
    <t>TRANSF. HIGHLIGHTING WAND</t>
  </si>
  <si>
    <t>GTHW</t>
  </si>
  <si>
    <t>TRANSF. HIGHLIGHTING WAND DOU</t>
  </si>
  <si>
    <t>GTHWD</t>
  </si>
  <si>
    <t>CASHMERE COLOR CORRECT. POWDER</t>
  </si>
  <si>
    <t>GCCCP</t>
  </si>
  <si>
    <t>MAKE ME BLUSH 3G/KABUKI BRUSH</t>
  </si>
  <si>
    <t>GMMB</t>
  </si>
  <si>
    <t>MAKE ME BLUSH 7G/KABUKI BRUSH</t>
  </si>
  <si>
    <t>GMMB7GMKBS</t>
  </si>
  <si>
    <t>CASHMERE BLUSH - SUNRISE</t>
  </si>
  <si>
    <t>GCB-SR</t>
  </si>
  <si>
    <t>CASHMERE BLUSH - SUNSET</t>
  </si>
  <si>
    <t>GCB-SS</t>
  </si>
  <si>
    <t>CASHMERE POWDER 9G/KAB. BRUSH</t>
  </si>
  <si>
    <t>GCP-NL</t>
  </si>
  <si>
    <t>CASHMERE POWDER 9G COMPACT</t>
  </si>
  <si>
    <t>GCP</t>
  </si>
  <si>
    <t>CASHMERE POWDER 3G/KAB. BRUSH</t>
  </si>
  <si>
    <t>GCP3GMKBS</t>
  </si>
  <si>
    <t>CASHMERE POWDER 3G COMPACT</t>
  </si>
  <si>
    <t>GCP3GM</t>
  </si>
  <si>
    <t>LINE SMOOTHING FOUND. - FAIR</t>
  </si>
  <si>
    <t>GLSF-F</t>
  </si>
  <si>
    <t>LINE SMOOTHING FOUND. - LIGHT</t>
  </si>
  <si>
    <t>GLSF-L</t>
  </si>
  <si>
    <t>LINE SMOOTHING FOUND.-MEDIUM</t>
  </si>
  <si>
    <t>GLSF-M</t>
  </si>
  <si>
    <t>LINE SMOOT FOUND-MEDIUM DARK</t>
  </si>
  <si>
    <t>GLSF-MD</t>
  </si>
  <si>
    <t>LINE SMOOTHING FOUND. - DARK</t>
  </si>
  <si>
    <t>GLSF-D</t>
  </si>
  <si>
    <t>LINE SMOOT FOUND SAMPLE CARD</t>
  </si>
  <si>
    <t>MINI GLSF</t>
  </si>
  <si>
    <t>ESPRESSO + SHARPENER (SINGLE)</t>
  </si>
  <si>
    <t>GSGE ESP</t>
  </si>
  <si>
    <t>ESPRESSO DUO + SHARPENER</t>
  </si>
  <si>
    <t>GSGEDUO ESP</t>
  </si>
  <si>
    <t>BLACK + SHARPENER (SINGLE)</t>
  </si>
  <si>
    <t>GSGE BLK</t>
  </si>
  <si>
    <t>BLACK DUO + SHARPENER</t>
  </si>
  <si>
    <t>GSGEDUO BLK</t>
  </si>
  <si>
    <t>MILLION DOLLAR LASH DUO</t>
  </si>
  <si>
    <t>GILBD</t>
  </si>
  <si>
    <t>MILLION DOLLAR LASH MASCARA</t>
  </si>
  <si>
    <t>GTLCPLUSM</t>
  </si>
  <si>
    <t>MILLION DOLLAR LASH BOOSTER</t>
  </si>
  <si>
    <t>GTLCPLUSB</t>
  </si>
  <si>
    <t>NUT ANTIOX FOUND-FAIR 8G</t>
  </si>
  <si>
    <t>GCMF-FAIR8G</t>
  </si>
  <si>
    <t>NUT ANTIOX FOUND-FAIRLY LIGHT</t>
  </si>
  <si>
    <t>GCMF-FAIRLT8G</t>
  </si>
  <si>
    <t>NUT ANTIOX FOUND-LIGHT 8G</t>
  </si>
  <si>
    <t>GCMF-LIGHT8G</t>
  </si>
  <si>
    <t>NUT ANTIOX FOUND - NATURAL 8G</t>
  </si>
  <si>
    <t>GCMF-NATURAL8G</t>
  </si>
  <si>
    <t>NUT ANTIOX FOUND - MEDIUM 8G</t>
  </si>
  <si>
    <t>GCMF-MED8G</t>
  </si>
  <si>
    <t>NUT ANTIOX FOUND-MED.BEIGE 8G</t>
  </si>
  <si>
    <t>GCMF-MEDBG8G</t>
  </si>
  <si>
    <t>NUT ANTIOX FOUND-GOLDEN MED 8G</t>
  </si>
  <si>
    <t>GCMF-GOLDMED8G</t>
  </si>
  <si>
    <t>NUT ANTIOX FOUND-MEDIUM TAN 8G</t>
  </si>
  <si>
    <t>GCMF-MEDTAN8G</t>
  </si>
  <si>
    <t>NUT ANTIOX FOUND SAMPLE CARD</t>
  </si>
  <si>
    <t>MINI GCMF</t>
  </si>
  <si>
    <t>KABUKI BRUSH LARGE</t>
  </si>
  <si>
    <t>GKBL</t>
  </si>
  <si>
    <t>KABUKI BRUSH MEDIUM</t>
  </si>
  <si>
    <t>GKBM</t>
  </si>
  <si>
    <t>KABUKI BRUSH SMALL</t>
  </si>
  <si>
    <t>GKBS</t>
  </si>
  <si>
    <t>MAKEUP BAG</t>
  </si>
  <si>
    <t>GMB</t>
  </si>
  <si>
    <t>DOUBLE-SIDED COMPACT MIRROR</t>
  </si>
  <si>
    <t>GCDSM</t>
  </si>
  <si>
    <t>KEY CHAINS</t>
  </si>
  <si>
    <t>GKEY</t>
  </si>
  <si>
    <t>8500473</t>
  </si>
  <si>
    <t>Bolsa Kinblond DECO 2A 282FR</t>
  </si>
  <si>
    <t>8500474</t>
  </si>
  <si>
    <t>Prod. Kinblond DECO A2 282FR</t>
  </si>
  <si>
    <t>8500599</t>
  </si>
  <si>
    <t>Bolsa Kinblond DECO 2A282F1 1kg</t>
  </si>
  <si>
    <t>PROD. LISS INT FLUID CONTROL</t>
  </si>
  <si>
    <t>PILIFC</t>
  </si>
  <si>
    <t>Producte SHAPING WET</t>
  </si>
  <si>
    <t>PISHWE</t>
  </si>
  <si>
    <t>TUBO KINESS.  OIL CREAM  20 ML</t>
  </si>
  <si>
    <t>8435057010511</t>
  </si>
  <si>
    <t>Tubo New C Glamour nº 7.0</t>
  </si>
  <si>
    <t>PCNG70</t>
  </si>
  <si>
    <t>SOBRE KINBLOND 30 GRS.</t>
  </si>
  <si>
    <t>8435057016827</t>
  </si>
  <si>
    <t>Sachet KA DAILY MOISTURIZING SH</t>
  </si>
  <si>
    <t>8435057018418</t>
  </si>
  <si>
    <t>Sachet KA RICH NOURISHING SH</t>
  </si>
  <si>
    <t>8435057018425</t>
  </si>
  <si>
    <t>Sachet KA NOURISHING 2-IN-1 MASK</t>
  </si>
  <si>
    <t>8435057018432</t>
  </si>
  <si>
    <t>Sachet KA NOURISHING MELTING EXTR</t>
  </si>
  <si>
    <t>8435057018449</t>
  </si>
  <si>
    <t>Sachet KA RICH RECONSTRUCTING SH</t>
  </si>
  <si>
    <t>8435057018456</t>
  </si>
  <si>
    <t>Sachet KA RECONSTRUCTING 2-IN-1  MASK</t>
  </si>
  <si>
    <t>8435057018463</t>
  </si>
  <si>
    <t>Sachet KA RECONSTRUCTING MELTING EXTR</t>
  </si>
  <si>
    <t>8435057018470</t>
  </si>
  <si>
    <t>Sachet KA MILD EXPANDING SH</t>
  </si>
  <si>
    <t>8435057018487</t>
  </si>
  <si>
    <t>Sachet KA EXPANDING 2-IN-1 MASK</t>
  </si>
  <si>
    <t>8435057018494</t>
  </si>
  <si>
    <t>Tubo OIL CREAM Kinessences 50 ML.</t>
  </si>
  <si>
    <t>SOBRE KINESSENCES MASK 30 ml.</t>
  </si>
  <si>
    <t>8435057010634</t>
  </si>
  <si>
    <t>sachet DUPLO KINESSENCES OES</t>
  </si>
  <si>
    <t>8435057014878</t>
  </si>
  <si>
    <t>sachet DUPLO KINESSENCES DETOX</t>
  </si>
  <si>
    <t>8435057014885</t>
  </si>
  <si>
    <t>sachet DUPLO KINESSENCES RESTORE</t>
  </si>
  <si>
    <t>8435057014892</t>
  </si>
  <si>
    <t>Sachet KE NOURISH SHAMPOO</t>
  </si>
  <si>
    <t>8435057018326</t>
  </si>
  <si>
    <t>Sachet KE NOURISH MASK</t>
  </si>
  <si>
    <t>8435057018333</t>
  </si>
  <si>
    <t>Sachet KE NOURISH OIL CREAM</t>
  </si>
  <si>
    <t>8435057018340</t>
  </si>
  <si>
    <t>Sachet KE ANTIOX SHAMPOO</t>
  </si>
  <si>
    <t>8435057018357</t>
  </si>
  <si>
    <t>Sachet KE ANTIOX MASK</t>
  </si>
  <si>
    <t>8435057018364</t>
  </si>
  <si>
    <t>Sachet KE ANTIOX SMOOTHIE</t>
  </si>
  <si>
    <t>8435057018371</t>
  </si>
  <si>
    <t>Sachet KE RESTORE SHAMPOO</t>
  </si>
  <si>
    <t>8435057018388</t>
  </si>
  <si>
    <t>Sachet KE RESTORE MASK</t>
  </si>
  <si>
    <t>8435057018395</t>
  </si>
  <si>
    <t>Sachet KE RESTORE OVERNIGHT</t>
  </si>
  <si>
    <t>8435057018401</t>
  </si>
  <si>
    <t>sachet  KINSTYLE CURLY CREAM</t>
  </si>
  <si>
    <t>8435057014908</t>
  </si>
  <si>
    <t>sachet KINSTYLE POTION CREAM</t>
  </si>
  <si>
    <t>8435057014915</t>
  </si>
  <si>
    <t>sachet KINSTYLE MAKING WAVES</t>
  </si>
  <si>
    <t>8435057014922</t>
  </si>
  <si>
    <t>Sachet KINMEN HAIR WET GEL</t>
  </si>
  <si>
    <t>8435057016575</t>
  </si>
  <si>
    <t>Sachet KINMEN 3 IN 1</t>
  </si>
  <si>
    <t>8435057016582</t>
  </si>
  <si>
    <t>Sachet KINMEN BEARD CREAM</t>
  </si>
  <si>
    <t>8435057016599</t>
  </si>
  <si>
    <t>CURSO LOOK&amp;LEARN PULPRIOT BCN</t>
  </si>
  <si>
    <t>FTSF0910</t>
  </si>
  <si>
    <t>8435057056113</t>
  </si>
  <si>
    <t>CURSO KIN CUT&amp;COLOR COL'10 BCN</t>
  </si>
  <si>
    <t>FTBA1010</t>
  </si>
  <si>
    <t>8435057056120</t>
  </si>
  <si>
    <t>CURSO KIN CUT&amp;COLOR COL'10 MAD</t>
  </si>
  <si>
    <t>FTMA0910</t>
  </si>
  <si>
    <t>8435057056137</t>
  </si>
  <si>
    <t>CURSO KIN CUT&amp;COLOR COL'10 ZGZ</t>
  </si>
  <si>
    <t>FTZA1010</t>
  </si>
  <si>
    <t>8435057056144</t>
  </si>
  <si>
    <t>CURSO KIN CUT&amp;COLOR COL'10 TGN</t>
  </si>
  <si>
    <t>FTTA1110</t>
  </si>
  <si>
    <t>8435057056151</t>
  </si>
  <si>
    <t>CURSO KIN GESTION S. FELIU G.</t>
  </si>
  <si>
    <t>FGSF1510</t>
  </si>
  <si>
    <t>CURSO KIN GESTION MADRID</t>
  </si>
  <si>
    <t>FGMA1710</t>
  </si>
  <si>
    <t>CURSO KIN GESTION ZARAGOZA</t>
  </si>
  <si>
    <t>FGZA1610</t>
  </si>
  <si>
    <t>CURSO KIN GESTION BARCELONA</t>
  </si>
  <si>
    <t>FGBA1910</t>
  </si>
  <si>
    <t>CURSO KIN GESTION TARRAGONA</t>
  </si>
  <si>
    <t>FGTA2010</t>
  </si>
  <si>
    <t>980017</t>
  </si>
  <si>
    <t>CURSO MODA DISTRIB. 2 PROF.</t>
  </si>
  <si>
    <t>980018</t>
  </si>
  <si>
    <t>CURSO KIN TECHNICAL DISTRIB.</t>
  </si>
  <si>
    <t>CURSO BARBER'S CORNER VALENCIA</t>
  </si>
  <si>
    <t>0000000980049</t>
  </si>
  <si>
    <t>KC3T</t>
  </si>
  <si>
    <t>KINCREM 3 TUBOS ANTIGUO</t>
  </si>
  <si>
    <t>NC3T</t>
  </si>
  <si>
    <t>NEW COLOR 3 TUBOS ANTIGUO</t>
  </si>
  <si>
    <t>EARTH NUDES COLLECTION 7.512 SAHARA NUDE</t>
  </si>
  <si>
    <t>EARTH NUDES COLLECTION 8.348 NAMBUNG OCHER</t>
  </si>
  <si>
    <t>EARTH NUDES COLLECTION 8.762 JORDAN ROSE</t>
  </si>
  <si>
    <t>EXCLUSIVAS TRENDS HAIR SL</t>
  </si>
  <si>
    <t>B10629798</t>
  </si>
  <si>
    <t>A CORUÑA</t>
  </si>
  <si>
    <t>CL SEVERO OCHOA 19</t>
  </si>
  <si>
    <t>cristina@exclusivastrendshair.com</t>
  </si>
  <si>
    <t>BANNER TEXTIL KINCREM COLOR MODELO 2 (*)</t>
  </si>
  <si>
    <t xml:space="preserve">FOLDER TÉCNICO KINESSENCES COLOR VEGAN </t>
  </si>
  <si>
    <t>DOOR STICKER KINESSENCES COLOR VEGAN (*)</t>
  </si>
  <si>
    <t xml:space="preserve">FOLLETO CONSUMIDOR KINESSENCES NOURISH </t>
  </si>
  <si>
    <t xml:space="preserve">FOLLETO CONSUMIDOR KINESSENCES ANTIOX </t>
  </si>
  <si>
    <t xml:space="preserve">FOLLETO CONSUMIDOR KINESSENCES RESTORE </t>
  </si>
  <si>
    <t>12,5 x 17 cm</t>
  </si>
  <si>
    <t>52,5 x 40 x 180 cm</t>
  </si>
  <si>
    <r>
      <rPr>
        <b/>
        <sz val="12"/>
        <color indexed="63"/>
        <rFont val="Calibri"/>
        <family val="2"/>
      </rPr>
      <t>Ø</t>
    </r>
    <r>
      <rPr>
        <b/>
        <sz val="9.6"/>
        <color indexed="63"/>
        <rFont val="Century Gothic"/>
        <family val="2"/>
      </rPr>
      <t xml:space="preserve"> </t>
    </r>
    <r>
      <rPr>
        <b/>
        <sz val="12"/>
        <color indexed="63"/>
        <rFont val="Century Gothic"/>
        <family val="2"/>
      </rPr>
      <t>24 cm</t>
    </r>
  </si>
  <si>
    <t>COOLER BAG KINACTIF SUNCARE</t>
  </si>
  <si>
    <t>34 x 21 x 26 cm</t>
  </si>
  <si>
    <t xml:space="preserve">KINACTIF CALM SHAMPOO </t>
  </si>
  <si>
    <t>30 x 29 x 21 cm</t>
  </si>
  <si>
    <t>KINACTIF NUTRI SERUM</t>
  </si>
  <si>
    <t>KINACTIF ENERGY RECONSTRUCTOR</t>
  </si>
  <si>
    <t>BOMBA DOSIFICADORA KINACTIF DEEP CARE BASE 250 ML</t>
  </si>
  <si>
    <t>KAPYLOOK, S.L.</t>
  </si>
  <si>
    <t>B10739514</t>
  </si>
  <si>
    <t>RUST COLLECTION 5.519 ASHY BROWN</t>
  </si>
  <si>
    <t xml:space="preserve">RUST COLLECTION 6.762 PURPLE DUST </t>
  </si>
  <si>
    <t xml:space="preserve">RUST COLLECTION 7.456 OXIDE AMBER </t>
  </si>
  <si>
    <t>GARCIA RODRIGUEZ, JESUS FRANCISCO</t>
  </si>
  <si>
    <t>48682553V</t>
  </si>
  <si>
    <t>LA VILLAJOYOSA/VILA JOIOSA</t>
  </si>
  <si>
    <t>CALLE CIUDAD DE VALENCIA 10</t>
  </si>
  <si>
    <t>+34 966807201</t>
  </si>
  <si>
    <t>distribucionescuevas@gmail.com</t>
  </si>
  <si>
    <t>RODRIGUEZ OLIVARES, M ANGELS</t>
  </si>
  <si>
    <t>28878235X</t>
  </si>
  <si>
    <t>BENIDORM</t>
  </si>
  <si>
    <t>CALLE TOMAS ORTUÑO 84</t>
  </si>
  <si>
    <t>+34 965856410</t>
  </si>
  <si>
    <t>COSMETICOS H. GARCIA S.L.</t>
  </si>
  <si>
    <t>B16742843</t>
  </si>
  <si>
    <t>CL VELDERADUEY 64</t>
  </si>
  <si>
    <t>MERA MOSQUERA, MIGUEL ANGEL</t>
  </si>
  <si>
    <t>36098841L</t>
  </si>
  <si>
    <t>VILAGARCIA DE AROUSA</t>
  </si>
  <si>
    <t>CL PABLO IGLESIAS 8 BJS</t>
  </si>
  <si>
    <t>+34 625341262</t>
  </si>
  <si>
    <t>MORENO SEGURA, MARIA DOLORES</t>
  </si>
  <si>
    <t>22978470K</t>
  </si>
  <si>
    <t>+34 744630778</t>
  </si>
  <si>
    <t>stepeloinfo@gmail.com</t>
  </si>
  <si>
    <t>DISTRIBUCIONES UNIVERSO KAPILAR UNI-K S.L.</t>
  </si>
  <si>
    <t>B38750287</t>
  </si>
  <si>
    <t>STA. CRUZ DE TENERIFE</t>
  </si>
  <si>
    <t>+34 922645494</t>
  </si>
  <si>
    <t>info@uni-k.es</t>
  </si>
  <si>
    <t>KINESSENCES / TRATAMIENTOS TÉCNICOS</t>
  </si>
  <si>
    <t>KINACTIF (Nº0 TECHNICAL) DEEP CARE BASE</t>
  </si>
  <si>
    <t>KINACTIF (Nº1 NUTRITION) DAILY MOISTURIZING SHAMPOO</t>
  </si>
  <si>
    <t>KINACTIF (Nº1 NUTRITION) RICH NOURISHING SHAMPOO</t>
  </si>
  <si>
    <t>KINACTIF (Nº1 NUTRITION) NOURISHING 2-IN-1 MASK</t>
  </si>
  <si>
    <t>KINACTIF (Nº1 NUTRITION) INTENSIVE NOURISHING SHOT</t>
  </si>
  <si>
    <t>KINACTIF (Nº2 REPAIR) RICH RECONSTRUCTING SHAMPOO</t>
  </si>
  <si>
    <t>KINACTIF (Nº2 REPAIR) RECONSTRUCTING 2-IN-1 MASK</t>
  </si>
  <si>
    <t>KINACTIF (Nº2 REPAIR) INTENSIVE RECONSTRUCTING SHOT</t>
  </si>
  <si>
    <t>KINACTIF (Nº3 VOLUME) MILD EXPANDING SHAMPOO</t>
  </si>
  <si>
    <t>KINESSENCES COLOR / COMPLEMENTOS COLORACIÓN</t>
  </si>
  <si>
    <t>KINACTIF (Nª1 NUTRITION) MOISTURIZING CONDITIONING SPRAY</t>
  </si>
  <si>
    <t>KINACTIF (Nª1 NUTRITION) NOURISHING MELTING EXTRACT</t>
  </si>
  <si>
    <t>KINACTIF (Nº2 REPAIR) RECONSTRUCTING MELTING EXTRACT</t>
  </si>
  <si>
    <t>KINACTIF (Nº3 VOLUME) EXPANDING 2-IN-1 MASK</t>
  </si>
  <si>
    <t>KINACTIF (Nº3 VOLUME) EXPANDING ROOT FOAM</t>
  </si>
  <si>
    <t>KINESSENCES / TRATAMIENTOS</t>
  </si>
  <si>
    <t>KINESSENCES COLOR / COLORACIÓN</t>
  </si>
  <si>
    <t>KINESSENCES NOURISH HAND CREAM</t>
  </si>
  <si>
    <t>KINWORKS SHAPING WET</t>
  </si>
  <si>
    <t>KINESSENCES COLOR 6.76</t>
  </si>
  <si>
    <t>KINESSENCES COLOR 10.21</t>
  </si>
  <si>
    <t>KINESSENCES COLOR 7.19</t>
  </si>
  <si>
    <t>KINESSENCES COLOR 5.19</t>
  </si>
  <si>
    <t>KINESSENCES COLOR 10.13</t>
  </si>
  <si>
    <t>KINESSENCES COLOR 9.13</t>
  </si>
  <si>
    <t>KINESSENCES COLOR 7.13</t>
  </si>
  <si>
    <t>KINESSENCES COLOR 10.12</t>
  </si>
  <si>
    <t>KINESSENCES COLOR 9.12</t>
  </si>
  <si>
    <t>KINESSENCES COLOR 7.12</t>
  </si>
  <si>
    <t>KINESSENCES COLOR 6.12</t>
  </si>
  <si>
    <t>KINESSENCES COLOR 5.1</t>
  </si>
  <si>
    <t xml:space="preserve">KINPERM SHAPING LOTION Nº 0 </t>
  </si>
  <si>
    <t xml:space="preserve">KINPERM SHAPING LOTION Nº 1 </t>
  </si>
  <si>
    <t>CARTA EARTH NUDES COLLECTION BY KINCREM PRESTIGE</t>
  </si>
  <si>
    <t>DISPLAY DOBLE ALA EARTH NUDES COLLECTION BY KINCREM PRESTIGE</t>
  </si>
  <si>
    <t>KINESSENCES COLOR QUICK COLOR GUIDE</t>
  </si>
  <si>
    <t>FOLLETO KINESSENCES DETOX RETAIL</t>
  </si>
  <si>
    <t>FOLDER TÉCNICO KINESSENCES RESTORE</t>
  </si>
  <si>
    <t>FOLLETO MINI KINESSENCES RESTORE</t>
  </si>
  <si>
    <t>DIPTICO KINESSENCES RESTORE RETAIL</t>
  </si>
  <si>
    <t>CARTA RUST COLLECTION BY KINESSENCES COLOR</t>
  </si>
  <si>
    <t>FOLDER TÉCNICO RUST COLLECTION</t>
  </si>
  <si>
    <t>DISPLAY DOBLE ALA RUST COLLECTION BY KINESSENCES COLOR</t>
  </si>
  <si>
    <t>SCRUNCHIE KIN WE LOVE HAIR MARRÓN (*)</t>
  </si>
  <si>
    <t>SCRUNCHIE KIN WE LOVE HAIR ROSA (*)</t>
  </si>
  <si>
    <t>SCRUNCHIE KIN WE LOVE HAIR AZUL (*)</t>
  </si>
  <si>
    <t>CAPA DE CORTE KIN NEGRA</t>
  </si>
  <si>
    <t>KINMEN HAIR FIBER PASTE</t>
  </si>
  <si>
    <t>KINSTYLE FIBER PASTE</t>
  </si>
  <si>
    <t>SUBTOTAL OUTLET (acumula para Material Marketing Outlet)</t>
  </si>
  <si>
    <t>MATERIAL MARKETING OUTLET</t>
  </si>
  <si>
    <t>PRODUCTO OUTLET</t>
  </si>
  <si>
    <t>Precios netos (no aplican descuentos). Todos los artículos son hasta fin de existencias</t>
  </si>
  <si>
    <t>EARTH NUDES COLLECTION BY KINCREM PRESTIGE / COLORACIÓN</t>
  </si>
  <si>
    <t>SUBTOTAL MATERIAL MARKETING OUTLET</t>
  </si>
  <si>
    <t>SUBTOTAL PRODUCTO OUTLET</t>
  </si>
  <si>
    <t>300 ml + 200 ml + 30 ml</t>
  </si>
  <si>
    <t>300 ml + 200 ml + 50 ml</t>
  </si>
  <si>
    <t>300 ml + 200 ml + 150 ml</t>
  </si>
  <si>
    <t>KINGLOSS COLOR / COLORACIÓN</t>
  </si>
  <si>
    <t>KINGLOSS COLOR / COMPLEMENTOS COLORACIÓN</t>
  </si>
  <si>
    <t>CARTA COLOR KINGLOSS COLOR</t>
  </si>
  <si>
    <t>94,5 x 64 cm</t>
  </si>
  <si>
    <t>14,5 x 29 cm</t>
  </si>
  <si>
    <t>20 x 22 x 11cm</t>
  </si>
  <si>
    <t>35,6 x 16,2 cm</t>
  </si>
  <si>
    <t>KINGLOSS COLOR 03.0</t>
  </si>
  <si>
    <t>KINGLOSS COLOR 05.0</t>
  </si>
  <si>
    <t>KINGLOSS COLOR 07.0</t>
  </si>
  <si>
    <t>KINGLOSS COLOR 06.1</t>
  </si>
  <si>
    <t>KINGLOSS COLOR 08.1</t>
  </si>
  <si>
    <t>KINGLOSS COLOR 07.11</t>
  </si>
  <si>
    <t>KINGLOSS COLOR 09.12</t>
  </si>
  <si>
    <t>KINGLOSS COLOR 08.13</t>
  </si>
  <si>
    <t>KINGLOSS COLOR 09.19</t>
  </si>
  <si>
    <t>KINGLOSS COLOR 09.2</t>
  </si>
  <si>
    <t>KINGLOSS COLOR 09.32</t>
  </si>
  <si>
    <t>KINGLOSS COLOR  09.37</t>
  </si>
  <si>
    <t>KINGLOSS COLOR 07.44</t>
  </si>
  <si>
    <t>KINGLOSS COLOR 07.50</t>
  </si>
  <si>
    <t>KINGLOSS COLOR 05.51</t>
  </si>
  <si>
    <t>KINGLOSS COLOR 06.54</t>
  </si>
  <si>
    <t>KINGLOSS COLOR 06.66</t>
  </si>
  <si>
    <t>KINGLOSS COLOR 05.77</t>
  </si>
  <si>
    <t>KINGLOSS COLOR CL00</t>
  </si>
  <si>
    <t>BRUSH &amp; BOTTLE ACTIVE DEVELOPER 5 VOL.</t>
  </si>
  <si>
    <t>BOTELLA APLICADORA COLOR KIN</t>
  </si>
  <si>
    <t>30 x 11 x 32,5 cm</t>
  </si>
  <si>
    <t>24 x 10 x 30 cm</t>
  </si>
  <si>
    <t>KINACTIF (Nº5 BLONDE) ANTI-BRASS BLONDE SHAMPOO</t>
  </si>
  <si>
    <t>KINACTIF (Nº5 BLONDE) ANTI-BRASS BLONDE MASK</t>
  </si>
  <si>
    <t>KINACTIF (Nº6 SUNCARE) AFTERSUN SHAMPOO &amp; SHOWER GEL</t>
  </si>
  <si>
    <t>KINACTIF (Nº6 SUNCARE) AFTERSUN 2-IN-1 MASK</t>
  </si>
  <si>
    <t>KINACTIF (Nº6 SUNCARE) SUN PROTECTIVE MILK</t>
  </si>
  <si>
    <t>FOLLETO CONSUMIDOR KINACTIF Nº2 REPAIR</t>
  </si>
  <si>
    <t>FOLLETO CONSUMIDOR KINACTIF Nº3 VOLUME</t>
  </si>
  <si>
    <t>FOLLETO CONSUMIDOR KINACTIF Nº5 BLONDE</t>
  </si>
  <si>
    <t>FOLLETO CONSUMIDOR KINACTIF Nº6 SUNCARE</t>
  </si>
  <si>
    <t>MINI TALLA KINACTIF ANTI-BRASS BLONDE SHAMPOO</t>
  </si>
  <si>
    <t>MATERIAL PROMOCIONAL / ELÉCTRICOS</t>
  </si>
  <si>
    <t>CAPAS DESECHABLES KIN WE LOVE HAIR</t>
  </si>
  <si>
    <t>Todos los artículos son hasta fin de existencias.</t>
  </si>
  <si>
    <t>MINI TALLA KINACTIF DAILY MOISTURIZING SHAMPOO</t>
  </si>
  <si>
    <t>PACK SACHETS KINESSENCES ANTIOX GENTLE SHAMPOO</t>
  </si>
  <si>
    <t>PACK SACHETS KINESSENCES RESTORE GENTLE SHAMPOO</t>
  </si>
  <si>
    <t>PACK SACHETS KINESSENCES ANTIOX INTENSE MASK</t>
  </si>
  <si>
    <t>MINI TALLA KINACTIF RICH NOURISHING SHAMPOO</t>
  </si>
  <si>
    <t>KINACTIF (Nº4 COLOR) COLOR PROTECTING MELTING EXTRACT</t>
  </si>
  <si>
    <t>08923</t>
  </si>
  <si>
    <t>18210</t>
  </si>
  <si>
    <t>14910</t>
  </si>
  <si>
    <t>33212</t>
  </si>
  <si>
    <t>08750</t>
  </si>
  <si>
    <t>02006</t>
  </si>
  <si>
    <t>08026</t>
  </si>
  <si>
    <t>08740</t>
  </si>
  <si>
    <t>08013</t>
  </si>
  <si>
    <t>48860</t>
  </si>
  <si>
    <t>07800</t>
  </si>
  <si>
    <t>08302</t>
  </si>
  <si>
    <t>08913</t>
  </si>
  <si>
    <t>37184</t>
  </si>
  <si>
    <t>08490</t>
  </si>
  <si>
    <t>08400</t>
  </si>
  <si>
    <t>08140</t>
  </si>
  <si>
    <t>11300</t>
  </si>
  <si>
    <t>03206</t>
  </si>
  <si>
    <t>08120</t>
  </si>
  <si>
    <t>08224</t>
  </si>
  <si>
    <t>08100</t>
  </si>
  <si>
    <t>08830</t>
  </si>
  <si>
    <t>08503</t>
  </si>
  <si>
    <t>32003</t>
  </si>
  <si>
    <t>08950</t>
  </si>
  <si>
    <t>07702</t>
  </si>
  <si>
    <t>17600</t>
  </si>
  <si>
    <t>08225</t>
  </si>
  <si>
    <t>13260</t>
  </si>
  <si>
    <t>47011</t>
  </si>
  <si>
    <t>08010</t>
  </si>
  <si>
    <t>08700</t>
  </si>
  <si>
    <t>08150</t>
  </si>
  <si>
    <t>08210</t>
  </si>
  <si>
    <t>08370</t>
  </si>
  <si>
    <t>17190</t>
  </si>
  <si>
    <t>08290</t>
  </si>
  <si>
    <t>08530</t>
  </si>
  <si>
    <t>08820</t>
  </si>
  <si>
    <t>08760</t>
  </si>
  <si>
    <t>08840</t>
  </si>
  <si>
    <t>21610</t>
  </si>
  <si>
    <t>08940</t>
  </si>
  <si>
    <t>08758</t>
  </si>
  <si>
    <t>08870</t>
  </si>
  <si>
    <t>08380</t>
  </si>
  <si>
    <t>08800</t>
  </si>
  <si>
    <t>08720</t>
  </si>
  <si>
    <t>08521</t>
  </si>
  <si>
    <t>08470</t>
  </si>
  <si>
    <t>09200</t>
  </si>
  <si>
    <t>30399</t>
  </si>
  <si>
    <t>08859</t>
  </si>
  <si>
    <t>08001</t>
  </si>
  <si>
    <t>03500</t>
  </si>
  <si>
    <t>03570</t>
  </si>
  <si>
    <t>17100</t>
  </si>
  <si>
    <t>08208</t>
  </si>
  <si>
    <t>08025</t>
  </si>
  <si>
    <t>DATOS ENVÍO</t>
  </si>
  <si>
    <t>DIRECCIÓN 2</t>
  </si>
  <si>
    <t>08207</t>
  </si>
  <si>
    <t>FORMA DE PAGO</t>
  </si>
  <si>
    <t>RECIBO BANCARIO</t>
  </si>
  <si>
    <t>TÉRMINO DE PAGO</t>
  </si>
  <si>
    <t>CÓDIGO F.P.</t>
  </si>
  <si>
    <t>CÓDIGO T.P.</t>
  </si>
  <si>
    <t>DESCRIPCIÓN T.P.</t>
  </si>
  <si>
    <t>30 DÍAS</t>
  </si>
  <si>
    <t>30-60 DÍAS</t>
  </si>
  <si>
    <t>CARTA COLOR KINESSENCES COLOR VEGAN - 69 TONOS</t>
  </si>
  <si>
    <r>
      <t>PACK SACHETS KINESSENCES RESTORE INTENSE MASK</t>
    </r>
    <r>
      <rPr>
        <b/>
        <sz val="12"/>
        <color rgb="FFFF0000"/>
        <rFont val="Century Gothic"/>
        <family val="2"/>
      </rPr>
      <t xml:space="preserve"> - Temporalmente sin stock</t>
    </r>
  </si>
  <si>
    <r>
      <t>PACK SACHETS KINESSENCES RESTORE OVERNIGHT INFUSION</t>
    </r>
    <r>
      <rPr>
        <b/>
        <sz val="12"/>
        <color rgb="FFFF0000"/>
        <rFont val="Century Gothic"/>
        <family val="2"/>
      </rPr>
      <t xml:space="preserve"> - Temporalmente sin stock</t>
    </r>
  </si>
  <si>
    <t>MINI TALLA KINACTIF COLOR PROTECTING SHAMPOO</t>
  </si>
  <si>
    <t>FOLLETO CONSUMIDOR KINACTIF Nº4 COLOR</t>
  </si>
  <si>
    <t>Dto.</t>
  </si>
  <si>
    <t>DTO. MAT. MKT</t>
  </si>
  <si>
    <t>KINACTIF (Nº4 COLOR) COLOR PROTECTING SHAMPOO</t>
  </si>
  <si>
    <t>KINACTIF (Nº4 COLOR) COLOR PROTECTING 2-IN-1 MASK</t>
  </si>
  <si>
    <t>KINESSENCES COLOR LILAC</t>
  </si>
  <si>
    <t>PACK SACHETS KINESSENCES NOURISH INTENSE MASK</t>
  </si>
  <si>
    <t>PACK SACHETS KINESSENCES ANTIOX SMOOTHIE</t>
  </si>
  <si>
    <t>PACK KINESSENCES NOURISH OIL (*)</t>
  </si>
  <si>
    <t>PACK KINESSENCES NOURISH OIL CREAM (*)</t>
  </si>
  <si>
    <t>PACK KINESSENCES ANTIOX NECTAR (*)</t>
  </si>
  <si>
    <t>PACK KINESSENCES ANTIOX SMOOTHIE (*)</t>
  </si>
  <si>
    <t>PACK KINESSENCES RESTORE OVERNIGHT INFUSION (*)</t>
  </si>
  <si>
    <t>CARTA COLOR KINCREM COLOR - 120 TONOS</t>
  </si>
  <si>
    <t>QUICK COLOR GUIDE KINESSENCES COLOR VEGAN (*)</t>
  </si>
  <si>
    <t>DOOR STICKER KINGLOSS COLOR (*)</t>
  </si>
  <si>
    <t>DISPLAY KINGLOSS COLOR (*)</t>
  </si>
  <si>
    <t>GLORIFICADOR KINGLOSS COLOR (*)</t>
  </si>
  <si>
    <t>MENÚ SERVICIOS KINGLOSS COLOR</t>
  </si>
  <si>
    <t>VINILO CHICA KINACTIF (*)</t>
  </si>
  <si>
    <t>PACK SACHETS KINMEN HAIR WET GEL (*)</t>
  </si>
  <si>
    <t>BOLSA REVENTA KINESSENCES RESTORE</t>
  </si>
  <si>
    <t>8 ml</t>
  </si>
  <si>
    <t>SACHET CALM SHAMPOO</t>
  </si>
  <si>
    <t>KIT PRESENTACIÓN EARTH NUDES COLLECTION BY KINCREM PRESTIGE (prod. incl.)</t>
  </si>
  <si>
    <t>KIT PRESENTACIÓN RUST COLLECTION BY KINESSENCES COLOR (prod. incl.)</t>
  </si>
  <si>
    <t>KINESSENCES COLOR STEEL</t>
  </si>
  <si>
    <t>KINSMOOTH / FORMA</t>
  </si>
  <si>
    <t>KINSMOOTH HAIR LAMINATING PROFESSIONAL KIT</t>
  </si>
  <si>
    <t>pack</t>
  </si>
  <si>
    <t>17,8 x 30,5 x 6,3 cm</t>
  </si>
  <si>
    <t>KINACTIF (Nº7 CONTROL) CURL ENHANCING SHAMPOO</t>
  </si>
  <si>
    <t>KINACTIF (Nº7 CONTROL) CURL ENHANCING 2-IN-1 MASK</t>
  </si>
  <si>
    <t>FOLLETO CONSUMIDOR KINACTIF Nº7 CONTROL-RIZOS</t>
  </si>
  <si>
    <t>MINI TALLA KINACTIF CURL ENHANCING SHAMPOO</t>
  </si>
  <si>
    <t>FOLLETO CONSUMIDOR KINACTIF Nº1 NUTRITION</t>
  </si>
  <si>
    <t>MINI TALLA KINACTIF MILD EXPANDING SHAMPOO</t>
  </si>
  <si>
    <t>KINACTIF (Nº7 CONTROL) INTENSE SOFTENING SHAMPOO</t>
  </si>
  <si>
    <t>KINACTIF (Nº7 CONTROL) SOFTENING 2-IN-1 MASK</t>
  </si>
  <si>
    <t>KINACTIF (Nº7 CONTROL) SOFTENING MELTING EXTRACT</t>
  </si>
  <si>
    <t>KINACTIF (Nº7 CONTROL) INTENSIVE ANTI-FRIZZ SHOT</t>
  </si>
  <si>
    <t>FOLLETO CONSUMIDOR KINACTIF Nº7 CONTROL-LISOS</t>
  </si>
  <si>
    <t>MINI TALLA KINACTIF INTENSE SOFTENING SHAMPOO</t>
  </si>
  <si>
    <t>KINSMOOTH LAMINATING CREAM</t>
  </si>
  <si>
    <t>PACK SACHETS KINACTIF COLOR PROTECTING SHAMPOO</t>
  </si>
  <si>
    <t>PACK SACHETS KINACTIF COLOR PROTECTING 2-IN-1 MASK</t>
  </si>
  <si>
    <t>PACK SACHETS KINACTIF ANTI-BRASS BLONDE SHAMPOO</t>
  </si>
  <si>
    <t>PACK SACHETS KINACTIF ANTI-BRASS BLONDE MASK</t>
  </si>
  <si>
    <t>PACK SACHETS KINESSENCES NOURISH GENTLE SHAMPOO</t>
  </si>
  <si>
    <t>PACK SACHETS KINACTIF CURL ENHANCING 2-IN-1 MASK</t>
  </si>
  <si>
    <t>KINACTIF (Nº7 CONTROL) CURL ENHANCING LEAVE-IN</t>
  </si>
  <si>
    <t>10 x 6 ml</t>
  </si>
  <si>
    <t>DIPTICO KINACTIF FORCE RETAIL</t>
  </si>
  <si>
    <t>KINACTIF (Nº8 SCALP) ANTI-HAIR LOSS REVIT. SHAMPOO</t>
  </si>
  <si>
    <t>KINACTIF (Nº8 SCALP) ANTI-HAIR LOSS COMPLEXE TRICO-ACTIVE</t>
  </si>
  <si>
    <t>KINACTIF (Nº8 SCALP) ANTI-HAIR LOSS PACK (SHAMPOO + COMPLEXE TRICO-ACTIVE)</t>
  </si>
  <si>
    <t>300 ml + 10 x 6 ml</t>
  </si>
  <si>
    <t>KINACTIF FORCE COMPLEXE TRICO-ACTIVE (*)</t>
  </si>
  <si>
    <t>Nº</t>
  </si>
  <si>
    <t>Nombre</t>
  </si>
  <si>
    <t>Dirección</t>
  </si>
  <si>
    <t>Población</t>
  </si>
  <si>
    <t>Provincia</t>
  </si>
  <si>
    <t>Nº teléfono</t>
  </si>
  <si>
    <t>Correo electrónico</t>
  </si>
  <si>
    <t>Cód. vendedor</t>
  </si>
  <si>
    <t>Importe Contrato Técnico</t>
  </si>
  <si>
    <t>Grupo registro IVA neg.</t>
  </si>
  <si>
    <t>Cód. términos pago</t>
  </si>
  <si>
    <t>Cód. Ruta</t>
  </si>
  <si>
    <t>Cód. transportista</t>
  </si>
  <si>
    <t>distribucionescarobels@gmail.com</t>
  </si>
  <si>
    <t>4</t>
  </si>
  <si>
    <t>PRL-900-11</t>
  </si>
  <si>
    <t>26</t>
  </si>
  <si>
    <t>20018</t>
  </si>
  <si>
    <t>administracion@negredoprofesional.com; gerencia@negredoprofesional.com</t>
  </si>
  <si>
    <t>NOR-900-11</t>
  </si>
  <si>
    <t>22</t>
  </si>
  <si>
    <t>CL JUAN HERNÁNDEZ GONZÁLEZ,  2</t>
  </si>
  <si>
    <t>30565</t>
  </si>
  <si>
    <t>LAS TORRES DE COTILLAS</t>
  </si>
  <si>
    <t>+34 968620088</t>
  </si>
  <si>
    <t>rafael.martinez@comercialpujante.com</t>
  </si>
  <si>
    <t>SUR-900-11</t>
  </si>
  <si>
    <t>plopez@exclusivasladys.com; info@exclusivasladys.com</t>
  </si>
  <si>
    <t>1-2PP</t>
  </si>
  <si>
    <t>10</t>
  </si>
  <si>
    <t>CL MAYOR 27</t>
  </si>
  <si>
    <t>+34 600601739</t>
  </si>
  <si>
    <t>GRUP D'IMATGE JORDI, S.L.</t>
  </si>
  <si>
    <t>B17466483</t>
  </si>
  <si>
    <t>CL PAGES I MORATO 23</t>
  </si>
  <si>
    <t>17200</t>
  </si>
  <si>
    <t>PALAFRUGELL</t>
  </si>
  <si>
    <t>+34 972302662</t>
  </si>
  <si>
    <t>grupdimatgejordi@hotmail.com</t>
  </si>
  <si>
    <t>34002</t>
  </si>
  <si>
    <t>info@carols.es</t>
  </si>
  <si>
    <t>17250</t>
  </si>
  <si>
    <t>17001</t>
  </si>
  <si>
    <t>peluqueriajesuszalla@gmail.com</t>
  </si>
  <si>
    <t>13001</t>
  </si>
  <si>
    <t>CL MIGUEL VIADA 121</t>
  </si>
  <si>
    <t>37006</t>
  </si>
  <si>
    <t>chus@pierinocosmetics.com; DSANCHEZ@PIERINOCOSMETICS.COM</t>
  </si>
  <si>
    <t>CL AMADEU VIVES 21</t>
  </si>
  <si>
    <t>silvia.comercial.facturacion@gmail.com</t>
  </si>
  <si>
    <t>LABORDETA VALERO, YOLANDA</t>
  </si>
  <si>
    <t>25456298J</t>
  </si>
  <si>
    <t>CL PEDRO I DE ARAGON 2 LOCAL</t>
  </si>
  <si>
    <t>22003</t>
  </si>
  <si>
    <t>HUESCA</t>
  </si>
  <si>
    <t>+34 974225802</t>
  </si>
  <si>
    <t>tysos-huesca@hotmail.com</t>
  </si>
  <si>
    <t>+34 645374485</t>
  </si>
  <si>
    <t>26005</t>
  </si>
  <si>
    <t>dav.exp@hotmail.com</t>
  </si>
  <si>
    <t>3</t>
  </si>
  <si>
    <t>20</t>
  </si>
  <si>
    <t>carles@casalsdistribucions.cat; info@casalsdistribucions.cat</t>
  </si>
  <si>
    <t>CL INFANTA 7</t>
  </si>
  <si>
    <t>CRTA. GENERAL DEL SUR KM. 6,5</t>
  </si>
  <si>
    <t>38107</t>
  </si>
  <si>
    <t>SANTA CRUZ DE TENERIFE</t>
  </si>
  <si>
    <t>5</t>
  </si>
  <si>
    <t>45500</t>
  </si>
  <si>
    <t>35004</t>
  </si>
  <si>
    <t>andres@distribucionesadosa.com; adosa@distribucionesadosa.com</t>
  </si>
  <si>
    <t>14</t>
  </si>
  <si>
    <t>43812</t>
  </si>
  <si>
    <t>+34 603592464</t>
  </si>
  <si>
    <t>csolemelendez@gmail.com</t>
  </si>
  <si>
    <t>28806</t>
  </si>
  <si>
    <t>AV. RAMON Y CAJAL 48</t>
  </si>
  <si>
    <t>43001</t>
  </si>
  <si>
    <t>17300</t>
  </si>
  <si>
    <t>51</t>
  </si>
  <si>
    <t>merche.valles.ribas@gmail.com</t>
  </si>
  <si>
    <t>21</t>
  </si>
  <si>
    <t>juantofanny@hotmail.com</t>
  </si>
  <si>
    <t>LA GARRIGA BARCELONA</t>
  </si>
  <si>
    <t>+34 933700246</t>
  </si>
  <si>
    <t>EQUIPO AMAVAL, SL</t>
  </si>
  <si>
    <t>11407</t>
  </si>
  <si>
    <t>raul.montes.alvarez@hotmail.com; centrodeesteticayaneli@hotmail.com</t>
  </si>
  <si>
    <t>galacosmetica@hotmail.com</t>
  </si>
  <si>
    <t>oscar.os@hotmail.com</t>
  </si>
  <si>
    <t>43850</t>
  </si>
  <si>
    <t>santiproductes@hotmail.es</t>
  </si>
  <si>
    <t>CL PROVENÇA 9</t>
  </si>
  <si>
    <t>RAMBLA DEL CAGANELL 32C</t>
  </si>
  <si>
    <t>08184</t>
  </si>
  <si>
    <t>PALAU DE PLEGAMANS</t>
  </si>
  <si>
    <t>CL MONACO 16</t>
  </si>
  <si>
    <t>VISTA ALEGRE/CARTAGENA</t>
  </si>
  <si>
    <t>36600</t>
  </si>
  <si>
    <t>mameramosquera@gmail.com</t>
  </si>
  <si>
    <t>28031</t>
  </si>
  <si>
    <t>37185</t>
  </si>
  <si>
    <t>VILLAMAYOR SALAMANCA</t>
  </si>
  <si>
    <t>info@kaoba.cat</t>
  </si>
  <si>
    <t>43202</t>
  </si>
  <si>
    <t>E09684846</t>
  </si>
  <si>
    <t>PLAZA JONQUERES 11, 8B</t>
  </si>
  <si>
    <t>monesfiloses@hotmail.com; sara.lopez.bataller@gmail.com</t>
  </si>
  <si>
    <t>AV. CAMI REIAL 31</t>
  </si>
  <si>
    <t>JORDI.DUQUE@HOTMAIL.COM; ADMINISTRACION@KAPYLOOK.COM</t>
  </si>
  <si>
    <t>15008</t>
  </si>
  <si>
    <t>LOLBERT TRADE, S.L.</t>
  </si>
  <si>
    <t>B66705443</t>
  </si>
  <si>
    <t>CL VALENCIA 458, BJS</t>
  </si>
  <si>
    <t>+34 934910081</t>
  </si>
  <si>
    <t>perfumeriaeven@gmail.com</t>
  </si>
  <si>
    <t>1904</t>
  </si>
  <si>
    <t>BELLAGAMA, S.C.P.</t>
  </si>
  <si>
    <t>J13840327</t>
  </si>
  <si>
    <t>CR LLEIDA 12 BX PORTA 2</t>
  </si>
  <si>
    <t>+34 667021102</t>
  </si>
  <si>
    <t>gamadebelleza@gmail.com</t>
  </si>
  <si>
    <t>LARA AGUILERA, FRANCISCO</t>
  </si>
  <si>
    <t>25352918H</t>
  </si>
  <si>
    <t>PLAZA ANDALUCÍA 5</t>
  </si>
  <si>
    <t>+34 616314621</t>
  </si>
  <si>
    <t>DislapeFla@hotmail.com</t>
  </si>
  <si>
    <t>PEREZ NOGUES, JESSICA</t>
  </si>
  <si>
    <t>45788260K</t>
  </si>
  <si>
    <t>CL LLIBERTAT 5 LOCAL 2</t>
  </si>
  <si>
    <t>08860</t>
  </si>
  <si>
    <t>CASTELLDEFELS</t>
  </si>
  <si>
    <t>+34 636306958</t>
  </si>
  <si>
    <t>jessicapereznogues@outlook.es</t>
  </si>
  <si>
    <t>VIDAL LOPEZ, PEDRO</t>
  </si>
  <si>
    <t>52556522G</t>
  </si>
  <si>
    <t>CL FRAY LUIS DE BOLAÑOS 48</t>
  </si>
  <si>
    <t>+34 600797742</t>
  </si>
  <si>
    <t>GIRONA COSMETICS, SLP</t>
  </si>
  <si>
    <t>B16391062</t>
  </si>
  <si>
    <t>RONDA FERRAN PUIG 23, LOCAL</t>
  </si>
  <si>
    <t>+34 607157640</t>
  </si>
  <si>
    <t>GIRONACOSMETICS@GMAIL.COM</t>
  </si>
  <si>
    <t>ES</t>
  </si>
  <si>
    <t>JORDI COLOMINAS BORRULL</t>
  </si>
  <si>
    <t>NOEL BLANCO CURSA</t>
  </si>
  <si>
    <t>TAPA MASK 900 ML KINACTIF / KINESSENCES</t>
  </si>
  <si>
    <t>VÁLVULA MASK 900 ML KINACTIF / KINESSENCES</t>
  </si>
  <si>
    <t>BOLSA REVENTA KIN #MADEINCOSTABRAVA PAPEL BE GREEN</t>
  </si>
  <si>
    <t>KINBLOND 9 ADVANCED LIGHTENING POWDER</t>
  </si>
  <si>
    <t>KINBLOND 8 FLEXIBLE LIGHTENING POWDER</t>
  </si>
  <si>
    <t>KINBLOND ACTIVE PROTECTIVE OXIDANT</t>
  </si>
  <si>
    <t>PACK SACHETS KINBLOND 9 ADVENCED LIGHTENING POWDER</t>
  </si>
  <si>
    <t>10 x 50 gr</t>
  </si>
  <si>
    <t>PACK SACHETS KINBLOND 8 FLEXIBLE LIGHTENING POWDER</t>
  </si>
  <si>
    <t xml:space="preserve">KINSTYLE X-TREM ECO SPRAY           </t>
  </si>
  <si>
    <t>21 x 15 x 30 cm</t>
  </si>
  <si>
    <t>FOLDER TÉCNICO KINBLOND</t>
  </si>
  <si>
    <t>MENÚ SERVICIOS KINBLOND</t>
  </si>
  <si>
    <t>TAPÓN DOSIFICADOR NEGRO OXIDANTES / DEVELOPERS 1.000 ML</t>
  </si>
  <si>
    <t>PEINE MECHAS KIN BABYLIGHTS</t>
  </si>
  <si>
    <t>CATÁLOGO PRODUCT PORTFOLIO (Edición Marzo 2025)</t>
  </si>
  <si>
    <r>
      <t xml:space="preserve">KINCREM COLOR 7.521 </t>
    </r>
    <r>
      <rPr>
        <b/>
        <sz val="12"/>
        <color rgb="FF996633"/>
        <rFont val="Century Gothic"/>
        <family val="2"/>
      </rPr>
      <t>- MOCHA MOUSSE COLLECTION</t>
    </r>
  </si>
  <si>
    <r>
      <t xml:space="preserve">KINCREM COLOR 5.521 </t>
    </r>
    <r>
      <rPr>
        <b/>
        <sz val="12"/>
        <color rgb="FF996633"/>
        <rFont val="Century Gothic"/>
        <family val="2"/>
      </rPr>
      <t>- MOCHA MOUSSE COLLECTION</t>
    </r>
  </si>
  <si>
    <r>
      <t xml:space="preserve">KINCREM COLOR 8.521 </t>
    </r>
    <r>
      <rPr>
        <b/>
        <sz val="12"/>
        <color rgb="FF996633"/>
        <rFont val="Century Gothic"/>
        <family val="2"/>
      </rPr>
      <t>- MOCHA MOUSSE COLLECTION</t>
    </r>
  </si>
  <si>
    <t>KINACTIF (Nº8 SCALP) ANTI-DANDRUFF PURIFYING SHAMPOO</t>
  </si>
  <si>
    <t>KINACTIF (Nº8 SCALP) OIL CONTROL BALANCING SHAMPOO</t>
  </si>
  <si>
    <t>KINACTIF (Nº8 SCALP) DAILY SOOTHING SHAMPOO</t>
  </si>
  <si>
    <t>KINACTIF (Nº8 SCALP) OIL CONTROL BALANCING CLAY</t>
  </si>
  <si>
    <t xml:space="preserve">KINACTIF (Nº8 SCALP) SOS SOOTHING SERUM </t>
  </si>
  <si>
    <t>KINACTIF (Nº8 SCALP) MULTIVITAMIN SCALP SERUM</t>
  </si>
  <si>
    <t>KINACTIF (Nº8 SCALP) ANTI-DANDRUFF PURIFYING SCRUB</t>
  </si>
  <si>
    <t>ESPATULA TRATAMIENTOS KIN</t>
  </si>
  <si>
    <t>CEPILLO MASAJEADOR DE CUERO CABELLUDO KIN</t>
  </si>
  <si>
    <t>FOLDER TÉCNICO KINACTIF</t>
  </si>
  <si>
    <t>MENÚ SERVICIOS KINACTIF Nº8 SCALP</t>
  </si>
  <si>
    <t>3 x 15 ml</t>
  </si>
  <si>
    <t xml:space="preserve">DIPTICO CONSUMIDOR KINACTIF Nº8 SCALP ANTI-HAIR LOSS </t>
  </si>
  <si>
    <t xml:space="preserve">DIPTICO CONSUMIDOR KINACTIF Nº8 SCALP ANTI-DANDRUFF </t>
  </si>
  <si>
    <t xml:space="preserve">DIPTICO CONSUMIDOR KINACTIF Nº8 SCALP OIL CONTROL </t>
  </si>
  <si>
    <t xml:space="preserve">DIPTICO CONSUMIDOR KINACTIF Nº8 SCALP COMFORT </t>
  </si>
  <si>
    <t>PACK SACHETS KINESSENCES NOURISH OIL CREAM</t>
  </si>
  <si>
    <t>300 ml + 200 ml + 200 ml</t>
  </si>
  <si>
    <t>HAUTE ESSENTIAL HAIRSPRAY</t>
  </si>
  <si>
    <t>HAUTE EXTREME HAIRSPRAY</t>
  </si>
  <si>
    <t>HAUTE EXTREME MOUSSE</t>
  </si>
  <si>
    <t>HAUTE RADICAL VOLUME</t>
  </si>
  <si>
    <t>HAUTE SEA SALT MIST</t>
  </si>
  <si>
    <t>MINI TALLA KINACTIF RICH RECONSTRUCTING SHAMPOO</t>
  </si>
  <si>
    <t>FOLDER TÉCNICO KINESSENCES CARE</t>
  </si>
  <si>
    <t>HAUTE DRY SHAMPOO &amp; VOLUME POWDER</t>
  </si>
  <si>
    <t>QUICK COLOR GUIDE KINCREM COLOR (*)</t>
  </si>
  <si>
    <t>FOLDER TÉCNICO MOCHA MOUSSE COLLECTION by KINCREM COLOR (*)</t>
  </si>
  <si>
    <t>VINILO CHICA KINESSENCES COLOR (*)</t>
  </si>
  <si>
    <t>FOLDER TÉCNICO KINMASTER</t>
  </si>
  <si>
    <t>DISPLAY SOBREMESA KINSMOOTH MECHAS (*)</t>
  </si>
  <si>
    <t>BANNER TEXTIL KINBLOND (*)</t>
  </si>
  <si>
    <t>PÓSTER BIENVENIDX A NUESTRO UNIVERSO BEAUTY (para glorificador metacrilato) (*)</t>
  </si>
  <si>
    <t>PÓSTER KINACTIF Nº8 SCALP (para glorificador metacrilato) (*)</t>
  </si>
  <si>
    <t>PÓSTER KINBLOND (para glorificador metacrilato) (*)</t>
  </si>
  <si>
    <t>EXPOSITOR SOBREMESA KINESSECES (*)</t>
  </si>
  <si>
    <t>EXPOSITOR KIN PIE MODELO 1 - IMAGEN KINCREM COLOR (*)</t>
  </si>
  <si>
    <t>EXPOSITOR KIN PIE MODELO 2 - IMAGEN KINESSENCES (*)</t>
  </si>
  <si>
    <t>EXPOSITOR SOBREMESA KINMEN (*)</t>
  </si>
  <si>
    <t>PAREO BEIGE KIN MADE IN COSTA BRAVA (*)</t>
  </si>
  <si>
    <t>100 x 180 cm</t>
  </si>
  <si>
    <t>MINI TALLA KINACTIF AFTERSUN SHAMPOO &amp; SHOWER GEL (*)</t>
  </si>
  <si>
    <t>MINI TALLA KINACTIF AFTERSUN 2-IN-1 MASK (*)</t>
  </si>
  <si>
    <t>MINI TALLA KINACTIF SUN PROTECTIVE MILK (*)</t>
  </si>
  <si>
    <t>MINI TALLA KINACTIF RECONSTRUCTING 2-IN-1 MASK (*)</t>
  </si>
  <si>
    <t>CAJA MINITALLAS KIN WE LOVE HAIR</t>
  </si>
  <si>
    <t>14 x 5,3 x 8,6 cm</t>
  </si>
  <si>
    <t>CAJA PACK RETAIL KINESSENCES CARE (*)</t>
  </si>
  <si>
    <t>15 x 24 x 10,5 cm</t>
  </si>
  <si>
    <t>DISPLAY MINI SOBREMESA KINACTIF (*)</t>
  </si>
  <si>
    <t>EXPOSITOR SOBREMESA KINACTIF (*)</t>
  </si>
  <si>
    <t>KINACTIF (Nº1 NUTRITION) MOISTURIZING PACK (SHAMPOO + MASK + M. SPRAY)</t>
  </si>
  <si>
    <t>KINACTIF (Nº1 NUTRITION) NOURISHING PACK (SHAMPOO + MASK + M. EXTRACT)</t>
  </si>
  <si>
    <t>KINACTIF (Nº2 REPAIR) PACK (SHAMPOO + MASK + M. EXTRACT)</t>
  </si>
  <si>
    <t>KINACTIF (Nº7 CONTROL) CURL PACK (SHAMPOO + MASK + LEAVE-IN)</t>
  </si>
  <si>
    <t>KINACTIF (Nº7 CONTROL) STRAIGHT PACK (SHAMPOO + MASK + M. EXTRACT)</t>
  </si>
  <si>
    <t>KINACTIF (Nº3 VOLUME) PACK (SHAMPOO + MASK + R. FOAM)</t>
  </si>
  <si>
    <t>KINACTIF (Nº4 COLOR) PACK (SHAMPOO + MASK + M. EXTRACT)</t>
  </si>
  <si>
    <t>VÁLVULA SHAMPOO 1.000 ML KINESSENCES CARE</t>
  </si>
  <si>
    <t xml:space="preserve">VÁLVULA SHAMPOO 1.000 ML KINACTIF </t>
  </si>
  <si>
    <t>BOL COLORACIÓN KIN NEGRO</t>
  </si>
  <si>
    <t xml:space="preserve">PALETINA COLOR KIN NEGRA - TALLA M </t>
  </si>
  <si>
    <t>BOL TRATAMIENTOS KIN BLANCO</t>
  </si>
  <si>
    <t>PALETINA TRATAMIENTOS KIN BLANCA</t>
  </si>
  <si>
    <t>FOLDER TÉCNICO KINSMOOTH (*)</t>
  </si>
  <si>
    <t>KINBOX KIN WE LOVE HAIR (*)</t>
  </si>
  <si>
    <t>PLANCHA PROFESIONAL KIN LATTE EDITION</t>
  </si>
  <si>
    <t>PACK SACHETS KINACTIF RECONSTRUCTING MELTING EXTRACT</t>
  </si>
  <si>
    <t xml:space="preserve">PACK SACHETS KINACTIF NOURISHING MELTING EXTRACT </t>
  </si>
  <si>
    <t>MINI CEPILLO KIN ROSA (*)</t>
  </si>
  <si>
    <t>MINI CEPILLO KIN LILA (*)</t>
  </si>
  <si>
    <t>15 x 6 x 3 cm</t>
  </si>
  <si>
    <t xml:space="preserve">GLORIFICADOR METACRILATO KIN </t>
  </si>
  <si>
    <t>FOLDER TÉCNICO KINMEN (*)</t>
  </si>
  <si>
    <t>FOLLETO KINMEN RETAIL (*)</t>
  </si>
  <si>
    <t xml:space="preserve">MINI TALLA KINACTIF NOURISHING MELTING EXTRACT </t>
  </si>
  <si>
    <t>MINI TALLA KINACTIF RECONSTRUCTING MELTING EXTRACT</t>
  </si>
  <si>
    <t>MINI TALLA KINACTIF COLOR PROTECTING MELTING EXTRACT</t>
  </si>
  <si>
    <t>MINI TALLA KINACTIF SOFTENING MELTING EXTRACT</t>
  </si>
  <si>
    <t>MINI TALLA KINACTIF CURL ENHANCING LEAVE-IN</t>
  </si>
  <si>
    <t>FOLDER TÉCNICO KINGLOSS COLOR</t>
  </si>
  <si>
    <t>DOOR STICKER KIN COSMÉTICA DE PROXIMIDAD</t>
  </si>
  <si>
    <t>KINCREM COLOR 3.00</t>
  </si>
  <si>
    <t>EDICIÓN FEBRERO 2026</t>
  </si>
  <si>
    <t>KINMASTER DEEP CLEANSING SHAMPOO (*)</t>
  </si>
  <si>
    <t>CANDY COLORS WHITE SUGAR (*)</t>
  </si>
  <si>
    <t>CANDY COLORS RED VELVET (*)</t>
  </si>
  <si>
    <t>CANDY COLORS BLUE GUMMY (*)</t>
  </si>
  <si>
    <t>CANDY COLORS YELLOW MELLOW (*)</t>
  </si>
  <si>
    <r>
      <t xml:space="preserve">CANDY COLORS PINK BUBBLEGUM </t>
    </r>
    <r>
      <rPr>
        <b/>
        <sz val="12"/>
        <color rgb="FFFF0000"/>
        <rFont val="Century Gothic"/>
        <family val="2"/>
      </rPr>
      <t>- Temporalmente sin stock</t>
    </r>
  </si>
  <si>
    <t>CANDY COLORS VIOLET CRUMBLE (*)</t>
  </si>
  <si>
    <t>CANDY COLORS SHAMPOO (*)</t>
  </si>
  <si>
    <t>HAUTE ESSENTIAL MOUSSE</t>
  </si>
  <si>
    <t>PALETINA COLOR KIN NEGRA - TALLA L</t>
  </si>
  <si>
    <t xml:space="preserve">EXPOSITOR PERMANENTE KIN - BLANCO Y ROBLE </t>
  </si>
  <si>
    <t>KINSMOOTH LAMINATING FOAM</t>
  </si>
  <si>
    <t>PACK 4 PINZAS SILICONA ROSA FRAMAR</t>
  </si>
  <si>
    <t>MINI TALLA KINACTIF MOISTURIZING CONDITIONING SPRAY</t>
  </si>
  <si>
    <t>TARIFA PVP 2026</t>
  </si>
  <si>
    <t>24 x 14,5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</si>
</sst>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_(* #,##0.00_);_(* \(#,##0.00\);_(* \-??_);_(@_)"/>
    <numFmt numFmtId="165" formatCode="_(\$* #,##0.00_);_(\$* \(#,##0.00\);_(\$* \-??_);_(@_)"/>
    <numFmt numFmtId="166" formatCode="_-\£* #,##0.00_-;&quot;-£&quot;* #,##0.00_-;_-\£* \-??_-;_-@_-"/>
    <numFmt numFmtId="167" formatCode="#,##0.00\ [$€-C0A];[Red]\-#,##0.00\ [$€-C0A]"/>
    <numFmt numFmtId="168" formatCode="_-* #,##0.00&quot; €&quot;_-;\-* #,##0.00&quot; €&quot;_-;_-* \-??&quot; €&quot;_-;_-@_-"/>
    <numFmt numFmtId="169" formatCode="#,##0.00\ &quot;€&quot;"/>
    <numFmt numFmtId="170" formatCode="_-* #,##0.00\ _€_-;\-* #,##0.00\ _€_-;_-* &quot;-&quot;??\ _€_-;_-@_-"/>
    <numFmt numFmtId="171" formatCode="0_ ;[Red]\-0\ "/>
    <numFmt numFmtId="172" formatCode="_-* #,##0.00\ [$€-C0A]_-;\-* #,##0.00\ [$€-C0A]_-;_-* &quot;-&quot;??\ [$€-C0A]_-;_-@_-"/>
  </numFmts>
  <fonts count="2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b/>
      <sz val="12"/>
      <name val="Century Gothic"/>
      <family val="2"/>
    </font>
    <font>
      <sz val="12"/>
      <color indexed="8"/>
      <name val="Calibri"/>
      <family val="2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 tint="0.14999847407452621"/>
      <name val="Century Gothic"/>
      <family val="2"/>
    </font>
    <font>
      <sz val="12"/>
      <color theme="1" tint="0.14999847407452621"/>
      <name val="Century Gothic"/>
      <family val="2"/>
    </font>
    <font>
      <b/>
      <sz val="12"/>
      <color theme="0"/>
      <name val="Century Gothic"/>
      <family val="2"/>
    </font>
    <font>
      <i/>
      <sz val="12"/>
      <color theme="1" tint="0.14999847407452621"/>
      <name val="Century Gothic"/>
      <family val="2"/>
    </font>
    <font>
      <b/>
      <sz val="14"/>
      <color theme="1" tint="0.14999847407452621"/>
      <name val="Century Gothic"/>
      <family val="2"/>
    </font>
    <font>
      <b/>
      <sz val="12"/>
      <color theme="9"/>
      <name val="Century Gothic"/>
      <family val="2"/>
    </font>
    <font>
      <b/>
      <i/>
      <sz val="12"/>
      <color theme="1" tint="0.14999847407452621"/>
      <name val="Century Gothic"/>
      <family val="2"/>
    </font>
    <font>
      <b/>
      <sz val="11"/>
      <color indexed="8"/>
      <name val="Calibri"/>
      <family val="2"/>
    </font>
    <font>
      <b/>
      <sz val="12"/>
      <color indexed="63"/>
      <name val="Calibri"/>
      <family val="2"/>
    </font>
    <font>
      <b/>
      <sz val="9.6"/>
      <color indexed="63"/>
      <name val="Century Gothic"/>
      <family val="2"/>
    </font>
    <font>
      <b/>
      <sz val="12"/>
      <color indexed="63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996633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3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26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8">
    <xf numFmtId="0" fontId="0" fillId="0" borderId="0"/>
    <xf numFmtId="164" fontId="5" fillId="0" borderId="0" applyFill="0" applyBorder="0" applyAlignment="0" applyProtection="0"/>
    <xf numFmtId="165" fontId="5" fillId="0" borderId="0" applyFill="0" applyBorder="0" applyAlignment="0" applyProtection="0"/>
    <xf numFmtId="0" fontId="10" fillId="4" borderId="16" applyNumberFormat="0" applyAlignment="0" applyProtection="0"/>
    <xf numFmtId="166" fontId="5" fillId="0" borderId="0" applyFill="0" applyBorder="0" applyAlignment="0" applyProtection="0"/>
    <xf numFmtId="0" fontId="4" fillId="0" borderId="0"/>
    <xf numFmtId="0" fontId="6" fillId="0" borderId="0" applyNumberFormat="0" applyFill="0" applyBorder="0" applyProtection="0">
      <alignment vertical="top" wrapText="1"/>
    </xf>
    <xf numFmtId="0" fontId="11" fillId="0" borderId="0"/>
    <xf numFmtId="9" fontId="5" fillId="0" borderId="0" applyFill="0" applyBorder="0" applyAlignment="0" applyProtection="0"/>
    <xf numFmtId="9" fontId="3" fillId="0" borderId="0" applyFill="0" applyBorder="0" applyAlignment="0" applyProtection="0"/>
    <xf numFmtId="9" fontId="4" fillId="0" borderId="0" applyFill="0" applyBorder="0" applyAlignment="0" applyProtection="0"/>
    <xf numFmtId="9" fontId="11" fillId="0" borderId="0" applyFont="0" applyFill="0" applyBorder="0" applyAlignment="0" applyProtection="0"/>
    <xf numFmtId="0" fontId="12" fillId="3" borderId="17" applyNumberFormat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</cellStyleXfs>
  <cellXfs count="409">
    <xf numFmtId="0" fontId="0" fillId="0" borderId="0" xfId="0"/>
    <xf numFmtId="1" fontId="13" fillId="5" borderId="1" xfId="0" applyNumberFormat="1" applyFont="1" applyFill="1" applyBorder="1" applyAlignment="1" applyProtection="1">
      <alignment horizontal="center" vertical="center"/>
      <protection locked="0"/>
    </xf>
    <xf numFmtId="1" fontId="13" fillId="6" borderId="1" xfId="0" applyNumberFormat="1" applyFont="1" applyFill="1" applyBorder="1" applyAlignment="1" applyProtection="1">
      <alignment horizontal="center" vertical="center"/>
      <protection locked="0"/>
    </xf>
    <xf numFmtId="1" fontId="13" fillId="7" borderId="1" xfId="0" applyNumberFormat="1" applyFont="1" applyFill="1" applyBorder="1" applyAlignment="1" applyProtection="1">
      <alignment horizontal="center" vertical="center"/>
      <protection locked="0"/>
    </xf>
    <xf numFmtId="1" fontId="8" fillId="6" borderId="1" xfId="0" applyNumberFormat="1" applyFont="1" applyFill="1" applyBorder="1" applyAlignment="1" applyProtection="1">
      <alignment horizontal="center" vertical="center"/>
      <protection locked="0"/>
    </xf>
    <xf numFmtId="0" fontId="14" fillId="8" borderId="0" xfId="0" applyFont="1" applyFill="1" applyAlignment="1" applyProtection="1">
      <alignment horizontal="right"/>
      <protection locked="0"/>
    </xf>
    <xf numFmtId="0" fontId="14" fillId="0" borderId="0" xfId="0" applyFont="1" applyProtection="1">
      <protection locked="0"/>
    </xf>
    <xf numFmtId="167" fontId="14" fillId="0" borderId="0" xfId="0" applyNumberFormat="1" applyFont="1" applyAlignment="1" applyProtection="1">
      <alignment horizontal="right" vertical="top"/>
      <protection locked="0"/>
    </xf>
    <xf numFmtId="2" fontId="14" fillId="0" borderId="0" xfId="0" applyNumberFormat="1" applyFont="1" applyAlignment="1" applyProtection="1">
      <alignment vertical="top"/>
      <protection locked="0"/>
    </xf>
    <xf numFmtId="9" fontId="14" fillId="0" borderId="0" xfId="0" applyNumberFormat="1" applyFont="1" applyAlignment="1" applyProtection="1">
      <alignment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14" fillId="2" borderId="0" xfId="0" applyFont="1" applyFill="1" applyAlignment="1" applyProtection="1">
      <alignment horizontal="left" vertical="top"/>
      <protection locked="0"/>
    </xf>
    <xf numFmtId="167" fontId="14" fillId="2" borderId="0" xfId="0" applyNumberFormat="1" applyFont="1" applyFill="1" applyAlignment="1" applyProtection="1">
      <alignment horizontal="right" vertical="top"/>
      <protection locked="0"/>
    </xf>
    <xf numFmtId="1" fontId="14" fillId="2" borderId="0" xfId="0" applyNumberFormat="1" applyFont="1" applyFill="1" applyAlignment="1" applyProtection="1">
      <alignment horizontal="center" vertical="top"/>
      <protection locked="0"/>
    </xf>
    <xf numFmtId="0" fontId="14" fillId="2" borderId="0" xfId="0" applyFont="1" applyFill="1" applyAlignment="1" applyProtection="1">
      <alignment horizontal="center" vertical="top"/>
      <protection locked="0"/>
    </xf>
    <xf numFmtId="0" fontId="14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center" vertical="top"/>
      <protection locked="0"/>
    </xf>
    <xf numFmtId="1" fontId="14" fillId="0" borderId="0" xfId="0" applyNumberFormat="1" applyFont="1" applyAlignment="1" applyProtection="1">
      <alignment horizontal="center" vertical="top"/>
      <protection locked="0"/>
    </xf>
    <xf numFmtId="0" fontId="14" fillId="0" borderId="0" xfId="0" applyFont="1" applyAlignment="1" applyProtection="1">
      <alignment horizontal="right" vertical="top"/>
      <protection locked="0"/>
    </xf>
    <xf numFmtId="166" fontId="14" fillId="2" borderId="0" xfId="4" applyFont="1" applyFill="1" applyBorder="1" applyAlignment="1" applyProtection="1">
      <alignment horizontal="right" vertical="top"/>
      <protection locked="0"/>
    </xf>
    <xf numFmtId="1" fontId="13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righ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/>
    <xf numFmtId="0" fontId="13" fillId="0" borderId="0" xfId="0" applyFont="1" applyAlignment="1">
      <alignment horizontal="right" vertical="top"/>
    </xf>
    <xf numFmtId="167" fontId="14" fillId="0" borderId="0" xfId="0" applyNumberFormat="1" applyFont="1" applyAlignment="1">
      <alignment horizontal="right" vertical="top"/>
    </xf>
    <xf numFmtId="2" fontId="14" fillId="0" borderId="0" xfId="0" applyNumberFormat="1" applyFont="1" applyAlignment="1">
      <alignment vertical="top"/>
    </xf>
    <xf numFmtId="9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49" fontId="14" fillId="2" borderId="0" xfId="0" quotePrefix="1" applyNumberFormat="1" applyFont="1" applyFill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167" fontId="14" fillId="2" borderId="0" xfId="0" applyNumberFormat="1" applyFont="1" applyFill="1" applyAlignment="1">
      <alignment horizontal="right" vertical="top"/>
    </xf>
    <xf numFmtId="2" fontId="14" fillId="2" borderId="0" xfId="0" applyNumberFormat="1" applyFont="1" applyFill="1"/>
    <xf numFmtId="0" fontId="14" fillId="2" borderId="0" xfId="0" applyFont="1" applyFill="1" applyAlignment="1">
      <alignment horizontal="right"/>
    </xf>
    <xf numFmtId="1" fontId="14" fillId="2" borderId="0" xfId="0" applyNumberFormat="1" applyFont="1" applyFill="1" applyAlignment="1">
      <alignment horizontal="center" vertical="top"/>
    </xf>
    <xf numFmtId="0" fontId="14" fillId="2" borderId="0" xfId="0" applyFont="1" applyFill="1" applyAlignment="1">
      <alignment horizontal="center" vertical="top"/>
    </xf>
    <xf numFmtId="0" fontId="14" fillId="0" borderId="0" xfId="0" applyFont="1" applyAlignment="1">
      <alignment vertical="center"/>
    </xf>
    <xf numFmtId="168" fontId="13" fillId="6" borderId="16" xfId="3" applyNumberFormat="1" applyFont="1" applyFill="1" applyAlignment="1" applyProtection="1">
      <alignment horizontal="center" vertical="center"/>
    </xf>
    <xf numFmtId="0" fontId="13" fillId="0" borderId="0" xfId="0" applyFont="1" applyAlignment="1">
      <alignment vertical="center"/>
    </xf>
    <xf numFmtId="168" fontId="13" fillId="5" borderId="16" xfId="3" applyNumberFormat="1" applyFont="1" applyFill="1" applyAlignment="1" applyProtection="1">
      <alignment vertical="center"/>
    </xf>
    <xf numFmtId="168" fontId="13" fillId="7" borderId="16" xfId="3" applyNumberFormat="1" applyFont="1" applyFill="1" applyAlignment="1" applyProtection="1">
      <alignment vertical="center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4" fillId="2" borderId="0" xfId="0" applyFont="1" applyFill="1" applyAlignment="1">
      <alignment horizontal="center"/>
    </xf>
    <xf numFmtId="9" fontId="14" fillId="2" borderId="0" xfId="0" applyNumberFormat="1" applyFont="1" applyFill="1"/>
    <xf numFmtId="0" fontId="13" fillId="6" borderId="19" xfId="3" applyFont="1" applyFill="1" applyBorder="1" applyAlignment="1" applyProtection="1">
      <alignment vertical="center"/>
    </xf>
    <xf numFmtId="1" fontId="13" fillId="6" borderId="16" xfId="3" applyNumberFormat="1" applyFont="1" applyFill="1" applyAlignment="1" applyProtection="1">
      <alignment horizontal="center" vertical="center"/>
    </xf>
    <xf numFmtId="2" fontId="13" fillId="6" borderId="16" xfId="3" applyNumberFormat="1" applyFont="1" applyFill="1" applyAlignment="1" applyProtection="1">
      <alignment horizontal="center" vertical="center"/>
    </xf>
    <xf numFmtId="168" fontId="13" fillId="6" borderId="16" xfId="3" applyNumberFormat="1" applyFont="1" applyFill="1" applyAlignment="1" applyProtection="1">
      <alignment vertical="center"/>
    </xf>
    <xf numFmtId="1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1" fontId="13" fillId="0" borderId="2" xfId="0" applyNumberFormat="1" applyFont="1" applyBorder="1" applyAlignment="1">
      <alignment horizontal="center" vertical="center" wrapText="1"/>
    </xf>
    <xf numFmtId="167" fontId="13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 wrapText="1"/>
    </xf>
    <xf numFmtId="9" fontId="13" fillId="0" borderId="2" xfId="0" applyNumberFormat="1" applyFont="1" applyBorder="1" applyAlignment="1">
      <alignment horizontal="center" vertical="center" wrapText="1"/>
    </xf>
    <xf numFmtId="166" fontId="13" fillId="0" borderId="2" xfId="4" applyFont="1" applyFill="1" applyBorder="1" applyAlignment="1" applyProtection="1">
      <alignment horizontal="center" vertical="center" wrapText="1"/>
    </xf>
    <xf numFmtId="1" fontId="15" fillId="10" borderId="3" xfId="0" applyNumberFormat="1" applyFont="1" applyFill="1" applyBorder="1" applyAlignment="1">
      <alignment vertical="center"/>
    </xf>
    <xf numFmtId="1" fontId="15" fillId="10" borderId="4" xfId="0" applyNumberFormat="1" applyFont="1" applyFill="1" applyBorder="1" applyAlignment="1">
      <alignment vertical="center"/>
    </xf>
    <xf numFmtId="1" fontId="15" fillId="10" borderId="4" xfId="0" applyNumberFormat="1" applyFont="1" applyFill="1" applyBorder="1" applyAlignment="1">
      <alignment horizontal="center" vertical="center"/>
    </xf>
    <xf numFmtId="1" fontId="15" fillId="10" borderId="5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7" fontId="13" fillId="0" borderId="1" xfId="0" applyNumberFormat="1" applyFont="1" applyBorder="1" applyAlignment="1">
      <alignment horizontal="right" vertical="center"/>
    </xf>
    <xf numFmtId="9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top"/>
    </xf>
    <xf numFmtId="167" fontId="13" fillId="0" borderId="0" xfId="0" applyNumberFormat="1" applyFont="1" applyAlignment="1">
      <alignment horizontal="right" vertical="top"/>
    </xf>
    <xf numFmtId="2" fontId="13" fillId="0" borderId="0" xfId="0" applyNumberFormat="1" applyFont="1" applyAlignment="1">
      <alignment horizontal="center" vertical="top"/>
    </xf>
    <xf numFmtId="9" fontId="13" fillId="0" borderId="0" xfId="0" applyNumberFormat="1" applyFont="1" applyAlignment="1">
      <alignment horizontal="center" vertical="top"/>
    </xf>
    <xf numFmtId="166" fontId="13" fillId="0" borderId="0" xfId="4" applyFont="1" applyFill="1" applyBorder="1" applyAlignment="1" applyProtection="1">
      <alignment horizontal="right" vertical="top"/>
    </xf>
    <xf numFmtId="2" fontId="14" fillId="0" borderId="0" xfId="0" applyNumberFormat="1" applyFont="1" applyAlignment="1">
      <alignment horizontal="center" vertical="top"/>
    </xf>
    <xf numFmtId="9" fontId="14" fillId="0" borderId="0" xfId="0" applyNumberFormat="1" applyFont="1" applyAlignment="1">
      <alignment horizontal="center" vertical="top"/>
    </xf>
    <xf numFmtId="166" fontId="14" fillId="2" borderId="0" xfId="4" applyFont="1" applyFill="1" applyBorder="1" applyAlignment="1" applyProtection="1">
      <alignment horizontal="right" vertical="top"/>
    </xf>
    <xf numFmtId="0" fontId="14" fillId="2" borderId="0" xfId="0" applyFont="1" applyFill="1"/>
    <xf numFmtId="0" fontId="13" fillId="5" borderId="19" xfId="3" applyFont="1" applyFill="1" applyBorder="1" applyAlignment="1" applyProtection="1">
      <alignment vertical="center"/>
    </xf>
    <xf numFmtId="1" fontId="13" fillId="5" borderId="16" xfId="3" applyNumberFormat="1" applyFont="1" applyFill="1" applyAlignment="1" applyProtection="1">
      <alignment horizontal="center" vertical="center"/>
    </xf>
    <xf numFmtId="2" fontId="13" fillId="5" borderId="16" xfId="3" applyNumberFormat="1" applyFont="1" applyFill="1" applyAlignment="1" applyProtection="1">
      <alignment horizontal="center" vertical="center"/>
    </xf>
    <xf numFmtId="1" fontId="13" fillId="10" borderId="4" xfId="0" applyNumberFormat="1" applyFont="1" applyFill="1" applyBorder="1" applyAlignment="1">
      <alignment vertical="center"/>
    </xf>
    <xf numFmtId="166" fontId="14" fillId="0" borderId="0" xfId="4" applyFont="1" applyFill="1" applyBorder="1" applyAlignment="1" applyProtection="1">
      <alignment horizontal="right" vertical="top"/>
    </xf>
    <xf numFmtId="49" fontId="14" fillId="2" borderId="0" xfId="0" quotePrefix="1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167" fontId="14" fillId="2" borderId="0" xfId="0" applyNumberFormat="1" applyFont="1" applyFill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169" fontId="13" fillId="2" borderId="1" xfId="0" applyNumberFormat="1" applyFont="1" applyFill="1" applyBorder="1" applyAlignment="1">
      <alignment horizontal="right" vertical="center"/>
    </xf>
    <xf numFmtId="1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167" fontId="13" fillId="11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67" fontId="13" fillId="0" borderId="6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top"/>
    </xf>
    <xf numFmtId="2" fontId="15" fillId="10" borderId="4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8" xfId="0" applyFont="1" applyBorder="1" applyAlignment="1">
      <alignment horizontal="center" vertical="top"/>
    </xf>
    <xf numFmtId="1" fontId="13" fillId="7" borderId="9" xfId="0" applyNumberFormat="1" applyFont="1" applyFill="1" applyBorder="1" applyAlignment="1">
      <alignment vertical="top"/>
    </xf>
    <xf numFmtId="168" fontId="13" fillId="9" borderId="1" xfId="3" applyNumberFormat="1" applyFont="1" applyFill="1" applyBorder="1" applyAlignment="1" applyProtection="1">
      <alignment horizontal="center" vertical="center"/>
    </xf>
    <xf numFmtId="1" fontId="14" fillId="13" borderId="9" xfId="0" applyNumberFormat="1" applyFont="1" applyFill="1" applyBorder="1" applyAlignment="1">
      <alignment horizontal="center" vertical="top"/>
    </xf>
    <xf numFmtId="0" fontId="14" fillId="13" borderId="6" xfId="0" applyFont="1" applyFill="1" applyBorder="1" applyAlignment="1">
      <alignment vertical="top"/>
    </xf>
    <xf numFmtId="0" fontId="14" fillId="13" borderId="6" xfId="0" applyFont="1" applyFill="1" applyBorder="1" applyAlignment="1">
      <alignment horizontal="center" vertical="top"/>
    </xf>
    <xf numFmtId="167" fontId="14" fillId="13" borderId="6" xfId="0" applyNumberFormat="1" applyFont="1" applyFill="1" applyBorder="1" applyAlignment="1">
      <alignment horizontal="right" vertical="top"/>
    </xf>
    <xf numFmtId="2" fontId="14" fillId="13" borderId="6" xfId="0" applyNumberFormat="1" applyFont="1" applyFill="1" applyBorder="1" applyAlignment="1">
      <alignment vertical="top"/>
    </xf>
    <xf numFmtId="1" fontId="13" fillId="13" borderId="10" xfId="0" applyNumberFormat="1" applyFont="1" applyFill="1" applyBorder="1" applyAlignment="1">
      <alignment vertical="top"/>
    </xf>
    <xf numFmtId="0" fontId="14" fillId="13" borderId="0" xfId="0" applyFont="1" applyFill="1" applyAlignment="1">
      <alignment vertical="top"/>
    </xf>
    <xf numFmtId="1" fontId="13" fillId="13" borderId="10" xfId="0" applyNumberFormat="1" applyFont="1" applyFill="1" applyBorder="1" applyAlignment="1">
      <alignment horizontal="center" vertical="center"/>
    </xf>
    <xf numFmtId="0" fontId="13" fillId="13" borderId="0" xfId="0" applyFont="1" applyFill="1" applyAlignment="1">
      <alignment vertical="center"/>
    </xf>
    <xf numFmtId="0" fontId="13" fillId="13" borderId="0" xfId="0" applyFont="1" applyFill="1" applyAlignment="1">
      <alignment horizontal="center" vertical="center"/>
    </xf>
    <xf numFmtId="167" fontId="13" fillId="13" borderId="0" xfId="0" applyNumberFormat="1" applyFont="1" applyFill="1" applyAlignment="1">
      <alignment horizontal="right" vertical="center" wrapText="1"/>
    </xf>
    <xf numFmtId="2" fontId="13" fillId="13" borderId="0" xfId="0" applyNumberFormat="1" applyFont="1" applyFill="1" applyAlignment="1">
      <alignment horizontal="center" vertical="center" wrapText="1"/>
    </xf>
    <xf numFmtId="1" fontId="13" fillId="13" borderId="0" xfId="0" applyNumberFormat="1" applyFont="1" applyFill="1" applyAlignment="1">
      <alignment horizontal="left" vertical="top"/>
    </xf>
    <xf numFmtId="167" fontId="13" fillId="13" borderId="0" xfId="0" applyNumberFormat="1" applyFont="1" applyFill="1" applyAlignment="1">
      <alignment horizontal="left" vertical="top"/>
    </xf>
    <xf numFmtId="2" fontId="13" fillId="13" borderId="0" xfId="0" applyNumberFormat="1" applyFont="1" applyFill="1" applyAlignment="1">
      <alignment vertical="top"/>
    </xf>
    <xf numFmtId="1" fontId="13" fillId="13" borderId="10" xfId="0" applyNumberFormat="1" applyFont="1" applyFill="1" applyBorder="1" applyAlignment="1">
      <alignment horizontal="left" vertical="top"/>
    </xf>
    <xf numFmtId="167" fontId="13" fillId="13" borderId="0" xfId="0" applyNumberFormat="1" applyFont="1" applyFill="1" applyAlignment="1">
      <alignment horizontal="right" vertical="top"/>
    </xf>
    <xf numFmtId="1" fontId="14" fillId="13" borderId="11" xfId="0" applyNumberFormat="1" applyFont="1" applyFill="1" applyBorder="1" applyAlignment="1">
      <alignment horizontal="center" vertical="top"/>
    </xf>
    <xf numFmtId="9" fontId="14" fillId="13" borderId="6" xfId="0" applyNumberFormat="1" applyFont="1" applyFill="1" applyBorder="1" applyAlignment="1">
      <alignment vertical="top"/>
    </xf>
    <xf numFmtId="0" fontId="14" fillId="13" borderId="12" xfId="0" applyFont="1" applyFill="1" applyBorder="1" applyAlignment="1">
      <alignment horizontal="right" vertical="top"/>
    </xf>
    <xf numFmtId="0" fontId="14" fillId="13" borderId="8" xfId="0" applyFont="1" applyFill="1" applyBorder="1" applyAlignment="1">
      <alignment horizontal="right" vertical="top"/>
    </xf>
    <xf numFmtId="166" fontId="13" fillId="14" borderId="8" xfId="4" applyFont="1" applyFill="1" applyBorder="1" applyAlignment="1" applyProtection="1">
      <alignment horizontal="right" vertical="center" wrapText="1"/>
    </xf>
    <xf numFmtId="0" fontId="14" fillId="13" borderId="13" xfId="0" applyFont="1" applyFill="1" applyBorder="1" applyAlignment="1">
      <alignment horizontal="right" vertical="top"/>
    </xf>
    <xf numFmtId="9" fontId="14" fillId="13" borderId="14" xfId="0" applyNumberFormat="1" applyFont="1" applyFill="1" applyBorder="1" applyAlignment="1">
      <alignment vertical="top"/>
    </xf>
    <xf numFmtId="9" fontId="13" fillId="13" borderId="0" xfId="0" applyNumberFormat="1" applyFont="1" applyFill="1" applyAlignment="1">
      <alignment horizontal="center" vertical="center" wrapText="1"/>
    </xf>
    <xf numFmtId="1" fontId="16" fillId="13" borderId="0" xfId="0" applyNumberFormat="1" applyFont="1" applyFill="1" applyAlignment="1">
      <alignment horizontal="left" vertical="top"/>
    </xf>
    <xf numFmtId="0" fontId="14" fillId="13" borderId="0" xfId="0" applyFont="1" applyFill="1" applyAlignment="1">
      <alignment horizontal="center" vertical="top"/>
    </xf>
    <xf numFmtId="167" fontId="14" fillId="13" borderId="0" xfId="0" applyNumberFormat="1" applyFont="1" applyFill="1" applyAlignment="1">
      <alignment horizontal="right" vertical="top"/>
    </xf>
    <xf numFmtId="2" fontId="14" fillId="13" borderId="0" xfId="0" applyNumberFormat="1" applyFont="1" applyFill="1" applyAlignment="1">
      <alignment vertical="top"/>
    </xf>
    <xf numFmtId="0" fontId="14" fillId="13" borderId="6" xfId="0" applyFont="1" applyFill="1" applyBorder="1" applyAlignment="1">
      <alignment horizontal="right" vertical="top"/>
    </xf>
    <xf numFmtId="1" fontId="13" fillId="14" borderId="0" xfId="0" applyNumberFormat="1" applyFont="1" applyFill="1" applyAlignment="1">
      <alignment horizontal="center" vertical="center"/>
    </xf>
    <xf numFmtId="0" fontId="13" fillId="14" borderId="0" xfId="0" applyFont="1" applyFill="1" applyAlignment="1">
      <alignment vertical="center"/>
    </xf>
    <xf numFmtId="0" fontId="13" fillId="14" borderId="0" xfId="0" applyFont="1" applyFill="1" applyAlignment="1">
      <alignment horizontal="center" vertical="center"/>
    </xf>
    <xf numFmtId="167" fontId="13" fillId="14" borderId="0" xfId="0" applyNumberFormat="1" applyFont="1" applyFill="1" applyAlignment="1">
      <alignment horizontal="right" vertical="center" wrapText="1"/>
    </xf>
    <xf numFmtId="166" fontId="13" fillId="14" borderId="0" xfId="4" applyFont="1" applyFill="1" applyBorder="1" applyAlignment="1" applyProtection="1">
      <alignment horizontal="right" vertical="center" wrapText="1"/>
    </xf>
    <xf numFmtId="0" fontId="14" fillId="13" borderId="0" xfId="0" applyFont="1" applyFill="1"/>
    <xf numFmtId="49" fontId="13" fillId="13" borderId="0" xfId="0" quotePrefix="1" applyNumberFormat="1" applyFont="1" applyFill="1" applyAlignment="1">
      <alignment horizontal="center" vertical="top"/>
    </xf>
    <xf numFmtId="0" fontId="13" fillId="13" borderId="0" xfId="0" applyFont="1" applyFill="1" applyAlignment="1">
      <alignment horizontal="right" vertical="top"/>
    </xf>
    <xf numFmtId="9" fontId="14" fillId="13" borderId="0" xfId="0" applyNumberFormat="1" applyFont="1" applyFill="1" applyAlignment="1">
      <alignment vertical="top"/>
    </xf>
    <xf numFmtId="49" fontId="14" fillId="14" borderId="0" xfId="0" quotePrefix="1" applyNumberFormat="1" applyFont="1" applyFill="1" applyAlignment="1">
      <alignment horizontal="left" vertical="top"/>
    </xf>
    <xf numFmtId="0" fontId="14" fillId="14" borderId="0" xfId="0" applyFont="1" applyFill="1" applyAlignment="1">
      <alignment horizontal="left" vertical="top"/>
    </xf>
    <xf numFmtId="0" fontId="14" fillId="14" borderId="0" xfId="0" applyFont="1" applyFill="1" applyAlignment="1">
      <alignment vertical="top"/>
    </xf>
    <xf numFmtId="167" fontId="14" fillId="14" borderId="0" xfId="0" applyNumberFormat="1" applyFont="1" applyFill="1" applyAlignment="1">
      <alignment horizontal="right" vertical="top"/>
    </xf>
    <xf numFmtId="2" fontId="14" fillId="14" borderId="0" xfId="0" applyNumberFormat="1" applyFont="1" applyFill="1"/>
    <xf numFmtId="1" fontId="14" fillId="14" borderId="0" xfId="0" applyNumberFormat="1" applyFont="1" applyFill="1" applyAlignment="1">
      <alignment horizontal="center" vertical="top"/>
    </xf>
    <xf numFmtId="0" fontId="14" fillId="14" borderId="0" xfId="0" applyFont="1" applyFill="1" applyAlignment="1">
      <alignment horizontal="center" vertical="top"/>
    </xf>
    <xf numFmtId="0" fontId="14" fillId="13" borderId="0" xfId="0" applyFont="1" applyFill="1" applyAlignment="1">
      <alignment vertical="center"/>
    </xf>
    <xf numFmtId="0" fontId="17" fillId="13" borderId="0" xfId="0" applyFont="1" applyFill="1" applyAlignment="1">
      <alignment vertical="center"/>
    </xf>
    <xf numFmtId="0" fontId="0" fillId="13" borderId="0" xfId="0" applyFill="1"/>
    <xf numFmtId="0" fontId="14" fillId="13" borderId="0" xfId="0" applyFont="1" applyFill="1" applyAlignment="1" applyProtection="1">
      <alignment vertical="top"/>
      <protection locked="0"/>
    </xf>
    <xf numFmtId="0" fontId="0" fillId="13" borderId="0" xfId="0" applyFill="1" applyAlignment="1">
      <alignment vertical="center"/>
    </xf>
    <xf numFmtId="0" fontId="9" fillId="13" borderId="0" xfId="0" applyFont="1" applyFill="1" applyAlignment="1">
      <alignment vertical="center"/>
    </xf>
    <xf numFmtId="0" fontId="13" fillId="0" borderId="7" xfId="0" applyFont="1" applyBorder="1" applyAlignment="1">
      <alignment horizontal="left" vertical="center"/>
    </xf>
    <xf numFmtId="1" fontId="13" fillId="0" borderId="7" xfId="0" quotePrefix="1" applyNumberFormat="1" applyFont="1" applyBorder="1" applyAlignment="1">
      <alignment vertical="top"/>
    </xf>
    <xf numFmtId="0" fontId="14" fillId="13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center" vertical="center"/>
    </xf>
    <xf numFmtId="167" fontId="14" fillId="13" borderId="0" xfId="0" applyNumberFormat="1" applyFont="1" applyFill="1" applyAlignment="1">
      <alignment horizontal="right" vertical="center"/>
    </xf>
    <xf numFmtId="2" fontId="14" fillId="13" borderId="0" xfId="0" applyNumberFormat="1" applyFont="1" applyFill="1" applyAlignment="1">
      <alignment horizontal="center" vertical="center"/>
    </xf>
    <xf numFmtId="9" fontId="14" fillId="13" borderId="0" xfId="0" applyNumberFormat="1" applyFont="1" applyFill="1" applyAlignment="1">
      <alignment horizontal="center" vertical="center"/>
    </xf>
    <xf numFmtId="166" fontId="13" fillId="14" borderId="14" xfId="4" applyFont="1" applyFill="1" applyBorder="1" applyAlignment="1" applyProtection="1">
      <alignment horizontal="right" vertical="center" wrapText="1"/>
    </xf>
    <xf numFmtId="0" fontId="15" fillId="11" borderId="3" xfId="0" applyFont="1" applyFill="1" applyBorder="1" applyAlignment="1">
      <alignment horizontal="left" vertical="center"/>
    </xf>
    <xf numFmtId="0" fontId="14" fillId="11" borderId="4" xfId="0" applyFont="1" applyFill="1" applyBorder="1" applyAlignment="1">
      <alignment vertical="center"/>
    </xf>
    <xf numFmtId="0" fontId="14" fillId="11" borderId="4" xfId="0" applyFont="1" applyFill="1" applyBorder="1" applyAlignment="1">
      <alignment horizontal="center" vertical="center"/>
    </xf>
    <xf numFmtId="167" fontId="14" fillId="11" borderId="4" xfId="0" applyNumberFormat="1" applyFont="1" applyFill="1" applyBorder="1" applyAlignment="1">
      <alignment horizontal="right" vertical="center"/>
    </xf>
    <xf numFmtId="2" fontId="14" fillId="11" borderId="4" xfId="0" applyNumberFormat="1" applyFont="1" applyFill="1" applyBorder="1" applyAlignment="1">
      <alignment horizontal="center" vertical="center"/>
    </xf>
    <xf numFmtId="9" fontId="14" fillId="11" borderId="4" xfId="0" applyNumberFormat="1" applyFont="1" applyFill="1" applyBorder="1" applyAlignment="1">
      <alignment horizontal="center" vertical="center"/>
    </xf>
    <xf numFmtId="167" fontId="14" fillId="11" borderId="5" xfId="0" applyNumberFormat="1" applyFont="1" applyFill="1" applyBorder="1" applyAlignment="1">
      <alignment horizontal="right" vertical="center"/>
    </xf>
    <xf numFmtId="0" fontId="15" fillId="11" borderId="20" xfId="0" applyFont="1" applyFill="1" applyBorder="1" applyAlignment="1">
      <alignment horizontal="left" vertical="center"/>
    </xf>
    <xf numFmtId="0" fontId="14" fillId="11" borderId="21" xfId="0" applyFont="1" applyFill="1" applyBorder="1" applyAlignment="1">
      <alignment vertical="center"/>
    </xf>
    <xf numFmtId="0" fontId="14" fillId="11" borderId="21" xfId="0" applyFont="1" applyFill="1" applyBorder="1" applyAlignment="1">
      <alignment horizontal="center" vertical="center"/>
    </xf>
    <xf numFmtId="167" fontId="14" fillId="11" borderId="21" xfId="0" applyNumberFormat="1" applyFont="1" applyFill="1" applyBorder="1" applyAlignment="1">
      <alignment horizontal="right" vertical="center"/>
    </xf>
    <xf numFmtId="2" fontId="14" fillId="11" borderId="21" xfId="0" applyNumberFormat="1" applyFont="1" applyFill="1" applyBorder="1" applyAlignment="1">
      <alignment horizontal="center" vertical="center"/>
    </xf>
    <xf numFmtId="9" fontId="14" fillId="11" borderId="21" xfId="0" applyNumberFormat="1" applyFont="1" applyFill="1" applyBorder="1" applyAlignment="1">
      <alignment horizontal="center" vertical="center"/>
    </xf>
    <xf numFmtId="167" fontId="14" fillId="11" borderId="22" xfId="0" applyNumberFormat="1" applyFont="1" applyFill="1" applyBorder="1" applyAlignment="1">
      <alignment horizontal="right" vertical="center"/>
    </xf>
    <xf numFmtId="0" fontId="14" fillId="13" borderId="4" xfId="0" applyFont="1" applyFill="1" applyBorder="1" applyAlignment="1">
      <alignment horizontal="left" vertical="center"/>
    </xf>
    <xf numFmtId="0" fontId="14" fillId="13" borderId="4" xfId="0" applyFont="1" applyFill="1" applyBorder="1" applyAlignment="1">
      <alignment vertical="center"/>
    </xf>
    <xf numFmtId="0" fontId="14" fillId="13" borderId="4" xfId="0" applyFont="1" applyFill="1" applyBorder="1" applyAlignment="1">
      <alignment horizontal="center" vertical="center"/>
    </xf>
    <xf numFmtId="167" fontId="14" fillId="13" borderId="4" xfId="0" applyNumberFormat="1" applyFont="1" applyFill="1" applyBorder="1" applyAlignment="1">
      <alignment horizontal="right" vertical="center"/>
    </xf>
    <xf numFmtId="2" fontId="14" fillId="13" borderId="4" xfId="0" applyNumberFormat="1" applyFont="1" applyFill="1" applyBorder="1" applyAlignment="1">
      <alignment horizontal="center" vertical="center"/>
    </xf>
    <xf numFmtId="9" fontId="14" fillId="13" borderId="4" xfId="0" applyNumberFormat="1" applyFont="1" applyFill="1" applyBorder="1" applyAlignment="1">
      <alignment horizontal="center" vertical="center"/>
    </xf>
    <xf numFmtId="7" fontId="14" fillId="0" borderId="1" xfId="3" applyNumberFormat="1" applyFont="1" applyFill="1" applyBorder="1" applyAlignment="1" applyProtection="1">
      <alignment horizontal="center" vertical="center"/>
    </xf>
    <xf numFmtId="9" fontId="8" fillId="7" borderId="14" xfId="10" applyFont="1" applyFill="1" applyBorder="1" applyAlignment="1" applyProtection="1">
      <alignment vertical="center"/>
      <protection locked="0"/>
    </xf>
    <xf numFmtId="9" fontId="8" fillId="7" borderId="13" xfId="10" applyFont="1" applyFill="1" applyBorder="1" applyAlignment="1" applyProtection="1">
      <alignment vertical="center"/>
      <protection locked="0"/>
    </xf>
    <xf numFmtId="9" fontId="8" fillId="7" borderId="4" xfId="10" applyFont="1" applyFill="1" applyBorder="1" applyAlignment="1" applyProtection="1">
      <alignment vertical="center"/>
      <protection locked="0"/>
    </xf>
    <xf numFmtId="9" fontId="8" fillId="7" borderId="5" xfId="10" applyFont="1" applyFill="1" applyBorder="1" applyAlignment="1" applyProtection="1">
      <alignment vertical="center"/>
      <protection locked="0"/>
    </xf>
    <xf numFmtId="168" fontId="13" fillId="13" borderId="5" xfId="3" applyNumberFormat="1" applyFont="1" applyFill="1" applyBorder="1" applyAlignment="1" applyProtection="1">
      <alignment horizontal="right" vertical="center"/>
    </xf>
    <xf numFmtId="10" fontId="13" fillId="15" borderId="0" xfId="0" applyNumberFormat="1" applyFont="1" applyFill="1" applyAlignment="1" applyProtection="1">
      <alignment horizontal="center" vertical="top"/>
      <protection locked="0"/>
    </xf>
    <xf numFmtId="2" fontId="8" fillId="0" borderId="1" xfId="0" applyNumberFormat="1" applyFont="1" applyBorder="1" applyAlignment="1">
      <alignment horizontal="center" vertical="center"/>
    </xf>
    <xf numFmtId="9" fontId="8" fillId="15" borderId="11" xfId="10" applyFont="1" applyFill="1" applyBorder="1" applyAlignment="1" applyProtection="1">
      <alignment horizontal="left" vertical="center"/>
      <protection locked="0"/>
    </xf>
    <xf numFmtId="9" fontId="8" fillId="15" borderId="3" xfId="10" applyFont="1" applyFill="1" applyBorder="1" applyAlignment="1" applyProtection="1">
      <alignment horizontal="left" vertical="center"/>
      <protection locked="0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0" fillId="0" borderId="0" xfId="0" applyNumberFormat="1"/>
    <xf numFmtId="1" fontId="18" fillId="12" borderId="7" xfId="0" quotePrefix="1" applyNumberFormat="1" applyFont="1" applyFill="1" applyBorder="1" applyAlignment="1" applyProtection="1">
      <alignment horizontal="center" vertical="top"/>
      <protection locked="0"/>
    </xf>
    <xf numFmtId="1" fontId="13" fillId="17" borderId="1" xfId="0" applyNumberFormat="1" applyFont="1" applyFill="1" applyBorder="1" applyAlignment="1" applyProtection="1">
      <alignment horizontal="center" vertical="center"/>
      <protection locked="0"/>
    </xf>
    <xf numFmtId="0" fontId="13" fillId="17" borderId="18" xfId="3" applyFont="1" applyFill="1" applyBorder="1" applyAlignment="1" applyProtection="1">
      <alignment vertical="center"/>
    </xf>
    <xf numFmtId="0" fontId="13" fillId="17" borderId="19" xfId="3" applyFont="1" applyFill="1" applyBorder="1" applyAlignment="1" applyProtection="1">
      <alignment vertical="center"/>
    </xf>
    <xf numFmtId="1" fontId="13" fillId="17" borderId="16" xfId="3" applyNumberFormat="1" applyFont="1" applyFill="1" applyAlignment="1" applyProtection="1">
      <alignment horizontal="center" vertical="center"/>
    </xf>
    <xf numFmtId="2" fontId="13" fillId="17" borderId="16" xfId="3" applyNumberFormat="1" applyFont="1" applyFill="1" applyAlignment="1" applyProtection="1">
      <alignment horizontal="center" vertical="center"/>
    </xf>
    <xf numFmtId="168" fontId="13" fillId="17" borderId="16" xfId="3" applyNumberFormat="1" applyFont="1" applyFill="1" applyAlignment="1" applyProtection="1">
      <alignment vertical="center"/>
    </xf>
    <xf numFmtId="0" fontId="13" fillId="13" borderId="0" xfId="0" applyFont="1" applyFill="1" applyAlignment="1">
      <alignment horizontal="center" vertical="top"/>
    </xf>
    <xf numFmtId="0" fontId="14" fillId="14" borderId="0" xfId="0" applyFont="1" applyFill="1" applyAlignment="1">
      <alignment horizontal="right"/>
    </xf>
    <xf numFmtId="0" fontId="13" fillId="18" borderId="18" xfId="3" applyFont="1" applyFill="1" applyBorder="1" applyAlignment="1" applyProtection="1">
      <alignment vertical="center"/>
    </xf>
    <xf numFmtId="0" fontId="13" fillId="18" borderId="19" xfId="3" applyFont="1" applyFill="1" applyBorder="1" applyAlignment="1" applyProtection="1">
      <alignment vertical="center"/>
    </xf>
    <xf numFmtId="1" fontId="13" fillId="18" borderId="16" xfId="3" applyNumberFormat="1" applyFont="1" applyFill="1" applyAlignment="1" applyProtection="1">
      <alignment horizontal="center" vertical="center"/>
    </xf>
    <xf numFmtId="168" fontId="13" fillId="18" borderId="16" xfId="3" applyNumberFormat="1" applyFont="1" applyFill="1" applyAlignment="1" applyProtection="1">
      <alignment vertical="center"/>
    </xf>
    <xf numFmtId="1" fontId="13" fillId="18" borderId="1" xfId="0" applyNumberFormat="1" applyFont="1" applyFill="1" applyBorder="1" applyAlignment="1" applyProtection="1">
      <alignment horizontal="center" vertical="center"/>
      <protection locked="0"/>
    </xf>
    <xf numFmtId="0" fontId="14" fillId="13" borderId="0" xfId="0" applyFont="1" applyFill="1" applyAlignment="1" applyProtection="1">
      <alignment horizontal="center" vertical="top"/>
      <protection locked="0"/>
    </xf>
    <xf numFmtId="167" fontId="14" fillId="13" borderId="0" xfId="0" applyNumberFormat="1" applyFont="1" applyFill="1" applyAlignment="1" applyProtection="1">
      <alignment horizontal="right" vertical="top"/>
      <protection locked="0"/>
    </xf>
    <xf numFmtId="2" fontId="14" fillId="13" borderId="0" xfId="0" applyNumberFormat="1" applyFont="1" applyFill="1" applyAlignment="1" applyProtection="1">
      <alignment vertical="top"/>
      <protection locked="0"/>
    </xf>
    <xf numFmtId="0" fontId="14" fillId="13" borderId="0" xfId="0" applyFont="1" applyFill="1" applyAlignment="1" applyProtection="1">
      <alignment horizontal="right" vertical="top"/>
      <protection locked="0"/>
    </xf>
    <xf numFmtId="0" fontId="14" fillId="13" borderId="0" xfId="0" applyFont="1" applyFill="1" applyAlignment="1" applyProtection="1">
      <alignment vertical="center"/>
      <protection locked="0"/>
    </xf>
    <xf numFmtId="0" fontId="13" fillId="13" borderId="0" xfId="0" applyFont="1" applyFill="1" applyAlignment="1" applyProtection="1">
      <alignment vertical="center"/>
      <protection locked="0"/>
    </xf>
    <xf numFmtId="1" fontId="14" fillId="13" borderId="0" xfId="0" applyNumberFormat="1" applyFont="1" applyFill="1" applyAlignment="1" applyProtection="1">
      <alignment horizontal="center" vertical="top"/>
      <protection locked="0"/>
    </xf>
    <xf numFmtId="170" fontId="0" fillId="13" borderId="0" xfId="0" applyNumberFormat="1" applyFill="1"/>
    <xf numFmtId="169" fontId="14" fillId="0" borderId="1" xfId="3" applyNumberFormat="1" applyFont="1" applyFill="1" applyBorder="1" applyAlignment="1" applyProtection="1">
      <alignment horizontal="center" vertical="center"/>
    </xf>
    <xf numFmtId="168" fontId="13" fillId="9" borderId="16" xfId="3" applyNumberFormat="1" applyFont="1" applyFill="1" applyAlignment="1" applyProtection="1">
      <alignment vertical="center"/>
      <protection locked="0"/>
    </xf>
    <xf numFmtId="0" fontId="20" fillId="15" borderId="0" xfId="0" applyFont="1" applyFill="1"/>
    <xf numFmtId="0" fontId="12" fillId="3" borderId="1" xfId="12" applyBorder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14" fillId="0" borderId="0" xfId="0" applyNumberFormat="1" applyFont="1" applyAlignment="1">
      <alignment horizontal="right" vertical="top"/>
    </xf>
    <xf numFmtId="1" fontId="14" fillId="2" borderId="0" xfId="0" applyNumberFormat="1" applyFont="1" applyFill="1" applyAlignment="1">
      <alignment horizontal="right" vertical="top"/>
    </xf>
    <xf numFmtId="1" fontId="13" fillId="0" borderId="1" xfId="0" applyNumberFormat="1" applyFont="1" applyBorder="1" applyAlignment="1">
      <alignment horizontal="right" vertical="center"/>
    </xf>
    <xf numFmtId="1" fontId="13" fillId="0" borderId="1" xfId="0" applyNumberFormat="1" applyFont="1" applyBorder="1" applyAlignment="1">
      <alignment vertical="center"/>
    </xf>
    <xf numFmtId="1" fontId="13" fillId="0" borderId="6" xfId="0" applyNumberFormat="1" applyFont="1" applyBorder="1" applyAlignment="1">
      <alignment horizontal="right" vertical="center"/>
    </xf>
    <xf numFmtId="1" fontId="14" fillId="0" borderId="0" xfId="0" applyNumberFormat="1" applyFont="1" applyAlignment="1" applyProtection="1">
      <alignment horizontal="right" vertical="top"/>
      <protection locked="0"/>
    </xf>
    <xf numFmtId="0" fontId="14" fillId="13" borderId="6" xfId="0" applyFont="1" applyFill="1" applyBorder="1" applyAlignment="1" applyProtection="1">
      <alignment horizontal="center" vertical="top"/>
      <protection locked="0"/>
    </xf>
    <xf numFmtId="1" fontId="14" fillId="13" borderId="0" xfId="0" applyNumberFormat="1" applyFont="1" applyFill="1" applyAlignment="1">
      <alignment horizontal="right" vertical="top"/>
    </xf>
    <xf numFmtId="1" fontId="14" fillId="13" borderId="0" xfId="0" applyNumberFormat="1" applyFont="1" applyFill="1" applyAlignment="1" applyProtection="1">
      <alignment horizontal="right" vertical="top"/>
      <protection locked="0"/>
    </xf>
    <xf numFmtId="0" fontId="13" fillId="7" borderId="1" xfId="0" applyFont="1" applyFill="1" applyBorder="1" applyAlignment="1">
      <alignment vertical="center"/>
    </xf>
    <xf numFmtId="171" fontId="13" fillId="0" borderId="1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vertical="center"/>
    </xf>
    <xf numFmtId="1" fontId="15" fillId="10" borderId="1" xfId="0" applyNumberFormat="1" applyFont="1" applyFill="1" applyBorder="1" applyAlignment="1">
      <alignment vertical="center"/>
    </xf>
    <xf numFmtId="1" fontId="14" fillId="2" borderId="0" xfId="0" quotePrefix="1" applyNumberFormat="1" applyFont="1" applyFill="1" applyAlignment="1">
      <alignment horizontal="left" vertical="top"/>
    </xf>
    <xf numFmtId="1" fontId="13" fillId="6" borderId="18" xfId="3" applyNumberFormat="1" applyFont="1" applyFill="1" applyBorder="1" applyAlignment="1" applyProtection="1">
      <alignment vertical="center"/>
    </xf>
    <xf numFmtId="1" fontId="13" fillId="5" borderId="18" xfId="3" applyNumberFormat="1" applyFont="1" applyFill="1" applyBorder="1" applyAlignment="1" applyProtection="1">
      <alignment vertical="center"/>
    </xf>
    <xf numFmtId="0" fontId="13" fillId="7" borderId="28" xfId="3" applyFont="1" applyFill="1" applyBorder="1" applyAlignment="1" applyProtection="1">
      <alignment vertical="center"/>
    </xf>
    <xf numFmtId="0" fontId="13" fillId="7" borderId="29" xfId="3" applyFont="1" applyFill="1" applyBorder="1" applyAlignment="1" applyProtection="1">
      <alignment vertical="center"/>
    </xf>
    <xf numFmtId="1" fontId="13" fillId="7" borderId="30" xfId="3" applyNumberFormat="1" applyFont="1" applyFill="1" applyBorder="1" applyAlignment="1" applyProtection="1">
      <alignment horizontal="center" vertical="center"/>
    </xf>
    <xf numFmtId="168" fontId="13" fillId="7" borderId="30" xfId="3" applyNumberFormat="1" applyFont="1" applyFill="1" applyBorder="1" applyAlignment="1" applyProtection="1">
      <alignment vertical="center"/>
    </xf>
    <xf numFmtId="1" fontId="14" fillId="17" borderId="9" xfId="0" applyNumberFormat="1" applyFont="1" applyFill="1" applyBorder="1" applyAlignment="1">
      <alignment horizontal="center" vertical="top"/>
    </xf>
    <xf numFmtId="0" fontId="14" fillId="17" borderId="6" xfId="0" applyFont="1" applyFill="1" applyBorder="1" applyAlignment="1">
      <alignment vertical="top"/>
    </xf>
    <xf numFmtId="0" fontId="14" fillId="17" borderId="6" xfId="0" applyFont="1" applyFill="1" applyBorder="1" applyAlignment="1">
      <alignment horizontal="center" vertical="top"/>
    </xf>
    <xf numFmtId="167" fontId="14" fillId="17" borderId="6" xfId="0" applyNumberFormat="1" applyFont="1" applyFill="1" applyBorder="1" applyAlignment="1">
      <alignment horizontal="right" vertical="top"/>
    </xf>
    <xf numFmtId="2" fontId="14" fillId="17" borderId="6" xfId="0" applyNumberFormat="1" applyFont="1" applyFill="1" applyBorder="1" applyAlignment="1">
      <alignment vertical="top"/>
    </xf>
    <xf numFmtId="9" fontId="14" fillId="17" borderId="6" xfId="0" applyNumberFormat="1" applyFont="1" applyFill="1" applyBorder="1" applyAlignment="1">
      <alignment vertical="top"/>
    </xf>
    <xf numFmtId="0" fontId="14" fillId="17" borderId="12" xfId="0" applyFont="1" applyFill="1" applyBorder="1" applyAlignment="1">
      <alignment horizontal="right" vertical="top"/>
    </xf>
    <xf numFmtId="1" fontId="13" fillId="17" borderId="10" xfId="0" applyNumberFormat="1" applyFont="1" applyFill="1" applyBorder="1" applyAlignment="1">
      <alignment vertical="top"/>
    </xf>
    <xf numFmtId="1" fontId="13" fillId="17" borderId="0" xfId="0" applyNumberFormat="1" applyFont="1" applyFill="1" applyAlignment="1">
      <alignment horizontal="left" vertical="top"/>
    </xf>
    <xf numFmtId="0" fontId="14" fillId="17" borderId="0" xfId="0" applyFont="1" applyFill="1" applyAlignment="1">
      <alignment vertical="top"/>
    </xf>
    <xf numFmtId="10" fontId="13" fillId="17" borderId="0" xfId="0" applyNumberFormat="1" applyFont="1" applyFill="1" applyAlignment="1" applyProtection="1">
      <alignment horizontal="center" vertical="top"/>
      <protection locked="0"/>
    </xf>
    <xf numFmtId="0" fontId="14" fillId="17" borderId="8" xfId="0" applyFont="1" applyFill="1" applyBorder="1" applyAlignment="1">
      <alignment horizontal="right" vertical="top"/>
    </xf>
    <xf numFmtId="1" fontId="13" fillId="17" borderId="10" xfId="0" applyNumberFormat="1" applyFont="1" applyFill="1" applyBorder="1" applyAlignment="1">
      <alignment horizontal="center" vertical="center"/>
    </xf>
    <xf numFmtId="0" fontId="13" fillId="17" borderId="0" xfId="0" applyFont="1" applyFill="1" applyAlignment="1">
      <alignment vertical="center"/>
    </xf>
    <xf numFmtId="0" fontId="13" fillId="17" borderId="0" xfId="0" applyFont="1" applyFill="1" applyAlignment="1">
      <alignment horizontal="center" vertical="center"/>
    </xf>
    <xf numFmtId="167" fontId="13" fillId="17" borderId="0" xfId="0" applyNumberFormat="1" applyFont="1" applyFill="1" applyAlignment="1">
      <alignment horizontal="right" vertical="center" wrapText="1"/>
    </xf>
    <xf numFmtId="2" fontId="13" fillId="17" borderId="0" xfId="0" applyNumberFormat="1" applyFont="1" applyFill="1" applyAlignment="1">
      <alignment horizontal="center" vertical="center" wrapText="1"/>
    </xf>
    <xf numFmtId="9" fontId="13" fillId="17" borderId="0" xfId="0" applyNumberFormat="1" applyFont="1" applyFill="1" applyAlignment="1">
      <alignment horizontal="center" vertical="center" wrapText="1"/>
    </xf>
    <xf numFmtId="166" fontId="13" fillId="19" borderId="8" xfId="4" applyFont="1" applyFill="1" applyBorder="1" applyAlignment="1" applyProtection="1">
      <alignment horizontal="right" vertical="center" wrapText="1"/>
    </xf>
    <xf numFmtId="167" fontId="13" fillId="17" borderId="0" xfId="0" applyNumberFormat="1" applyFont="1" applyFill="1" applyAlignment="1">
      <alignment horizontal="left" vertical="top"/>
    </xf>
    <xf numFmtId="2" fontId="13" fillId="17" borderId="0" xfId="0" applyNumberFormat="1" applyFont="1" applyFill="1" applyAlignment="1">
      <alignment vertical="top"/>
    </xf>
    <xf numFmtId="1" fontId="13" fillId="17" borderId="10" xfId="0" applyNumberFormat="1" applyFont="1" applyFill="1" applyBorder="1" applyAlignment="1">
      <alignment horizontal="left" vertical="top"/>
    </xf>
    <xf numFmtId="167" fontId="13" fillId="17" borderId="0" xfId="0" applyNumberFormat="1" applyFont="1" applyFill="1" applyAlignment="1">
      <alignment horizontal="right" vertical="top"/>
    </xf>
    <xf numFmtId="0" fontId="14" fillId="17" borderId="8" xfId="0" applyFont="1" applyFill="1" applyBorder="1" applyAlignment="1">
      <alignment horizontal="center" vertical="top"/>
    </xf>
    <xf numFmtId="1" fontId="14" fillId="17" borderId="11" xfId="0" applyNumberFormat="1" applyFont="1" applyFill="1" applyBorder="1" applyAlignment="1">
      <alignment horizontal="center" vertical="top"/>
    </xf>
    <xf numFmtId="9" fontId="14" fillId="17" borderId="14" xfId="0" applyNumberFormat="1" applyFont="1" applyFill="1" applyBorder="1" applyAlignment="1">
      <alignment vertical="top"/>
    </xf>
    <xf numFmtId="0" fontId="14" fillId="17" borderId="13" xfId="0" applyFont="1" applyFill="1" applyBorder="1" applyAlignment="1">
      <alignment horizontal="right" vertical="top"/>
    </xf>
    <xf numFmtId="1" fontId="15" fillId="10" borderId="4" xfId="0" applyNumberFormat="1" applyFont="1" applyFill="1" applyBorder="1" applyAlignment="1">
      <alignment horizontal="right" vertical="center"/>
    </xf>
    <xf numFmtId="1" fontId="13" fillId="10" borderId="4" xfId="0" applyNumberFormat="1" applyFont="1" applyFill="1" applyBorder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vertical="center"/>
    </xf>
    <xf numFmtId="1" fontId="13" fillId="5" borderId="32" xfId="0" applyNumberFormat="1" applyFont="1" applyFill="1" applyBorder="1" applyAlignment="1" applyProtection="1">
      <alignment horizontal="center" vertical="center"/>
      <protection locked="0"/>
    </xf>
    <xf numFmtId="1" fontId="13" fillId="0" borderId="32" xfId="0" applyNumberFormat="1" applyFont="1" applyBorder="1" applyAlignment="1">
      <alignment horizontal="right" vertical="center"/>
    </xf>
    <xf numFmtId="1" fontId="19" fillId="13" borderId="6" xfId="0" applyNumberFormat="1" applyFont="1" applyFill="1" applyBorder="1" applyAlignment="1">
      <alignment vertical="top"/>
    </xf>
    <xf numFmtId="0" fontId="13" fillId="7" borderId="5" xfId="0" applyFont="1" applyFill="1" applyBorder="1" applyAlignment="1">
      <alignment horizontal="left" vertical="center"/>
    </xf>
    <xf numFmtId="0" fontId="12" fillId="3" borderId="17" xfId="12"/>
    <xf numFmtId="0" fontId="13" fillId="9" borderId="7" xfId="0" applyFont="1" applyFill="1" applyBorder="1" applyAlignment="1">
      <alignment horizontal="center" vertical="center"/>
    </xf>
    <xf numFmtId="9" fontId="13" fillId="0" borderId="1" xfId="9" applyFont="1" applyFill="1" applyBorder="1" applyAlignment="1" applyProtection="1">
      <alignment horizontal="center" vertical="center"/>
    </xf>
    <xf numFmtId="10" fontId="13" fillId="0" borderId="1" xfId="9" applyNumberFormat="1" applyFont="1" applyFill="1" applyBorder="1" applyAlignment="1" applyProtection="1">
      <alignment horizontal="center" vertical="center"/>
    </xf>
    <xf numFmtId="168" fontId="13" fillId="0" borderId="1" xfId="3" applyNumberFormat="1" applyFont="1" applyFill="1" applyBorder="1" applyAlignment="1" applyProtection="1">
      <alignment horizontal="center" vertical="center"/>
    </xf>
    <xf numFmtId="9" fontId="13" fillId="0" borderId="1" xfId="9" applyFont="1" applyFill="1" applyBorder="1" applyAlignment="1" applyProtection="1">
      <alignment vertical="center"/>
    </xf>
    <xf numFmtId="1" fontId="14" fillId="0" borderId="1" xfId="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13" fillId="7" borderId="31" xfId="3" applyFont="1" applyFill="1" applyBorder="1" applyAlignment="1" applyProtection="1">
      <alignment horizontal="center" vertical="center"/>
    </xf>
    <xf numFmtId="167" fontId="13" fillId="11" borderId="4" xfId="0" applyNumberFormat="1" applyFont="1" applyFill="1" applyBorder="1" applyAlignment="1">
      <alignment horizontal="right" vertical="center"/>
    </xf>
    <xf numFmtId="9" fontId="8" fillId="15" borderId="3" xfId="10" applyFont="1" applyFill="1" applyBorder="1" applyAlignment="1" applyProtection="1">
      <alignment horizontal="left" vertical="center"/>
    </xf>
    <xf numFmtId="1" fontId="13" fillId="0" borderId="3" xfId="0" applyNumberFormat="1" applyFont="1" applyBorder="1" applyAlignment="1">
      <alignment horizontal="center" vertical="center"/>
    </xf>
    <xf numFmtId="1" fontId="13" fillId="6" borderId="4" xfId="0" applyNumberFormat="1" applyFont="1" applyFill="1" applyBorder="1" applyAlignment="1" applyProtection="1">
      <alignment horizontal="center" vertical="center"/>
      <protection locked="0"/>
    </xf>
    <xf numFmtId="1" fontId="13" fillId="0" borderId="4" xfId="0" applyNumberFormat="1" applyFont="1" applyBorder="1" applyAlignment="1">
      <alignment horizontal="right" vertical="center"/>
    </xf>
    <xf numFmtId="1" fontId="13" fillId="13" borderId="32" xfId="0" applyNumberFormat="1" applyFont="1" applyFill="1" applyBorder="1" applyAlignment="1">
      <alignment horizontal="right" vertical="center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9" fontId="13" fillId="0" borderId="7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" fontId="13" fillId="5" borderId="15" xfId="0" applyNumberFormat="1" applyFont="1" applyFill="1" applyBorder="1" applyAlignment="1" applyProtection="1">
      <alignment horizontal="center" vertical="center"/>
      <protection locked="0"/>
    </xf>
    <xf numFmtId="1" fontId="13" fillId="13" borderId="15" xfId="0" applyNumberFormat="1" applyFont="1" applyFill="1" applyBorder="1" applyAlignment="1">
      <alignment horizontal="right" vertical="center"/>
    </xf>
    <xf numFmtId="1" fontId="13" fillId="6" borderId="32" xfId="0" applyNumberFormat="1" applyFont="1" applyFill="1" applyBorder="1" applyAlignment="1" applyProtection="1">
      <alignment horizontal="center" vertical="center"/>
      <protection locked="0"/>
    </xf>
    <xf numFmtId="167" fontId="13" fillId="0" borderId="32" xfId="0" applyNumberFormat="1" applyFont="1" applyBorder="1" applyAlignment="1">
      <alignment horizontal="right" vertical="center"/>
    </xf>
    <xf numFmtId="9" fontId="13" fillId="0" borderId="32" xfId="0" applyNumberFormat="1" applyFont="1" applyBorder="1" applyAlignment="1">
      <alignment horizontal="center" vertical="center"/>
    </xf>
    <xf numFmtId="172" fontId="14" fillId="0" borderId="0" xfId="0" applyNumberFormat="1" applyFont="1" applyAlignment="1" applyProtection="1">
      <alignment vertical="center"/>
      <protection locked="0"/>
    </xf>
    <xf numFmtId="1" fontId="13" fillId="0" borderId="32" xfId="0" applyNumberFormat="1" applyFont="1" applyBorder="1" applyAlignment="1">
      <alignment horizontal="center" vertical="center"/>
    </xf>
    <xf numFmtId="1" fontId="13" fillId="13" borderId="1" xfId="0" applyNumberFormat="1" applyFont="1" applyFill="1" applyBorder="1" applyAlignment="1">
      <alignment horizontal="right" vertical="center"/>
    </xf>
    <xf numFmtId="167" fontId="13" fillId="0" borderId="7" xfId="0" applyNumberFormat="1" applyFont="1" applyBorder="1" applyAlignment="1">
      <alignment horizontal="right" vertical="center"/>
    </xf>
    <xf numFmtId="172" fontId="5" fillId="0" borderId="0" xfId="4" applyNumberFormat="1" applyAlignment="1" applyProtection="1">
      <alignment vertical="center"/>
      <protection locked="0"/>
    </xf>
    <xf numFmtId="1" fontId="13" fillId="0" borderId="1" xfId="0" applyNumberFormat="1" applyFont="1" applyBorder="1" applyAlignment="1">
      <alignment horizontal="right" vertical="center" wrapText="1"/>
    </xf>
    <xf numFmtId="0" fontId="13" fillId="7" borderId="1" xfId="0" applyFont="1" applyFill="1" applyBorder="1" applyAlignment="1" applyProtection="1">
      <alignment horizontal="left" vertical="center"/>
      <protection locked="0"/>
    </xf>
    <xf numFmtId="0" fontId="16" fillId="17" borderId="14" xfId="0" applyFont="1" applyFill="1" applyBorder="1" applyAlignment="1">
      <alignment horizontal="center" vertical="top"/>
    </xf>
    <xf numFmtId="0" fontId="13" fillId="17" borderId="18" xfId="3" applyFont="1" applyFill="1" applyBorder="1" applyAlignment="1" applyProtection="1">
      <alignment horizontal="left" vertical="center"/>
    </xf>
    <xf numFmtId="0" fontId="13" fillId="17" borderId="19" xfId="3" applyFont="1" applyFill="1" applyBorder="1" applyAlignment="1" applyProtection="1">
      <alignment horizontal="left" vertical="center"/>
    </xf>
    <xf numFmtId="0" fontId="13" fillId="17" borderId="23" xfId="3" applyFont="1" applyFill="1" applyBorder="1" applyAlignment="1" applyProtection="1">
      <alignment horizontal="left" vertical="center"/>
    </xf>
    <xf numFmtId="1" fontId="13" fillId="17" borderId="0" xfId="0" applyNumberFormat="1" applyFont="1" applyFill="1" applyAlignment="1">
      <alignment horizontal="left" vertical="top"/>
    </xf>
    <xf numFmtId="169" fontId="13" fillId="17" borderId="0" xfId="0" applyNumberFormat="1" applyFont="1" applyFill="1" applyAlignment="1">
      <alignment horizontal="center" vertical="top"/>
    </xf>
    <xf numFmtId="0" fontId="13" fillId="16" borderId="24" xfId="12" applyFont="1" applyFill="1" applyBorder="1" applyAlignment="1" applyProtection="1">
      <alignment horizontal="center" vertical="center"/>
    </xf>
    <xf numFmtId="0" fontId="13" fillId="16" borderId="25" xfId="12" applyFont="1" applyFill="1" applyBorder="1" applyAlignment="1" applyProtection="1">
      <alignment horizontal="center" vertical="center"/>
    </xf>
    <xf numFmtId="0" fontId="13" fillId="16" borderId="26" xfId="12" applyFont="1" applyFill="1" applyBorder="1" applyAlignment="1" applyProtection="1">
      <alignment horizontal="center" vertical="center"/>
    </xf>
    <xf numFmtId="1" fontId="14" fillId="7" borderId="10" xfId="0" applyNumberFormat="1" applyFont="1" applyFill="1" applyBorder="1" applyAlignment="1" applyProtection="1">
      <alignment horizontal="left" vertical="center"/>
      <protection locked="0"/>
    </xf>
    <xf numFmtId="1" fontId="14" fillId="7" borderId="0" xfId="0" applyNumberFormat="1" applyFont="1" applyFill="1" applyAlignment="1" applyProtection="1">
      <alignment horizontal="left" vertical="center"/>
      <protection locked="0"/>
    </xf>
    <xf numFmtId="1" fontId="14" fillId="7" borderId="8" xfId="0" applyNumberFormat="1" applyFont="1" applyFill="1" applyBorder="1" applyAlignment="1" applyProtection="1">
      <alignment horizontal="left" vertical="center"/>
      <protection locked="0"/>
    </xf>
    <xf numFmtId="1" fontId="14" fillId="7" borderId="11" xfId="0" applyNumberFormat="1" applyFont="1" applyFill="1" applyBorder="1" applyAlignment="1" applyProtection="1">
      <alignment horizontal="left" vertical="center"/>
      <protection locked="0"/>
    </xf>
    <xf numFmtId="1" fontId="14" fillId="7" borderId="14" xfId="0" applyNumberFormat="1" applyFont="1" applyFill="1" applyBorder="1" applyAlignment="1" applyProtection="1">
      <alignment horizontal="left" vertical="center"/>
      <protection locked="0"/>
    </xf>
    <xf numFmtId="1" fontId="14" fillId="7" borderId="13" xfId="0" applyNumberFormat="1" applyFont="1" applyFill="1" applyBorder="1" applyAlignment="1" applyProtection="1">
      <alignment horizontal="left" vertical="center"/>
      <protection locked="0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9" fontId="13" fillId="0" borderId="3" xfId="4" applyNumberFormat="1" applyFont="1" applyFill="1" applyBorder="1" applyAlignment="1" applyProtection="1">
      <alignment horizontal="center" vertical="center"/>
    </xf>
    <xf numFmtId="169" fontId="13" fillId="0" borderId="5" xfId="4" applyNumberFormat="1" applyFont="1" applyFill="1" applyBorder="1" applyAlignment="1" applyProtection="1">
      <alignment horizontal="center" vertical="center"/>
    </xf>
    <xf numFmtId="0" fontId="13" fillId="0" borderId="3" xfId="3" applyFont="1" applyFill="1" applyBorder="1" applyAlignment="1" applyProtection="1">
      <alignment horizontal="left" vertical="center"/>
    </xf>
    <xf numFmtId="0" fontId="13" fillId="0" borderId="4" xfId="3" applyFont="1" applyFill="1" applyBorder="1" applyAlignment="1" applyProtection="1">
      <alignment horizontal="left" vertical="center"/>
    </xf>
    <xf numFmtId="0" fontId="13" fillId="0" borderId="5" xfId="3" applyFont="1" applyFill="1" applyBorder="1" applyAlignment="1" applyProtection="1">
      <alignment horizontal="left" vertical="center"/>
    </xf>
    <xf numFmtId="1" fontId="13" fillId="7" borderId="6" xfId="0" applyNumberFormat="1" applyFont="1" applyFill="1" applyBorder="1" applyAlignment="1" applyProtection="1">
      <alignment horizontal="left" vertical="center"/>
      <protection locked="0"/>
    </xf>
    <xf numFmtId="1" fontId="13" fillId="7" borderId="12" xfId="0" applyNumberFormat="1" applyFont="1" applyFill="1" applyBorder="1" applyAlignment="1" applyProtection="1">
      <alignment horizontal="left" vertical="center"/>
      <protection locked="0"/>
    </xf>
    <xf numFmtId="0" fontId="16" fillId="13" borderId="14" xfId="0" applyFont="1" applyFill="1" applyBorder="1" applyAlignment="1">
      <alignment horizontal="center" vertical="top"/>
    </xf>
    <xf numFmtId="0" fontId="13" fillId="0" borderId="7" xfId="0" applyFont="1" applyBorder="1" applyAlignment="1">
      <alignment horizontal="left" vertical="center"/>
    </xf>
    <xf numFmtId="0" fontId="13" fillId="6" borderId="18" xfId="3" applyFont="1" applyFill="1" applyBorder="1" applyAlignment="1" applyProtection="1">
      <alignment horizontal="left" vertical="center"/>
    </xf>
    <xf numFmtId="0" fontId="13" fillId="6" borderId="19" xfId="3" applyFont="1" applyFill="1" applyBorder="1" applyAlignment="1" applyProtection="1">
      <alignment horizontal="left" vertical="center"/>
    </xf>
    <xf numFmtId="0" fontId="13" fillId="6" borderId="23" xfId="3" applyFont="1" applyFill="1" applyBorder="1" applyAlignment="1" applyProtection="1">
      <alignment horizontal="left" vertical="center"/>
    </xf>
    <xf numFmtId="0" fontId="13" fillId="5" borderId="18" xfId="3" applyFont="1" applyFill="1" applyBorder="1" applyAlignment="1" applyProtection="1">
      <alignment horizontal="left" vertical="center"/>
    </xf>
    <xf numFmtId="0" fontId="13" fillId="5" borderId="19" xfId="3" applyFont="1" applyFill="1" applyBorder="1" applyAlignment="1" applyProtection="1">
      <alignment horizontal="left" vertical="center"/>
    </xf>
    <xf numFmtId="0" fontId="13" fillId="5" borderId="23" xfId="3" applyFont="1" applyFill="1" applyBorder="1" applyAlignment="1" applyProtection="1">
      <alignment horizontal="left" vertical="center"/>
    </xf>
    <xf numFmtId="0" fontId="13" fillId="7" borderId="18" xfId="3" applyFont="1" applyFill="1" applyBorder="1" applyAlignment="1" applyProtection="1">
      <alignment horizontal="left" vertical="center"/>
    </xf>
    <xf numFmtId="0" fontId="13" fillId="7" borderId="19" xfId="3" applyFont="1" applyFill="1" applyBorder="1" applyAlignment="1" applyProtection="1">
      <alignment horizontal="left" vertical="center"/>
    </xf>
    <xf numFmtId="0" fontId="13" fillId="7" borderId="23" xfId="3" applyFont="1" applyFill="1" applyBorder="1" applyAlignment="1" applyProtection="1">
      <alignment horizontal="left" vertical="center"/>
    </xf>
    <xf numFmtId="0" fontId="13" fillId="9" borderId="18" xfId="3" applyFont="1" applyFill="1" applyBorder="1" applyAlignment="1" applyProtection="1">
      <alignment horizontal="left" vertical="center"/>
    </xf>
    <xf numFmtId="0" fontId="13" fillId="9" borderId="19" xfId="3" applyFont="1" applyFill="1" applyBorder="1" applyAlignment="1" applyProtection="1">
      <alignment horizontal="left" vertical="center"/>
    </xf>
    <xf numFmtId="0" fontId="13" fillId="9" borderId="23" xfId="3" applyFont="1" applyFill="1" applyBorder="1" applyAlignment="1" applyProtection="1">
      <alignment horizontal="left" vertical="center"/>
    </xf>
    <xf numFmtId="1" fontId="13" fillId="13" borderId="0" xfId="0" applyNumberFormat="1" applyFont="1" applyFill="1" applyAlignment="1">
      <alignment horizontal="left" vertical="top"/>
    </xf>
    <xf numFmtId="169" fontId="13" fillId="16" borderId="0" xfId="0" applyNumberFormat="1" applyFont="1" applyFill="1" applyAlignment="1">
      <alignment horizontal="center" vertical="top"/>
    </xf>
    <xf numFmtId="0" fontId="13" fillId="7" borderId="1" xfId="0" applyFont="1" applyFill="1" applyBorder="1" applyAlignment="1">
      <alignment horizontal="left" vertical="center"/>
    </xf>
    <xf numFmtId="2" fontId="13" fillId="13" borderId="0" xfId="0" applyNumberFormat="1" applyFont="1" applyFill="1" applyAlignment="1">
      <alignment horizontal="right" vertical="center"/>
    </xf>
    <xf numFmtId="2" fontId="13" fillId="13" borderId="27" xfId="0" applyNumberFormat="1" applyFont="1" applyFill="1" applyBorder="1" applyAlignment="1">
      <alignment horizontal="right" vertical="center"/>
    </xf>
    <xf numFmtId="22" fontId="13" fillId="0" borderId="11" xfId="0" applyNumberFormat="1" applyFont="1" applyBorder="1" applyAlignment="1">
      <alignment horizontal="left" vertical="center"/>
    </xf>
    <xf numFmtId="22" fontId="13" fillId="0" borderId="14" xfId="0" applyNumberFormat="1" applyFont="1" applyBorder="1" applyAlignment="1">
      <alignment horizontal="left" vertical="center"/>
    </xf>
    <xf numFmtId="22" fontId="13" fillId="0" borderId="13" xfId="0" applyNumberFormat="1" applyFont="1" applyBorder="1" applyAlignment="1">
      <alignment horizontal="left" vertical="center"/>
    </xf>
    <xf numFmtId="0" fontId="13" fillId="7" borderId="15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7" borderId="1" xfId="0" applyFont="1" applyFill="1" applyBorder="1" applyAlignment="1" applyProtection="1">
      <alignment horizontal="left" vertical="center"/>
      <protection locked="0"/>
    </xf>
    <xf numFmtId="0" fontId="13" fillId="7" borderId="33" xfId="0" applyFont="1" applyFill="1" applyBorder="1" applyAlignment="1" applyProtection="1">
      <alignment horizontal="left" vertical="center"/>
      <protection locked="0"/>
    </xf>
    <xf numFmtId="0" fontId="13" fillId="7" borderId="35" xfId="0" applyFont="1" applyFill="1" applyBorder="1" applyAlignment="1" applyProtection="1">
      <alignment horizontal="left" vertical="center"/>
      <protection locked="0"/>
    </xf>
    <xf numFmtId="0" fontId="13" fillId="7" borderId="34" xfId="0" applyFont="1" applyFill="1" applyBorder="1" applyAlignment="1" applyProtection="1">
      <alignment horizontal="left" vertical="center"/>
      <protection locked="0"/>
    </xf>
    <xf numFmtId="0" fontId="13" fillId="7" borderId="3" xfId="0" applyFont="1" applyFill="1" applyBorder="1" applyAlignment="1" applyProtection="1">
      <alignment horizontal="left" vertical="center" wrapText="1"/>
      <protection locked="0"/>
    </xf>
    <xf numFmtId="0" fontId="13" fillId="7" borderId="4" xfId="0" applyFont="1" applyFill="1" applyBorder="1" applyAlignment="1" applyProtection="1">
      <alignment horizontal="left" vertical="center" wrapText="1"/>
      <protection locked="0"/>
    </xf>
    <xf numFmtId="0" fontId="13" fillId="7" borderId="5" xfId="0" applyFont="1" applyFill="1" applyBorder="1" applyAlignment="1" applyProtection="1">
      <alignment horizontal="left" vertical="center" wrapText="1"/>
      <protection locked="0"/>
    </xf>
    <xf numFmtId="169" fontId="14" fillId="0" borderId="3" xfId="4" applyNumberFormat="1" applyFont="1" applyFill="1" applyBorder="1" applyAlignment="1" applyProtection="1">
      <alignment horizontal="center" vertical="center"/>
    </xf>
    <xf numFmtId="169" fontId="14" fillId="0" borderId="5" xfId="4" applyNumberFormat="1" applyFont="1" applyFill="1" applyBorder="1" applyAlignment="1" applyProtection="1">
      <alignment horizontal="center" vertical="center"/>
    </xf>
    <xf numFmtId="0" fontId="13" fillId="0" borderId="4" xfId="0" applyFont="1" applyBorder="1" applyAlignment="1">
      <alignment horizontal="center" vertical="center"/>
    </xf>
    <xf numFmtId="1" fontId="13" fillId="0" borderId="3" xfId="9" applyNumberFormat="1" applyFont="1" applyFill="1" applyBorder="1" applyAlignment="1" applyProtection="1">
      <alignment horizontal="center" vertical="center"/>
      <protection locked="0"/>
    </xf>
    <xf numFmtId="1" fontId="13" fillId="0" borderId="5" xfId="9" applyNumberFormat="1" applyFont="1" applyFill="1" applyBorder="1" applyAlignment="1" applyProtection="1">
      <alignment horizontal="center" vertical="center"/>
      <protection locked="0"/>
    </xf>
    <xf numFmtId="1" fontId="19" fillId="0" borderId="6" xfId="0" applyNumberFormat="1" applyFont="1" applyBorder="1" applyAlignment="1">
      <alignment horizontal="left" vertical="top"/>
    </xf>
    <xf numFmtId="9" fontId="13" fillId="6" borderId="18" xfId="3" applyNumberFormat="1" applyFont="1" applyFill="1" applyBorder="1" applyAlignment="1" applyProtection="1">
      <alignment horizontal="center" vertical="center"/>
    </xf>
    <xf numFmtId="9" fontId="13" fillId="6" borderId="23" xfId="3" applyNumberFormat="1" applyFont="1" applyFill="1" applyBorder="1" applyAlignment="1" applyProtection="1">
      <alignment horizontal="center" vertical="center"/>
    </xf>
    <xf numFmtId="0" fontId="13" fillId="6" borderId="24" xfId="12" applyFont="1" applyFill="1" applyBorder="1" applyAlignment="1" applyProtection="1">
      <alignment horizontal="center" vertical="center"/>
    </xf>
    <xf numFmtId="0" fontId="13" fillId="6" borderId="25" xfId="12" applyFont="1" applyFill="1" applyBorder="1" applyAlignment="1" applyProtection="1">
      <alignment horizontal="center" vertical="center"/>
    </xf>
    <xf numFmtId="0" fontId="13" fillId="6" borderId="26" xfId="12" applyFont="1" applyFill="1" applyBorder="1" applyAlignment="1" applyProtection="1">
      <alignment horizontal="center" vertical="center"/>
    </xf>
    <xf numFmtId="1" fontId="13" fillId="0" borderId="0" xfId="0" applyNumberFormat="1" applyFont="1" applyAlignment="1">
      <alignment horizontal="left" vertical="top"/>
    </xf>
    <xf numFmtId="0" fontId="13" fillId="6" borderId="18" xfId="3" applyFont="1" applyFill="1" applyBorder="1" applyAlignment="1" applyProtection="1">
      <alignment horizontal="center" vertical="center"/>
    </xf>
    <xf numFmtId="0" fontId="13" fillId="6" borderId="19" xfId="3" applyFont="1" applyFill="1" applyBorder="1" applyAlignment="1" applyProtection="1">
      <alignment horizontal="center" vertical="center"/>
    </xf>
    <xf numFmtId="0" fontId="13" fillId="6" borderId="23" xfId="3" applyFont="1" applyFill="1" applyBorder="1" applyAlignment="1" applyProtection="1">
      <alignment horizontal="center" vertical="center"/>
    </xf>
    <xf numFmtId="0" fontId="13" fillId="5" borderId="24" xfId="12" applyFont="1" applyFill="1" applyBorder="1" applyAlignment="1" applyProtection="1">
      <alignment horizontal="center" vertical="center"/>
    </xf>
    <xf numFmtId="0" fontId="13" fillId="5" borderId="25" xfId="12" applyFont="1" applyFill="1" applyBorder="1" applyAlignment="1" applyProtection="1">
      <alignment horizontal="center" vertical="center"/>
    </xf>
    <xf numFmtId="0" fontId="13" fillId="5" borderId="26" xfId="12" applyFont="1" applyFill="1" applyBorder="1" applyAlignment="1" applyProtection="1">
      <alignment horizontal="center" vertical="center"/>
    </xf>
    <xf numFmtId="1" fontId="19" fillId="0" borderId="0" xfId="0" applyNumberFormat="1" applyFont="1" applyAlignment="1">
      <alignment horizontal="left" vertical="top"/>
    </xf>
    <xf numFmtId="9" fontId="13" fillId="5" borderId="18" xfId="3" applyNumberFormat="1" applyFont="1" applyFill="1" applyBorder="1" applyAlignment="1" applyProtection="1">
      <alignment horizontal="center" vertical="center"/>
    </xf>
    <xf numFmtId="9" fontId="13" fillId="5" borderId="23" xfId="3" applyNumberFormat="1" applyFont="1" applyFill="1" applyBorder="1" applyAlignment="1" applyProtection="1">
      <alignment horizontal="center" vertical="center"/>
    </xf>
    <xf numFmtId="0" fontId="13" fillId="5" borderId="18" xfId="3" applyFont="1" applyFill="1" applyBorder="1" applyAlignment="1" applyProtection="1">
      <alignment horizontal="center" vertical="center"/>
    </xf>
    <xf numFmtId="0" fontId="13" fillId="5" borderId="19" xfId="3" applyFont="1" applyFill="1" applyBorder="1" applyAlignment="1" applyProtection="1">
      <alignment horizontal="center" vertical="center"/>
    </xf>
    <xf numFmtId="0" fontId="13" fillId="5" borderId="23" xfId="3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3" fillId="7" borderId="1" xfId="12" applyFont="1" applyFill="1" applyBorder="1" applyAlignment="1" applyProtection="1">
      <alignment horizontal="center" vertical="center"/>
    </xf>
    <xf numFmtId="0" fontId="13" fillId="7" borderId="28" xfId="3" applyFont="1" applyFill="1" applyBorder="1" applyAlignment="1" applyProtection="1">
      <alignment horizontal="center" vertical="center"/>
    </xf>
    <xf numFmtId="0" fontId="13" fillId="7" borderId="31" xfId="3" applyFont="1" applyFill="1" applyBorder="1" applyAlignment="1" applyProtection="1">
      <alignment horizontal="center" vertical="center"/>
    </xf>
    <xf numFmtId="0" fontId="13" fillId="17" borderId="24" xfId="12" applyFont="1" applyFill="1" applyBorder="1" applyAlignment="1" applyProtection="1">
      <alignment horizontal="center" vertical="center"/>
    </xf>
    <xf numFmtId="0" fontId="13" fillId="17" borderId="25" xfId="12" applyFont="1" applyFill="1" applyBorder="1" applyAlignment="1" applyProtection="1">
      <alignment horizontal="center" vertical="center"/>
    </xf>
    <xf numFmtId="0" fontId="13" fillId="17" borderId="26" xfId="12" applyFont="1" applyFill="1" applyBorder="1" applyAlignment="1" applyProtection="1">
      <alignment horizontal="center" vertical="center"/>
    </xf>
    <xf numFmtId="0" fontId="13" fillId="17" borderId="18" xfId="3" applyFont="1" applyFill="1" applyBorder="1" applyAlignment="1" applyProtection="1">
      <alignment horizontal="center" vertical="center"/>
    </xf>
    <xf numFmtId="0" fontId="13" fillId="17" borderId="19" xfId="3" applyFont="1" applyFill="1" applyBorder="1" applyAlignment="1" applyProtection="1">
      <alignment horizontal="center" vertical="center"/>
    </xf>
    <xf numFmtId="0" fontId="13" fillId="17" borderId="23" xfId="3" applyFont="1" applyFill="1" applyBorder="1" applyAlignment="1" applyProtection="1">
      <alignment horizontal="center" vertical="center"/>
    </xf>
    <xf numFmtId="0" fontId="13" fillId="18" borderId="24" xfId="12" applyFont="1" applyFill="1" applyBorder="1" applyAlignment="1" applyProtection="1">
      <alignment horizontal="center" vertical="center"/>
    </xf>
    <xf numFmtId="0" fontId="13" fillId="18" borderId="25" xfId="12" applyFont="1" applyFill="1" applyBorder="1" applyAlignment="1" applyProtection="1">
      <alignment horizontal="center" vertical="center"/>
    </xf>
    <xf numFmtId="0" fontId="13" fillId="18" borderId="26" xfId="12" applyFont="1" applyFill="1" applyBorder="1" applyAlignment="1" applyProtection="1">
      <alignment horizontal="center" vertical="center"/>
    </xf>
    <xf numFmtId="0" fontId="13" fillId="18" borderId="18" xfId="3" applyFont="1" applyFill="1" applyBorder="1" applyAlignment="1" applyProtection="1">
      <alignment horizontal="center" vertical="center"/>
    </xf>
    <xf numFmtId="0" fontId="13" fillId="18" borderId="23" xfId="3" applyFont="1" applyFill="1" applyBorder="1" applyAlignment="1" applyProtection="1">
      <alignment horizontal="center" vertical="center"/>
    </xf>
  </cellXfs>
  <cellStyles count="18">
    <cellStyle name="Comma 2" xfId="1" xr:uid="{00000000-0005-0000-0000-000000000000}"/>
    <cellStyle name="Currency 2" xfId="2" xr:uid="{00000000-0005-0000-0000-000001000000}"/>
    <cellStyle name="Entrada" xfId="3" builtinId="20"/>
    <cellStyle name="Moneda" xfId="4" builtinId="4"/>
    <cellStyle name="Moneda 2" xfId="14" xr:uid="{95CA5DD3-4EA5-4836-99D9-A1DB84F9A508}"/>
    <cellStyle name="Moneda 3" xfId="17" xr:uid="{884F9946-367D-448E-9491-A850B05C41B3}"/>
    <cellStyle name="Normal" xfId="0" builtinId="0"/>
    <cellStyle name="Normal 2" xfId="5" xr:uid="{00000000-0005-0000-0000-000005000000}"/>
    <cellStyle name="Normal 3" xfId="6" xr:uid="{00000000-0005-0000-0000-000006000000}"/>
    <cellStyle name="Normal 3 2" xfId="15" xr:uid="{687BABE8-721A-4629-BE43-4CBB9C3F3D3B}"/>
    <cellStyle name="Normal 4" xfId="7" xr:uid="{00000000-0005-0000-0000-000007000000}"/>
    <cellStyle name="Normal 5" xfId="13" xr:uid="{0651812A-C4B8-4583-A9B7-3CFEE95D2E53}"/>
    <cellStyle name="Normal 6" xfId="16" xr:uid="{9FDE3CBF-2E6C-41EB-BA4A-57DFD2D8B746}"/>
    <cellStyle name="Percent 2" xfId="8" xr:uid="{00000000-0005-0000-0000-000008000000}"/>
    <cellStyle name="Porcentaje" xfId="9" builtinId="5"/>
    <cellStyle name="Porcentaje 2" xfId="10" xr:uid="{00000000-0005-0000-0000-00000A000000}"/>
    <cellStyle name="Porcentaje 3" xfId="11" xr:uid="{00000000-0005-0000-0000-00000B000000}"/>
    <cellStyle name="Salida" xfId="12" builtinId="21"/>
  </cellStyles>
  <dxfs count="26">
    <dxf>
      <font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00000000-0011-0000-FFFF-FFFF00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6633"/>
      <color rgb="FFFEF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kinarxius\MarketingGlobal\1.%20TARIFAS%20&amp;%20HOJAS%20DE%20PEDIDO\1.%20HOJAS%20DE%20PEDIDO\1.%20NACIONAL\2024\9.%20SETIEMBRE\6_SETIEMBRE_TARIFA%20NACIONAL%202024%20&amp;%20HOJA%20DE%20PEDIDO%20&#183;%20KIN%20COSMETICS.xlsx" TargetMode="External"/><Relationship Id="rId1" Type="http://schemas.openxmlformats.org/officeDocument/2006/relationships/externalLinkPath" Target="/1.%20TARIFAS%20&amp;%20HOJAS%20DE%20PEDIDO/1.%20HOJAS%20DE%20PEDIDO/1.%20NACIONAL/2024/9.%20SETIEMBRE/6_SETIEMBRE_TARIFA%20NACIONAL%202024%20&amp;%20HOJA%20DE%20PEDIDO%20&#183;%20KIN%20COSME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PEDIDO"/>
      <sheetName val="PRODUCTO TÉCNICO"/>
      <sheetName val="PRODUCTO REVENTA"/>
      <sheetName val="MATERIAL MARKETING"/>
      <sheetName val="PRODUCTO OUTLET"/>
      <sheetName val="MATERIAL MKT OUTLET"/>
      <sheetName val="EAN"/>
      <sheetName val="BBDD"/>
      <sheetName val="T.P."/>
    </sheetNames>
    <sheetDataSet>
      <sheetData sheetId="0">
        <row r="31">
          <cell r="C31">
            <v>0.7</v>
          </cell>
        </row>
        <row r="41">
          <cell r="H41">
            <v>0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A3" t="str">
            <v>Nº producto</v>
          </cell>
          <cell r="B3" t="str">
            <v>Descripción Producto</v>
          </cell>
          <cell r="C3" t="str">
            <v>Nº referencia cruzada</v>
          </cell>
        </row>
        <row r="4">
          <cell r="A4">
            <v>11000</v>
          </cell>
          <cell r="B4" t="str">
            <v>AGUA DESIONIZADA  Lts.</v>
          </cell>
          <cell r="C4" t="str">
            <v>LIAGUA</v>
          </cell>
        </row>
        <row r="5">
          <cell r="A5">
            <v>11001</v>
          </cell>
          <cell r="B5" t="str">
            <v>CARBOPOL 980</v>
          </cell>
          <cell r="C5" t="str">
            <v>SPC940</v>
          </cell>
        </row>
        <row r="6">
          <cell r="A6">
            <v>11002</v>
          </cell>
          <cell r="B6" t="str">
            <v>EASYCOL ES27</v>
          </cell>
          <cell r="C6" t="str">
            <v>TESDSS</v>
          </cell>
        </row>
        <row r="7">
          <cell r="A7">
            <v>11002</v>
          </cell>
          <cell r="B7" t="str">
            <v>EASYCOL ES27</v>
          </cell>
          <cell r="C7" t="str">
            <v>11002</v>
          </cell>
        </row>
        <row r="8">
          <cell r="A8">
            <v>11002</v>
          </cell>
          <cell r="B8" t="str">
            <v>EASYCOL ES27</v>
          </cell>
          <cell r="C8" t="str">
            <v>11002</v>
          </cell>
        </row>
        <row r="9">
          <cell r="A9">
            <v>11003</v>
          </cell>
          <cell r="B9" t="str">
            <v>DABEERSEN NA4 C2 / NA4 TD</v>
          </cell>
          <cell r="C9" t="str">
            <v>CNDANA</v>
          </cell>
        </row>
        <row r="10">
          <cell r="A10">
            <v>11003</v>
          </cell>
          <cell r="B10" t="str">
            <v>DABEERSEN NA4 C2 / NA4 TD</v>
          </cell>
          <cell r="C10" t="str">
            <v>CNDANA</v>
          </cell>
        </row>
        <row r="11">
          <cell r="A11">
            <v>11004</v>
          </cell>
          <cell r="B11" t="str">
            <v>JAGUAR C-13 SH</v>
          </cell>
          <cell r="C11" t="str">
            <v>POJA13</v>
          </cell>
        </row>
        <row r="12">
          <cell r="A12">
            <v>11005</v>
          </cell>
          <cell r="B12" t="str">
            <v>EASYLAN LS / NEOWAX SX/W</v>
          </cell>
          <cell r="C12" t="str">
            <v>11005</v>
          </cell>
        </row>
        <row r="13">
          <cell r="A13">
            <v>11005</v>
          </cell>
          <cell r="B13" t="str">
            <v>EASYLAN LS / NEOWAX SX/W</v>
          </cell>
          <cell r="C13" t="str">
            <v>11005</v>
          </cell>
        </row>
        <row r="14">
          <cell r="A14">
            <v>11005</v>
          </cell>
          <cell r="B14" t="str">
            <v>EASYLAN LS / NEOWAX SX/W</v>
          </cell>
          <cell r="C14" t="str">
            <v>11005</v>
          </cell>
        </row>
        <row r="15">
          <cell r="A15">
            <v>11006</v>
          </cell>
          <cell r="B15" t="str">
            <v>MIRASIL 60000</v>
          </cell>
          <cell r="C15" t="str">
            <v>MIRASIL 60000</v>
          </cell>
        </row>
        <row r="16">
          <cell r="A16">
            <v>11006</v>
          </cell>
          <cell r="B16" t="str">
            <v>MIRASIL 60000</v>
          </cell>
          <cell r="C16" t="str">
            <v>TES600</v>
          </cell>
        </row>
        <row r="17">
          <cell r="A17">
            <v>11007</v>
          </cell>
          <cell r="B17" t="str">
            <v>DUB DSEG25</v>
          </cell>
          <cell r="C17" t="str">
            <v>EMETDS</v>
          </cell>
        </row>
        <row r="18">
          <cell r="A18">
            <v>11007</v>
          </cell>
          <cell r="B18" t="str">
            <v>DUB DSEG25</v>
          </cell>
          <cell r="C18" t="str">
            <v>DUB DSEG25</v>
          </cell>
        </row>
        <row r="19">
          <cell r="A19">
            <v>11008</v>
          </cell>
          <cell r="B19" t="str">
            <v>COMPERLAND LD</v>
          </cell>
          <cell r="C19" t="str">
            <v>TECOLD</v>
          </cell>
        </row>
        <row r="20">
          <cell r="A20">
            <v>11009</v>
          </cell>
          <cell r="B20" t="str">
            <v>PROPILENGLICOL USP</v>
          </cell>
          <cell r="C20" t="str">
            <v>LIPROP</v>
          </cell>
        </row>
        <row r="21">
          <cell r="A21">
            <v>11010</v>
          </cell>
          <cell r="B21" t="str">
            <v>PHENONIP</v>
          </cell>
          <cell r="C21" t="str">
            <v>CNSEHB</v>
          </cell>
        </row>
        <row r="22">
          <cell r="A22">
            <v>11011</v>
          </cell>
          <cell r="B22" t="str">
            <v>NIPAGUARD DMDMH</v>
          </cell>
          <cell r="C22" t="str">
            <v>CNMADM</v>
          </cell>
        </row>
        <row r="23">
          <cell r="A23">
            <v>11012</v>
          </cell>
          <cell r="B23" t="str">
            <v>LAIT DE PALMA  1,5 PS</v>
          </cell>
          <cell r="C23" t="str">
            <v>PALEPA</v>
          </cell>
        </row>
        <row r="24">
          <cell r="A24">
            <v>11013</v>
          </cell>
          <cell r="B24" t="str">
            <v>HYDROTRITICUM QM NSP-LQ(WD)</v>
          </cell>
          <cell r="C24" t="str">
            <v>PAHYQM</v>
          </cell>
        </row>
        <row r="25">
          <cell r="A25">
            <v>11014</v>
          </cell>
          <cell r="B25" t="str">
            <v>PYRIDOXINE HYDROCHLORIDE</v>
          </cell>
          <cell r="C25" t="str">
            <v>PAPIRI</v>
          </cell>
        </row>
        <row r="26">
          <cell r="A26">
            <v>11015</v>
          </cell>
          <cell r="B26" t="str">
            <v>ACIDO CITRICO 1-H ALIM</v>
          </cell>
          <cell r="C26" t="str">
            <v>SPACCI</v>
          </cell>
        </row>
        <row r="27">
          <cell r="A27">
            <v>11016</v>
          </cell>
          <cell r="B27" t="str">
            <v>REWOTERIC AM 2C NM</v>
          </cell>
          <cell r="C27" t="str">
            <v>TEAM2C</v>
          </cell>
        </row>
        <row r="28">
          <cell r="A28">
            <v>11017</v>
          </cell>
          <cell r="B28" t="str">
            <v>NIPAGIN M</v>
          </cell>
          <cell r="C28" t="str">
            <v>CNNIPA</v>
          </cell>
        </row>
        <row r="29">
          <cell r="A29">
            <v>11017</v>
          </cell>
          <cell r="B29" t="str">
            <v>NIPAGIN M</v>
          </cell>
          <cell r="C29" t="str">
            <v>11017</v>
          </cell>
        </row>
        <row r="30">
          <cell r="A30">
            <v>11017</v>
          </cell>
          <cell r="B30" t="str">
            <v>NIPAGIN M</v>
          </cell>
          <cell r="C30" t="str">
            <v>11017</v>
          </cell>
        </row>
        <row r="31">
          <cell r="A31">
            <v>11018</v>
          </cell>
          <cell r="B31" t="str">
            <v>XM MEM-0949 EMULSION</v>
          </cell>
          <cell r="C31" t="str">
            <v>TES929</v>
          </cell>
        </row>
        <row r="32">
          <cell r="A32">
            <v>11019</v>
          </cell>
          <cell r="B32" t="str">
            <v>XIAMETER PMX-1403/BRB 1736</v>
          </cell>
          <cell r="C32" t="str">
            <v>TESIQ2</v>
          </cell>
        </row>
        <row r="33">
          <cell r="A33">
            <v>11019</v>
          </cell>
          <cell r="B33" t="str">
            <v>XIAMETER PMX-1403/BRB 1736</v>
          </cell>
          <cell r="C33" t="str">
            <v>TESIQ2</v>
          </cell>
        </row>
        <row r="34">
          <cell r="A34">
            <v>11020</v>
          </cell>
          <cell r="B34" t="str">
            <v>XIAMETER(R) OFX-0193 FLUID</v>
          </cell>
          <cell r="C34" t="str">
            <v>TES193</v>
          </cell>
        </row>
        <row r="35">
          <cell r="A35">
            <v>11023</v>
          </cell>
          <cell r="B35" t="str">
            <v>XM PMX-200 SIL FLUID .65CS 15K</v>
          </cell>
          <cell r="C35" t="str">
            <v>TES200</v>
          </cell>
        </row>
        <row r="36">
          <cell r="A36">
            <v>11024</v>
          </cell>
          <cell r="B36" t="str">
            <v>DOW CORNING 556 FLUID</v>
          </cell>
          <cell r="C36" t="str">
            <v>TES556</v>
          </cell>
        </row>
        <row r="37">
          <cell r="A37">
            <v>11025</v>
          </cell>
          <cell r="B37" t="str">
            <v>METHOCEL E 4M PREMIUM</v>
          </cell>
          <cell r="C37" t="str">
            <v>SPMETO</v>
          </cell>
        </row>
        <row r="38">
          <cell r="A38">
            <v>11026</v>
          </cell>
          <cell r="B38" t="str">
            <v>NIPASOL M</v>
          </cell>
          <cell r="C38" t="str">
            <v>CNSOLP</v>
          </cell>
        </row>
        <row r="39">
          <cell r="A39">
            <v>11026</v>
          </cell>
          <cell r="B39" t="str">
            <v>NIPASOL M</v>
          </cell>
          <cell r="C39" t="str">
            <v>11026</v>
          </cell>
        </row>
        <row r="40">
          <cell r="A40">
            <v>11026</v>
          </cell>
          <cell r="B40" t="str">
            <v>NIPASOL M</v>
          </cell>
          <cell r="C40" t="str">
            <v>11026</v>
          </cell>
        </row>
        <row r="41">
          <cell r="A41">
            <v>11027</v>
          </cell>
          <cell r="B41" t="str">
            <v>GLICERINA USP VEGETAL</v>
          </cell>
          <cell r="C41" t="str">
            <v>LIGLIC</v>
          </cell>
        </row>
        <row r="42">
          <cell r="A42">
            <v>11028</v>
          </cell>
          <cell r="B42" t="str">
            <v>MONOETANOLAMINA EXENTA FE</v>
          </cell>
          <cell r="C42" t="str">
            <v>LIMONO</v>
          </cell>
        </row>
        <row r="43">
          <cell r="A43">
            <v>11029</v>
          </cell>
          <cell r="B43" t="str">
            <v>CELLOSIZE QP 4400 HEC</v>
          </cell>
          <cell r="C43" t="str">
            <v>POHEC4</v>
          </cell>
        </row>
        <row r="44">
          <cell r="A44">
            <v>11030</v>
          </cell>
          <cell r="B44" t="str">
            <v>BETAINA / EMPIGEN BSFA</v>
          </cell>
          <cell r="C44" t="str">
            <v>TETEBE</v>
          </cell>
        </row>
        <row r="45">
          <cell r="A45">
            <v>11030</v>
          </cell>
          <cell r="B45" t="str">
            <v>BETAINA / EMPIGEN BSFA</v>
          </cell>
          <cell r="C45" t="str">
            <v>TETEBE</v>
          </cell>
        </row>
        <row r="46">
          <cell r="A46">
            <v>11031</v>
          </cell>
          <cell r="B46" t="str">
            <v>SIMULSOL 1293</v>
          </cell>
          <cell r="C46" t="str">
            <v>TESIMU</v>
          </cell>
        </row>
        <row r="47">
          <cell r="A47">
            <v>11032</v>
          </cell>
          <cell r="B47" t="str">
            <v>CELQUAT L-200</v>
          </cell>
          <cell r="C47" t="str">
            <v>POCEL2</v>
          </cell>
        </row>
        <row r="48">
          <cell r="A48">
            <v>11033</v>
          </cell>
          <cell r="B48" t="str">
            <v>AMPHOMER HC</v>
          </cell>
          <cell r="C48" t="str">
            <v>POVE90</v>
          </cell>
        </row>
        <row r="49">
          <cell r="A49">
            <v>11033</v>
          </cell>
          <cell r="B49" t="str">
            <v>AMPHOMER HC</v>
          </cell>
          <cell r="C49" t="str">
            <v>11033</v>
          </cell>
        </row>
        <row r="50">
          <cell r="A50">
            <v>11034</v>
          </cell>
          <cell r="B50" t="str">
            <v>SEPIGEL 305</v>
          </cell>
          <cell r="C50" t="str">
            <v>POSEPI</v>
          </cell>
        </row>
        <row r="51">
          <cell r="A51">
            <v>11035</v>
          </cell>
          <cell r="B51" t="str">
            <v>LECHE BABASSU 1,5 PS</v>
          </cell>
          <cell r="C51" t="str">
            <v>PALEBA</v>
          </cell>
        </row>
        <row r="52">
          <cell r="A52">
            <v>11036</v>
          </cell>
          <cell r="B52" t="str">
            <v>LAIT AVOCAT 1,5PS</v>
          </cell>
          <cell r="C52" t="str">
            <v>PALEAG</v>
          </cell>
        </row>
        <row r="53">
          <cell r="A53">
            <v>11037</v>
          </cell>
          <cell r="B53" t="str">
            <v>APRICOT MILK 1,5PS</v>
          </cell>
          <cell r="C53" t="str">
            <v>PALEAL</v>
          </cell>
        </row>
        <row r="54">
          <cell r="A54">
            <v>11038</v>
          </cell>
          <cell r="B54" t="str">
            <v>MANDARIN MILK 1,5PS</v>
          </cell>
          <cell r="C54" t="str">
            <v>PALEMA</v>
          </cell>
        </row>
        <row r="55">
          <cell r="A55">
            <v>11039</v>
          </cell>
          <cell r="B55" t="str">
            <v>FUCOGEL 1000 PP</v>
          </cell>
          <cell r="C55" t="str">
            <v>PAFUCO</v>
          </cell>
        </row>
        <row r="56">
          <cell r="A56">
            <v>11040</v>
          </cell>
          <cell r="B56" t="str">
            <v>CRYOLIDONE</v>
          </cell>
          <cell r="C56" t="str">
            <v>PACRYO</v>
          </cell>
        </row>
        <row r="57">
          <cell r="A57">
            <v>11041</v>
          </cell>
          <cell r="B57" t="str">
            <v>EXT. TAMARINDO ESP</v>
          </cell>
          <cell r="C57" t="str">
            <v>PAEXTA</v>
          </cell>
        </row>
        <row r="58">
          <cell r="A58">
            <v>11041</v>
          </cell>
          <cell r="B58" t="str">
            <v>EXT. TAMARINDO ESP</v>
          </cell>
          <cell r="C58" t="str">
            <v>11041</v>
          </cell>
        </row>
        <row r="59">
          <cell r="A59">
            <v>11042</v>
          </cell>
          <cell r="B59" t="str">
            <v>GLYCOLYSAT OF PAPAYA UP</v>
          </cell>
          <cell r="C59" t="str">
            <v>PAEXPA</v>
          </cell>
        </row>
        <row r="60">
          <cell r="A60">
            <v>11043</v>
          </cell>
          <cell r="B60" t="str">
            <v>ZINCIDONE</v>
          </cell>
          <cell r="C60" t="str">
            <v>PAZINC</v>
          </cell>
        </row>
        <row r="61">
          <cell r="A61">
            <v>11044</v>
          </cell>
          <cell r="B61" t="str">
            <v>ISCAGUARD CMI</v>
          </cell>
          <cell r="C61" t="str">
            <v>CNKACG</v>
          </cell>
        </row>
        <row r="62">
          <cell r="A62">
            <v>11044</v>
          </cell>
          <cell r="B62" t="str">
            <v>ISCAGUARD CMI</v>
          </cell>
          <cell r="C62" t="str">
            <v>CNKACG</v>
          </cell>
        </row>
        <row r="63">
          <cell r="A63">
            <v>11045</v>
          </cell>
          <cell r="B63" t="str">
            <v>PANTOTENATO CALCIO</v>
          </cell>
          <cell r="C63" t="str">
            <v>PAPACA</v>
          </cell>
        </row>
        <row r="64">
          <cell r="A64">
            <v>11046</v>
          </cell>
          <cell r="B64" t="str">
            <v>MENTOL CRISTAL</v>
          </cell>
          <cell r="C64" t="str">
            <v>PAMENT</v>
          </cell>
        </row>
        <row r="65">
          <cell r="A65">
            <v>11047</v>
          </cell>
          <cell r="B65" t="str">
            <v>NICOTINAMIDA PH EUR</v>
          </cell>
          <cell r="C65" t="str">
            <v>PAVIPP</v>
          </cell>
        </row>
        <row r="66">
          <cell r="A66">
            <v>11048</v>
          </cell>
          <cell r="B66" t="str">
            <v>ACIDO FOSFORICO 85% ALIM.</v>
          </cell>
          <cell r="C66" t="str">
            <v>SPACFO</v>
          </cell>
        </row>
        <row r="67">
          <cell r="A67">
            <v>11049</v>
          </cell>
          <cell r="B67" t="str">
            <v>D-PANTHENOL</v>
          </cell>
          <cell r="C67" t="str">
            <v>PAPANT</v>
          </cell>
        </row>
        <row r="68">
          <cell r="A68">
            <v>11050</v>
          </cell>
          <cell r="B68" t="str">
            <v>DL-PANTHENOL</v>
          </cell>
          <cell r="C68" t="str">
            <v>PAPADL</v>
          </cell>
        </row>
        <row r="69">
          <cell r="A69">
            <v>11053</v>
          </cell>
          <cell r="B69" t="str">
            <v>BENTONITA SODICA</v>
          </cell>
          <cell r="C69" t="str">
            <v>SPBESO</v>
          </cell>
        </row>
        <row r="70">
          <cell r="A70">
            <v>11054</v>
          </cell>
          <cell r="B70" t="str">
            <v>ACIDO SALICILICO</v>
          </cell>
          <cell r="C70" t="str">
            <v>SPACSA</v>
          </cell>
        </row>
        <row r="71">
          <cell r="A71">
            <v>11055</v>
          </cell>
          <cell r="B71" t="str">
            <v>KAOLIN LAVADO</v>
          </cell>
          <cell r="C71" t="str">
            <v>SPKAOL</v>
          </cell>
        </row>
        <row r="72">
          <cell r="A72">
            <v>11056</v>
          </cell>
          <cell r="B72" t="str">
            <v>FENACETINA</v>
          </cell>
          <cell r="C72" t="str">
            <v>CNFENA</v>
          </cell>
        </row>
        <row r="73">
          <cell r="A73">
            <v>11057</v>
          </cell>
          <cell r="B73" t="str">
            <v>DEHYQUART SP</v>
          </cell>
          <cell r="C73" t="str">
            <v>TEDESP</v>
          </cell>
        </row>
        <row r="74">
          <cell r="A74">
            <v>11059</v>
          </cell>
          <cell r="B74" t="str">
            <v>ESTEARATO ALUMINIO</v>
          </cell>
          <cell r="C74" t="str">
            <v>SPESAL</v>
          </cell>
        </row>
        <row r="75">
          <cell r="A75">
            <v>11060</v>
          </cell>
          <cell r="B75" t="str">
            <v>PLANTACARE 2000 UP</v>
          </cell>
          <cell r="C75" t="str">
            <v>TEPLAN</v>
          </cell>
        </row>
        <row r="76">
          <cell r="A76">
            <v>11060</v>
          </cell>
          <cell r="B76" t="str">
            <v>PLANTACARE 2000 UP</v>
          </cell>
          <cell r="C76" t="str">
            <v>AC2000</v>
          </cell>
        </row>
        <row r="77">
          <cell r="A77">
            <v>11061</v>
          </cell>
          <cell r="B77" t="str">
            <v>SOSA CITRATO PH EUR</v>
          </cell>
          <cell r="C77" t="str">
            <v>SPCISO</v>
          </cell>
        </row>
        <row r="78">
          <cell r="A78">
            <v>11062</v>
          </cell>
          <cell r="B78" t="str">
            <v>VITAMINA E ACETATO CARE</v>
          </cell>
          <cell r="C78" t="str">
            <v>PAVITE</v>
          </cell>
        </row>
        <row r="79">
          <cell r="A79">
            <v>11063</v>
          </cell>
          <cell r="B79" t="str">
            <v>NEO PCL HIDROSOLUBLE N</v>
          </cell>
          <cell r="C79" t="str">
            <v>TENPCL</v>
          </cell>
        </row>
        <row r="80">
          <cell r="A80">
            <v>11064</v>
          </cell>
          <cell r="B80" t="str">
            <v>ISOADIPATE</v>
          </cell>
          <cell r="C80" t="str">
            <v>LIISOA</v>
          </cell>
        </row>
        <row r="81">
          <cell r="A81">
            <v>11065</v>
          </cell>
          <cell r="B81" t="str">
            <v>OCTILDIMETILPABA</v>
          </cell>
          <cell r="C81" t="str">
            <v>PAOCTI</v>
          </cell>
        </row>
        <row r="82">
          <cell r="A82">
            <v>11066</v>
          </cell>
          <cell r="B82" t="str">
            <v>DEHYQUART H-81</v>
          </cell>
          <cell r="C82" t="str">
            <v>POPOLY</v>
          </cell>
        </row>
        <row r="83">
          <cell r="A83">
            <v>11067</v>
          </cell>
          <cell r="B83" t="str">
            <v>ANTIOXIDANTE BHT</v>
          </cell>
          <cell r="C83" t="str">
            <v>CNABHT</v>
          </cell>
        </row>
        <row r="84">
          <cell r="A84">
            <v>11068</v>
          </cell>
          <cell r="B84" t="str">
            <v>ALANTOINA PH EUR</v>
          </cell>
          <cell r="C84" t="str">
            <v>PAALAN</v>
          </cell>
        </row>
        <row r="85">
          <cell r="A85">
            <v>11069</v>
          </cell>
          <cell r="B85" t="str">
            <v>DISPONIL 286</v>
          </cell>
          <cell r="C85" t="str">
            <v>TEDISP</v>
          </cell>
        </row>
        <row r="86">
          <cell r="A86">
            <v>11070</v>
          </cell>
          <cell r="B86" t="str">
            <v>PCL LIQUIDO</v>
          </cell>
          <cell r="C86" t="str">
            <v>AGPCLL</v>
          </cell>
        </row>
        <row r="87">
          <cell r="A87">
            <v>11071</v>
          </cell>
          <cell r="B87" t="str">
            <v>COMPERLAN ODV</v>
          </cell>
          <cell r="C87" t="str">
            <v>TEEMPD</v>
          </cell>
        </row>
        <row r="88">
          <cell r="A88">
            <v>11072</v>
          </cell>
          <cell r="B88" t="str">
            <v>EMPIWAX CL</v>
          </cell>
          <cell r="C88" t="str">
            <v>EMD390</v>
          </cell>
        </row>
        <row r="89">
          <cell r="A89">
            <v>11073</v>
          </cell>
          <cell r="B89" t="str">
            <v>EMPILAN KM25FK/CESTOPAL 25 M</v>
          </cell>
          <cell r="C89" t="str">
            <v>EMEMKM</v>
          </cell>
        </row>
        <row r="90">
          <cell r="A90">
            <v>11073</v>
          </cell>
          <cell r="B90" t="str">
            <v>EMPILAN KM25FK/CESTOPAL 25 M</v>
          </cell>
          <cell r="C90" t="str">
            <v>EMEMKM</v>
          </cell>
        </row>
        <row r="91">
          <cell r="A91">
            <v>11074</v>
          </cell>
          <cell r="B91" t="str">
            <v>EMPICOL LX/B</v>
          </cell>
          <cell r="C91" t="str">
            <v>SPLSSP</v>
          </cell>
        </row>
        <row r="92">
          <cell r="A92">
            <v>11075</v>
          </cell>
          <cell r="B92" t="str">
            <v>EMPILAN CME/T</v>
          </cell>
          <cell r="C92" t="str">
            <v>EMEMPI</v>
          </cell>
        </row>
        <row r="93">
          <cell r="A93">
            <v>11076</v>
          </cell>
          <cell r="B93" t="str">
            <v>NAFOL 1618 H</v>
          </cell>
          <cell r="C93" t="str">
            <v>EMNAFH</v>
          </cell>
        </row>
        <row r="94">
          <cell r="A94">
            <v>11077</v>
          </cell>
          <cell r="B94" t="str">
            <v>ESTEARATO SODIO COSMETICO</v>
          </cell>
          <cell r="C94" t="str">
            <v>SPESSO</v>
          </cell>
        </row>
        <row r="95">
          <cell r="A95">
            <v>11078</v>
          </cell>
          <cell r="B95" t="str">
            <v>CROQUAT WKP PE-LQ(wd)</v>
          </cell>
          <cell r="C95" t="str">
            <v>PACROQ</v>
          </cell>
        </row>
        <row r="96">
          <cell r="A96">
            <v>11079</v>
          </cell>
          <cell r="B96" t="str">
            <v>ACEITE VASELINA LIQUIDA  V-80</v>
          </cell>
          <cell r="C96" t="str">
            <v>AGACVA</v>
          </cell>
        </row>
        <row r="97">
          <cell r="A97">
            <v>11080</v>
          </cell>
          <cell r="B97" t="str">
            <v>EASYLAN NI</v>
          </cell>
          <cell r="C97" t="str">
            <v>EMGANI</v>
          </cell>
        </row>
        <row r="98">
          <cell r="A98">
            <v>11081</v>
          </cell>
          <cell r="B98" t="str">
            <v>GANDAK SX</v>
          </cell>
          <cell r="C98" t="str">
            <v>EMGASX</v>
          </cell>
        </row>
        <row r="99">
          <cell r="A99">
            <v>11082</v>
          </cell>
          <cell r="B99" t="str">
            <v>MACTAN LC-52 B25</v>
          </cell>
          <cell r="C99" t="str">
            <v>PAMAFL</v>
          </cell>
        </row>
        <row r="100">
          <cell r="A100">
            <v>11083</v>
          </cell>
          <cell r="B100" t="str">
            <v>EMPIGEN BB</v>
          </cell>
          <cell r="C100" t="str">
            <v>TEEMBB</v>
          </cell>
        </row>
        <row r="101">
          <cell r="A101">
            <v>11084</v>
          </cell>
          <cell r="B101" t="str">
            <v>EXTRACTO GENCIANA H.G.</v>
          </cell>
          <cell r="C101" t="str">
            <v>PAEXGE</v>
          </cell>
        </row>
        <row r="102">
          <cell r="A102">
            <v>11085</v>
          </cell>
          <cell r="B102" t="str">
            <v>PRONALEN FRUIT ACIDS AHA 5</v>
          </cell>
          <cell r="C102" t="str">
            <v>PAPRFR</v>
          </cell>
        </row>
        <row r="103">
          <cell r="A103">
            <v>11086</v>
          </cell>
          <cell r="B103" t="str">
            <v>COMPLEJO CAPILAR</v>
          </cell>
          <cell r="C103" t="str">
            <v>PACOCA</v>
          </cell>
        </row>
        <row r="104">
          <cell r="A104">
            <v>11087</v>
          </cell>
          <cell r="B104" t="str">
            <v>PRONALEN GINSENG HSC</v>
          </cell>
          <cell r="C104" t="str">
            <v>PAGINS</v>
          </cell>
        </row>
        <row r="105">
          <cell r="A105">
            <v>11088</v>
          </cell>
          <cell r="B105" t="str">
            <v>ACEITE GERMEN DE TRIGO</v>
          </cell>
          <cell r="C105" t="str">
            <v>AGACGT</v>
          </cell>
        </row>
        <row r="106">
          <cell r="A106">
            <v>11089</v>
          </cell>
          <cell r="B106" t="str">
            <v>HIDROQUERATINA NATURAL</v>
          </cell>
          <cell r="C106" t="str">
            <v>PAHINA</v>
          </cell>
        </row>
        <row r="107">
          <cell r="A107">
            <v>11090</v>
          </cell>
          <cell r="B107" t="str">
            <v>BENZOFENONA-4</v>
          </cell>
          <cell r="C107" t="str">
            <v>PABENZ</v>
          </cell>
        </row>
        <row r="108">
          <cell r="A108">
            <v>11091</v>
          </cell>
          <cell r="B108" t="str">
            <v>ISOASCORBATE ACID</v>
          </cell>
          <cell r="C108" t="str">
            <v>SPISAC</v>
          </cell>
        </row>
        <row r="109">
          <cell r="A109">
            <v>11092</v>
          </cell>
          <cell r="B109" t="str">
            <v>PRESERVATIVE A15</v>
          </cell>
          <cell r="C109" t="str">
            <v>CNBIOP</v>
          </cell>
        </row>
        <row r="110">
          <cell r="A110">
            <v>11093</v>
          </cell>
          <cell r="B110" t="str">
            <v>PERSULFATO AMONICO</v>
          </cell>
          <cell r="C110" t="str">
            <v>SPPEAM</v>
          </cell>
        </row>
        <row r="111">
          <cell r="A111">
            <v>11094</v>
          </cell>
          <cell r="B111" t="str">
            <v>PERSULFATO POTASICO</v>
          </cell>
          <cell r="C111" t="str">
            <v>SPPEPO</v>
          </cell>
        </row>
        <row r="112">
          <cell r="A112">
            <v>11095</v>
          </cell>
          <cell r="B112" t="str">
            <v>ALCOHOL ETILIC ABSOLUT 99º  LT</v>
          </cell>
          <cell r="C112" t="str">
            <v>ALETAB</v>
          </cell>
        </row>
        <row r="113">
          <cell r="A113">
            <v>11096</v>
          </cell>
          <cell r="B113" t="str">
            <v>REWOMID IPP-240 MB</v>
          </cell>
          <cell r="C113" t="str">
            <v>TEREIP</v>
          </cell>
        </row>
        <row r="114">
          <cell r="A114">
            <v>11097</v>
          </cell>
          <cell r="B114" t="str">
            <v>REWOPAL PEG 6000 DS A</v>
          </cell>
          <cell r="C114" t="str">
            <v>EM6000</v>
          </cell>
        </row>
        <row r="115">
          <cell r="A115">
            <v>11098</v>
          </cell>
          <cell r="B115" t="str">
            <v>REWOTERIC AMCAS</v>
          </cell>
          <cell r="C115" t="str">
            <v>TEAMCA</v>
          </cell>
        </row>
        <row r="116">
          <cell r="A116">
            <v>11099</v>
          </cell>
          <cell r="B116" t="str">
            <v>LANTROL AWS</v>
          </cell>
          <cell r="C116" t="str">
            <v>TELAWS</v>
          </cell>
        </row>
        <row r="117">
          <cell r="A117">
            <v>11100</v>
          </cell>
          <cell r="B117" t="str">
            <v>BONDEMINOX B-280</v>
          </cell>
          <cell r="C117" t="str">
            <v>TEREWO</v>
          </cell>
        </row>
        <row r="118">
          <cell r="A118">
            <v>11100</v>
          </cell>
          <cell r="B118" t="str">
            <v>BONDEMINOX B-280</v>
          </cell>
          <cell r="C118" t="str">
            <v>MACKAMINE  SO</v>
          </cell>
        </row>
        <row r="119">
          <cell r="A119">
            <v>11100</v>
          </cell>
          <cell r="B119" t="str">
            <v>BONDEMINOX B-280</v>
          </cell>
          <cell r="C119" t="str">
            <v>BONDEMINOX B280</v>
          </cell>
        </row>
        <row r="120">
          <cell r="A120">
            <v>11101</v>
          </cell>
          <cell r="B120" t="str">
            <v>SILKPRO F</v>
          </cell>
          <cell r="C120" t="str">
            <v>PASILK</v>
          </cell>
        </row>
        <row r="121">
          <cell r="A121">
            <v>11102</v>
          </cell>
          <cell r="B121" t="str">
            <v>GAFQUAT 755 NO</v>
          </cell>
          <cell r="C121" t="str">
            <v>POG755</v>
          </cell>
        </row>
        <row r="122">
          <cell r="A122">
            <v>11103</v>
          </cell>
          <cell r="B122" t="str">
            <v>GAFQUAT 734</v>
          </cell>
          <cell r="C122" t="str">
            <v>POG734</v>
          </cell>
        </row>
        <row r="123">
          <cell r="A123">
            <v>11104</v>
          </cell>
          <cell r="B123" t="str">
            <v>EXTRACTO SEMBURI BG-100</v>
          </cell>
          <cell r="C123" t="str">
            <v>PAEXSE</v>
          </cell>
        </row>
        <row r="124">
          <cell r="A124">
            <v>11105</v>
          </cell>
          <cell r="B124" t="str">
            <v>COMPLEJO CAPILAR ANTI-CAIDA PF</v>
          </cell>
          <cell r="C124" t="str">
            <v>PABIOP</v>
          </cell>
        </row>
        <row r="125">
          <cell r="A125">
            <v>11106</v>
          </cell>
          <cell r="B125" t="str">
            <v>CEGABA POLVO 97%</v>
          </cell>
          <cell r="C125" t="str">
            <v>PACEGA</v>
          </cell>
        </row>
        <row r="126">
          <cell r="A126">
            <v>11107</v>
          </cell>
          <cell r="B126" t="str">
            <v>BAMBOO EXTRACT EA141600</v>
          </cell>
          <cell r="C126" t="str">
            <v>PAEXBA</v>
          </cell>
        </row>
        <row r="127">
          <cell r="A127">
            <v>11108</v>
          </cell>
          <cell r="B127" t="str">
            <v>THIOSOME P</v>
          </cell>
          <cell r="C127" t="str">
            <v>PATHIO</v>
          </cell>
        </row>
        <row r="128">
          <cell r="A128">
            <v>11109</v>
          </cell>
          <cell r="B128" t="str">
            <v>VITAMINA F HIDROS CLR</v>
          </cell>
          <cell r="C128" t="str">
            <v>PAVIFH</v>
          </cell>
        </row>
        <row r="129">
          <cell r="A129">
            <v>11110</v>
          </cell>
          <cell r="B129" t="str">
            <v>MILK PEPTIDE PROTEIN  (Grams)</v>
          </cell>
          <cell r="C129" t="str">
            <v>PAMPCO</v>
          </cell>
        </row>
        <row r="130">
          <cell r="A130">
            <v>11111</v>
          </cell>
          <cell r="B130" t="str">
            <v>GANTREZ ES 425</v>
          </cell>
          <cell r="C130" t="str">
            <v>POGAES</v>
          </cell>
        </row>
        <row r="131">
          <cell r="A131">
            <v>11112</v>
          </cell>
          <cell r="B131" t="str">
            <v>LUVISKOL K-90</v>
          </cell>
          <cell r="C131" t="str">
            <v>POPK90</v>
          </cell>
        </row>
        <row r="132">
          <cell r="A132">
            <v>11112</v>
          </cell>
          <cell r="B132" t="str">
            <v>LUVISKOL K-90</v>
          </cell>
          <cell r="C132" t="str">
            <v>PVP   K/90</v>
          </cell>
        </row>
        <row r="133">
          <cell r="A133">
            <v>11113</v>
          </cell>
          <cell r="B133" t="str">
            <v>ANTARA 430</v>
          </cell>
          <cell r="C133" t="str">
            <v>POA430</v>
          </cell>
        </row>
        <row r="134">
          <cell r="A134">
            <v>11115</v>
          </cell>
          <cell r="B134" t="str">
            <v>PVP/VA E-635</v>
          </cell>
          <cell r="C134" t="str">
            <v>POE635</v>
          </cell>
        </row>
        <row r="135">
          <cell r="A135">
            <v>11116</v>
          </cell>
          <cell r="B135" t="str">
            <v>COPOLYMER VC-713</v>
          </cell>
          <cell r="C135" t="str">
            <v>POCOVC</v>
          </cell>
        </row>
        <row r="136">
          <cell r="A136">
            <v>11117</v>
          </cell>
          <cell r="B136" t="str">
            <v>LUVISKOL K-30</v>
          </cell>
          <cell r="C136" t="str">
            <v>POPK30</v>
          </cell>
        </row>
        <row r="137">
          <cell r="A137">
            <v>11119</v>
          </cell>
          <cell r="B137" t="str">
            <v>HIDROLIZED WHEAT PROTEIN</v>
          </cell>
          <cell r="C137" t="str">
            <v>PAHIWP</v>
          </cell>
        </row>
        <row r="138">
          <cell r="A138">
            <v>11120</v>
          </cell>
          <cell r="B138" t="str">
            <v>FIJADOR HC</v>
          </cell>
          <cell r="C138" t="str">
            <v>TEFIHC</v>
          </cell>
        </row>
        <row r="139">
          <cell r="A139">
            <v>11121</v>
          </cell>
          <cell r="B139" t="str">
            <v>HUMECTANTE T</v>
          </cell>
          <cell r="C139" t="str">
            <v>TEHUMT</v>
          </cell>
        </row>
        <row r="140">
          <cell r="A140">
            <v>11122</v>
          </cell>
          <cell r="B140" t="str">
            <v>LUVIQUAT FC 370</v>
          </cell>
          <cell r="C140" t="str">
            <v>POLUVI</v>
          </cell>
        </row>
        <row r="141">
          <cell r="A141">
            <v>11123</v>
          </cell>
          <cell r="B141" t="str">
            <v>DABEERSEN 503 LIQUID</v>
          </cell>
          <cell r="C141" t="str">
            <v>CND503</v>
          </cell>
        </row>
        <row r="142">
          <cell r="A142">
            <v>11124</v>
          </cell>
          <cell r="B142" t="str">
            <v>DABEERSEN H Tecnico</v>
          </cell>
          <cell r="C142" t="str">
            <v>CNDABH</v>
          </cell>
        </row>
        <row r="143">
          <cell r="A143">
            <v>11125</v>
          </cell>
          <cell r="B143" t="str">
            <v>EMULSOGEN DTC 70</v>
          </cell>
          <cell r="C143" t="str">
            <v>TESAND</v>
          </cell>
        </row>
        <row r="144">
          <cell r="A144">
            <v>11125</v>
          </cell>
          <cell r="B144" t="str">
            <v>EMULSOGEN DTC 70</v>
          </cell>
          <cell r="C144" t="str">
            <v>11125</v>
          </cell>
        </row>
        <row r="145">
          <cell r="A145">
            <v>11125</v>
          </cell>
          <cell r="B145" t="str">
            <v>EMULSOGEN DTC 70</v>
          </cell>
          <cell r="C145" t="str">
            <v>11125</v>
          </cell>
        </row>
        <row r="146">
          <cell r="A146">
            <v>11126</v>
          </cell>
          <cell r="B146" t="str">
            <v>UCARE (TM) POLYMER JR-400</v>
          </cell>
          <cell r="C146" t="str">
            <v>POJR40</v>
          </cell>
        </row>
        <row r="147">
          <cell r="A147">
            <v>11126</v>
          </cell>
          <cell r="B147" t="str">
            <v>UCARE (TM) POLYMER JR-400</v>
          </cell>
          <cell r="C147" t="str">
            <v>11126</v>
          </cell>
        </row>
        <row r="148">
          <cell r="A148">
            <v>11127</v>
          </cell>
          <cell r="B148" t="str">
            <v>UCARE (TM) POLYMER JR-30M</v>
          </cell>
          <cell r="C148" t="str">
            <v>POJR30</v>
          </cell>
        </row>
        <row r="149">
          <cell r="A149">
            <v>11128</v>
          </cell>
          <cell r="B149" t="str">
            <v>JAGUAR HP-105 ESPECS</v>
          </cell>
          <cell r="C149" t="str">
            <v>POJAHP</v>
          </cell>
        </row>
        <row r="150">
          <cell r="A150">
            <v>11130</v>
          </cell>
          <cell r="B150" t="str">
            <v>PIROCTONE OLAMINE</v>
          </cell>
          <cell r="C150" t="str">
            <v>PAOCTO</v>
          </cell>
        </row>
        <row r="151">
          <cell r="A151">
            <v>11130</v>
          </cell>
          <cell r="B151" t="str">
            <v>PIROCTONE OLAMINE</v>
          </cell>
          <cell r="C151" t="str">
            <v>OCTO PYRION</v>
          </cell>
        </row>
        <row r="152">
          <cell r="A152">
            <v>11130</v>
          </cell>
          <cell r="B152" t="str">
            <v>PIROCTONE OLAMINE</v>
          </cell>
          <cell r="C152" t="str">
            <v>OCTOPIROX</v>
          </cell>
        </row>
        <row r="153">
          <cell r="A153">
            <v>11131</v>
          </cell>
          <cell r="B153" t="str">
            <v>MERQUAT 100</v>
          </cell>
          <cell r="C153" t="str">
            <v>POMERQ</v>
          </cell>
        </row>
        <row r="154">
          <cell r="A154">
            <v>11132</v>
          </cell>
          <cell r="B154" t="str">
            <v>MERQUAT 2001</v>
          </cell>
          <cell r="C154" t="str">
            <v>POME20</v>
          </cell>
        </row>
        <row r="155">
          <cell r="A155">
            <v>11133</v>
          </cell>
          <cell r="B155" t="str">
            <v>GIFRAN  2 M</v>
          </cell>
          <cell r="C155" t="str">
            <v>TENEMC</v>
          </cell>
        </row>
        <row r="156">
          <cell r="A156">
            <v>11134</v>
          </cell>
          <cell r="B156" t="str">
            <v>MONESTRIOL EN-A</v>
          </cell>
          <cell r="C156" t="str">
            <v>EMMENA</v>
          </cell>
        </row>
        <row r="157">
          <cell r="A157">
            <v>11135</v>
          </cell>
          <cell r="B157" t="str">
            <v>OLEFAT - 12</v>
          </cell>
          <cell r="C157" t="str">
            <v>PVP  K/90</v>
          </cell>
        </row>
        <row r="158">
          <cell r="A158">
            <v>11135</v>
          </cell>
          <cell r="B158" t="str">
            <v>OLEFAT - 12</v>
          </cell>
          <cell r="C158" t="str">
            <v>DERVACID 3290</v>
          </cell>
        </row>
        <row r="159">
          <cell r="A159">
            <v>11135</v>
          </cell>
          <cell r="B159" t="str">
            <v>OLEFAT - 12</v>
          </cell>
          <cell r="C159" t="str">
            <v>LUVISKOL K90</v>
          </cell>
        </row>
        <row r="160">
          <cell r="A160">
            <v>11135</v>
          </cell>
          <cell r="B160" t="str">
            <v>OLEFAT - 12</v>
          </cell>
          <cell r="C160" t="str">
            <v>OLEFAT-12</v>
          </cell>
        </row>
        <row r="161">
          <cell r="A161">
            <v>11136</v>
          </cell>
          <cell r="B161" t="str">
            <v>HPC N-11</v>
          </cell>
          <cell r="C161" t="str">
            <v>PAHPCN</v>
          </cell>
        </row>
        <row r="162">
          <cell r="A162">
            <v>11139</v>
          </cell>
          <cell r="B162" t="str">
            <v>QUARTAMIN 60W25</v>
          </cell>
          <cell r="C162" t="str">
            <v>TEQU60</v>
          </cell>
        </row>
        <row r="163">
          <cell r="A163">
            <v>11140</v>
          </cell>
          <cell r="B163" t="str">
            <v>ECOROL 16/98  P</v>
          </cell>
          <cell r="C163" t="str">
            <v>EMPU16</v>
          </cell>
        </row>
        <row r="164">
          <cell r="A164">
            <v>11141</v>
          </cell>
          <cell r="B164" t="str">
            <v>EUR-AMID PK</v>
          </cell>
          <cell r="C164" t="str">
            <v>TEB112</v>
          </cell>
        </row>
        <row r="165">
          <cell r="A165">
            <v>11143</v>
          </cell>
          <cell r="B165" t="str">
            <v>CARBON.MAGNESIA Lig.Imp.</v>
          </cell>
          <cell r="C165" t="str">
            <v>SPCMLI</v>
          </cell>
        </row>
        <row r="166">
          <cell r="A166">
            <v>11144</v>
          </cell>
          <cell r="B166" t="str">
            <v>AEROSIL N-20</v>
          </cell>
          <cell r="C166" t="str">
            <v>SPAE20</v>
          </cell>
        </row>
        <row r="167">
          <cell r="A167">
            <v>11145</v>
          </cell>
          <cell r="B167" t="str">
            <v>PEG-40 CASTOR OIL</v>
          </cell>
          <cell r="C167" t="str">
            <v>TEMUEL</v>
          </cell>
        </row>
        <row r="168">
          <cell r="A168">
            <v>11146</v>
          </cell>
          <cell r="B168" t="str">
            <v>HALLSTAR SAB-2N</v>
          </cell>
          <cell r="C168" t="str">
            <v>TESTEP</v>
          </cell>
        </row>
        <row r="169">
          <cell r="A169">
            <v>11147</v>
          </cell>
          <cell r="B169" t="str">
            <v>WHITE CLAY SF</v>
          </cell>
          <cell r="C169" t="str">
            <v>SPARCI</v>
          </cell>
        </row>
        <row r="170">
          <cell r="A170">
            <v>11148</v>
          </cell>
          <cell r="B170" t="str">
            <v>TIMIRON SUPERSHEEN MP-1001</v>
          </cell>
          <cell r="C170" t="str">
            <v>11148</v>
          </cell>
        </row>
        <row r="171">
          <cell r="A171">
            <v>11148</v>
          </cell>
          <cell r="B171" t="str">
            <v>TIMIRON SUPERSHEEN MP-1001</v>
          </cell>
          <cell r="C171" t="str">
            <v>11148</v>
          </cell>
        </row>
        <row r="172">
          <cell r="A172">
            <v>11149</v>
          </cell>
          <cell r="B172" t="str">
            <v>TIOGLICOLATO AMONICO SOL. 59%</v>
          </cell>
          <cell r="C172" t="str">
            <v>LITIAM</v>
          </cell>
        </row>
        <row r="173">
          <cell r="A173">
            <v>11150</v>
          </cell>
          <cell r="B173" t="str">
            <v>EUSOLEX 2292</v>
          </cell>
          <cell r="C173" t="str">
            <v>PAEU22</v>
          </cell>
        </row>
        <row r="174">
          <cell r="A174">
            <v>11151</v>
          </cell>
          <cell r="B174" t="str">
            <v>TEGIN Pellets MB</v>
          </cell>
          <cell r="C174" t="str">
            <v>TETEGI</v>
          </cell>
        </row>
        <row r="175">
          <cell r="A175">
            <v>11152</v>
          </cell>
          <cell r="B175" t="str">
            <v>SULFITO SOSA ANHIDRO ALIM.</v>
          </cell>
          <cell r="C175" t="str">
            <v>SPSUSO</v>
          </cell>
        </row>
        <row r="176">
          <cell r="A176">
            <v>11153</v>
          </cell>
          <cell r="B176" t="str">
            <v>SAL VACCUM EXTSEC ALIM.269B7A</v>
          </cell>
          <cell r="C176" t="str">
            <v>SPSAVA</v>
          </cell>
        </row>
        <row r="177">
          <cell r="A177">
            <v>11154</v>
          </cell>
          <cell r="B177" t="str">
            <v>AMONIACO 24 BÚ 25%</v>
          </cell>
          <cell r="C177" t="str">
            <v>LIAMON</v>
          </cell>
        </row>
        <row r="178">
          <cell r="A178">
            <v>11156</v>
          </cell>
          <cell r="B178" t="str">
            <v>ESTANNATO SODICO</v>
          </cell>
          <cell r="C178" t="str">
            <v>SPESTA</v>
          </cell>
        </row>
        <row r="179">
          <cell r="A179">
            <v>11158</v>
          </cell>
          <cell r="B179" t="str">
            <v>HIDROSULFITO SÓDICO EN DF</v>
          </cell>
          <cell r="C179" t="str">
            <v>SPHISO</v>
          </cell>
        </row>
        <row r="180">
          <cell r="A180">
            <v>11159</v>
          </cell>
          <cell r="B180" t="str">
            <v>OXIGENADA 50%</v>
          </cell>
          <cell r="C180" t="str">
            <v>LIOXIG</v>
          </cell>
        </row>
        <row r="181">
          <cell r="A181">
            <v>11160</v>
          </cell>
          <cell r="B181" t="str">
            <v>AMP - 90</v>
          </cell>
          <cell r="C181" t="str">
            <v>LIAMP9</v>
          </cell>
        </row>
        <row r="182">
          <cell r="A182">
            <v>11161</v>
          </cell>
          <cell r="B182" t="str">
            <v>POLYSORBATE 80 E433</v>
          </cell>
          <cell r="C182" t="str">
            <v>11161</v>
          </cell>
        </row>
        <row r="183">
          <cell r="A183">
            <v>11161</v>
          </cell>
          <cell r="B183" t="str">
            <v>POLYSORBATE 80 E433</v>
          </cell>
          <cell r="C183" t="str">
            <v>11161</v>
          </cell>
        </row>
        <row r="184">
          <cell r="A184">
            <v>11162</v>
          </cell>
          <cell r="B184" t="str">
            <v>AMINODERMIN CLR (Grams)</v>
          </cell>
          <cell r="C184" t="str">
            <v>PAAMIN</v>
          </cell>
        </row>
        <row r="185">
          <cell r="A185">
            <v>11163</v>
          </cell>
          <cell r="B185" t="str">
            <v>GAFQUAT PL (HS-100)</v>
          </cell>
          <cell r="C185" t="str">
            <v>POGAPL</v>
          </cell>
        </row>
        <row r="186">
          <cell r="A186">
            <v>11164</v>
          </cell>
          <cell r="B186" t="str">
            <v>SODIO PIROFOSFATO TETRABASICO</v>
          </cell>
          <cell r="C186" t="str">
            <v>SPPITE</v>
          </cell>
        </row>
        <row r="187">
          <cell r="A187">
            <v>11165</v>
          </cell>
          <cell r="B187" t="str">
            <v>PROMOIS WG</v>
          </cell>
          <cell r="C187" t="str">
            <v>PAPRWG</v>
          </cell>
        </row>
        <row r="188">
          <cell r="A188">
            <v>11166</v>
          </cell>
          <cell r="B188" t="str">
            <v>VILVANOLIN CAB</v>
          </cell>
          <cell r="C188" t="str">
            <v>AGACAB</v>
          </cell>
        </row>
        <row r="189">
          <cell r="A189">
            <v>11167</v>
          </cell>
          <cell r="B189" t="str">
            <v>METASILICATO SODICO (SIMET AP)</v>
          </cell>
          <cell r="C189" t="str">
            <v>SPMESO</v>
          </cell>
        </row>
        <row r="190">
          <cell r="A190">
            <v>11168</v>
          </cell>
          <cell r="B190" t="str">
            <v>CIRE DE LANOL CTO</v>
          </cell>
          <cell r="C190" t="str">
            <v>EMLCTO</v>
          </cell>
        </row>
        <row r="191">
          <cell r="A191">
            <v>11169</v>
          </cell>
          <cell r="B191" t="str">
            <v>DEPURCAL</v>
          </cell>
          <cell r="C191" t="str">
            <v>DEDEPU</v>
          </cell>
        </row>
        <row r="192">
          <cell r="A192">
            <v>11170</v>
          </cell>
          <cell r="B192" t="str">
            <v>BD DEPURAL S</v>
          </cell>
          <cell r="C192" t="str">
            <v>DESUAL</v>
          </cell>
        </row>
        <row r="193">
          <cell r="A193">
            <v>11172</v>
          </cell>
          <cell r="B193" t="str">
            <v>XM PMX-0245 CYCLOPENTASILOXANE</v>
          </cell>
          <cell r="C193" t="str">
            <v>TES245</v>
          </cell>
        </row>
        <row r="194">
          <cell r="A194">
            <v>11172</v>
          </cell>
          <cell r="B194" t="str">
            <v>XM PMX-0245 CYCLOPENTASILOXANE</v>
          </cell>
          <cell r="C194" t="str">
            <v>SF 1202</v>
          </cell>
        </row>
        <row r="195">
          <cell r="A195">
            <v>11172</v>
          </cell>
          <cell r="B195" t="str">
            <v>XM PMX-0245 CYCLOPENTASILOXANE</v>
          </cell>
          <cell r="C195" t="str">
            <v>TES245</v>
          </cell>
        </row>
        <row r="196">
          <cell r="A196">
            <v>11173</v>
          </cell>
          <cell r="B196" t="str">
            <v>MACADAMIA NUT OIL CP RBD</v>
          </cell>
          <cell r="C196" t="str">
            <v>PAACMA</v>
          </cell>
        </row>
        <row r="197">
          <cell r="A197">
            <v>11174</v>
          </cell>
          <cell r="B197" t="str">
            <v>MIRASIL CDM-L</v>
          </cell>
          <cell r="C197" t="str">
            <v>TE1501</v>
          </cell>
        </row>
        <row r="198">
          <cell r="A198">
            <v>11174</v>
          </cell>
          <cell r="B198" t="str">
            <v>MIRASIL CDM-L</v>
          </cell>
          <cell r="C198" t="str">
            <v>TE1501</v>
          </cell>
        </row>
        <row r="199">
          <cell r="A199">
            <v>11174</v>
          </cell>
          <cell r="B199" t="str">
            <v>MIRASIL CDM-L</v>
          </cell>
          <cell r="C199" t="str">
            <v>TE1501</v>
          </cell>
        </row>
        <row r="200">
          <cell r="A200">
            <v>11175</v>
          </cell>
          <cell r="B200" t="str">
            <v>COSMOFERM MIX III</v>
          </cell>
          <cell r="C200" t="str">
            <v>PADE10</v>
          </cell>
        </row>
        <row r="201">
          <cell r="A201">
            <v>11176</v>
          </cell>
          <cell r="B201" t="str">
            <v>PROMOIS WK-F</v>
          </cell>
          <cell r="C201" t="str">
            <v>PAPRWK</v>
          </cell>
        </row>
        <row r="202">
          <cell r="A202">
            <v>11177</v>
          </cell>
          <cell r="B202" t="str">
            <v>NEQUAT 22 PF</v>
          </cell>
          <cell r="C202" t="str">
            <v>MERQUAT 280</v>
          </cell>
        </row>
        <row r="203">
          <cell r="A203">
            <v>11177</v>
          </cell>
          <cell r="B203" t="str">
            <v>NEQUAT 22 PF</v>
          </cell>
          <cell r="C203" t="str">
            <v>NEQUAT 22</v>
          </cell>
        </row>
        <row r="204">
          <cell r="A204">
            <v>11178</v>
          </cell>
          <cell r="B204" t="str">
            <v>ORANGE PEEL WAX</v>
          </cell>
          <cell r="C204" t="str">
            <v>PACENA</v>
          </cell>
        </row>
        <row r="205">
          <cell r="A205">
            <v>11179</v>
          </cell>
          <cell r="B205" t="str">
            <v>EUROPERL 900</v>
          </cell>
          <cell r="C205" t="str">
            <v>DEE900</v>
          </cell>
        </row>
        <row r="206">
          <cell r="A206">
            <v>11180</v>
          </cell>
          <cell r="B206" t="str">
            <v>ANTIESPUMANTE DMS</v>
          </cell>
          <cell r="C206" t="str">
            <v>DEADMS</v>
          </cell>
        </row>
        <row r="207">
          <cell r="A207">
            <v>11181</v>
          </cell>
          <cell r="B207" t="str">
            <v>EMPIGEN OB EB</v>
          </cell>
          <cell r="C207" t="str">
            <v>TEEMOB</v>
          </cell>
        </row>
        <row r="208">
          <cell r="A208">
            <v>11183</v>
          </cell>
          <cell r="B208" t="str">
            <v>LUVISKOL VA 64 POWDER</v>
          </cell>
          <cell r="C208" t="str">
            <v>POL64P</v>
          </cell>
        </row>
        <row r="209">
          <cell r="A209">
            <v>11184</v>
          </cell>
          <cell r="B209" t="str">
            <v>SIMULSOL 98</v>
          </cell>
          <cell r="C209" t="str">
            <v>TESI98</v>
          </cell>
        </row>
        <row r="210">
          <cell r="A210">
            <v>11185</v>
          </cell>
          <cell r="B210" t="str">
            <v>RICINO H 25 M</v>
          </cell>
          <cell r="C210" t="str">
            <v>TESI12</v>
          </cell>
        </row>
        <row r="211">
          <cell r="A211">
            <v>11185</v>
          </cell>
          <cell r="B211" t="str">
            <v>RICINO H 25 M</v>
          </cell>
          <cell r="C211" t="str">
            <v>RICINO H 25 M</v>
          </cell>
        </row>
        <row r="212">
          <cell r="A212">
            <v>11185</v>
          </cell>
          <cell r="B212" t="str">
            <v>RICINO H 25 M</v>
          </cell>
          <cell r="C212" t="str">
            <v>SIMULSOL 1292</v>
          </cell>
        </row>
        <row r="213">
          <cell r="A213">
            <v>11186</v>
          </cell>
          <cell r="B213" t="str">
            <v>ACULYN 22</v>
          </cell>
          <cell r="C213" t="str">
            <v>POAC22</v>
          </cell>
        </row>
        <row r="214">
          <cell r="A214">
            <v>11187</v>
          </cell>
          <cell r="B214" t="str">
            <v>SORBITOL 70%</v>
          </cell>
          <cell r="C214" t="str">
            <v>LISORB</v>
          </cell>
        </row>
        <row r="215">
          <cell r="A215">
            <v>11188</v>
          </cell>
          <cell r="B215" t="str">
            <v>CUTINA HR FLAKES</v>
          </cell>
          <cell r="C215" t="str">
            <v>AGCUHR</v>
          </cell>
        </row>
        <row r="216">
          <cell r="A216">
            <v>11189</v>
          </cell>
          <cell r="B216" t="str">
            <v>ESTEARINA C</v>
          </cell>
          <cell r="C216" t="str">
            <v>EMESTE</v>
          </cell>
        </row>
        <row r="217">
          <cell r="A217">
            <v>11190</v>
          </cell>
          <cell r="B217" t="str">
            <v>SP PROCETYL AWS MBAL-LQ-(RB)</v>
          </cell>
          <cell r="C217" t="str">
            <v>EMPRAW</v>
          </cell>
        </row>
        <row r="218">
          <cell r="A218">
            <v>11191</v>
          </cell>
          <cell r="B218" t="str">
            <v>DUB IPM</v>
          </cell>
          <cell r="C218" t="str">
            <v>AGISMI</v>
          </cell>
        </row>
        <row r="219">
          <cell r="A219">
            <v>11192</v>
          </cell>
          <cell r="B219" t="str">
            <v>CARBOPOL AQUA SF-1 POLYMER</v>
          </cell>
          <cell r="C219" t="str">
            <v>POCAAQ</v>
          </cell>
        </row>
        <row r="220">
          <cell r="A220">
            <v>11193</v>
          </cell>
          <cell r="B220" t="str">
            <v>CASTOR OIL REFINED</v>
          </cell>
          <cell r="C220" t="str">
            <v>AGACRI</v>
          </cell>
        </row>
        <row r="221">
          <cell r="A221">
            <v>11193</v>
          </cell>
          <cell r="B221" t="str">
            <v>CASTOR OIL REFINED</v>
          </cell>
          <cell r="C221" t="str">
            <v>ACEITE DE RECINO</v>
          </cell>
        </row>
        <row r="222">
          <cell r="A222">
            <v>11194</v>
          </cell>
          <cell r="B222" t="str">
            <v>PERMULGIN 3500</v>
          </cell>
          <cell r="C222" t="str">
            <v>AGP350</v>
          </cell>
        </row>
        <row r="223">
          <cell r="A223">
            <v>11195</v>
          </cell>
          <cell r="B223" t="str">
            <v>PERMULGIN 3220</v>
          </cell>
          <cell r="C223" t="str">
            <v>AGP322</v>
          </cell>
        </row>
        <row r="224">
          <cell r="A224">
            <v>11196</v>
          </cell>
          <cell r="B224" t="str">
            <v>SODIO HIDRÓXIDO Lentejas</v>
          </cell>
          <cell r="C224" t="str">
            <v>SPSOHY</v>
          </cell>
        </row>
        <row r="225">
          <cell r="A225">
            <v>11197</v>
          </cell>
          <cell r="B225" t="str">
            <v>LANOLIN WAX</v>
          </cell>
          <cell r="C225" t="str">
            <v>AGLAWA</v>
          </cell>
        </row>
        <row r="226">
          <cell r="A226">
            <v>11198</v>
          </cell>
          <cell r="B226" t="str">
            <v>BRIJ  IC20</v>
          </cell>
          <cell r="C226" t="str">
            <v>EMAR20</v>
          </cell>
        </row>
        <row r="227">
          <cell r="A227">
            <v>11199</v>
          </cell>
          <cell r="B227" t="str">
            <v>BRIJ 02</v>
          </cell>
          <cell r="C227" t="str">
            <v>EMBR92</v>
          </cell>
        </row>
        <row r="228">
          <cell r="A228">
            <v>11200</v>
          </cell>
          <cell r="B228" t="str">
            <v>GLUCAM E-20</v>
          </cell>
          <cell r="C228" t="str">
            <v>LIGE20</v>
          </cell>
        </row>
        <row r="229">
          <cell r="A229">
            <v>11201</v>
          </cell>
          <cell r="B229" t="str">
            <v>REWOPAL PIB-1000</v>
          </cell>
          <cell r="C229" t="str">
            <v>AGRPIB</v>
          </cell>
        </row>
        <row r="230">
          <cell r="A230">
            <v>11202</v>
          </cell>
          <cell r="B230" t="str">
            <v>CROTHIX MBAL-PA-(MH)</v>
          </cell>
          <cell r="C230" t="str">
            <v>EMCROT</v>
          </cell>
        </row>
        <row r="231">
          <cell r="A231">
            <v>11203</v>
          </cell>
          <cell r="B231" t="str">
            <v>POLYOX WSR 301</v>
          </cell>
          <cell r="C231" t="str">
            <v>POP301</v>
          </cell>
        </row>
        <row r="232">
          <cell r="A232">
            <v>11204</v>
          </cell>
          <cell r="B232" t="str">
            <v>SIMULSOL 165</v>
          </cell>
          <cell r="C232" t="str">
            <v>TES165</v>
          </cell>
        </row>
        <row r="233">
          <cell r="A233">
            <v>11205</v>
          </cell>
          <cell r="B233" t="str">
            <v>GERMALL- II</v>
          </cell>
          <cell r="C233" t="str">
            <v>CNGEII</v>
          </cell>
        </row>
        <row r="234">
          <cell r="A234">
            <v>11206</v>
          </cell>
          <cell r="B234" t="str">
            <v>ARQUAD PC HTB 75</v>
          </cell>
          <cell r="C234" t="str">
            <v>TEAHTB</v>
          </cell>
        </row>
        <row r="235">
          <cell r="A235">
            <v>11206</v>
          </cell>
          <cell r="B235" t="str">
            <v>ARQUAD PC HTB 75</v>
          </cell>
          <cell r="C235" t="str">
            <v>TEAHTB</v>
          </cell>
        </row>
        <row r="236">
          <cell r="A236">
            <v>11207</v>
          </cell>
          <cell r="B236" t="str">
            <v>CERA CANDELILLA</v>
          </cell>
          <cell r="C236" t="str">
            <v>AGCECA</v>
          </cell>
        </row>
        <row r="237">
          <cell r="A237">
            <v>11208</v>
          </cell>
          <cell r="B237" t="str">
            <v>DUB PO</v>
          </cell>
          <cell r="C237" t="str">
            <v>AGDUPO</v>
          </cell>
        </row>
        <row r="238">
          <cell r="A238">
            <v>11209</v>
          </cell>
          <cell r="B238" t="str">
            <v>VARISOFT BT 85</v>
          </cell>
          <cell r="C238" t="str">
            <v>TEVABT</v>
          </cell>
        </row>
        <row r="239">
          <cell r="A239">
            <v>11210</v>
          </cell>
          <cell r="B239" t="str">
            <v>BRIJ S2-SO-(SG)</v>
          </cell>
          <cell r="C239" t="str">
            <v>EMBR72</v>
          </cell>
        </row>
        <row r="240">
          <cell r="A240">
            <v>11211</v>
          </cell>
          <cell r="B240" t="str">
            <v>SAEOIL APRICOT KERNEL</v>
          </cell>
          <cell r="C240" t="str">
            <v>AGSAAP</v>
          </cell>
        </row>
        <row r="241">
          <cell r="A241">
            <v>11212</v>
          </cell>
          <cell r="B241" t="str">
            <v>COSMEDIA CTH (E)</v>
          </cell>
          <cell r="C241" t="str">
            <v>PORCTH</v>
          </cell>
        </row>
        <row r="242">
          <cell r="A242">
            <v>11213</v>
          </cell>
          <cell r="B242" t="str">
            <v>ALLIANZ OPT</v>
          </cell>
          <cell r="C242" t="str">
            <v>POAOPT</v>
          </cell>
        </row>
        <row r="243">
          <cell r="A243">
            <v>11214</v>
          </cell>
          <cell r="B243" t="str">
            <v>BRIJ 03 ( VOLPO N3)</v>
          </cell>
          <cell r="C243" t="str">
            <v>TEVON3</v>
          </cell>
        </row>
        <row r="244">
          <cell r="A244">
            <v>11215</v>
          </cell>
          <cell r="B244" t="str">
            <v>CRODAFOS O10 A</v>
          </cell>
          <cell r="C244" t="str">
            <v>TEN10A</v>
          </cell>
        </row>
        <row r="245">
          <cell r="A245">
            <v>11216</v>
          </cell>
          <cell r="B245" t="str">
            <v>GLUCAMATE LT</v>
          </cell>
          <cell r="C245" t="str">
            <v>EMGLLT</v>
          </cell>
        </row>
        <row r="246">
          <cell r="A246">
            <v>11217</v>
          </cell>
          <cell r="B246" t="str">
            <v>BRIJ 05</v>
          </cell>
          <cell r="C246" t="str">
            <v>TEVON5</v>
          </cell>
        </row>
        <row r="247">
          <cell r="A247">
            <v>11218</v>
          </cell>
          <cell r="B247" t="str">
            <v>CRODAFOS O3A-LQ</v>
          </cell>
          <cell r="C247" t="str">
            <v>TECN3A</v>
          </cell>
        </row>
        <row r="248">
          <cell r="A248">
            <v>11219</v>
          </cell>
          <cell r="B248" t="str">
            <v>BEESWAX  WHITE</v>
          </cell>
          <cell r="C248" t="str">
            <v>AGP155</v>
          </cell>
        </row>
        <row r="249">
          <cell r="A249">
            <v>11220</v>
          </cell>
          <cell r="B249" t="str">
            <v>HIPOCLORITO SODICO 130</v>
          </cell>
          <cell r="C249" t="str">
            <v>DEHISO</v>
          </cell>
        </row>
        <row r="250">
          <cell r="A250">
            <v>11221</v>
          </cell>
          <cell r="B250" t="str">
            <v>HYDAGEN CAT</v>
          </cell>
          <cell r="C250" t="str">
            <v>POHYDA</v>
          </cell>
        </row>
        <row r="251">
          <cell r="A251">
            <v>11222</v>
          </cell>
          <cell r="B251" t="str">
            <v>PURAC HI PURE 90</v>
          </cell>
          <cell r="C251" t="str">
            <v>SPPUPH</v>
          </cell>
        </row>
        <row r="252">
          <cell r="A252">
            <v>11223</v>
          </cell>
          <cell r="B252" t="str">
            <v>MASSOCARE HD</v>
          </cell>
          <cell r="C252" t="str">
            <v>AGARHD</v>
          </cell>
        </row>
        <row r="253">
          <cell r="A253">
            <v>11224</v>
          </cell>
          <cell r="B253" t="str">
            <v>FLEXAN II</v>
          </cell>
          <cell r="C253" t="str">
            <v>POFLII</v>
          </cell>
        </row>
        <row r="254">
          <cell r="A254">
            <v>11225</v>
          </cell>
          <cell r="B254" t="str">
            <v>AMPHOMER 28-4910</v>
          </cell>
          <cell r="C254" t="str">
            <v>POAM28</v>
          </cell>
        </row>
        <row r="255">
          <cell r="A255">
            <v>11226</v>
          </cell>
          <cell r="B255" t="str">
            <v>FORMOL 40%</v>
          </cell>
          <cell r="C255" t="str">
            <v>CNFORM</v>
          </cell>
        </row>
        <row r="256">
          <cell r="A256">
            <v>11227</v>
          </cell>
          <cell r="B256" t="str">
            <v>STRUCTURE PLUS 25-3802</v>
          </cell>
          <cell r="C256" t="str">
            <v>POSTPL</v>
          </cell>
        </row>
        <row r="257">
          <cell r="A257">
            <v>11228</v>
          </cell>
          <cell r="B257" t="str">
            <v>STENCO B-25</v>
          </cell>
          <cell r="C257" t="str">
            <v>DESB25</v>
          </cell>
        </row>
        <row r="258">
          <cell r="A258">
            <v>11229</v>
          </cell>
          <cell r="B258" t="str">
            <v>STENCO C-706</v>
          </cell>
          <cell r="C258" t="str">
            <v>DEC706</v>
          </cell>
        </row>
        <row r="259">
          <cell r="A259">
            <v>11230</v>
          </cell>
          <cell r="B259" t="str">
            <v>COPOLYMER 845</v>
          </cell>
          <cell r="C259" t="str">
            <v>POC845</v>
          </cell>
        </row>
        <row r="260">
          <cell r="A260">
            <v>11231</v>
          </cell>
          <cell r="B260" t="str">
            <v>LUVISET CA 66</v>
          </cell>
          <cell r="C260" t="str">
            <v>POLUCA</v>
          </cell>
        </row>
        <row r="261">
          <cell r="A261">
            <v>11232</v>
          </cell>
          <cell r="B261" t="str">
            <v>CARBOPOL ULTREZ 21 POLYMER</v>
          </cell>
          <cell r="C261" t="str">
            <v>POUL21</v>
          </cell>
        </row>
        <row r="262">
          <cell r="A262">
            <v>11233</v>
          </cell>
          <cell r="B262" t="str">
            <v>CRODAMOL STS-LQ-(MH)</v>
          </cell>
          <cell r="C262" t="str">
            <v>POCSTS</v>
          </cell>
        </row>
        <row r="263">
          <cell r="A263">
            <v>11234</v>
          </cell>
          <cell r="B263" t="str">
            <v>DC 8500 CONDITIONIG AGENT</v>
          </cell>
          <cell r="C263" t="str">
            <v>TE8500</v>
          </cell>
        </row>
        <row r="264">
          <cell r="A264">
            <v>11235</v>
          </cell>
          <cell r="B264" t="str">
            <v>CRODAZOSOFT DBQ MBAL-PA(MH)</v>
          </cell>
          <cell r="C264" t="str">
            <v>TECRDB</v>
          </cell>
        </row>
        <row r="265">
          <cell r="A265">
            <v>11236</v>
          </cell>
          <cell r="B265" t="str">
            <v>INCROQUAT BEHE. TMS-50-PA-(MH)</v>
          </cell>
          <cell r="C265" t="str">
            <v>TEINTM</v>
          </cell>
        </row>
        <row r="266">
          <cell r="A266">
            <v>11237</v>
          </cell>
          <cell r="B266" t="str">
            <v>ABILQUAT 3474</v>
          </cell>
          <cell r="C266" t="str">
            <v>TEAB34</v>
          </cell>
        </row>
        <row r="267">
          <cell r="A267">
            <v>11238</v>
          </cell>
          <cell r="B267" t="str">
            <v>VEGEBIOS OF HORSETAIL</v>
          </cell>
          <cell r="C267" t="str">
            <v>EVVEHO</v>
          </cell>
        </row>
        <row r="268">
          <cell r="A268">
            <v>11239</v>
          </cell>
          <cell r="B268" t="str">
            <v>TRIETANOLAMINA 99%</v>
          </cell>
          <cell r="C268" t="str">
            <v>LITR99</v>
          </cell>
        </row>
        <row r="269">
          <cell r="A269">
            <v>11240</v>
          </cell>
          <cell r="B269" t="str">
            <v>OLIGOGELINE</v>
          </cell>
          <cell r="C269" t="str">
            <v>EVOLIG</v>
          </cell>
        </row>
        <row r="270">
          <cell r="A270">
            <v>11241</v>
          </cell>
          <cell r="B270" t="str">
            <v>BIOTINA   (Grams)</v>
          </cell>
          <cell r="C270" t="str">
            <v>PABIOT</v>
          </cell>
        </row>
        <row r="271">
          <cell r="A271">
            <v>11242</v>
          </cell>
          <cell r="B271" t="str">
            <v>ISOGIFRAN 111/11M 100%</v>
          </cell>
          <cell r="C271" t="str">
            <v>TEGENA</v>
          </cell>
        </row>
        <row r="272">
          <cell r="A272">
            <v>11242</v>
          </cell>
          <cell r="B272" t="str">
            <v>ISOGIFRAN 111/11M 100%</v>
          </cell>
          <cell r="C272" t="str">
            <v>TEGENA</v>
          </cell>
        </row>
        <row r="273">
          <cell r="A273">
            <v>11243</v>
          </cell>
          <cell r="B273" t="str">
            <v>STRUCTURE XL</v>
          </cell>
          <cell r="C273" t="str">
            <v>POSTXL</v>
          </cell>
        </row>
        <row r="274">
          <cell r="A274">
            <v>11244</v>
          </cell>
          <cell r="B274" t="str">
            <v>HYDROTRITICUM WQ PE-LQ-(WD)</v>
          </cell>
          <cell r="C274" t="str">
            <v>PAHIWQ</v>
          </cell>
        </row>
        <row r="275">
          <cell r="A275">
            <v>11245</v>
          </cell>
          <cell r="B275" t="str">
            <v>AC OLIGOLIDE M</v>
          </cell>
          <cell r="C275" t="str">
            <v>PAOLIM</v>
          </cell>
        </row>
        <row r="276">
          <cell r="A276">
            <v>11246</v>
          </cell>
          <cell r="B276" t="str">
            <v>PHANILIGNE 2</v>
          </cell>
          <cell r="C276" t="str">
            <v>PAPHNA</v>
          </cell>
        </row>
        <row r="277">
          <cell r="A277">
            <v>11247</v>
          </cell>
          <cell r="B277" t="str">
            <v>TEGO AMID S 18</v>
          </cell>
          <cell r="C277" t="str">
            <v>TETS18</v>
          </cell>
        </row>
        <row r="278">
          <cell r="A278">
            <v>11248</v>
          </cell>
          <cell r="B278" t="str">
            <v>STENCO 1130</v>
          </cell>
          <cell r="C278" t="str">
            <v>DE1130</v>
          </cell>
        </row>
        <row r="279">
          <cell r="A279">
            <v>11249</v>
          </cell>
          <cell r="B279" t="str">
            <v>HAIRSPA</v>
          </cell>
          <cell r="C279" t="str">
            <v>PAHAIR</v>
          </cell>
        </row>
        <row r="280">
          <cell r="A280">
            <v>11250</v>
          </cell>
          <cell r="B280" t="str">
            <v>REWOTERIC AM KSF 40</v>
          </cell>
          <cell r="C280" t="str">
            <v>TEAMKS</v>
          </cell>
        </row>
        <row r="281">
          <cell r="A281">
            <v>11251</v>
          </cell>
          <cell r="B281" t="str">
            <v>XIAM PMX200 SILICONE FL 350 CS</v>
          </cell>
          <cell r="C281" t="str">
            <v>TE2350</v>
          </cell>
        </row>
        <row r="282">
          <cell r="A282">
            <v>11252</v>
          </cell>
          <cell r="B282" t="str">
            <v>ECOROL 68/30 P</v>
          </cell>
          <cell r="C282" t="str">
            <v>EMGANO</v>
          </cell>
        </row>
        <row r="283">
          <cell r="A283">
            <v>11253</v>
          </cell>
          <cell r="B283" t="str">
            <v>ACEITE ALMENDRAS DULCES</v>
          </cell>
          <cell r="C283" t="str">
            <v>AGACAD</v>
          </cell>
        </row>
        <row r="284">
          <cell r="A284">
            <v>11254</v>
          </cell>
          <cell r="B284" t="str">
            <v>ACEITE DE JOJOBA</v>
          </cell>
          <cell r="C284" t="str">
            <v>AGACJO</v>
          </cell>
        </row>
        <row r="285">
          <cell r="A285">
            <v>11255</v>
          </cell>
          <cell r="B285" t="str">
            <v>aceite oliva(anul.lat)</v>
          </cell>
          <cell r="C285" t="str">
            <v>AGACOL</v>
          </cell>
        </row>
        <row r="286">
          <cell r="A286">
            <v>11256</v>
          </cell>
          <cell r="B286" t="str">
            <v>POLIPLANT 18 HIERBAS</v>
          </cell>
          <cell r="C286" t="str">
            <v>PAPO18</v>
          </cell>
        </row>
        <row r="287">
          <cell r="A287">
            <v>11257</v>
          </cell>
          <cell r="B287" t="str">
            <v>ACEITE DE KARITE</v>
          </cell>
          <cell r="C287" t="str">
            <v>AGACKA</v>
          </cell>
        </row>
        <row r="288">
          <cell r="A288">
            <v>11258</v>
          </cell>
          <cell r="B288" t="str">
            <v>EXTRACTO DE TE VERDE</v>
          </cell>
          <cell r="C288" t="str">
            <v>PAEXTV</v>
          </cell>
        </row>
        <row r="289">
          <cell r="A289">
            <v>11259</v>
          </cell>
          <cell r="B289" t="str">
            <v>EXTRACTO MIEL DE ROMERO</v>
          </cell>
          <cell r="C289" t="str">
            <v>PAEXMR</v>
          </cell>
        </row>
        <row r="290">
          <cell r="A290">
            <v>11260</v>
          </cell>
          <cell r="B290" t="str">
            <v>EXTRACTO TREBOL ROJO</v>
          </cell>
          <cell r="C290" t="str">
            <v>PAEXTR</v>
          </cell>
        </row>
        <row r="291">
          <cell r="A291">
            <v>11261</v>
          </cell>
          <cell r="B291" t="str">
            <v>DEHYQUART A-CA</v>
          </cell>
          <cell r="C291" t="str">
            <v>TEDECA</v>
          </cell>
        </row>
        <row r="292">
          <cell r="A292">
            <v>11262</v>
          </cell>
          <cell r="B292" t="str">
            <v>MIRASIL C-DMB</v>
          </cell>
          <cell r="C292" t="str">
            <v>TESF12</v>
          </cell>
        </row>
        <row r="293">
          <cell r="A293">
            <v>11262</v>
          </cell>
          <cell r="B293" t="str">
            <v>MIRASIL C-DMB</v>
          </cell>
          <cell r="C293" t="str">
            <v>TESF12</v>
          </cell>
        </row>
        <row r="294">
          <cell r="A294">
            <v>11262</v>
          </cell>
          <cell r="B294" t="str">
            <v>MIRASIL C-DMB</v>
          </cell>
          <cell r="C294" t="str">
            <v>TESF12</v>
          </cell>
        </row>
        <row r="295">
          <cell r="A295">
            <v>11262</v>
          </cell>
          <cell r="B295" t="str">
            <v>MIRASIL C-DMB</v>
          </cell>
          <cell r="C295" t="str">
            <v>TESF12</v>
          </cell>
        </row>
        <row r="296">
          <cell r="A296">
            <v>11263</v>
          </cell>
          <cell r="B296" t="str">
            <v>ASTRO C-10</v>
          </cell>
          <cell r="C296" t="str">
            <v>CNAC10</v>
          </cell>
        </row>
        <row r="297">
          <cell r="A297">
            <v>11264</v>
          </cell>
          <cell r="B297" t="str">
            <v>STENCO B-35</v>
          </cell>
          <cell r="C297" t="str">
            <v>DESB35</v>
          </cell>
        </row>
        <row r="298">
          <cell r="A298">
            <v>11265</v>
          </cell>
          <cell r="B298" t="str">
            <v>ELFACOS T212</v>
          </cell>
          <cell r="C298" t="str">
            <v>TET212</v>
          </cell>
        </row>
        <row r="299">
          <cell r="A299">
            <v>11266</v>
          </cell>
          <cell r="B299" t="str">
            <v>POTASA SORBATO</v>
          </cell>
          <cell r="C299" t="str">
            <v>SPPOSO</v>
          </cell>
        </row>
        <row r="300">
          <cell r="A300">
            <v>11267</v>
          </cell>
          <cell r="B300" t="str">
            <v>KELTROL CG-SFT</v>
          </cell>
          <cell r="C300" t="str">
            <v>POKECGSF</v>
          </cell>
        </row>
        <row r="301">
          <cell r="A301">
            <v>11268</v>
          </cell>
          <cell r="B301" t="str">
            <v>SILCARE SILICONE 41M90</v>
          </cell>
          <cell r="C301" t="str">
            <v>TESI41M9</v>
          </cell>
        </row>
        <row r="302">
          <cell r="A302">
            <v>11269</v>
          </cell>
          <cell r="B302" t="str">
            <v>UREA GRANULADA Q.P.</v>
          </cell>
          <cell r="C302" t="str">
            <v>SPUREAG</v>
          </cell>
        </row>
        <row r="303">
          <cell r="A303">
            <v>11270</v>
          </cell>
          <cell r="B303" t="str">
            <v>ORAMIX CG-110</v>
          </cell>
          <cell r="C303" t="str">
            <v>TEORCG11</v>
          </cell>
        </row>
        <row r="304">
          <cell r="A304">
            <v>11271</v>
          </cell>
          <cell r="B304" t="str">
            <v>SODIO FORMALDEHYDESULFINATE</v>
          </cell>
          <cell r="C304" t="str">
            <v>SPSFSD</v>
          </cell>
        </row>
        <row r="305">
          <cell r="A305">
            <v>11272</v>
          </cell>
          <cell r="B305" t="str">
            <v>CERAMIDE II  CQ U/A</v>
          </cell>
          <cell r="C305" t="str">
            <v>CERAMIDE</v>
          </cell>
        </row>
        <row r="306">
          <cell r="A306">
            <v>11272</v>
          </cell>
          <cell r="B306" t="str">
            <v>CERAMIDE II  CQ U/A</v>
          </cell>
          <cell r="C306" t="str">
            <v>PACERAII</v>
          </cell>
        </row>
        <row r="307">
          <cell r="A307">
            <v>11274</v>
          </cell>
          <cell r="B307" t="str">
            <v>EXTRACTO DE CENTAURA</v>
          </cell>
          <cell r="C307" t="str">
            <v>PAEXCE</v>
          </cell>
        </row>
        <row r="308">
          <cell r="A308">
            <v>11275</v>
          </cell>
          <cell r="B308" t="str">
            <v>EXTRACTO DE MANZANILLA</v>
          </cell>
          <cell r="C308" t="str">
            <v>PAEXMA</v>
          </cell>
        </row>
        <row r="309">
          <cell r="A309">
            <v>11276</v>
          </cell>
          <cell r="B309" t="str">
            <v>EXTRACTO DE HENNA</v>
          </cell>
          <cell r="C309" t="str">
            <v>PAEXHE</v>
          </cell>
        </row>
        <row r="310">
          <cell r="A310">
            <v>11277</v>
          </cell>
          <cell r="B310" t="str">
            <v>EXTRACTO TE NEGRO H.G.</v>
          </cell>
          <cell r="C310" t="str">
            <v>PAEXTN</v>
          </cell>
        </row>
        <row r="311">
          <cell r="A311">
            <v>11278</v>
          </cell>
          <cell r="B311" t="str">
            <v>SAL VACUUM PASTILLAS BROXO 6-15 S/25 KGS</v>
          </cell>
          <cell r="C311" t="str">
            <v>DESAVA</v>
          </cell>
        </row>
        <row r="312">
          <cell r="A312">
            <v>11279</v>
          </cell>
          <cell r="B312" t="str">
            <v>AGUA TERMAL CONCENTRADA</v>
          </cell>
          <cell r="C312" t="str">
            <v>LIAGTC</v>
          </cell>
        </row>
        <row r="313">
          <cell r="A313">
            <v>11280</v>
          </cell>
          <cell r="B313" t="str">
            <v>ACEITE DE SESAMO</v>
          </cell>
          <cell r="C313" t="str">
            <v>AGACAS</v>
          </cell>
        </row>
        <row r="314">
          <cell r="A314">
            <v>11281</v>
          </cell>
          <cell r="B314" t="str">
            <v>SILICONA BC 2275</v>
          </cell>
          <cell r="C314" t="str">
            <v>TEBC22</v>
          </cell>
        </row>
        <row r="315">
          <cell r="A315">
            <v>11282</v>
          </cell>
          <cell r="B315" t="str">
            <v>NEO HELIOPAN BB</v>
          </cell>
          <cell r="C315" t="str">
            <v>11282</v>
          </cell>
        </row>
        <row r="316">
          <cell r="A316">
            <v>11282</v>
          </cell>
          <cell r="B316" t="str">
            <v>NEO HELIOPAN BB</v>
          </cell>
          <cell r="C316" t="str">
            <v>PABENZ3</v>
          </cell>
        </row>
        <row r="317">
          <cell r="A317">
            <v>11283</v>
          </cell>
          <cell r="B317" t="str">
            <v>JAGUAR C-162</v>
          </cell>
          <cell r="C317" t="str">
            <v>POJA62</v>
          </cell>
        </row>
        <row r="318">
          <cell r="A318">
            <v>11284</v>
          </cell>
          <cell r="B318" t="str">
            <v>EXTRACTO DE BARDANA</v>
          </cell>
          <cell r="C318" t="str">
            <v>PAEXBR</v>
          </cell>
        </row>
        <row r="319">
          <cell r="A319">
            <v>11285</v>
          </cell>
          <cell r="B319" t="str">
            <v>HIDROLIZADO DE SEDA 3331001 P</v>
          </cell>
          <cell r="C319" t="str">
            <v>PAHISE</v>
          </cell>
        </row>
        <row r="320">
          <cell r="A320">
            <v>11286</v>
          </cell>
          <cell r="B320" t="str">
            <v>EXTRAC GIRASOL PETALOS H.G.</v>
          </cell>
          <cell r="C320" t="str">
            <v>PAEXGI</v>
          </cell>
        </row>
        <row r="321">
          <cell r="A321">
            <v>11287</v>
          </cell>
          <cell r="B321" t="str">
            <v>EXTRACTO GINSENG 4289001 P</v>
          </cell>
          <cell r="C321" t="str">
            <v>PAEXGS</v>
          </cell>
        </row>
        <row r="322">
          <cell r="A322">
            <v>11288</v>
          </cell>
          <cell r="B322" t="str">
            <v>DYNAM X</v>
          </cell>
          <cell r="C322" t="str">
            <v>PODYNA</v>
          </cell>
        </row>
        <row r="323">
          <cell r="A323">
            <v>11289</v>
          </cell>
          <cell r="B323" t="str">
            <v>VASELINA FIL. MEDICINAL SD-50</v>
          </cell>
          <cell r="C323" t="str">
            <v>AGVAFM</v>
          </cell>
        </row>
        <row r="324">
          <cell r="A324">
            <v>11291</v>
          </cell>
          <cell r="B324" t="str">
            <v>MICROCARE ZP</v>
          </cell>
          <cell r="C324" t="str">
            <v>PAMIZP</v>
          </cell>
        </row>
        <row r="325">
          <cell r="A325">
            <v>11292</v>
          </cell>
          <cell r="B325" t="str">
            <v>PHENONIP ME</v>
          </cell>
          <cell r="C325" t="str">
            <v>CNMIPM2</v>
          </cell>
        </row>
        <row r="326">
          <cell r="A326">
            <v>11292</v>
          </cell>
          <cell r="B326" t="str">
            <v>PHENONIP ME</v>
          </cell>
          <cell r="C326" t="str">
            <v>PHENONIP ME</v>
          </cell>
        </row>
        <row r="327">
          <cell r="A327">
            <v>11292</v>
          </cell>
          <cell r="B327" t="str">
            <v>PHENONIP ME</v>
          </cell>
          <cell r="C327" t="str">
            <v>MICROCARE PM2</v>
          </cell>
        </row>
        <row r="328">
          <cell r="A328">
            <v>11293</v>
          </cell>
          <cell r="B328" t="str">
            <v>MICROCARE MEM</v>
          </cell>
          <cell r="C328" t="str">
            <v>CNMIMEM</v>
          </cell>
        </row>
        <row r="329">
          <cell r="A329">
            <v>11294</v>
          </cell>
          <cell r="B329" t="str">
            <v>CRODAROM TEAK</v>
          </cell>
          <cell r="C329" t="str">
            <v>EVCRTE</v>
          </cell>
        </row>
        <row r="330">
          <cell r="A330">
            <v>11295</v>
          </cell>
          <cell r="B330" t="str">
            <v>CRODAROM BOSWELLIA</v>
          </cell>
          <cell r="C330" t="str">
            <v>EVCRBO</v>
          </cell>
        </row>
        <row r="331">
          <cell r="A331">
            <v>11296</v>
          </cell>
          <cell r="B331" t="str">
            <v>CRODASINIC LS30/NT MBAL-LQ(RB)</v>
          </cell>
          <cell r="C331" t="str">
            <v>TECRLS</v>
          </cell>
        </row>
        <row r="332">
          <cell r="A332">
            <v>11297</v>
          </cell>
          <cell r="B332" t="str">
            <v>PROCAPIL</v>
          </cell>
          <cell r="C332" t="str">
            <v>PAPROC</v>
          </cell>
        </row>
        <row r="333">
          <cell r="A333">
            <v>11298</v>
          </cell>
          <cell r="B333" t="str">
            <v>EXTRACTO GUARANA</v>
          </cell>
          <cell r="C333" t="str">
            <v>EVPHGU</v>
          </cell>
        </row>
        <row r="334">
          <cell r="A334">
            <v>11299</v>
          </cell>
          <cell r="B334" t="str">
            <v>SAECARE PQ-37</v>
          </cell>
          <cell r="C334" t="str">
            <v>POPQ37</v>
          </cell>
        </row>
        <row r="335">
          <cell r="A335">
            <v>11300</v>
          </cell>
          <cell r="B335" t="str">
            <v>POLYSUGA SIL C-35P</v>
          </cell>
          <cell r="C335" t="str">
            <v>TEPOLY35</v>
          </cell>
        </row>
        <row r="336">
          <cell r="A336">
            <v>11301</v>
          </cell>
          <cell r="B336" t="str">
            <v>PECOSIL PAN-1218Q</v>
          </cell>
          <cell r="C336" t="str">
            <v>TEP1218Q</v>
          </cell>
        </row>
        <row r="337">
          <cell r="A337">
            <v>11302</v>
          </cell>
          <cell r="B337" t="str">
            <v>LEVENOL H&amp;B BD</v>
          </cell>
          <cell r="C337" t="str">
            <v>AGLEHB</v>
          </cell>
        </row>
        <row r="338">
          <cell r="A338">
            <v>11303</v>
          </cell>
          <cell r="B338" t="str">
            <v>AMILITE ACS-12</v>
          </cell>
          <cell r="C338" t="str">
            <v>TEAMIL</v>
          </cell>
        </row>
        <row r="339">
          <cell r="A339">
            <v>11304</v>
          </cell>
          <cell r="B339" t="str">
            <v>HAIRDENSYL</v>
          </cell>
          <cell r="C339" t="str">
            <v>PAHACO</v>
          </cell>
        </row>
        <row r="340">
          <cell r="A340">
            <v>11305</v>
          </cell>
          <cell r="B340" t="str">
            <v>STENCO B - 90</v>
          </cell>
          <cell r="C340" t="str">
            <v>DESB90</v>
          </cell>
        </row>
        <row r="341">
          <cell r="A341">
            <v>11306</v>
          </cell>
          <cell r="B341" t="str">
            <v>POLIELECTROLIT ANFP</v>
          </cell>
          <cell r="C341" t="str">
            <v>DEPOANFP</v>
          </cell>
        </row>
        <row r="342">
          <cell r="A342">
            <v>11321</v>
          </cell>
          <cell r="B342" t="str">
            <v>MICROCARE QUAT</v>
          </cell>
          <cell r="C342" t="str">
            <v>8014493</v>
          </cell>
        </row>
        <row r="343">
          <cell r="A343">
            <v>11321</v>
          </cell>
          <cell r="B343" t="str">
            <v>MICROCARE QUAT</v>
          </cell>
          <cell r="C343" t="str">
            <v>TBHQ-25</v>
          </cell>
        </row>
        <row r="344">
          <cell r="A344">
            <v>11321</v>
          </cell>
          <cell r="B344" t="str">
            <v>MICROCARE QUAT</v>
          </cell>
          <cell r="C344" t="str">
            <v>QUATAMIN AB</v>
          </cell>
        </row>
        <row r="345">
          <cell r="A345">
            <v>11339</v>
          </cell>
          <cell r="B345" t="str">
            <v>LIPOVOL GTB</v>
          </cell>
          <cell r="C345" t="str">
            <v>11339</v>
          </cell>
        </row>
        <row r="346">
          <cell r="A346">
            <v>11339</v>
          </cell>
          <cell r="B346" t="str">
            <v>LIPOVOL GTB</v>
          </cell>
          <cell r="C346" t="str">
            <v>11339</v>
          </cell>
        </row>
        <row r="347">
          <cell r="A347">
            <v>11349</v>
          </cell>
          <cell r="B347" t="str">
            <v>MASSOCARE CP</v>
          </cell>
          <cell r="C347" t="str">
            <v>11349</v>
          </cell>
        </row>
        <row r="348">
          <cell r="A348">
            <v>11349</v>
          </cell>
          <cell r="B348" t="str">
            <v>MASSOCARE CP</v>
          </cell>
          <cell r="C348" t="str">
            <v>11349</v>
          </cell>
        </row>
        <row r="349">
          <cell r="A349">
            <v>11359</v>
          </cell>
          <cell r="B349" t="str">
            <v>DAPRACARE GMS-35-SE</v>
          </cell>
          <cell r="C349" t="str">
            <v>11359</v>
          </cell>
        </row>
        <row r="350">
          <cell r="A350">
            <v>11359</v>
          </cell>
          <cell r="B350" t="str">
            <v>DAPRACARE GMS-35-SE</v>
          </cell>
          <cell r="C350" t="str">
            <v>11359</v>
          </cell>
        </row>
        <row r="351">
          <cell r="A351">
            <v>11381</v>
          </cell>
          <cell r="B351" t="str">
            <v>QUINOA PRO NPNF</v>
          </cell>
          <cell r="C351" t="str">
            <v/>
          </cell>
        </row>
        <row r="352">
          <cell r="A352">
            <v>11401</v>
          </cell>
          <cell r="B352" t="str">
            <v>DAPRACARE GMS 35 SE (ES 11359)</v>
          </cell>
          <cell r="C352" t="str">
            <v>11401</v>
          </cell>
        </row>
        <row r="353">
          <cell r="A353">
            <v>11401</v>
          </cell>
          <cell r="B353" t="str">
            <v>DAPRACARE GMS 35 SE (ES 11359)</v>
          </cell>
          <cell r="C353" t="str">
            <v>11401</v>
          </cell>
        </row>
        <row r="354">
          <cell r="A354">
            <v>12000</v>
          </cell>
          <cell r="B354" t="str">
            <v>RESORCINOL TECH.GRADE FLAKES</v>
          </cell>
          <cell r="C354" t="str">
            <v>RODOL</v>
          </cell>
        </row>
        <row r="355">
          <cell r="A355">
            <v>12000</v>
          </cell>
          <cell r="B355" t="str">
            <v>RESORCINOL TECH.GRADE FLAKES</v>
          </cell>
          <cell r="C355" t="str">
            <v>JARCOCOL</v>
          </cell>
        </row>
        <row r="356">
          <cell r="A356">
            <v>12000</v>
          </cell>
          <cell r="B356" t="str">
            <v>RESORCINOL TECH.GRADE FLAKES</v>
          </cell>
          <cell r="C356" t="str">
            <v>CORESO</v>
          </cell>
        </row>
        <row r="357">
          <cell r="A357">
            <v>12000</v>
          </cell>
          <cell r="B357" t="str">
            <v>RESORCINOL TECH.GRADE FLAKES</v>
          </cell>
          <cell r="C357" t="str">
            <v>CORESO</v>
          </cell>
        </row>
        <row r="358">
          <cell r="A358">
            <v>12001</v>
          </cell>
          <cell r="B358" t="str">
            <v>RODOL 4BXN</v>
          </cell>
          <cell r="C358" t="str">
            <v>CO4BXN</v>
          </cell>
        </row>
        <row r="359">
          <cell r="A359">
            <v>12002</v>
          </cell>
          <cell r="B359" t="str">
            <v>LOWACRYL BLUE 7</v>
          </cell>
          <cell r="C359" t="str">
            <v>COBLU7</v>
          </cell>
        </row>
        <row r="360">
          <cell r="A360">
            <v>12003</v>
          </cell>
          <cell r="B360" t="str">
            <v>LOWACRYL BLUE 9</v>
          </cell>
          <cell r="C360" t="str">
            <v>COBLU9</v>
          </cell>
        </row>
        <row r="361">
          <cell r="A361">
            <v>12004</v>
          </cell>
          <cell r="B361" t="str">
            <v>RODOL GRAY HED</v>
          </cell>
          <cell r="C361" t="str">
            <v>COGRHE</v>
          </cell>
        </row>
        <row r="362">
          <cell r="A362">
            <v>12004</v>
          </cell>
          <cell r="B362" t="str">
            <v>RODOL GRAY HED</v>
          </cell>
          <cell r="C362" t="str">
            <v>COGRHE</v>
          </cell>
        </row>
        <row r="363">
          <cell r="A363">
            <v>12005</v>
          </cell>
          <cell r="B363" t="str">
            <v>HC BLUE 2 CP</v>
          </cell>
          <cell r="C363" t="str">
            <v>COHCB2</v>
          </cell>
        </row>
        <row r="364">
          <cell r="A364">
            <v>12006</v>
          </cell>
          <cell r="B364" t="str">
            <v>HC RED 3</v>
          </cell>
          <cell r="C364" t="str">
            <v>COHCR3</v>
          </cell>
        </row>
        <row r="365">
          <cell r="A365">
            <v>12007</v>
          </cell>
          <cell r="B365" t="str">
            <v>HC YELLOW 4</v>
          </cell>
          <cell r="C365" t="str">
            <v>COHCY4</v>
          </cell>
        </row>
        <row r="366">
          <cell r="A366">
            <v>12008</v>
          </cell>
          <cell r="B366" t="str">
            <v>HC YELLOW 5</v>
          </cell>
          <cell r="C366" t="str">
            <v>COHCY5</v>
          </cell>
        </row>
        <row r="367">
          <cell r="A367">
            <v>12009</v>
          </cell>
          <cell r="B367" t="str">
            <v>LOWADENE BLUE 61505</v>
          </cell>
          <cell r="C367" t="str">
            <v>COLOBL</v>
          </cell>
        </row>
        <row r="368">
          <cell r="A368">
            <v>12010</v>
          </cell>
          <cell r="B368" t="str">
            <v>RODOL MPDS</v>
          </cell>
          <cell r="C368" t="str">
            <v>COMPDS</v>
          </cell>
        </row>
        <row r="369">
          <cell r="A369">
            <v>12011</v>
          </cell>
          <cell r="B369" t="str">
            <v>RODOL PAOC</v>
          </cell>
          <cell r="C369" t="str">
            <v>COPAOC</v>
          </cell>
        </row>
        <row r="370">
          <cell r="A370">
            <v>12011</v>
          </cell>
          <cell r="B370" t="str">
            <v>RODOL PAOC</v>
          </cell>
          <cell r="C370" t="str">
            <v>COPAOC</v>
          </cell>
        </row>
        <row r="371">
          <cell r="A371">
            <v>12011</v>
          </cell>
          <cell r="B371" t="str">
            <v>RODOL PAOC</v>
          </cell>
          <cell r="C371" t="str">
            <v>COPAOC</v>
          </cell>
        </row>
        <row r="372">
          <cell r="A372">
            <v>12012</v>
          </cell>
          <cell r="B372" t="str">
            <v>RODOL 26 PYRS</v>
          </cell>
          <cell r="C372" t="str">
            <v>COPYRS</v>
          </cell>
        </row>
        <row r="373">
          <cell r="A373">
            <v>12013</v>
          </cell>
          <cell r="B373" t="str">
            <v>RODOL 2G</v>
          </cell>
          <cell r="C373" t="str">
            <v>CORD2G</v>
          </cell>
        </row>
        <row r="374">
          <cell r="A374">
            <v>12014</v>
          </cell>
          <cell r="B374" t="str">
            <v>LOWACRYL RED 22</v>
          </cell>
          <cell r="C374" t="str">
            <v>CORE22</v>
          </cell>
        </row>
        <row r="375">
          <cell r="A375">
            <v>12015</v>
          </cell>
          <cell r="B375" t="str">
            <v>LOWACRYL RED 2</v>
          </cell>
          <cell r="C375" t="str">
            <v>CORED2</v>
          </cell>
        </row>
        <row r="376">
          <cell r="A376">
            <v>12016</v>
          </cell>
          <cell r="B376" t="str">
            <v>RODOL ERN</v>
          </cell>
          <cell r="C376" t="str">
            <v>CORERN</v>
          </cell>
        </row>
        <row r="377">
          <cell r="A377">
            <v>12017</v>
          </cell>
          <cell r="B377" t="str">
            <v>RODOL BROWN 2R</v>
          </cell>
          <cell r="C377" t="str">
            <v>CORO2R</v>
          </cell>
        </row>
        <row r="378">
          <cell r="A378">
            <v>12018</v>
          </cell>
          <cell r="B378" t="str">
            <v>RODOL 4JP</v>
          </cell>
          <cell r="C378" t="str">
            <v>CORO4J</v>
          </cell>
        </row>
        <row r="379">
          <cell r="A379">
            <v>12019</v>
          </cell>
          <cell r="B379" t="str">
            <v>RODOL 9R</v>
          </cell>
          <cell r="C379" t="str">
            <v>CORO9R</v>
          </cell>
        </row>
        <row r="380">
          <cell r="A380">
            <v>12020</v>
          </cell>
          <cell r="B380" t="str">
            <v>RODOL D  "DJ"</v>
          </cell>
          <cell r="C380" t="str">
            <v>CORODD</v>
          </cell>
        </row>
        <row r="381">
          <cell r="A381">
            <v>12020</v>
          </cell>
          <cell r="B381" t="str">
            <v>RODOL D  "DJ"</v>
          </cell>
          <cell r="C381" t="str">
            <v>CORODD</v>
          </cell>
        </row>
        <row r="382">
          <cell r="A382">
            <v>12021</v>
          </cell>
          <cell r="B382" t="str">
            <v>RODOL P Base</v>
          </cell>
          <cell r="C382" t="str">
            <v>CORODP</v>
          </cell>
        </row>
        <row r="383">
          <cell r="A383">
            <v>12022</v>
          </cell>
          <cell r="B383" t="str">
            <v>RODOL EG</v>
          </cell>
          <cell r="C383" t="str">
            <v>COROEG</v>
          </cell>
        </row>
        <row r="384">
          <cell r="A384">
            <v>12022</v>
          </cell>
          <cell r="B384" t="str">
            <v>RODOL EG</v>
          </cell>
          <cell r="C384" t="str">
            <v>COROEG</v>
          </cell>
        </row>
        <row r="385">
          <cell r="A385">
            <v>12022</v>
          </cell>
          <cell r="B385" t="str">
            <v>RODOL EG</v>
          </cell>
          <cell r="C385" t="str">
            <v>COROEG</v>
          </cell>
        </row>
        <row r="386">
          <cell r="A386">
            <v>12023</v>
          </cell>
          <cell r="B386" t="str">
            <v>RODOL PM</v>
          </cell>
          <cell r="C386" t="str">
            <v>COROPM</v>
          </cell>
        </row>
        <row r="387">
          <cell r="A387">
            <v>12024</v>
          </cell>
          <cell r="B387" t="str">
            <v>RODOL PMP</v>
          </cell>
          <cell r="C387" t="str">
            <v>CORPMP</v>
          </cell>
        </row>
        <row r="388">
          <cell r="A388">
            <v>12025</v>
          </cell>
          <cell r="B388" t="str">
            <v>LOWACRYL VIOLET 14</v>
          </cell>
          <cell r="C388" t="str">
            <v>COVI14</v>
          </cell>
        </row>
        <row r="389">
          <cell r="A389">
            <v>12026</v>
          </cell>
          <cell r="B389" t="str">
            <v>LOWALAN VIOLET 43(concentrado)</v>
          </cell>
          <cell r="C389" t="str">
            <v>COVI43</v>
          </cell>
        </row>
        <row r="390">
          <cell r="A390">
            <v>12027</v>
          </cell>
          <cell r="B390" t="str">
            <v>ROSA BRILL. ACIDO A.C.</v>
          </cell>
          <cell r="C390" t="str">
            <v>COROBR</v>
          </cell>
        </row>
        <row r="391">
          <cell r="A391">
            <v>12028</v>
          </cell>
          <cell r="B391" t="str">
            <v>AZUL BRILLANTE FCF</v>
          </cell>
          <cell r="C391" t="str">
            <v>COAZFC</v>
          </cell>
        </row>
        <row r="392">
          <cell r="A392">
            <v>12029</v>
          </cell>
          <cell r="B392" t="str">
            <v>BRUN 8001</v>
          </cell>
          <cell r="C392" t="str">
            <v>COBRUN</v>
          </cell>
        </row>
        <row r="393">
          <cell r="A393">
            <v>12030</v>
          </cell>
          <cell r="B393" t="str">
            <v>NEGRO BRILLANTE BN</v>
          </cell>
          <cell r="C393" t="str">
            <v>CONEBN</v>
          </cell>
        </row>
        <row r="394">
          <cell r="A394">
            <v>12031</v>
          </cell>
          <cell r="B394" t="str">
            <v>TARTRACINA</v>
          </cell>
          <cell r="C394" t="str">
            <v>COTART</v>
          </cell>
        </row>
        <row r="395">
          <cell r="A395">
            <v>12032</v>
          </cell>
          <cell r="B395" t="str">
            <v>ROJO 10B ALTA CONC.</v>
          </cell>
          <cell r="C395" t="str">
            <v>CORO10</v>
          </cell>
        </row>
        <row r="396">
          <cell r="A396">
            <v>12033</v>
          </cell>
          <cell r="B396" t="str">
            <v>ROJO VIVO 2G A.C.</v>
          </cell>
          <cell r="C396" t="str">
            <v>CORO2G</v>
          </cell>
        </row>
        <row r="397">
          <cell r="A397">
            <v>12034</v>
          </cell>
          <cell r="B397" t="str">
            <v>AZUL CARMIN ALTA CONC.</v>
          </cell>
          <cell r="C397" t="str">
            <v>COAZDV</v>
          </cell>
        </row>
        <row r="398">
          <cell r="A398">
            <v>12034</v>
          </cell>
          <cell r="B398" t="str">
            <v>AZUL CARMIN ALTA CONC.</v>
          </cell>
          <cell r="C398" t="str">
            <v>00032</v>
          </cell>
        </row>
        <row r="399">
          <cell r="A399">
            <v>12035</v>
          </cell>
          <cell r="B399" t="str">
            <v>URSOL 3GA</v>
          </cell>
          <cell r="C399" t="str">
            <v>COU3GA</v>
          </cell>
        </row>
        <row r="400">
          <cell r="A400">
            <v>12036</v>
          </cell>
          <cell r="B400" t="str">
            <v>NEGRO VITROLANA WA 145%</v>
          </cell>
          <cell r="C400" t="str">
            <v>CONEVI</v>
          </cell>
        </row>
        <row r="401">
          <cell r="A401">
            <v>12037</v>
          </cell>
          <cell r="B401" t="str">
            <v>JAROCOL STRAW YELLOW</v>
          </cell>
          <cell r="C401" t="str">
            <v>COYE57</v>
          </cell>
        </row>
        <row r="402">
          <cell r="A402">
            <v>12038</v>
          </cell>
          <cell r="B402" t="str">
            <v>JAROCOL STEEL BLUE</v>
          </cell>
          <cell r="C402" t="str">
            <v>COBL99</v>
          </cell>
        </row>
        <row r="403">
          <cell r="A403">
            <v>12039</v>
          </cell>
          <cell r="B403" t="str">
            <v>JAROCOL SIENNA BROWN</v>
          </cell>
          <cell r="C403" t="str">
            <v>COBR17</v>
          </cell>
        </row>
        <row r="404">
          <cell r="A404">
            <v>12040</v>
          </cell>
          <cell r="B404" t="str">
            <v>JAROCOL MAHOGANY</v>
          </cell>
          <cell r="C404" t="str">
            <v>COBR16</v>
          </cell>
        </row>
        <row r="405">
          <cell r="A405">
            <v>12041</v>
          </cell>
          <cell r="B405" t="str">
            <v>JAROCOL MADDER RED</v>
          </cell>
          <cell r="C405" t="str">
            <v>CORE76</v>
          </cell>
        </row>
        <row r="406">
          <cell r="A406">
            <v>12042</v>
          </cell>
          <cell r="B406" t="str">
            <v>AZULETE</v>
          </cell>
          <cell r="C406" t="str">
            <v>COAZUL</v>
          </cell>
        </row>
        <row r="407">
          <cell r="A407">
            <v>12043</v>
          </cell>
          <cell r="B407" t="str">
            <v>JAROCOL TDS</v>
          </cell>
          <cell r="C407" t="str">
            <v>COBLFX</v>
          </cell>
        </row>
        <row r="408">
          <cell r="A408">
            <v>12043</v>
          </cell>
          <cell r="B408" t="str">
            <v>JAROCOL TDS</v>
          </cell>
          <cell r="C408" t="str">
            <v>COBLFX</v>
          </cell>
        </row>
        <row r="409">
          <cell r="A409">
            <v>12043</v>
          </cell>
          <cell r="B409" t="str">
            <v>JAROCOL TDS</v>
          </cell>
          <cell r="C409" t="str">
            <v>COBLFX</v>
          </cell>
        </row>
        <row r="410">
          <cell r="A410">
            <v>12044</v>
          </cell>
          <cell r="B410" t="str">
            <v>RODOL MRP-N</v>
          </cell>
          <cell r="C410" t="str">
            <v>CORMRP</v>
          </cell>
        </row>
        <row r="411">
          <cell r="A411">
            <v>12044</v>
          </cell>
          <cell r="B411" t="str">
            <v>RODOL MRP-N</v>
          </cell>
          <cell r="C411" t="str">
            <v>RODOL MRP-N</v>
          </cell>
        </row>
        <row r="412">
          <cell r="A412">
            <v>12046</v>
          </cell>
          <cell r="B412" t="str">
            <v>RODOL PAOX - JAROCOL 2M5HEAP</v>
          </cell>
          <cell r="C412" t="str">
            <v>COPAOX</v>
          </cell>
        </row>
        <row r="413">
          <cell r="A413">
            <v>12046</v>
          </cell>
          <cell r="B413" t="str">
            <v>RODOL PAOX - JAROCOL 2M5HEAP</v>
          </cell>
          <cell r="C413" t="str">
            <v>COPAOX</v>
          </cell>
        </row>
        <row r="414">
          <cell r="A414">
            <v>12047</v>
          </cell>
          <cell r="B414" t="str">
            <v>RODOL 24 DAPE</v>
          </cell>
          <cell r="C414" t="str">
            <v>CO24DA</v>
          </cell>
        </row>
        <row r="415">
          <cell r="A415">
            <v>12047</v>
          </cell>
          <cell r="B415" t="str">
            <v>RODOL 24 DAPE</v>
          </cell>
          <cell r="C415" t="str">
            <v>CO24DA</v>
          </cell>
        </row>
        <row r="416">
          <cell r="A416">
            <v>12047</v>
          </cell>
          <cell r="B416" t="str">
            <v>RODOL 24 DAPE</v>
          </cell>
          <cell r="C416" t="str">
            <v>CO24DA</v>
          </cell>
        </row>
        <row r="417">
          <cell r="A417">
            <v>12048</v>
          </cell>
          <cell r="B417" t="str">
            <v>HC YELLOW 2</v>
          </cell>
          <cell r="C417" t="str">
            <v>COHCY2</v>
          </cell>
        </row>
        <row r="418">
          <cell r="A418">
            <v>12049</v>
          </cell>
          <cell r="B418" t="str">
            <v>LOWACRYL ORANGE 31</v>
          </cell>
          <cell r="C418" t="str">
            <v>COOR31</v>
          </cell>
        </row>
        <row r="419">
          <cell r="A419">
            <v>12052</v>
          </cell>
          <cell r="B419" t="str">
            <v>LOWACRYL RED 51</v>
          </cell>
          <cell r="C419" t="str">
            <v>CORE51</v>
          </cell>
        </row>
        <row r="420">
          <cell r="A420">
            <v>12053</v>
          </cell>
          <cell r="B420" t="str">
            <v>LOWACRYL YELLOW 87</v>
          </cell>
          <cell r="C420" t="str">
            <v>COYE87</v>
          </cell>
        </row>
        <row r="421">
          <cell r="A421">
            <v>12054</v>
          </cell>
          <cell r="B421" t="str">
            <v>LOWACRYL VIOLET 2</v>
          </cell>
          <cell r="C421" t="str">
            <v>COVIO2</v>
          </cell>
        </row>
        <row r="422">
          <cell r="A422">
            <v>12055</v>
          </cell>
          <cell r="B422" t="str">
            <v>ANARANJADO A-1 SUPER</v>
          </cell>
          <cell r="C422" t="str">
            <v>COANAR</v>
          </cell>
        </row>
        <row r="423">
          <cell r="A423">
            <v>12056</v>
          </cell>
          <cell r="B423" t="str">
            <v>JAROCOL VIOLET 1,4 D</v>
          </cell>
          <cell r="C423" t="str">
            <v>COVIOL</v>
          </cell>
        </row>
        <row r="424">
          <cell r="A424">
            <v>12057</v>
          </cell>
          <cell r="B424" t="str">
            <v>COLOREX 5A6COC</v>
          </cell>
          <cell r="C424" t="str">
            <v>COCO5A6C</v>
          </cell>
        </row>
        <row r="425">
          <cell r="A425">
            <v>12058</v>
          </cell>
          <cell r="B425" t="str">
            <v>NARANJA II</v>
          </cell>
          <cell r="C425" t="str">
            <v>CONARA</v>
          </cell>
        </row>
        <row r="426">
          <cell r="A426">
            <v>12059</v>
          </cell>
          <cell r="B426" t="str">
            <v>AMARILLO QUINOLEINA 70</v>
          </cell>
          <cell r="C426" t="str">
            <v>COAMQU</v>
          </cell>
        </row>
        <row r="427">
          <cell r="A427">
            <v>12060</v>
          </cell>
          <cell r="B427" t="str">
            <v>NEGRO 7984 AC</v>
          </cell>
          <cell r="C427" t="str">
            <v>CONEAC</v>
          </cell>
        </row>
        <row r="428">
          <cell r="A428">
            <v>12061</v>
          </cell>
          <cell r="B428" t="str">
            <v>NEGRO-AZUL 10B</v>
          </cell>
          <cell r="C428" t="str">
            <v>CONE1B</v>
          </cell>
        </row>
        <row r="429">
          <cell r="A429">
            <v>12062</v>
          </cell>
          <cell r="B429" t="str">
            <v>AZUL SOLIDO RL</v>
          </cell>
          <cell r="C429" t="str">
            <v>COAZRL</v>
          </cell>
        </row>
        <row r="430">
          <cell r="A430">
            <v>12064</v>
          </cell>
          <cell r="B430" t="str">
            <v>RODAMINA B500</v>
          </cell>
          <cell r="C430" t="str">
            <v>COROB5</v>
          </cell>
        </row>
        <row r="431">
          <cell r="A431">
            <v>12065</v>
          </cell>
          <cell r="B431" t="str">
            <v>VIOLETA SOLUBLE 10BC</v>
          </cell>
          <cell r="C431" t="str">
            <v>COVIIB</v>
          </cell>
        </row>
        <row r="432">
          <cell r="A432">
            <v>12066</v>
          </cell>
          <cell r="B432" t="str">
            <v>FOURAMINA J</v>
          </cell>
          <cell r="C432" t="str">
            <v>COFOUJ</v>
          </cell>
        </row>
        <row r="433">
          <cell r="A433">
            <v>12067</v>
          </cell>
          <cell r="B433" t="str">
            <v>4-AMINO-3-METHYLPHENOL</v>
          </cell>
          <cell r="C433" t="str">
            <v>RODOL 3M4AP</v>
          </cell>
        </row>
        <row r="434">
          <cell r="A434">
            <v>12067</v>
          </cell>
          <cell r="B434" t="str">
            <v>4-AMINO-3-METHYLPHENOL</v>
          </cell>
          <cell r="C434" t="str">
            <v>JAROCOL 4A3MP</v>
          </cell>
        </row>
        <row r="435">
          <cell r="A435">
            <v>12067</v>
          </cell>
          <cell r="B435" t="str">
            <v>4-AMINO-3-METHYLPHENOL</v>
          </cell>
          <cell r="C435" t="str">
            <v>4-AMINO-3-METHYLPHEN</v>
          </cell>
        </row>
        <row r="436">
          <cell r="A436">
            <v>12068</v>
          </cell>
          <cell r="B436" t="str">
            <v>RODOL 2A3 PYR</v>
          </cell>
          <cell r="C436" t="str">
            <v>RODOL 2A3 PYR</v>
          </cell>
        </row>
        <row r="437">
          <cell r="A437">
            <v>12068</v>
          </cell>
          <cell r="B437" t="str">
            <v>RODOL 2A3 PYR</v>
          </cell>
          <cell r="C437" t="str">
            <v>SAE DYE 2A3HP</v>
          </cell>
        </row>
        <row r="438">
          <cell r="A438">
            <v>12070</v>
          </cell>
          <cell r="B438" t="str">
            <v>4,5 PYRAZOL</v>
          </cell>
          <cell r="C438" t="str">
            <v>12070</v>
          </cell>
        </row>
        <row r="439">
          <cell r="A439">
            <v>12070</v>
          </cell>
          <cell r="B439" t="str">
            <v>4,5 PYRAZOL</v>
          </cell>
          <cell r="C439" t="str">
            <v>12070</v>
          </cell>
        </row>
        <row r="440">
          <cell r="A440">
            <v>12071</v>
          </cell>
          <cell r="B440" t="str">
            <v>HC BLUE 7</v>
          </cell>
          <cell r="C440" t="str">
            <v>12071</v>
          </cell>
        </row>
        <row r="441">
          <cell r="A441">
            <v>12071</v>
          </cell>
          <cell r="B441" t="str">
            <v>HC BLUE 7</v>
          </cell>
          <cell r="C441" t="str">
            <v>12071</v>
          </cell>
        </row>
        <row r="442">
          <cell r="A442">
            <v>12074</v>
          </cell>
          <cell r="B442" t="str">
            <v>RODOL 2 MR</v>
          </cell>
          <cell r="C442" t="str">
            <v>12074</v>
          </cell>
        </row>
        <row r="443">
          <cell r="A443">
            <v>12074</v>
          </cell>
          <cell r="B443" t="str">
            <v>RODOL 2 MR</v>
          </cell>
          <cell r="C443" t="str">
            <v>12074</v>
          </cell>
        </row>
        <row r="444">
          <cell r="A444">
            <v>12074</v>
          </cell>
          <cell r="B444" t="str">
            <v>RODOL 2 MR</v>
          </cell>
          <cell r="C444" t="str">
            <v>12074</v>
          </cell>
        </row>
        <row r="445">
          <cell r="A445">
            <v>12074</v>
          </cell>
          <cell r="B445" t="str">
            <v>RODOL 2 MR</v>
          </cell>
          <cell r="C445" t="str">
            <v>12074</v>
          </cell>
        </row>
        <row r="446">
          <cell r="A446">
            <v>13001</v>
          </cell>
          <cell r="B446" t="str">
            <v>FLORAVIA 78067</v>
          </cell>
          <cell r="C446" t="str">
            <v>PFFLOV</v>
          </cell>
        </row>
        <row r="447">
          <cell r="A447">
            <v>13002</v>
          </cell>
          <cell r="B447" t="str">
            <v>THIO RENETTA 668982</v>
          </cell>
          <cell r="C447" t="str">
            <v>PFTHRE</v>
          </cell>
        </row>
        <row r="448">
          <cell r="A448">
            <v>13003</v>
          </cell>
          <cell r="B448" t="str">
            <v>ESENCIA LAVANDA 0/217610</v>
          </cell>
          <cell r="C448" t="str">
            <v>PFESLA</v>
          </cell>
        </row>
        <row r="449">
          <cell r="A449">
            <v>13004</v>
          </cell>
          <cell r="B449" t="str">
            <v>LILIE MARLENE R77708</v>
          </cell>
          <cell r="C449" t="str">
            <v>PFLIMA</v>
          </cell>
        </row>
        <row r="450">
          <cell r="A450">
            <v>13005</v>
          </cell>
          <cell r="B450" t="str">
            <v>ANADIA 1614</v>
          </cell>
          <cell r="C450" t="str">
            <v>PFANAD</v>
          </cell>
        </row>
        <row r="451">
          <cell r="A451">
            <v>13006</v>
          </cell>
          <cell r="B451" t="str">
            <v>CASTELLANA 582</v>
          </cell>
          <cell r="C451" t="str">
            <v>PFCAST</v>
          </cell>
        </row>
        <row r="452">
          <cell r="A452">
            <v>13007</v>
          </cell>
          <cell r="B452" t="str">
            <v>PINAROM 2202</v>
          </cell>
          <cell r="C452" t="str">
            <v>PFPINA</v>
          </cell>
        </row>
        <row r="453">
          <cell r="A453">
            <v>13008</v>
          </cell>
          <cell r="B453" t="str">
            <v>PINOLOR 2117</v>
          </cell>
          <cell r="C453" t="str">
            <v>PFPINO</v>
          </cell>
        </row>
        <row r="454">
          <cell r="A454">
            <v>13009</v>
          </cell>
          <cell r="B454" t="str">
            <v>ALBARICOQUE 66488</v>
          </cell>
          <cell r="C454" t="str">
            <v>PFALBA</v>
          </cell>
        </row>
        <row r="455">
          <cell r="A455">
            <v>13012</v>
          </cell>
          <cell r="B455" t="str">
            <v>HERBOFRESH 42.559</v>
          </cell>
          <cell r="C455" t="str">
            <v>PFHERF</v>
          </cell>
        </row>
        <row r="456">
          <cell r="A456">
            <v>13014</v>
          </cell>
          <cell r="B456" t="str">
            <v>HIERBA 44260</v>
          </cell>
          <cell r="C456" t="str">
            <v>PFHIER</v>
          </cell>
        </row>
        <row r="457">
          <cell r="A457">
            <v>13015</v>
          </cell>
          <cell r="B457" t="str">
            <v>LIMONFRESH 42555</v>
          </cell>
          <cell r="C457" t="str">
            <v>PFLIMO</v>
          </cell>
        </row>
        <row r="458">
          <cell r="A458">
            <v>13016</v>
          </cell>
          <cell r="B458" t="str">
            <v>FANTASY  313950 NEW</v>
          </cell>
          <cell r="C458" t="str">
            <v>PFMARI</v>
          </cell>
        </row>
        <row r="459">
          <cell r="A459">
            <v>13017</v>
          </cell>
          <cell r="B459" t="str">
            <v>SUAVIFLOR 57798</v>
          </cell>
          <cell r="C459" t="str">
            <v>PFSUAV</v>
          </cell>
        </row>
        <row r="460">
          <cell r="A460">
            <v>13018</v>
          </cell>
          <cell r="B460" t="str">
            <v>VENUSIA 168/94</v>
          </cell>
          <cell r="C460" t="str">
            <v>PFVENU</v>
          </cell>
        </row>
        <row r="461">
          <cell r="A461">
            <v>13024</v>
          </cell>
          <cell r="B461" t="str">
            <v>CONIFER  56637</v>
          </cell>
          <cell r="C461" t="str">
            <v>PFCONI</v>
          </cell>
        </row>
        <row r="462">
          <cell r="A462">
            <v>13025</v>
          </cell>
          <cell r="B462" t="str">
            <v>DEW BERRY 63659</v>
          </cell>
          <cell r="C462" t="str">
            <v>PFDEWB</v>
          </cell>
        </row>
        <row r="463">
          <cell r="A463">
            <v>13026</v>
          </cell>
          <cell r="B463" t="str">
            <v>FLORAFRUIT 63661</v>
          </cell>
          <cell r="C463" t="str">
            <v>PFFLOF</v>
          </cell>
        </row>
        <row r="464">
          <cell r="A464">
            <v>13028</v>
          </cell>
          <cell r="B464" t="str">
            <v>KIWI 345588</v>
          </cell>
          <cell r="C464" t="str">
            <v>PFKIWI</v>
          </cell>
        </row>
        <row r="465">
          <cell r="A465">
            <v>13029</v>
          </cell>
          <cell r="B465" t="str">
            <v>VERTFRESH 42.272</v>
          </cell>
          <cell r="C465" t="str">
            <v>PFVERT</v>
          </cell>
        </row>
        <row r="466">
          <cell r="A466">
            <v>13031</v>
          </cell>
          <cell r="B466" t="str">
            <v>SLOOPY 152/11</v>
          </cell>
          <cell r="C466" t="str">
            <v>PFSLOO</v>
          </cell>
        </row>
        <row r="467">
          <cell r="A467">
            <v>13032</v>
          </cell>
          <cell r="B467" t="str">
            <v>FRAMBUESA P200302</v>
          </cell>
          <cell r="C467" t="str">
            <v>PFFRAM</v>
          </cell>
        </row>
        <row r="468">
          <cell r="A468">
            <v>13033</v>
          </cell>
          <cell r="B468" t="str">
            <v>VESENA-CH P3057974</v>
          </cell>
          <cell r="C468" t="str">
            <v>PFVESE</v>
          </cell>
        </row>
        <row r="469">
          <cell r="A469">
            <v>13034</v>
          </cell>
          <cell r="B469" t="str">
            <v>GEL FRESCO P3055014</v>
          </cell>
          <cell r="C469" t="str">
            <v>PFGEFR</v>
          </cell>
        </row>
        <row r="470">
          <cell r="A470">
            <v>13035</v>
          </cell>
          <cell r="B470" t="str">
            <v>SANTAL 3718/E</v>
          </cell>
          <cell r="C470" t="str">
            <v>PFSANT</v>
          </cell>
        </row>
        <row r="471">
          <cell r="A471">
            <v>13036</v>
          </cell>
          <cell r="B471" t="str">
            <v>POMME EXOTIC SL 570.003-A</v>
          </cell>
          <cell r="C471" t="str">
            <v>PFPOMM</v>
          </cell>
        </row>
        <row r="472">
          <cell r="A472">
            <v>13037</v>
          </cell>
          <cell r="B472" t="str">
            <v>LAIT 8129</v>
          </cell>
          <cell r="C472" t="str">
            <v>PFLAIT</v>
          </cell>
        </row>
        <row r="473">
          <cell r="A473">
            <v>13038</v>
          </cell>
          <cell r="B473" t="str">
            <v>FRUTARON P207460</v>
          </cell>
          <cell r="C473" t="str">
            <v>PFFRUT</v>
          </cell>
        </row>
        <row r="474">
          <cell r="A474">
            <v>13039</v>
          </cell>
          <cell r="B474" t="str">
            <v>MANDARINA P3024014</v>
          </cell>
          <cell r="C474" t="str">
            <v>PFMAND</v>
          </cell>
        </row>
        <row r="475">
          <cell r="A475">
            <v>13041</v>
          </cell>
          <cell r="B475" t="str">
            <v>ASTORIA 986 DM5313</v>
          </cell>
          <cell r="C475" t="str">
            <v>PFASTO</v>
          </cell>
        </row>
        <row r="476">
          <cell r="A476">
            <v>13042</v>
          </cell>
          <cell r="B476" t="str">
            <v>HERBALIN</v>
          </cell>
          <cell r="C476" t="str">
            <v>PFHERN</v>
          </cell>
        </row>
        <row r="477">
          <cell r="A477">
            <v>13043</v>
          </cell>
          <cell r="B477" t="str">
            <v>TINTODOR</v>
          </cell>
          <cell r="C477" t="str">
            <v>PFTINT</v>
          </cell>
        </row>
        <row r="478">
          <cell r="A478">
            <v>13044</v>
          </cell>
          <cell r="B478" t="str">
            <v>KIREI</v>
          </cell>
          <cell r="C478" t="str">
            <v>PFKIRE</v>
          </cell>
        </row>
        <row r="479">
          <cell r="A479">
            <v>13045</v>
          </cell>
          <cell r="B479" t="str">
            <v>HAIRLAQUER 34</v>
          </cell>
          <cell r="C479" t="str">
            <v>PFHAIR</v>
          </cell>
        </row>
        <row r="480">
          <cell r="A480">
            <v>13046</v>
          </cell>
          <cell r="B480" t="str">
            <v>PERF.COSMETICO 101</v>
          </cell>
          <cell r="C480" t="str">
            <v>PFPECO</v>
          </cell>
        </row>
        <row r="481">
          <cell r="A481">
            <v>13047</v>
          </cell>
          <cell r="B481" t="str">
            <v>PERF.PERMANENTE 10505</v>
          </cell>
          <cell r="C481" t="str">
            <v>PFPEPE</v>
          </cell>
        </row>
        <row r="482">
          <cell r="A482">
            <v>13048</v>
          </cell>
          <cell r="B482" t="str">
            <v>FRAGANCIA 391</v>
          </cell>
          <cell r="C482" t="str">
            <v>PFFRAG</v>
          </cell>
        </row>
        <row r="483">
          <cell r="A483">
            <v>13049</v>
          </cell>
          <cell r="B483" t="str">
            <v>NEOPRON S.P. 609</v>
          </cell>
          <cell r="C483" t="str">
            <v>PFNEOP</v>
          </cell>
        </row>
        <row r="484">
          <cell r="A484">
            <v>13050</v>
          </cell>
          <cell r="B484" t="str">
            <v>LIMON VERDE</v>
          </cell>
          <cell r="C484" t="str">
            <v>PFLIVE</v>
          </cell>
        </row>
        <row r="485">
          <cell r="A485">
            <v>13051</v>
          </cell>
          <cell r="B485" t="str">
            <v>FLORAL 89236</v>
          </cell>
          <cell r="C485" t="str">
            <v>PFFLAL</v>
          </cell>
        </row>
        <row r="486">
          <cell r="A486">
            <v>13052</v>
          </cell>
          <cell r="B486" t="str">
            <v>TROPIFRUIT 99485</v>
          </cell>
          <cell r="C486" t="str">
            <v>PFTROP</v>
          </cell>
        </row>
        <row r="487">
          <cell r="A487">
            <v>13053</v>
          </cell>
          <cell r="B487" t="str">
            <v>COOLIVE NEW R90073</v>
          </cell>
          <cell r="C487" t="str">
            <v>PFTHCL</v>
          </cell>
        </row>
        <row r="488">
          <cell r="A488">
            <v>13054</v>
          </cell>
          <cell r="B488" t="str">
            <v>CH 9181</v>
          </cell>
          <cell r="C488" t="str">
            <v>PFCH91</v>
          </cell>
        </row>
        <row r="489">
          <cell r="A489">
            <v>13055</v>
          </cell>
          <cell r="B489" t="str">
            <v>CH ACOND. 11021</v>
          </cell>
          <cell r="C489" t="str">
            <v>PFCHAC</v>
          </cell>
        </row>
        <row r="490">
          <cell r="A490">
            <v>13056</v>
          </cell>
          <cell r="B490" t="str">
            <v>ESENCIA EXOTIC KIWI refR17599</v>
          </cell>
          <cell r="C490" t="str">
            <v>PFESKI</v>
          </cell>
        </row>
        <row r="491">
          <cell r="A491">
            <v>13057</v>
          </cell>
          <cell r="B491" t="str">
            <v>ESENCIA PANTHER MOD1-R121839</v>
          </cell>
          <cell r="C491" t="str">
            <v>PFESPA</v>
          </cell>
        </row>
        <row r="492">
          <cell r="A492">
            <v>13058</v>
          </cell>
          <cell r="B492" t="str">
            <v>ABRICOT SL 310-966-B</v>
          </cell>
          <cell r="C492" t="str">
            <v>PFABRI</v>
          </cell>
        </row>
        <row r="493">
          <cell r="A493">
            <v>13059</v>
          </cell>
          <cell r="B493" t="str">
            <v>FRAMBOKID</v>
          </cell>
          <cell r="C493" t="str">
            <v>PFFRID</v>
          </cell>
        </row>
        <row r="494">
          <cell r="A494">
            <v>13060</v>
          </cell>
          <cell r="B494" t="str">
            <v>MORA 111062</v>
          </cell>
          <cell r="C494" t="str">
            <v>PFMORA</v>
          </cell>
        </row>
        <row r="495">
          <cell r="A495">
            <v>13061</v>
          </cell>
          <cell r="B495" t="str">
            <v>ESENCIA BRISA</v>
          </cell>
          <cell r="C495" t="str">
            <v>PFESBR</v>
          </cell>
        </row>
        <row r="496">
          <cell r="A496">
            <v>13062</v>
          </cell>
          <cell r="B496" t="str">
            <v>SPORT ENERGY  2049914</v>
          </cell>
          <cell r="C496" t="str">
            <v>PFSPEN</v>
          </cell>
        </row>
        <row r="497">
          <cell r="A497">
            <v>13062</v>
          </cell>
          <cell r="B497" t="str">
            <v>SPORT ENERGY  2049914</v>
          </cell>
          <cell r="C497" t="str">
            <v>13062</v>
          </cell>
        </row>
        <row r="498">
          <cell r="A498">
            <v>13063</v>
          </cell>
          <cell r="B498" t="str">
            <v>MANZANA ACIDA 2002990</v>
          </cell>
          <cell r="C498" t="str">
            <v>PFMAAC</v>
          </cell>
        </row>
        <row r="499">
          <cell r="A499">
            <v>13063</v>
          </cell>
          <cell r="B499" t="str">
            <v>MANZANA ACIDA 2002990</v>
          </cell>
          <cell r="C499" t="str">
            <v>13063</v>
          </cell>
        </row>
        <row r="500">
          <cell r="A500">
            <v>13064</v>
          </cell>
          <cell r="B500" t="str">
            <v>ISLAND F. 2003346</v>
          </cell>
          <cell r="C500" t="str">
            <v>PFISLA</v>
          </cell>
        </row>
        <row r="501">
          <cell r="A501">
            <v>13065</v>
          </cell>
          <cell r="B501" t="str">
            <v>FLORALINE 114300</v>
          </cell>
          <cell r="C501" t="str">
            <v>PFJACI</v>
          </cell>
        </row>
        <row r="502">
          <cell r="A502">
            <v>13066</v>
          </cell>
          <cell r="B502" t="str">
            <v>BURSTIN BERRIES 2004468</v>
          </cell>
          <cell r="C502" t="str">
            <v>PFBUBE</v>
          </cell>
        </row>
        <row r="503">
          <cell r="A503">
            <v>13067</v>
          </cell>
          <cell r="B503" t="str">
            <v>MORAMUSK 2003323</v>
          </cell>
          <cell r="C503" t="str">
            <v>PFMOMU</v>
          </cell>
        </row>
        <row r="504">
          <cell r="A504">
            <v>13068</v>
          </cell>
          <cell r="B504" t="str">
            <v>COLLECTION- SA 2004471</v>
          </cell>
          <cell r="C504" t="str">
            <v>PFCOSA</v>
          </cell>
        </row>
        <row r="505">
          <cell r="A505">
            <v>13069</v>
          </cell>
          <cell r="B505" t="str">
            <v>FUSION BERRIES 606206</v>
          </cell>
          <cell r="C505" t="str">
            <v>PFFUBE</v>
          </cell>
        </row>
        <row r="506">
          <cell r="A506">
            <v>13070</v>
          </cell>
          <cell r="B506" t="str">
            <v>PLACERES F.B.A. 2004519</v>
          </cell>
          <cell r="C506" t="str">
            <v>PFPLAC</v>
          </cell>
        </row>
        <row r="507">
          <cell r="A507">
            <v>13071</v>
          </cell>
          <cell r="B507" t="str">
            <v>KRONOS 2004515</v>
          </cell>
          <cell r="C507" t="str">
            <v>PFKRON</v>
          </cell>
        </row>
        <row r="508">
          <cell r="A508">
            <v>13072</v>
          </cell>
          <cell r="B508" t="str">
            <v>TEA DELIGHT B.A. 2012441</v>
          </cell>
          <cell r="C508" t="str">
            <v>PFTEDE</v>
          </cell>
        </row>
        <row r="509">
          <cell r="A509">
            <v>13073</v>
          </cell>
          <cell r="B509" t="str">
            <v>RASPBERRY EXOTIC 236054</v>
          </cell>
          <cell r="C509" t="str">
            <v>PFRAEX</v>
          </cell>
        </row>
        <row r="510">
          <cell r="A510">
            <v>13074</v>
          </cell>
          <cell r="B510" t="str">
            <v>CONFITURE 2003544</v>
          </cell>
          <cell r="C510" t="str">
            <v>PFCONF</v>
          </cell>
        </row>
        <row r="511">
          <cell r="A511">
            <v>13075</v>
          </cell>
          <cell r="B511" t="str">
            <v>ROCKIN PURO 2012495</v>
          </cell>
          <cell r="C511" t="str">
            <v>PFROCK</v>
          </cell>
        </row>
        <row r="512">
          <cell r="A512">
            <v>13076</v>
          </cell>
          <cell r="B512" t="str">
            <v>TURRON 2012497</v>
          </cell>
          <cell r="C512" t="str">
            <v>PFTURR</v>
          </cell>
        </row>
        <row r="513">
          <cell r="A513">
            <v>13077</v>
          </cell>
          <cell r="B513" t="str">
            <v>PERFUME TEI ORANGE</v>
          </cell>
          <cell r="C513" t="str">
            <v>PFTEOR</v>
          </cell>
        </row>
        <row r="514">
          <cell r="A514">
            <v>13078</v>
          </cell>
          <cell r="B514" t="str">
            <v>PERFUME KIWI-POMME</v>
          </cell>
          <cell r="C514" t="str">
            <v>PFKIPO</v>
          </cell>
        </row>
        <row r="515">
          <cell r="A515">
            <v>13079</v>
          </cell>
          <cell r="B515" t="str">
            <v>PERFUME PIMCO</v>
          </cell>
          <cell r="C515" t="str">
            <v>PFPIMC</v>
          </cell>
        </row>
        <row r="516">
          <cell r="A516">
            <v>13080</v>
          </cell>
          <cell r="B516" t="str">
            <v>PERFUME NEW MARACUYA</v>
          </cell>
          <cell r="C516" t="str">
            <v>PFNEMA</v>
          </cell>
        </row>
        <row r="517">
          <cell r="A517">
            <v>13081</v>
          </cell>
          <cell r="B517" t="str">
            <v>PERFUME ANNANAS KIWI</v>
          </cell>
          <cell r="C517" t="str">
            <v>PFANKI</v>
          </cell>
        </row>
        <row r="518">
          <cell r="A518">
            <v>13082</v>
          </cell>
          <cell r="B518" t="str">
            <v>MARINADA 138523</v>
          </cell>
          <cell r="C518" t="str">
            <v>PFMADA</v>
          </cell>
        </row>
        <row r="519">
          <cell r="A519">
            <v>13083</v>
          </cell>
          <cell r="B519" t="str">
            <v>FRUTALMASK 132673</v>
          </cell>
          <cell r="C519" t="str">
            <v>PFFRMA</v>
          </cell>
        </row>
        <row r="520">
          <cell r="A520">
            <v>13084</v>
          </cell>
          <cell r="B520" t="str">
            <v>TINTE  345589</v>
          </cell>
          <cell r="C520" t="str">
            <v>PFTNTE</v>
          </cell>
        </row>
        <row r="521">
          <cell r="A521">
            <v>13085</v>
          </cell>
          <cell r="B521" t="str">
            <v>PERFUME SOLEIL FPC024</v>
          </cell>
          <cell r="C521" t="str">
            <v>PFSOLE</v>
          </cell>
        </row>
        <row r="522">
          <cell r="A522">
            <v>13086</v>
          </cell>
          <cell r="B522" t="str">
            <v>CHAMPUKIN 150738</v>
          </cell>
          <cell r="C522" t="str">
            <v>PFCHAM</v>
          </cell>
        </row>
        <row r="523">
          <cell r="A523">
            <v>13087</v>
          </cell>
          <cell r="B523" t="str">
            <v>PERFUME LUXOR CITRUS 34886</v>
          </cell>
          <cell r="C523" t="str">
            <v>PFLUCI</v>
          </cell>
        </row>
        <row r="524">
          <cell r="A524">
            <v>13088</v>
          </cell>
          <cell r="B524" t="str">
            <v>PERFUME EXTRA CAMOMILA</v>
          </cell>
          <cell r="C524" t="str">
            <v>PFEXCA</v>
          </cell>
        </row>
        <row r="525">
          <cell r="A525">
            <v>13089</v>
          </cell>
          <cell r="B525" t="str">
            <v>PERFUME AMBER 2004747</v>
          </cell>
          <cell r="C525" t="str">
            <v>PFAMBE</v>
          </cell>
        </row>
        <row r="526">
          <cell r="A526">
            <v>13090</v>
          </cell>
          <cell r="B526" t="str">
            <v>PERFUME NIPPER FRESH 5470K</v>
          </cell>
          <cell r="C526" t="str">
            <v/>
          </cell>
        </row>
        <row r="527">
          <cell r="A527">
            <v>13091</v>
          </cell>
          <cell r="B527" t="str">
            <v>PERF FRESH BALSAM INC.2004858</v>
          </cell>
          <cell r="C527" t="str">
            <v>PFFRBA</v>
          </cell>
        </row>
        <row r="528">
          <cell r="A528">
            <v>13092</v>
          </cell>
          <cell r="B528" t="str">
            <v>PERFUME NATURAL 2005388</v>
          </cell>
          <cell r="C528" t="str">
            <v>PFNATU</v>
          </cell>
        </row>
        <row r="529">
          <cell r="A529">
            <v>13093</v>
          </cell>
          <cell r="B529" t="str">
            <v>PERFUME IRIS TINT 30130</v>
          </cell>
          <cell r="C529" t="str">
            <v>PFIRTI</v>
          </cell>
        </row>
        <row r="530">
          <cell r="A530">
            <v>13094</v>
          </cell>
          <cell r="B530" t="str">
            <v>PERF. SH.NEW MARACUYA 21394</v>
          </cell>
          <cell r="C530" t="str">
            <v>PFNEMASH</v>
          </cell>
        </row>
        <row r="531">
          <cell r="A531">
            <v>13095</v>
          </cell>
          <cell r="B531" t="str">
            <v>PERF. SH. TEI ORANGE 12072</v>
          </cell>
          <cell r="C531" t="str">
            <v>PFTEORSH</v>
          </cell>
        </row>
        <row r="532">
          <cell r="A532">
            <v>13096</v>
          </cell>
          <cell r="B532" t="str">
            <v>HAVEN</v>
          </cell>
          <cell r="C532" t="str">
            <v>PFHAVE</v>
          </cell>
        </row>
        <row r="533">
          <cell r="A533">
            <v>13097</v>
          </cell>
          <cell r="B533" t="str">
            <v>CUHERBAL 1104980</v>
          </cell>
          <cell r="C533" t="str">
            <v>PFCUHE</v>
          </cell>
        </row>
        <row r="534">
          <cell r="A534">
            <v>13098</v>
          </cell>
          <cell r="B534" t="str">
            <v>HERBALFRESH 1119950</v>
          </cell>
          <cell r="C534" t="str">
            <v>PFHERB</v>
          </cell>
        </row>
        <row r="535">
          <cell r="A535">
            <v>13099</v>
          </cell>
          <cell r="B535" t="str">
            <v>COOL M 2005072</v>
          </cell>
          <cell r="C535" t="str">
            <v>PFCOOL</v>
          </cell>
        </row>
        <row r="536">
          <cell r="A536">
            <v>13100</v>
          </cell>
          <cell r="B536" t="str">
            <v>COOL BLUE 17673</v>
          </cell>
          <cell r="C536" t="str">
            <v>PFCLBL</v>
          </cell>
        </row>
        <row r="537">
          <cell r="A537">
            <v>13101</v>
          </cell>
          <cell r="B537" t="str">
            <v>MINGUN 23602</v>
          </cell>
          <cell r="C537" t="str">
            <v>PFMING</v>
          </cell>
        </row>
        <row r="538">
          <cell r="A538">
            <v>13101</v>
          </cell>
          <cell r="B538" t="str">
            <v>MINGUN 23602</v>
          </cell>
          <cell r="C538" t="str">
            <v/>
          </cell>
        </row>
        <row r="539">
          <cell r="A539">
            <v>200001</v>
          </cell>
          <cell r="B539" t="str">
            <v>BOT. 1000 ML. AZUL NACAR KA</v>
          </cell>
          <cell r="C539" t="str">
            <v>BO10A</v>
          </cell>
        </row>
        <row r="540">
          <cell r="A540">
            <v>200001</v>
          </cell>
          <cell r="B540" t="str">
            <v>BOT. 1000 ML. AZUL NACAR KA</v>
          </cell>
          <cell r="C540" t="str">
            <v>200001</v>
          </cell>
        </row>
        <row r="541">
          <cell r="A541">
            <v>200002</v>
          </cell>
          <cell r="B541" t="str">
            <v>BOT. 1000 ML. KA  AMARILLO</v>
          </cell>
          <cell r="C541" t="str">
            <v>BO10B</v>
          </cell>
        </row>
        <row r="542">
          <cell r="A542">
            <v>200002</v>
          </cell>
          <cell r="B542" t="str">
            <v>BOT. 1000 ML. KA  AMARILLO</v>
          </cell>
          <cell r="C542" t="str">
            <v>200002</v>
          </cell>
        </row>
        <row r="543">
          <cell r="A543">
            <v>200003</v>
          </cell>
          <cell r="B543" t="str">
            <v>BOT. CUTI FORTE SHAMP 1000 ml.</v>
          </cell>
          <cell r="C543" t="str">
            <v>BO10CFSH</v>
          </cell>
        </row>
        <row r="544">
          <cell r="A544">
            <v>200003</v>
          </cell>
          <cell r="B544" t="str">
            <v>BOT. CUTI FORTE SHAMP 1000 ml.</v>
          </cell>
          <cell r="C544" t="str">
            <v>200003</v>
          </cell>
        </row>
        <row r="545">
          <cell r="A545">
            <v>200004</v>
          </cell>
          <cell r="B545" t="str">
            <v>BOT. CUTI-GLOSS SHAMP 1000 ml.</v>
          </cell>
          <cell r="C545" t="str">
            <v>BO10CGSH</v>
          </cell>
        </row>
        <row r="546">
          <cell r="A546">
            <v>200004</v>
          </cell>
          <cell r="B546" t="str">
            <v>BOT. CUTI-GLOSS SHAMP 1000 ml.</v>
          </cell>
          <cell r="C546" t="str">
            <v>200004</v>
          </cell>
        </row>
        <row r="547">
          <cell r="A547">
            <v>200005</v>
          </cell>
          <cell r="B547" t="str">
            <v>BOT. CASP SECA SHAMP 1000 ml.</v>
          </cell>
          <cell r="C547" t="str">
            <v>BO10CSSH</v>
          </cell>
        </row>
        <row r="548">
          <cell r="A548">
            <v>200005</v>
          </cell>
          <cell r="B548" t="str">
            <v>BOT. CASP SECA SHAMP 1000 ml.</v>
          </cell>
          <cell r="C548" t="str">
            <v>200005</v>
          </cell>
        </row>
        <row r="549">
          <cell r="A549">
            <v>200006</v>
          </cell>
          <cell r="B549" t="str">
            <v>BOT. 1000 ML. KA GRIS PLATA</v>
          </cell>
          <cell r="C549" t="str">
            <v>BO10G</v>
          </cell>
        </row>
        <row r="550">
          <cell r="A550">
            <v>200006</v>
          </cell>
          <cell r="B550" t="str">
            <v>BOT. 1000 ML. KA GRIS PLATA</v>
          </cell>
          <cell r="C550" t="str">
            <v>200006</v>
          </cell>
        </row>
        <row r="551">
          <cell r="A551">
            <v>200007</v>
          </cell>
          <cell r="B551" t="str">
            <v>BOT. CASPA GRASA SHAMP 1000 ml</v>
          </cell>
          <cell r="C551" t="str">
            <v>BO10GRSH</v>
          </cell>
        </row>
        <row r="552">
          <cell r="A552">
            <v>200007</v>
          </cell>
          <cell r="B552" t="str">
            <v>BOT. CASPA GRASA SHAMP 1000 ml</v>
          </cell>
          <cell r="C552" t="str">
            <v>200007</v>
          </cell>
        </row>
        <row r="553">
          <cell r="A553">
            <v>200008</v>
          </cell>
          <cell r="B553" t="str">
            <v>BOT. LIS. INT GEL LISS 1000 ml</v>
          </cell>
          <cell r="C553" t="str">
            <v>BO10LIGL</v>
          </cell>
        </row>
        <row r="554">
          <cell r="A554">
            <v>200008</v>
          </cell>
          <cell r="B554" t="str">
            <v>BOT. LIS. INT GEL LISS 1000 ml</v>
          </cell>
          <cell r="C554" t="str">
            <v>200008</v>
          </cell>
        </row>
        <row r="555">
          <cell r="A555">
            <v>200009</v>
          </cell>
          <cell r="B555" t="str">
            <v>BOT. LISSAGE INT SHAMP 1000 ml</v>
          </cell>
          <cell r="C555" t="str">
            <v>BO10LISH</v>
          </cell>
        </row>
        <row r="556">
          <cell r="A556">
            <v>200009</v>
          </cell>
          <cell r="B556" t="str">
            <v>BOT. LISSAGE INT SHAMP 1000 ml</v>
          </cell>
          <cell r="C556" t="str">
            <v>200009</v>
          </cell>
        </row>
        <row r="557">
          <cell r="A557">
            <v>200010</v>
          </cell>
          <cell r="B557" t="str">
            <v>BOT. NUTRI-REP. SHAMP 1.000 ml</v>
          </cell>
          <cell r="C557" t="str">
            <v>BO10NRSH</v>
          </cell>
        </row>
        <row r="558">
          <cell r="A558">
            <v>200010</v>
          </cell>
          <cell r="B558" t="str">
            <v>BOT. NUTRI-REP. SHAMP 1.000 ml</v>
          </cell>
          <cell r="C558" t="str">
            <v>200010</v>
          </cell>
        </row>
        <row r="559">
          <cell r="A559">
            <v>200011</v>
          </cell>
          <cell r="B559" t="str">
            <v>BOT. NUTRI-SILK CONDIT 1000 ml</v>
          </cell>
          <cell r="C559" t="str">
            <v>BO10NSCO</v>
          </cell>
        </row>
        <row r="560">
          <cell r="A560">
            <v>200011</v>
          </cell>
          <cell r="B560" t="str">
            <v>BOT. NUTRI-SILK CONDIT 1000 ml</v>
          </cell>
          <cell r="C560" t="str">
            <v>200011</v>
          </cell>
        </row>
        <row r="561">
          <cell r="A561">
            <v>200012</v>
          </cell>
          <cell r="B561" t="str">
            <v>BOT. 1000 NUTRI-SILK SHAMP</v>
          </cell>
          <cell r="C561" t="str">
            <v>BO10NSSH</v>
          </cell>
        </row>
        <row r="562">
          <cell r="A562">
            <v>200012</v>
          </cell>
          <cell r="B562" t="str">
            <v>BOT. 1000 NUTRI-SILK SHAMP</v>
          </cell>
          <cell r="C562" t="str">
            <v>200012</v>
          </cell>
        </row>
        <row r="563">
          <cell r="A563">
            <v>200013</v>
          </cell>
          <cell r="B563" t="str">
            <v>BOT. 1000 ML. KA  ROJO CEREZA</v>
          </cell>
          <cell r="C563" t="str">
            <v>BO10R</v>
          </cell>
        </row>
        <row r="564">
          <cell r="A564">
            <v>200013</v>
          </cell>
          <cell r="B564" t="str">
            <v>BOT. 1000 ML. KA  ROJO CEREZA</v>
          </cell>
          <cell r="C564" t="str">
            <v>200013</v>
          </cell>
        </row>
        <row r="565">
          <cell r="A565">
            <v>200014</v>
          </cell>
          <cell r="B565" t="str">
            <v>BOT. 1000 REGULIZE SHAMPOO</v>
          </cell>
          <cell r="C565" t="str">
            <v>BO10RESH</v>
          </cell>
        </row>
        <row r="566">
          <cell r="A566">
            <v>200014</v>
          </cell>
          <cell r="B566" t="str">
            <v>BOT. 1000 REGULIZE SHAMPOO</v>
          </cell>
          <cell r="C566" t="str">
            <v>200014</v>
          </cell>
        </row>
        <row r="567">
          <cell r="A567">
            <v>200015</v>
          </cell>
          <cell r="B567" t="str">
            <v>BOT. 1000 SILVER COLOR SHAMPO</v>
          </cell>
          <cell r="C567" t="str">
            <v>BO10SCSH</v>
          </cell>
        </row>
        <row r="568">
          <cell r="A568">
            <v>200015</v>
          </cell>
          <cell r="B568" t="str">
            <v>BOT. 1000 SILVER COLOR SHAMPO</v>
          </cell>
          <cell r="C568" t="str">
            <v>200015</v>
          </cell>
        </row>
        <row r="569">
          <cell r="A569">
            <v>200016</v>
          </cell>
          <cell r="B569" t="str">
            <v>BOT. 1000 SENSITIVE SHAMPOO</v>
          </cell>
          <cell r="C569" t="str">
            <v>BO10SESH</v>
          </cell>
        </row>
        <row r="570">
          <cell r="A570">
            <v>200016</v>
          </cell>
          <cell r="B570" t="str">
            <v>BOT. 1000 SENSITIVE SHAMPOO</v>
          </cell>
          <cell r="C570" t="str">
            <v>200016</v>
          </cell>
        </row>
        <row r="571">
          <cell r="A571">
            <v>200017</v>
          </cell>
          <cell r="B571" t="str">
            <v>BOT. 1000 STIMULANT SHAMPOO</v>
          </cell>
          <cell r="C571" t="str">
            <v>BO10STSH</v>
          </cell>
        </row>
        <row r="572">
          <cell r="A572">
            <v>200017</v>
          </cell>
          <cell r="B572" t="str">
            <v>BOT. 1000 STIMULANT SHAMPOO</v>
          </cell>
          <cell r="C572" t="str">
            <v>200017</v>
          </cell>
        </row>
        <row r="573">
          <cell r="A573">
            <v>200018</v>
          </cell>
          <cell r="B573" t="str">
            <v>BOT. 1000 LISS.INTEN LISS MASK</v>
          </cell>
          <cell r="C573" t="str">
            <v>BO10V</v>
          </cell>
        </row>
        <row r="574">
          <cell r="A574">
            <v>200018</v>
          </cell>
          <cell r="B574" t="str">
            <v>BOT. 1000 LISS.INTEN LISS MASK</v>
          </cell>
          <cell r="C574" t="str">
            <v>200018</v>
          </cell>
        </row>
        <row r="575">
          <cell r="A575">
            <v>200019</v>
          </cell>
          <cell r="B575" t="str">
            <v>BOT. 1000 VITAL COLOR CONDIT.</v>
          </cell>
          <cell r="C575" t="str">
            <v>BO10VCCO</v>
          </cell>
        </row>
        <row r="576">
          <cell r="A576">
            <v>200019</v>
          </cell>
          <cell r="B576" t="str">
            <v>BOT. 1000 VITAL COLOR CONDIT.</v>
          </cell>
          <cell r="C576" t="str">
            <v>200019</v>
          </cell>
        </row>
        <row r="577">
          <cell r="A577">
            <v>200020</v>
          </cell>
          <cell r="B577" t="str">
            <v>BOT. 1000 VITAL COLOR SHAMPOO</v>
          </cell>
          <cell r="C577" t="str">
            <v>BO10VCSH</v>
          </cell>
        </row>
        <row r="578">
          <cell r="A578">
            <v>200020</v>
          </cell>
          <cell r="B578" t="str">
            <v>BOT. 1000 VITAL COLOR SHAMPOO</v>
          </cell>
          <cell r="C578" t="str">
            <v>200020</v>
          </cell>
        </row>
        <row r="579">
          <cell r="A579">
            <v>200021</v>
          </cell>
          <cell r="B579" t="str">
            <v>BOT. 1000 ML. KA VERDE NACAR</v>
          </cell>
          <cell r="C579" t="str">
            <v>BO10VE</v>
          </cell>
        </row>
        <row r="580">
          <cell r="A580">
            <v>200021</v>
          </cell>
          <cell r="B580" t="str">
            <v>BOT. 1000 ML. KA VERDE NACAR</v>
          </cell>
          <cell r="C580" t="str">
            <v>200021</v>
          </cell>
        </row>
        <row r="581">
          <cell r="A581">
            <v>200022</v>
          </cell>
          <cell r="B581" t="str">
            <v>BOT. 1000 VIGOR PERM SHAMPOO</v>
          </cell>
          <cell r="C581" t="str">
            <v>BO10VPSH</v>
          </cell>
        </row>
        <row r="582">
          <cell r="A582">
            <v>200022</v>
          </cell>
          <cell r="B582" t="str">
            <v>BOT. 1000 VIGOR PERM SHAMPOO</v>
          </cell>
          <cell r="C582" t="str">
            <v>200022</v>
          </cell>
        </row>
        <row r="583">
          <cell r="A583">
            <v>200023</v>
          </cell>
          <cell r="B583" t="str">
            <v>BOT. 100  AZUL CLARO NACAR</v>
          </cell>
          <cell r="C583" t="str">
            <v>BO1AN</v>
          </cell>
        </row>
        <row r="584">
          <cell r="A584">
            <v>200023</v>
          </cell>
          <cell r="B584" t="str">
            <v>BOT. 100  AZUL CLARO NACAR</v>
          </cell>
          <cell r="C584" t="str">
            <v>200023</v>
          </cell>
        </row>
        <row r="585">
          <cell r="A585">
            <v>200024</v>
          </cell>
          <cell r="B585" t="str">
            <v>BOT. 100 VIOLETA NACAR Lissage</v>
          </cell>
          <cell r="C585" t="str">
            <v>BO1VN</v>
          </cell>
        </row>
        <row r="586">
          <cell r="A586">
            <v>200024</v>
          </cell>
          <cell r="B586" t="str">
            <v>BOT. 100 VIOLETA NACAR Lissage</v>
          </cell>
          <cell r="C586" t="str">
            <v>BOT. 100 ML. LILA</v>
          </cell>
        </row>
        <row r="587">
          <cell r="A587">
            <v>200024</v>
          </cell>
          <cell r="B587" t="str">
            <v>BOT. 100 VIOLETA NACAR Lissage</v>
          </cell>
          <cell r="C587" t="str">
            <v>200024</v>
          </cell>
        </row>
        <row r="588">
          <cell r="A588">
            <v>200025</v>
          </cell>
          <cell r="B588" t="str">
            <v>BOT. 200 SETTING PLIS GRUESOS</v>
          </cell>
          <cell r="C588" t="str">
            <v>BO20SPCG</v>
          </cell>
        </row>
        <row r="589">
          <cell r="A589">
            <v>200025</v>
          </cell>
          <cell r="B589" t="str">
            <v>BOT. 200 SETTING PLIS GRUESOS</v>
          </cell>
          <cell r="C589" t="str">
            <v>200025</v>
          </cell>
        </row>
        <row r="590">
          <cell r="A590">
            <v>200026</v>
          </cell>
          <cell r="B590" t="str">
            <v>BOT. 200 SETTING PLIS NATURAL</v>
          </cell>
          <cell r="C590" t="str">
            <v>BO20SPCN</v>
          </cell>
        </row>
        <row r="591">
          <cell r="A591">
            <v>200026</v>
          </cell>
          <cell r="B591" t="str">
            <v>BOT. 200 SETTING PLIS NATURAL</v>
          </cell>
          <cell r="C591" t="str">
            <v>200026</v>
          </cell>
        </row>
        <row r="592">
          <cell r="A592">
            <v>200027</v>
          </cell>
          <cell r="B592" t="str">
            <v>BOT. 250 ML. HUEVO AZUL NACAR</v>
          </cell>
          <cell r="C592" t="str">
            <v>BO2HA</v>
          </cell>
        </row>
        <row r="593">
          <cell r="A593">
            <v>200027</v>
          </cell>
          <cell r="B593" t="str">
            <v>BOT. 250 ML. HUEVO AZUL NACAR</v>
          </cell>
          <cell r="C593" t="str">
            <v>200027</v>
          </cell>
        </row>
        <row r="594">
          <cell r="A594">
            <v>200028</v>
          </cell>
          <cell r="B594" t="str">
            <v>BOT. 250 HUEVO AMARILLO Nacar</v>
          </cell>
          <cell r="C594" t="str">
            <v>BO2HB</v>
          </cell>
        </row>
        <row r="595">
          <cell r="A595">
            <v>200028</v>
          </cell>
          <cell r="B595" t="str">
            <v>BOT. 250 HUEVO AMARILLO Nacar</v>
          </cell>
          <cell r="C595" t="str">
            <v>200028</v>
          </cell>
        </row>
        <row r="596">
          <cell r="A596">
            <v>200029</v>
          </cell>
          <cell r="B596" t="str">
            <v>BOT. 250 ML. HUEVO GRIS PLATA</v>
          </cell>
          <cell r="C596" t="str">
            <v>BO2HG</v>
          </cell>
        </row>
        <row r="597">
          <cell r="A597">
            <v>200029</v>
          </cell>
          <cell r="B597" t="str">
            <v>BOT. 250 ML. HUEVO GRIS PLATA</v>
          </cell>
          <cell r="C597" t="str">
            <v>200029</v>
          </cell>
        </row>
        <row r="598">
          <cell r="A598">
            <v>200030</v>
          </cell>
          <cell r="B598" t="str">
            <v>BOT. 250 KAE HUEVO ROJO CEREZA</v>
          </cell>
          <cell r="C598" t="str">
            <v>BO2HR</v>
          </cell>
        </row>
        <row r="599">
          <cell r="A599">
            <v>200030</v>
          </cell>
          <cell r="B599" t="str">
            <v>BOT. 250 KAE HUEVO ROJO CEREZA</v>
          </cell>
          <cell r="C599" t="str">
            <v>200030</v>
          </cell>
        </row>
        <row r="600">
          <cell r="A600">
            <v>200031</v>
          </cell>
          <cell r="B600" t="str">
            <v>BOT. 250 HUEVO VIOLETA Nacar</v>
          </cell>
          <cell r="C600" t="str">
            <v>BO2HV</v>
          </cell>
        </row>
        <row r="601">
          <cell r="A601">
            <v>200031</v>
          </cell>
          <cell r="B601" t="str">
            <v>BOT. 250 HUEVO VIOLETA Nacar</v>
          </cell>
          <cell r="C601" t="str">
            <v>200031</v>
          </cell>
        </row>
        <row r="602">
          <cell r="A602">
            <v>200032</v>
          </cell>
          <cell r="B602" t="str">
            <v>BOT. 250 KA HUEVO VERDE Nacar</v>
          </cell>
          <cell r="C602" t="str">
            <v>BO2HVE</v>
          </cell>
        </row>
        <row r="603">
          <cell r="A603">
            <v>200032</v>
          </cell>
          <cell r="B603" t="str">
            <v>BOT. 250 KA HUEVO VERDE Nacar</v>
          </cell>
          <cell r="C603" t="str">
            <v>200032</v>
          </cell>
        </row>
        <row r="604">
          <cell r="A604">
            <v>200033</v>
          </cell>
          <cell r="B604" t="str">
            <v>BOT. 200 VALVULA AMARILLO Naca</v>
          </cell>
          <cell r="C604" t="str">
            <v>BO2VB</v>
          </cell>
        </row>
        <row r="605">
          <cell r="A605">
            <v>200033</v>
          </cell>
          <cell r="B605" t="str">
            <v>BOT. 200 VALVULA AMARILLO Naca</v>
          </cell>
          <cell r="C605" t="str">
            <v>200033</v>
          </cell>
        </row>
        <row r="606">
          <cell r="A606">
            <v>200034</v>
          </cell>
          <cell r="B606" t="str">
            <v>BOT. 200 ML. VALVULA NATURAL</v>
          </cell>
          <cell r="C606" t="str">
            <v>BO2VN</v>
          </cell>
        </row>
        <row r="607">
          <cell r="A607">
            <v>200034</v>
          </cell>
          <cell r="B607" t="str">
            <v>BOT. 200 ML. VALVULA NATURAL</v>
          </cell>
          <cell r="C607" t="str">
            <v>BOT.REF.- 3500478</v>
          </cell>
        </row>
        <row r="608">
          <cell r="A608">
            <v>200034</v>
          </cell>
          <cell r="B608" t="str">
            <v>BOT. 200 ML. VALVULA NATURAL</v>
          </cell>
          <cell r="C608" t="str">
            <v>200034</v>
          </cell>
        </row>
        <row r="609">
          <cell r="A609">
            <v>200035</v>
          </cell>
          <cell r="B609" t="str">
            <v>BOT. 200 VALVUL KA ROJO CEREZA</v>
          </cell>
          <cell r="C609" t="str">
            <v>BO2VR</v>
          </cell>
        </row>
        <row r="610">
          <cell r="A610">
            <v>200035</v>
          </cell>
          <cell r="B610" t="str">
            <v>BOT. 200 VALVUL KA ROJO CEREZA</v>
          </cell>
          <cell r="C610" t="str">
            <v>200035</v>
          </cell>
        </row>
        <row r="611">
          <cell r="A611">
            <v>200036</v>
          </cell>
          <cell r="B611" t="str">
            <v>BOT. 200 VALVUL VIOLETA NACAR</v>
          </cell>
          <cell r="C611" t="str">
            <v>BO2VV</v>
          </cell>
        </row>
        <row r="612">
          <cell r="A612">
            <v>200036</v>
          </cell>
          <cell r="B612" t="str">
            <v>BOT. 200 VALVUL VIOLETA NACAR</v>
          </cell>
          <cell r="C612" t="str">
            <v>BOT.REF.- 3500469</v>
          </cell>
        </row>
        <row r="613">
          <cell r="A613">
            <v>200036</v>
          </cell>
          <cell r="B613" t="str">
            <v>BOT. 200 VALVUL VIOLETA NACAR</v>
          </cell>
          <cell r="C613" t="str">
            <v>200036</v>
          </cell>
        </row>
        <row r="614">
          <cell r="A614">
            <v>200037</v>
          </cell>
          <cell r="B614" t="str">
            <v>BOT. 200 ML. KA VERDE NACAR</v>
          </cell>
          <cell r="C614" t="str">
            <v>BO2VVE</v>
          </cell>
        </row>
        <row r="615">
          <cell r="A615">
            <v>200037</v>
          </cell>
          <cell r="B615" t="str">
            <v>BOT. 200 ML. KA VERDE NACAR</v>
          </cell>
          <cell r="C615" t="str">
            <v>200037</v>
          </cell>
        </row>
        <row r="616">
          <cell r="A616">
            <v>200038</v>
          </cell>
          <cell r="B616" t="str">
            <v>BOT. 500 "S" TC NAT. BI-PHASE</v>
          </cell>
          <cell r="C616" t="str">
            <v>BO5BEQ</v>
          </cell>
        </row>
        <row r="617">
          <cell r="A617">
            <v>200038</v>
          </cell>
          <cell r="B617" t="str">
            <v>BOT. 500 "S" TC NAT. BI-PHASE</v>
          </cell>
          <cell r="C617" t="str">
            <v>200038</v>
          </cell>
        </row>
        <row r="618">
          <cell r="A618">
            <v>200039</v>
          </cell>
          <cell r="B618" t="str">
            <v>BOT. 500 OVAL GRIS OSCURO</v>
          </cell>
          <cell r="C618" t="str">
            <v>BO5VG</v>
          </cell>
        </row>
        <row r="619">
          <cell r="A619">
            <v>200039</v>
          </cell>
          <cell r="B619" t="str">
            <v>BOT. 500 OVAL GRIS OSCURO</v>
          </cell>
          <cell r="C619" t="str">
            <v>200039</v>
          </cell>
        </row>
        <row r="620">
          <cell r="A620">
            <v>200040</v>
          </cell>
          <cell r="B620" t="str">
            <v>BOT. K.BLOND 40 VOL. 1 LT.</v>
          </cell>
          <cell r="C620" t="str">
            <v>BOB40L</v>
          </cell>
        </row>
        <row r="621">
          <cell r="A621">
            <v>200040</v>
          </cell>
          <cell r="B621" t="str">
            <v>BOT. K.BLOND 40 VOL. 1 LT.</v>
          </cell>
          <cell r="C621" t="str">
            <v>200040</v>
          </cell>
        </row>
        <row r="622">
          <cell r="A622">
            <v>200041</v>
          </cell>
          <cell r="B622" t="str">
            <v>BOT. K.BLOND 180 ml.</v>
          </cell>
          <cell r="C622" t="str">
            <v>BOBL18</v>
          </cell>
        </row>
        <row r="623">
          <cell r="A623">
            <v>200041</v>
          </cell>
          <cell r="B623" t="str">
            <v>BOT. K.BLOND 180 ml.</v>
          </cell>
          <cell r="C623" t="str">
            <v>200041</v>
          </cell>
        </row>
        <row r="624">
          <cell r="A624">
            <v>200042</v>
          </cell>
          <cell r="B624" t="str">
            <v>BOT. 200 ml. COLOR CREAM</v>
          </cell>
          <cell r="C624" t="str">
            <v>BOCC20</v>
          </cell>
        </row>
        <row r="625">
          <cell r="A625">
            <v>200042</v>
          </cell>
          <cell r="B625" t="str">
            <v>BOT. 200 ml. COLOR CREAM</v>
          </cell>
          <cell r="C625" t="str">
            <v>200042</v>
          </cell>
        </row>
        <row r="626">
          <cell r="A626">
            <v>200043</v>
          </cell>
          <cell r="B626" t="str">
            <v>BOT CHAMPU K.PRESTIGE</v>
          </cell>
          <cell r="C626" t="str">
            <v>BOCHKP</v>
          </cell>
        </row>
        <row r="627">
          <cell r="A627">
            <v>200043</v>
          </cell>
          <cell r="B627" t="str">
            <v>BOT CHAMPU K.PRESTIGE</v>
          </cell>
          <cell r="C627" t="str">
            <v>200043</v>
          </cell>
        </row>
        <row r="628">
          <cell r="A628">
            <v>200044</v>
          </cell>
          <cell r="B628" t="str">
            <v>Bot. COLOR REMOVER 50 ml.</v>
          </cell>
          <cell r="C628" t="str">
            <v>BOCORE</v>
          </cell>
        </row>
        <row r="629">
          <cell r="A629">
            <v>200044</v>
          </cell>
          <cell r="B629" t="str">
            <v>Bot. COLOR REMOVER 50 ml.</v>
          </cell>
          <cell r="C629" t="str">
            <v>200044</v>
          </cell>
        </row>
        <row r="630">
          <cell r="A630">
            <v>200045</v>
          </cell>
          <cell r="B630" t="str">
            <v>BOT. Color Vibrance</v>
          </cell>
          <cell r="C630" t="str">
            <v>BOCOVI</v>
          </cell>
        </row>
        <row r="631">
          <cell r="A631">
            <v>200045</v>
          </cell>
          <cell r="B631" t="str">
            <v>BOT. Color Vibrance</v>
          </cell>
          <cell r="C631" t="str">
            <v>200045</v>
          </cell>
        </row>
        <row r="632">
          <cell r="A632">
            <v>200046</v>
          </cell>
          <cell r="B632" t="str">
            <v>BOT. 250 ml. COLOR SHAMPOO REF</v>
          </cell>
          <cell r="C632" t="str">
            <v>BOCS25</v>
          </cell>
        </row>
        <row r="633">
          <cell r="A633">
            <v>200046</v>
          </cell>
          <cell r="B633" t="str">
            <v>BOT. 250 ml. COLOR SHAMPOO REF</v>
          </cell>
          <cell r="C633" t="str">
            <v>200046</v>
          </cell>
        </row>
        <row r="634">
          <cell r="A634">
            <v>200047</v>
          </cell>
          <cell r="B634" t="str">
            <v>BOT. 120 ML. DEVELOPER</v>
          </cell>
          <cell r="C634" t="str">
            <v>BOD12</v>
          </cell>
        </row>
        <row r="635">
          <cell r="A635">
            <v>200047</v>
          </cell>
          <cell r="B635" t="str">
            <v>BOT. 120 ML. DEVELOPER</v>
          </cell>
          <cell r="C635" t="str">
            <v>200047</v>
          </cell>
        </row>
        <row r="636">
          <cell r="A636">
            <v>200048</v>
          </cell>
          <cell r="B636" t="str">
            <v>BOT. 1000 ML. DEVELOPER</v>
          </cell>
          <cell r="C636" t="str">
            <v>BODE1</v>
          </cell>
        </row>
        <row r="637">
          <cell r="A637">
            <v>200048</v>
          </cell>
          <cell r="B637" t="str">
            <v>BOT. 1000 ML. DEVELOPER</v>
          </cell>
          <cell r="C637" t="str">
            <v>200048</v>
          </cell>
        </row>
        <row r="638">
          <cell r="A638">
            <v>200049</v>
          </cell>
          <cell r="B638" t="str">
            <v>BOT. 120 DEVELOPER 'BLANCA'(no comprar mes)</v>
          </cell>
          <cell r="C638" t="str">
            <v>BODE12</v>
          </cell>
        </row>
        <row r="639">
          <cell r="A639">
            <v>200049</v>
          </cell>
          <cell r="B639" t="str">
            <v>BOT. 120 DEVELOPER 'BLANCA'(no comprar mes)</v>
          </cell>
          <cell r="C639" t="str">
            <v>200049</v>
          </cell>
        </row>
        <row r="640">
          <cell r="A640">
            <v>200050</v>
          </cell>
          <cell r="B640" t="str">
            <v>BOT. 1000 DEVELOPER INTENSE</v>
          </cell>
          <cell r="C640" t="str">
            <v>BODI1</v>
          </cell>
        </row>
        <row r="641">
          <cell r="A641">
            <v>200050</v>
          </cell>
          <cell r="B641" t="str">
            <v>BOT. 1000 DEVELOPER INTENSE</v>
          </cell>
          <cell r="C641" t="str">
            <v>200050</v>
          </cell>
        </row>
        <row r="642">
          <cell r="A642">
            <v>200051</v>
          </cell>
          <cell r="B642" t="str">
            <v>BOT. 75 ML. OXID. 'KF'</v>
          </cell>
          <cell r="C642" t="str">
            <v>BOKF75</v>
          </cell>
        </row>
        <row r="643">
          <cell r="A643">
            <v>200051</v>
          </cell>
          <cell r="B643" t="str">
            <v>BOT. 75 ML. OXID. 'KF'</v>
          </cell>
          <cell r="C643" t="str">
            <v>3500481</v>
          </cell>
        </row>
        <row r="644">
          <cell r="A644">
            <v>200051</v>
          </cell>
          <cell r="B644" t="str">
            <v>BOT. 75 ML. OXID. 'KF'</v>
          </cell>
          <cell r="C644" t="str">
            <v>200051</v>
          </cell>
        </row>
        <row r="645">
          <cell r="A645">
            <v>200052</v>
          </cell>
          <cell r="B645" t="str">
            <v>Bot. 120 OXYDANT BLONDES 'KF'</v>
          </cell>
          <cell r="C645" t="str">
            <v>BOKFOB12</v>
          </cell>
        </row>
        <row r="646">
          <cell r="A646">
            <v>200052</v>
          </cell>
          <cell r="B646" t="str">
            <v>Bot. 120 OXYDANT BLONDES 'KF'</v>
          </cell>
          <cell r="C646" t="str">
            <v>200052</v>
          </cell>
        </row>
        <row r="647">
          <cell r="A647">
            <v>200053</v>
          </cell>
          <cell r="B647" t="str">
            <v>Bot. 1000 OX. CREME 10 V. 'KF'</v>
          </cell>
          <cell r="C647" t="str">
            <v>BOKFOC10</v>
          </cell>
        </row>
        <row r="648">
          <cell r="A648">
            <v>200053</v>
          </cell>
          <cell r="B648" t="str">
            <v>Bot. 1000 OX. CREME 10 V. 'KF'</v>
          </cell>
          <cell r="C648" t="str">
            <v>200053</v>
          </cell>
        </row>
        <row r="649">
          <cell r="A649">
            <v>200054</v>
          </cell>
          <cell r="B649" t="str">
            <v>Bot. 1000 OX. CREME 20 V. 'KF'</v>
          </cell>
          <cell r="C649" t="str">
            <v>BOKFOC20</v>
          </cell>
        </row>
        <row r="650">
          <cell r="A650">
            <v>200054</v>
          </cell>
          <cell r="B650" t="str">
            <v>Bot. 1000 OX. CREME 20 V. 'KF'</v>
          </cell>
          <cell r="C650" t="str">
            <v>200054</v>
          </cell>
        </row>
        <row r="651">
          <cell r="A651">
            <v>200055</v>
          </cell>
          <cell r="B651" t="str">
            <v>Bot. 1000 OX. CREME 30 V. 'KF'</v>
          </cell>
          <cell r="C651" t="str">
            <v>BOKFOC30</v>
          </cell>
        </row>
        <row r="652">
          <cell r="A652">
            <v>200055</v>
          </cell>
          <cell r="B652" t="str">
            <v>Bot. 1000 OX. CREME 30 V. 'KF'</v>
          </cell>
          <cell r="C652" t="str">
            <v>200055</v>
          </cell>
        </row>
        <row r="653">
          <cell r="A653">
            <v>200056</v>
          </cell>
          <cell r="B653" t="str">
            <v>Bot. 1000 OX. CREME 40 V. 'KF'</v>
          </cell>
          <cell r="C653" t="str">
            <v>BOKFOC40</v>
          </cell>
        </row>
        <row r="654">
          <cell r="A654">
            <v>200056</v>
          </cell>
          <cell r="B654" t="str">
            <v>Bot. 1000 OX. CREME 40 V. 'KF'</v>
          </cell>
          <cell r="C654" t="str">
            <v>200056</v>
          </cell>
        </row>
        <row r="655">
          <cell r="A655">
            <v>200057</v>
          </cell>
          <cell r="B655" t="str">
            <v>Bot. 1000 OX. C.PLUS 10 V 'KF'</v>
          </cell>
          <cell r="C655" t="str">
            <v>BOKFOP10</v>
          </cell>
        </row>
        <row r="656">
          <cell r="A656">
            <v>200057</v>
          </cell>
          <cell r="B656" t="str">
            <v>Bot. 1000 OX. C.PLUS 10 V 'KF'</v>
          </cell>
          <cell r="C656" t="str">
            <v>200057</v>
          </cell>
        </row>
        <row r="657">
          <cell r="A657">
            <v>200058</v>
          </cell>
          <cell r="B657" t="str">
            <v>Bot. 1000 OX. C.PLUS 20 V 'KF'</v>
          </cell>
          <cell r="C657" t="str">
            <v>BOKFOP20</v>
          </cell>
        </row>
        <row r="658">
          <cell r="A658">
            <v>200058</v>
          </cell>
          <cell r="B658" t="str">
            <v>Bot. 1000 OX. C.PLUS 20 V 'KF'</v>
          </cell>
          <cell r="C658" t="str">
            <v>200058</v>
          </cell>
        </row>
        <row r="659">
          <cell r="A659">
            <v>200059</v>
          </cell>
          <cell r="B659" t="str">
            <v>Bot. 1000 OX. C.PLUS 30 V 'KF'</v>
          </cell>
          <cell r="C659" t="str">
            <v>BOKFOP30</v>
          </cell>
        </row>
        <row r="660">
          <cell r="A660">
            <v>200059</v>
          </cell>
          <cell r="B660" t="str">
            <v>Bot. 1000 OX. C.PLUS 30 V 'KF'</v>
          </cell>
          <cell r="C660" t="str">
            <v>200059</v>
          </cell>
        </row>
        <row r="661">
          <cell r="A661">
            <v>200060</v>
          </cell>
          <cell r="B661" t="str">
            <v>Bot. 1000 OXYDANT BLONDES 'KF'</v>
          </cell>
          <cell r="C661" t="str">
            <v>BOKFOXBL</v>
          </cell>
        </row>
        <row r="662">
          <cell r="A662">
            <v>200060</v>
          </cell>
          <cell r="B662" t="str">
            <v>Bot. 1000 OXYDANT BLONDES 'KF'</v>
          </cell>
          <cell r="C662" t="str">
            <v>200060</v>
          </cell>
        </row>
        <row r="663">
          <cell r="A663">
            <v>200061</v>
          </cell>
          <cell r="B663" t="str">
            <v>Bot. 1000 SHAMPOO EQUILIB 'KF'</v>
          </cell>
          <cell r="C663" t="str">
            <v>BOKFSHEQ</v>
          </cell>
        </row>
        <row r="664">
          <cell r="A664">
            <v>200061</v>
          </cell>
          <cell r="B664" t="str">
            <v>Bot. 1000 SHAMPOO EQUILIB 'KF'</v>
          </cell>
          <cell r="C664" t="str">
            <v>200061</v>
          </cell>
        </row>
        <row r="665">
          <cell r="A665">
            <v>200062</v>
          </cell>
          <cell r="B665" t="str">
            <v>BOT. 1000 KIN FIX Espumoso</v>
          </cell>
          <cell r="C665" t="str">
            <v>BOKIFI</v>
          </cell>
        </row>
        <row r="666">
          <cell r="A666">
            <v>200062</v>
          </cell>
          <cell r="B666" t="str">
            <v>BOT. 1000 KIN FIX Espumoso</v>
          </cell>
          <cell r="C666" t="str">
            <v>200062</v>
          </cell>
        </row>
        <row r="667">
          <cell r="A667">
            <v>200064</v>
          </cell>
          <cell r="B667" t="str">
            <v>BOT. 200 ML. KINMEN WET GEL</v>
          </cell>
          <cell r="C667" t="str">
            <v>BOKM20</v>
          </cell>
        </row>
        <row r="668">
          <cell r="A668">
            <v>200064</v>
          </cell>
          <cell r="B668" t="str">
            <v>BOT. 200 ML. KINMEN WET GEL</v>
          </cell>
          <cell r="C668" t="str">
            <v>200064</v>
          </cell>
        </row>
        <row r="669">
          <cell r="A669">
            <v>200066</v>
          </cell>
          <cell r="B669" t="str">
            <v>BOT. 80 ml. KINPERM AZUL FUERT</v>
          </cell>
          <cell r="C669" t="str">
            <v>BOKPM8</v>
          </cell>
        </row>
        <row r="670">
          <cell r="A670">
            <v>200066</v>
          </cell>
          <cell r="B670" t="str">
            <v>BOT. 80 ml. KINPERM AZUL FUERT</v>
          </cell>
          <cell r="C670" t="str">
            <v>BOT. KINPERM 80 ML.</v>
          </cell>
        </row>
        <row r="671">
          <cell r="A671">
            <v>200066</v>
          </cell>
          <cell r="B671" t="str">
            <v>BOT. 80 ml. KINPERM AZUL FUERT</v>
          </cell>
          <cell r="C671" t="str">
            <v>200066</v>
          </cell>
        </row>
        <row r="672">
          <cell r="A672">
            <v>200067</v>
          </cell>
          <cell r="B672" t="str">
            <v>BOT. 1000 KINPERM NEUTRALIZ.</v>
          </cell>
          <cell r="C672" t="str">
            <v>BOKPMN</v>
          </cell>
        </row>
        <row r="673">
          <cell r="A673">
            <v>200067</v>
          </cell>
          <cell r="B673" t="str">
            <v>BOT. 1000 KINPERM NEUTRALIZ.</v>
          </cell>
          <cell r="C673" t="str">
            <v>200067</v>
          </cell>
        </row>
        <row r="674">
          <cell r="A674">
            <v>200068</v>
          </cell>
          <cell r="B674" t="str">
            <v>BOT. K.PRESTIGE 20 VOL. 1 LT.</v>
          </cell>
          <cell r="C674" t="str">
            <v>BOP20L</v>
          </cell>
        </row>
        <row r="675">
          <cell r="A675">
            <v>200068</v>
          </cell>
          <cell r="B675" t="str">
            <v>BOT. K.PRESTIGE 20 VOL. 1 LT.</v>
          </cell>
          <cell r="C675" t="str">
            <v>200068</v>
          </cell>
        </row>
        <row r="676">
          <cell r="A676">
            <v>200069</v>
          </cell>
          <cell r="B676" t="str">
            <v>BOT. K.PRESTIGE 30 VOL. 1 LT.</v>
          </cell>
          <cell r="C676" t="str">
            <v>BOP30L</v>
          </cell>
        </row>
        <row r="677">
          <cell r="A677">
            <v>200069</v>
          </cell>
          <cell r="B677" t="str">
            <v>BOT. K.PRESTIGE 30 VOL. 1 LT.</v>
          </cell>
          <cell r="C677" t="str">
            <v>200069</v>
          </cell>
        </row>
        <row r="678">
          <cell r="A678">
            <v>200070</v>
          </cell>
          <cell r="B678" t="str">
            <v>BOT. K.PRESTIGE 40 VOL. 1 LT.</v>
          </cell>
          <cell r="C678" t="str">
            <v>BOP40L</v>
          </cell>
        </row>
        <row r="679">
          <cell r="A679">
            <v>200070</v>
          </cell>
          <cell r="B679" t="str">
            <v>BOT. K.PRESTIGE 40 VOL. 1 LT.</v>
          </cell>
          <cell r="C679" t="str">
            <v>200070</v>
          </cell>
        </row>
        <row r="680">
          <cell r="A680">
            <v>200071</v>
          </cell>
          <cell r="B680" t="str">
            <v>BOT. 500 PERMANENTE CLASIC</v>
          </cell>
          <cell r="C680" t="str">
            <v>BOPC5</v>
          </cell>
        </row>
        <row r="681">
          <cell r="A681">
            <v>200071</v>
          </cell>
          <cell r="B681" t="str">
            <v>BOT. 500 PERMANENTE CLASIC</v>
          </cell>
          <cell r="C681" t="str">
            <v>200071</v>
          </cell>
        </row>
        <row r="682">
          <cell r="A682">
            <v>200072</v>
          </cell>
          <cell r="B682" t="str">
            <v>BOT. K.ROUGE 20 VOL. 1 LT.</v>
          </cell>
          <cell r="C682" t="str">
            <v>BOR20L</v>
          </cell>
        </row>
        <row r="683">
          <cell r="A683">
            <v>200072</v>
          </cell>
          <cell r="B683" t="str">
            <v>BOT. K.ROUGE 20 VOL. 1 LT.</v>
          </cell>
          <cell r="C683" t="str">
            <v>200072</v>
          </cell>
        </row>
        <row r="684">
          <cell r="A684">
            <v>200073</v>
          </cell>
          <cell r="B684" t="str">
            <v>BOT. K.ROUGE 30 VOL. 1 LT.</v>
          </cell>
          <cell r="C684" t="str">
            <v>BOR30L</v>
          </cell>
        </row>
        <row r="685">
          <cell r="A685">
            <v>200073</v>
          </cell>
          <cell r="B685" t="str">
            <v>BOT. K.ROUGE 30 VOL. 1 LT.</v>
          </cell>
          <cell r="C685" t="str">
            <v>200073</v>
          </cell>
        </row>
        <row r="686">
          <cell r="A686">
            <v>200074</v>
          </cell>
          <cell r="B686" t="str">
            <v>BOT. REPARADOR PUNTAS</v>
          </cell>
          <cell r="C686" t="str">
            <v>BOREP</v>
          </cell>
        </row>
        <row r="687">
          <cell r="A687">
            <v>200074</v>
          </cell>
          <cell r="B687" t="str">
            <v>BOT. REPARADOR PUNTAS</v>
          </cell>
          <cell r="C687" t="str">
            <v>200074</v>
          </cell>
        </row>
        <row r="688">
          <cell r="A688">
            <v>200075</v>
          </cell>
          <cell r="B688" t="str">
            <v>BOT. REFLEJOS NEW COLOR</v>
          </cell>
          <cell r="C688" t="str">
            <v>BORNC</v>
          </cell>
        </row>
        <row r="689">
          <cell r="A689">
            <v>200075</v>
          </cell>
          <cell r="B689" t="str">
            <v>BOT. REFLEJOS NEW COLOR</v>
          </cell>
          <cell r="C689" t="str">
            <v>200075</v>
          </cell>
        </row>
        <row r="690">
          <cell r="A690">
            <v>200076</v>
          </cell>
          <cell r="B690" t="str">
            <v>BOT. 1000 SEDINOR Litro</v>
          </cell>
          <cell r="C690" t="str">
            <v>BOS10</v>
          </cell>
        </row>
        <row r="691">
          <cell r="A691">
            <v>200076</v>
          </cell>
          <cell r="B691" t="str">
            <v>BOT. 1000 SEDINOR Litro</v>
          </cell>
          <cell r="C691" t="str">
            <v>200076</v>
          </cell>
        </row>
        <row r="692">
          <cell r="A692">
            <v>200077</v>
          </cell>
          <cell r="B692" t="str">
            <v>BOT. 125 ml BLANCO NACAR STYL.</v>
          </cell>
          <cell r="C692" t="str">
            <v>BOST1B</v>
          </cell>
        </row>
        <row r="693">
          <cell r="A693">
            <v>200077</v>
          </cell>
          <cell r="B693" t="str">
            <v>BOT. 125 ml BLANCO NACAR STYL.</v>
          </cell>
          <cell r="C693" t="str">
            <v>200077</v>
          </cell>
        </row>
        <row r="694">
          <cell r="A694">
            <v>200078</v>
          </cell>
          <cell r="B694" t="str">
            <v>BOT. 200 ml AZUL TRANSP. STYL.</v>
          </cell>
          <cell r="C694" t="str">
            <v>BOST2AT</v>
          </cell>
        </row>
        <row r="695">
          <cell r="A695">
            <v>200078</v>
          </cell>
          <cell r="B695" t="str">
            <v>BOT. 200 ml AZUL TRANSP. STYL.</v>
          </cell>
          <cell r="C695" t="str">
            <v>200078</v>
          </cell>
        </row>
        <row r="696">
          <cell r="A696">
            <v>200079</v>
          </cell>
          <cell r="B696" t="str">
            <v>BOT. 200 ml VERDE TRANSP. STYL</v>
          </cell>
          <cell r="C696" t="str">
            <v>BOST2VT</v>
          </cell>
        </row>
        <row r="697">
          <cell r="A697">
            <v>200079</v>
          </cell>
          <cell r="B697" t="str">
            <v>BOT. 200 ml VERDE TRANSP. STYL</v>
          </cell>
          <cell r="C697" t="str">
            <v>200079</v>
          </cell>
        </row>
        <row r="698">
          <cell r="A698">
            <v>200080</v>
          </cell>
          <cell r="B698" t="str">
            <v>BOT. 150 ml AIRMOUSSE PUMP</v>
          </cell>
          <cell r="C698" t="str">
            <v>BOSTAI</v>
          </cell>
        </row>
        <row r="699">
          <cell r="A699">
            <v>200080</v>
          </cell>
          <cell r="B699" t="str">
            <v>BOT. 150 ml AIRMOUSSE PUMP</v>
          </cell>
          <cell r="C699" t="str">
            <v>200080</v>
          </cell>
        </row>
        <row r="700">
          <cell r="A700">
            <v>200081</v>
          </cell>
          <cell r="B700" t="str">
            <v>BOT. 200 ML. SUNCARE  NARANJA</v>
          </cell>
          <cell r="C700" t="str">
            <v>BOSU20</v>
          </cell>
        </row>
        <row r="701">
          <cell r="A701">
            <v>200081</v>
          </cell>
          <cell r="B701" t="str">
            <v>BOT. 200 ML. SUNCARE  NARANJA</v>
          </cell>
          <cell r="C701" t="str">
            <v>200081</v>
          </cell>
        </row>
        <row r="702">
          <cell r="A702">
            <v>200082</v>
          </cell>
          <cell r="B702" t="str">
            <v>BOT. SUNCARE 200 Coll GRAN</v>
          </cell>
          <cell r="C702" t="str">
            <v>BOSU20G</v>
          </cell>
        </row>
        <row r="703">
          <cell r="A703">
            <v>200082</v>
          </cell>
          <cell r="B703" t="str">
            <v>BOT. SUNCARE 200 Coll GRAN</v>
          </cell>
          <cell r="C703" t="str">
            <v>200082</v>
          </cell>
        </row>
        <row r="704">
          <cell r="A704">
            <v>200083</v>
          </cell>
          <cell r="B704" t="str">
            <v>BOT. SUNCARE 250 ML. NARANJA</v>
          </cell>
          <cell r="C704" t="str">
            <v>BOSU25</v>
          </cell>
        </row>
        <row r="705">
          <cell r="A705">
            <v>200083</v>
          </cell>
          <cell r="B705" t="str">
            <v>BOT. SUNCARE 250 ML. NARANJA</v>
          </cell>
          <cell r="C705" t="str">
            <v>200083</v>
          </cell>
        </row>
        <row r="706">
          <cell r="A706">
            <v>200084</v>
          </cell>
          <cell r="B706" t="str">
            <v>BOT. KWORKS FIXING GEL EXTRAF.</v>
          </cell>
          <cell r="C706" t="str">
            <v>BOWFGE</v>
          </cell>
        </row>
        <row r="707">
          <cell r="A707">
            <v>200084</v>
          </cell>
          <cell r="B707" t="str">
            <v>BOT. KWORKS FIXING GEL EXTRAF.</v>
          </cell>
          <cell r="C707" t="str">
            <v>200084</v>
          </cell>
        </row>
        <row r="708">
          <cell r="A708">
            <v>200085</v>
          </cell>
          <cell r="B708" t="str">
            <v>BOT. KWORKS FIXING GEL FUERTE</v>
          </cell>
          <cell r="C708" t="str">
            <v>BOWFGF</v>
          </cell>
        </row>
        <row r="709">
          <cell r="A709">
            <v>200085</v>
          </cell>
          <cell r="B709" t="str">
            <v>BOT. KWORKS FIXING GEL FUERTE</v>
          </cell>
          <cell r="C709" t="str">
            <v>200085</v>
          </cell>
        </row>
        <row r="710">
          <cell r="A710">
            <v>200086</v>
          </cell>
          <cell r="B710" t="str">
            <v>BOT. 400 KINWORKS FIXING LAC E</v>
          </cell>
          <cell r="C710" t="str">
            <v>BOWFLE</v>
          </cell>
        </row>
        <row r="711">
          <cell r="A711">
            <v>200086</v>
          </cell>
          <cell r="B711" t="str">
            <v>BOT. 400 KINWORKS FIXING LAC E</v>
          </cell>
          <cell r="C711" t="str">
            <v>200086</v>
          </cell>
        </row>
        <row r="712">
          <cell r="A712">
            <v>200087</v>
          </cell>
          <cell r="B712" t="str">
            <v>BOT. 400 KINWORKS FIXING LAC F</v>
          </cell>
          <cell r="C712" t="str">
            <v>BOWFLF</v>
          </cell>
        </row>
        <row r="713">
          <cell r="A713">
            <v>200087</v>
          </cell>
          <cell r="B713" t="str">
            <v>BOT. 400 KINWORKS FIXING LAC F</v>
          </cell>
          <cell r="C713" t="str">
            <v>200087</v>
          </cell>
        </row>
        <row r="714">
          <cell r="A714">
            <v>200088</v>
          </cell>
          <cell r="B714" t="str">
            <v>BOT. 500 ml. "Anón."  SHAPING</v>
          </cell>
          <cell r="C714" t="str">
            <v>BOWSW5</v>
          </cell>
        </row>
        <row r="715">
          <cell r="A715">
            <v>200088</v>
          </cell>
          <cell r="B715" t="str">
            <v>BOT. 500 ml. "Anón."  SHAPING</v>
          </cell>
          <cell r="C715" t="str">
            <v>200088</v>
          </cell>
        </row>
        <row r="716">
          <cell r="A716">
            <v>200089</v>
          </cell>
          <cell r="B716" t="str">
            <v>BOT. 400 KINWORKS TOUCHING</v>
          </cell>
          <cell r="C716" t="str">
            <v>BOWTOU</v>
          </cell>
        </row>
        <row r="717">
          <cell r="A717">
            <v>200089</v>
          </cell>
          <cell r="B717" t="str">
            <v>BOT. 400 KINWORKS TOUCHING</v>
          </cell>
          <cell r="C717" t="str">
            <v>200089</v>
          </cell>
        </row>
        <row r="718">
          <cell r="A718">
            <v>200090</v>
          </cell>
          <cell r="B718" t="str">
            <v>Frasco COMPLEXE TRICO-ACTIVE</v>
          </cell>
          <cell r="C718" t="str">
            <v>FRCOTA</v>
          </cell>
        </row>
        <row r="719">
          <cell r="A719">
            <v>200090</v>
          </cell>
          <cell r="B719" t="str">
            <v>Frasco COMPLEXE TRICO-ACTIVE</v>
          </cell>
          <cell r="C719" t="str">
            <v>200090</v>
          </cell>
        </row>
        <row r="720">
          <cell r="A720">
            <v>200091</v>
          </cell>
          <cell r="B720" t="str">
            <v>Frasco N.REPAIR SERUM</v>
          </cell>
          <cell r="C720" t="str">
            <v>FRNRSE</v>
          </cell>
        </row>
        <row r="721">
          <cell r="A721">
            <v>200091</v>
          </cell>
          <cell r="B721" t="str">
            <v>Frasco N.REPAIR SERUM</v>
          </cell>
          <cell r="C721" t="str">
            <v>200091</v>
          </cell>
        </row>
        <row r="722">
          <cell r="A722">
            <v>200092</v>
          </cell>
          <cell r="B722" t="str">
            <v>GARRAFA 5 LITROS INCOLORA</v>
          </cell>
          <cell r="C722" t="str">
            <v>GA05</v>
          </cell>
        </row>
        <row r="723">
          <cell r="A723">
            <v>200092</v>
          </cell>
          <cell r="B723" t="str">
            <v>GARRAFA 5 LITROS INCOLORA</v>
          </cell>
          <cell r="C723" t="str">
            <v>200092</v>
          </cell>
        </row>
        <row r="724">
          <cell r="A724">
            <v>200092</v>
          </cell>
          <cell r="B724" t="str">
            <v>GARRAFA 5 LITROS INCOLORA</v>
          </cell>
          <cell r="C724" t="str">
            <v>200092</v>
          </cell>
        </row>
        <row r="725">
          <cell r="A725">
            <v>200093</v>
          </cell>
          <cell r="B725" t="str">
            <v>garrafa 5 lts. apilable</v>
          </cell>
          <cell r="C725" t="str">
            <v>GA05AP</v>
          </cell>
        </row>
        <row r="726">
          <cell r="A726">
            <v>200093</v>
          </cell>
          <cell r="B726" t="str">
            <v>garrafa 5 lts. apilable</v>
          </cell>
          <cell r="C726" t="str">
            <v>200093</v>
          </cell>
        </row>
        <row r="727">
          <cell r="A727">
            <v>200094</v>
          </cell>
          <cell r="B727" t="str">
            <v>GARRAFA 5 LTS. BLANCA</v>
          </cell>
          <cell r="C727" t="str">
            <v>GA05BL</v>
          </cell>
        </row>
        <row r="728">
          <cell r="A728">
            <v>200094</v>
          </cell>
          <cell r="B728" t="str">
            <v>GARRAFA 5 LTS. BLANCA</v>
          </cell>
          <cell r="C728" t="str">
            <v>200094</v>
          </cell>
        </row>
        <row r="729">
          <cell r="A729">
            <v>200095</v>
          </cell>
          <cell r="B729" t="str">
            <v>GARRAFA 10 Lts. APILABLE</v>
          </cell>
          <cell r="C729" t="str">
            <v>GA10AP</v>
          </cell>
        </row>
        <row r="730">
          <cell r="A730">
            <v>200095</v>
          </cell>
          <cell r="B730" t="str">
            <v>GARRAFA 10 Lts. APILABLE</v>
          </cell>
          <cell r="C730" t="str">
            <v>200095</v>
          </cell>
        </row>
        <row r="731">
          <cell r="A731">
            <v>200096</v>
          </cell>
          <cell r="B731" t="str">
            <v>POT NEW COLOR 2000</v>
          </cell>
          <cell r="C731" t="str">
            <v>BOBMC</v>
          </cell>
        </row>
        <row r="732">
          <cell r="A732">
            <v>200096</v>
          </cell>
          <cell r="B732" t="str">
            <v>POT NEW COLOR 2000</v>
          </cell>
          <cell r="C732" t="str">
            <v>200096</v>
          </cell>
        </row>
        <row r="733">
          <cell r="A733">
            <v>200097</v>
          </cell>
          <cell r="B733" t="str">
            <v>POT KINWORKS FINISH EXTRAFUERT</v>
          </cell>
          <cell r="C733" t="str">
            <v>BOKWFE</v>
          </cell>
        </row>
        <row r="734">
          <cell r="A734">
            <v>200097</v>
          </cell>
          <cell r="B734" t="str">
            <v>POT KINWORKS FINISH EXTRAFUERT</v>
          </cell>
          <cell r="C734" t="str">
            <v>200097</v>
          </cell>
        </row>
        <row r="735">
          <cell r="A735">
            <v>200098</v>
          </cell>
          <cell r="B735" t="str">
            <v>POT KINWORKS FINISH FUERTE</v>
          </cell>
          <cell r="C735" t="str">
            <v>BOKWFF</v>
          </cell>
        </row>
        <row r="736">
          <cell r="A736">
            <v>200098</v>
          </cell>
          <cell r="B736" t="str">
            <v>POT KINWORKS FINISH FUERTE</v>
          </cell>
          <cell r="C736" t="str">
            <v>200098</v>
          </cell>
        </row>
        <row r="737">
          <cell r="A737">
            <v>200099</v>
          </cell>
          <cell r="B737" t="str">
            <v>POT 500 ml STYLIUM DYNAMIC</v>
          </cell>
          <cell r="C737" t="str">
            <v>BOSTDY</v>
          </cell>
        </row>
        <row r="738">
          <cell r="A738">
            <v>200099</v>
          </cell>
          <cell r="B738" t="str">
            <v>POT 500 ml STYLIUM DYNAMIC</v>
          </cell>
          <cell r="C738" t="str">
            <v>200099</v>
          </cell>
        </row>
        <row r="739">
          <cell r="A739">
            <v>200100</v>
          </cell>
          <cell r="B739" t="str">
            <v>POT 50 ml. STYLIUM DYNAMIC</v>
          </cell>
          <cell r="C739" t="str">
            <v>BOSTDYP</v>
          </cell>
        </row>
        <row r="740">
          <cell r="A740">
            <v>200100</v>
          </cell>
          <cell r="B740" t="str">
            <v>POT 50 ml. STYLIUM DYNAMIC</v>
          </cell>
          <cell r="C740" t="str">
            <v>200100</v>
          </cell>
        </row>
        <row r="741">
          <cell r="A741">
            <v>200101</v>
          </cell>
          <cell r="B741" t="str">
            <v>POT 500 ml.  STYLIUM ENERGIC</v>
          </cell>
          <cell r="C741" t="str">
            <v>BOSTEN</v>
          </cell>
        </row>
        <row r="742">
          <cell r="A742">
            <v>200101</v>
          </cell>
          <cell r="B742" t="str">
            <v>POT 500 ml.  STYLIUM ENERGIC</v>
          </cell>
          <cell r="C742" t="str">
            <v>200101</v>
          </cell>
        </row>
        <row r="743">
          <cell r="A743">
            <v>200102</v>
          </cell>
          <cell r="B743" t="str">
            <v>POT 50 ml. STYLIUM ENERGIC</v>
          </cell>
          <cell r="C743" t="str">
            <v>BOSTENP</v>
          </cell>
        </row>
        <row r="744">
          <cell r="A744">
            <v>200102</v>
          </cell>
          <cell r="B744" t="str">
            <v>POT 50 ml. STYLIUM ENERGIC</v>
          </cell>
          <cell r="C744" t="str">
            <v>200102</v>
          </cell>
        </row>
        <row r="745">
          <cell r="A745">
            <v>200103</v>
          </cell>
          <cell r="B745" t="str">
            <v>POT 300 ml. STYLIUM MODELE</v>
          </cell>
          <cell r="C745" t="str">
            <v>BOSTMO</v>
          </cell>
        </row>
        <row r="746">
          <cell r="A746">
            <v>200103</v>
          </cell>
          <cell r="B746" t="str">
            <v>POT 300 ml. STYLIUM MODELE</v>
          </cell>
          <cell r="C746" t="str">
            <v>200103</v>
          </cell>
        </row>
        <row r="747">
          <cell r="A747">
            <v>200104</v>
          </cell>
          <cell r="B747" t="str">
            <v>POT 50 ml. STYLIUM MODELE</v>
          </cell>
          <cell r="C747" t="str">
            <v>BOSTMOP</v>
          </cell>
        </row>
        <row r="748">
          <cell r="A748">
            <v>200104</v>
          </cell>
          <cell r="B748" t="str">
            <v>POT 50 ml. STYLIUM MODELE</v>
          </cell>
          <cell r="C748" t="str">
            <v>200104</v>
          </cell>
        </row>
        <row r="749">
          <cell r="A749">
            <v>200105</v>
          </cell>
          <cell r="B749" t="str">
            <v>POT 300 ml. STYLIUM VOLUME</v>
          </cell>
          <cell r="C749" t="str">
            <v>BOSTVO</v>
          </cell>
        </row>
        <row r="750">
          <cell r="A750">
            <v>200105</v>
          </cell>
          <cell r="B750" t="str">
            <v>POT 300 ml. STYLIUM VOLUME</v>
          </cell>
          <cell r="C750" t="str">
            <v>200105</v>
          </cell>
        </row>
        <row r="751">
          <cell r="A751">
            <v>200106</v>
          </cell>
          <cell r="B751" t="str">
            <v>POT 50 ml. STYLIUM VOLUME</v>
          </cell>
          <cell r="C751" t="str">
            <v>BOSTVOP</v>
          </cell>
        </row>
        <row r="752">
          <cell r="A752">
            <v>200106</v>
          </cell>
          <cell r="B752" t="str">
            <v>POT 50 ml. STYLIUM VOLUME</v>
          </cell>
          <cell r="C752" t="str">
            <v>200106</v>
          </cell>
        </row>
        <row r="753">
          <cell r="A753">
            <v>200107</v>
          </cell>
          <cell r="B753" t="str">
            <v>TARRO 250 ml. STYLIUM "anonimo</v>
          </cell>
          <cell r="C753" t="str">
            <v>TACJ25</v>
          </cell>
        </row>
        <row r="754">
          <cell r="A754">
            <v>200107</v>
          </cell>
          <cell r="B754" t="str">
            <v>TARRO 250 ml. STYLIUM "anonimo</v>
          </cell>
          <cell r="C754" t="str">
            <v>200107</v>
          </cell>
        </row>
        <row r="755">
          <cell r="A755">
            <v>200108</v>
          </cell>
          <cell r="B755" t="str">
            <v>TARRO 75 ml. COLOR SCREEN</v>
          </cell>
          <cell r="C755" t="str">
            <v>TACOSC</v>
          </cell>
        </row>
        <row r="756">
          <cell r="A756">
            <v>200108</v>
          </cell>
          <cell r="B756" t="str">
            <v>TARRO 75 ml. COLOR SCREEN</v>
          </cell>
          <cell r="C756" t="str">
            <v>200108</v>
          </cell>
        </row>
        <row r="757">
          <cell r="A757">
            <v>200109</v>
          </cell>
          <cell r="B757" t="str">
            <v>TARRO 75 ml. CRYSTAL JELLY</v>
          </cell>
          <cell r="C757" t="str">
            <v>TACRJE</v>
          </cell>
        </row>
        <row r="758">
          <cell r="A758">
            <v>200109</v>
          </cell>
          <cell r="B758" t="str">
            <v>TARRO 75 ml. CRYSTAL JELLY</v>
          </cell>
          <cell r="C758" t="str">
            <v>200109</v>
          </cell>
        </row>
        <row r="759">
          <cell r="A759">
            <v>200110</v>
          </cell>
          <cell r="B759" t="str">
            <v>TARRO DEFINER (Groc)</v>
          </cell>
          <cell r="C759" t="str">
            <v>TADEFI</v>
          </cell>
        </row>
        <row r="760">
          <cell r="A760">
            <v>200110</v>
          </cell>
          <cell r="B760" t="str">
            <v>TARRO DEFINER (Groc)</v>
          </cell>
          <cell r="C760" t="str">
            <v>200110</v>
          </cell>
        </row>
        <row r="761">
          <cell r="A761">
            <v>200111</v>
          </cell>
          <cell r="B761" t="str">
            <v>TARRO FIBER (violeta)</v>
          </cell>
          <cell r="C761" t="str">
            <v>TAFIBE</v>
          </cell>
        </row>
        <row r="762">
          <cell r="A762">
            <v>200111</v>
          </cell>
          <cell r="B762" t="str">
            <v>TARRO FIBER (violeta)</v>
          </cell>
          <cell r="C762" t="str">
            <v>200111</v>
          </cell>
        </row>
        <row r="763">
          <cell r="A763">
            <v>200112</v>
          </cell>
          <cell r="B763" t="str">
            <v>TARRO GLAZER (Blanc)</v>
          </cell>
          <cell r="C763" t="str">
            <v>TAGLAZ</v>
          </cell>
        </row>
        <row r="764">
          <cell r="A764">
            <v>200112</v>
          </cell>
          <cell r="B764" t="str">
            <v>TARRO GLAZER (Blanc)</v>
          </cell>
          <cell r="C764" t="str">
            <v>200112</v>
          </cell>
        </row>
        <row r="765">
          <cell r="A765">
            <v>200113</v>
          </cell>
          <cell r="B765" t="str">
            <v>TARRO KINBLOND 1000 VELL</v>
          </cell>
          <cell r="C765" t="str">
            <v>TAKB</v>
          </cell>
        </row>
        <row r="766">
          <cell r="A766">
            <v>200113</v>
          </cell>
          <cell r="B766" t="str">
            <v>TARRO KINBLOND 1000 VELL</v>
          </cell>
          <cell r="C766" t="str">
            <v>200113</v>
          </cell>
        </row>
        <row r="767">
          <cell r="A767">
            <v>200115</v>
          </cell>
          <cell r="B767" t="str">
            <v>TARRO 250 "ANONIM" KINMEN</v>
          </cell>
          <cell r="C767" t="str">
            <v>TAKM25</v>
          </cell>
        </row>
        <row r="768">
          <cell r="A768">
            <v>200115</v>
          </cell>
          <cell r="B768" t="str">
            <v>TARRO 250 "ANONIM" KINMEN</v>
          </cell>
          <cell r="C768" t="str">
            <v>200115</v>
          </cell>
        </row>
        <row r="769">
          <cell r="A769">
            <v>200116</v>
          </cell>
          <cell r="B769" t="str">
            <v>TARRO 1500 ML. KINWORKS DECOLO</v>
          </cell>
          <cell r="C769" t="str">
            <v>TAKWDE</v>
          </cell>
        </row>
        <row r="770">
          <cell r="A770">
            <v>200116</v>
          </cell>
          <cell r="B770" t="str">
            <v>TARRO 1500 ML. KINWORKS DECOLO</v>
          </cell>
          <cell r="C770" t="str">
            <v>200116</v>
          </cell>
        </row>
        <row r="771">
          <cell r="A771">
            <v>200117</v>
          </cell>
          <cell r="B771" t="str">
            <v>TARRO 1500 ML. KINWORKS DECOLO</v>
          </cell>
          <cell r="C771" t="str">
            <v>TAKWDE2</v>
          </cell>
        </row>
        <row r="772">
          <cell r="A772">
            <v>200117</v>
          </cell>
          <cell r="B772" t="str">
            <v>TARRO 1500 ML. KINWORKS DECOLO</v>
          </cell>
          <cell r="C772" t="str">
            <v>200117</v>
          </cell>
        </row>
        <row r="773">
          <cell r="A773">
            <v>200118</v>
          </cell>
          <cell r="B773" t="str">
            <v>TARRO MOULDER (Vert)</v>
          </cell>
          <cell r="C773" t="str">
            <v>TAMOUL</v>
          </cell>
        </row>
        <row r="774">
          <cell r="A774">
            <v>200118</v>
          </cell>
          <cell r="B774" t="str">
            <v>TARRO MOULDER (Vert)</v>
          </cell>
          <cell r="C774" t="str">
            <v>200118</v>
          </cell>
        </row>
        <row r="775">
          <cell r="A775">
            <v>200119</v>
          </cell>
          <cell r="B775" t="str">
            <v>TARRO 1000 N.REPAIR  MASK</v>
          </cell>
          <cell r="C775" t="str">
            <v>TANRMF</v>
          </cell>
        </row>
        <row r="776">
          <cell r="A776">
            <v>200119</v>
          </cell>
          <cell r="B776" t="str">
            <v>TARRO 1000 N.REPAIR  MASK</v>
          </cell>
          <cell r="C776" t="str">
            <v>200119</v>
          </cell>
        </row>
        <row r="777">
          <cell r="A777">
            <v>200120</v>
          </cell>
          <cell r="B777" t="str">
            <v>TARRO 1000 N.REPAIR  MASK</v>
          </cell>
          <cell r="C777" t="str">
            <v>TANRMG</v>
          </cell>
        </row>
        <row r="778">
          <cell r="A778">
            <v>200120</v>
          </cell>
          <cell r="B778" t="str">
            <v>TARRO 1000 N.REPAIR  MASK</v>
          </cell>
          <cell r="C778" t="str">
            <v>8435057056069</v>
          </cell>
        </row>
        <row r="779">
          <cell r="A779">
            <v>200121</v>
          </cell>
          <cell r="B779" t="str">
            <v>TARRO 500 N.REPAIR  MASK</v>
          </cell>
          <cell r="C779" t="str">
            <v>TANRMG5</v>
          </cell>
        </row>
        <row r="780">
          <cell r="A780">
            <v>200121</v>
          </cell>
          <cell r="B780" t="str">
            <v>TARRO 500 N.REPAIR  MASK</v>
          </cell>
          <cell r="C780" t="str">
            <v>200121</v>
          </cell>
        </row>
        <row r="781">
          <cell r="A781">
            <v>200122</v>
          </cell>
          <cell r="B781" t="str">
            <v>STICK 50 ml. Transparent(anul.</v>
          </cell>
          <cell r="C781" t="str">
            <v>TAST50</v>
          </cell>
        </row>
        <row r="782">
          <cell r="A782">
            <v>200122</v>
          </cell>
          <cell r="B782" t="str">
            <v>STICK 50 ml. Transparent(anul.</v>
          </cell>
          <cell r="C782" t="str">
            <v>200122</v>
          </cell>
        </row>
        <row r="783">
          <cell r="A783">
            <v>200123</v>
          </cell>
          <cell r="B783" t="str">
            <v>AIRLESS  50 ML.</v>
          </cell>
          <cell r="C783" t="str">
            <v>TAST50S</v>
          </cell>
        </row>
        <row r="784">
          <cell r="A784">
            <v>200123</v>
          </cell>
          <cell r="B784" t="str">
            <v>AIRLESS  50 ML.</v>
          </cell>
          <cell r="C784" t="str">
            <v>AIRLESS MEZZO 50 ML.</v>
          </cell>
        </row>
        <row r="785">
          <cell r="A785">
            <v>200123</v>
          </cell>
          <cell r="B785" t="str">
            <v>AIRLESS  50 ML.</v>
          </cell>
          <cell r="C785" t="str">
            <v>200123</v>
          </cell>
        </row>
        <row r="786">
          <cell r="A786">
            <v>200124</v>
          </cell>
          <cell r="B786" t="str">
            <v>STICK 75 ml. TRANSP.</v>
          </cell>
          <cell r="C786" t="str">
            <v>TAST75</v>
          </cell>
        </row>
        <row r="787">
          <cell r="A787">
            <v>200124</v>
          </cell>
          <cell r="B787" t="str">
            <v>STICK 75 ml. TRANSP.</v>
          </cell>
          <cell r="C787" t="str">
            <v>200124</v>
          </cell>
        </row>
        <row r="788">
          <cell r="A788">
            <v>200125</v>
          </cell>
          <cell r="B788" t="str">
            <v>TARRO VITAL-COLOR C. MASK 1000</v>
          </cell>
          <cell r="C788" t="str">
            <v>TAVCCM</v>
          </cell>
        </row>
        <row r="789">
          <cell r="A789">
            <v>200125</v>
          </cell>
          <cell r="B789" t="str">
            <v>TARRO VITAL-COLOR C. MASK 1000</v>
          </cell>
          <cell r="C789" t="str">
            <v>200125</v>
          </cell>
        </row>
        <row r="790">
          <cell r="A790">
            <v>200126</v>
          </cell>
          <cell r="B790" t="str">
            <v>TARRO VITAL-COLOR C. MASK 500</v>
          </cell>
          <cell r="C790" t="str">
            <v>TAVCCM5</v>
          </cell>
        </row>
        <row r="791">
          <cell r="A791">
            <v>200126</v>
          </cell>
          <cell r="B791" t="str">
            <v>TARRO VITAL-COLOR C. MASK 500</v>
          </cell>
          <cell r="C791" t="str">
            <v>200126</v>
          </cell>
        </row>
        <row r="792">
          <cell r="A792">
            <v>200127</v>
          </cell>
          <cell r="B792" t="str">
            <v>TUBO KINCREM CONTRAST 28 x 150</v>
          </cell>
          <cell r="C792" t="str">
            <v>TUKCCO</v>
          </cell>
        </row>
        <row r="793">
          <cell r="A793">
            <v>200127</v>
          </cell>
          <cell r="B793" t="str">
            <v>TUBO KINCREM CONTRAST 28 x 150</v>
          </cell>
          <cell r="C793" t="str">
            <v>200127</v>
          </cell>
        </row>
        <row r="794">
          <cell r="A794">
            <v>200128</v>
          </cell>
          <cell r="B794" t="str">
            <v>Tubs KINCREM 'KF' BASICS</v>
          </cell>
          <cell r="C794" t="str">
            <v>TUKFBA</v>
          </cell>
        </row>
        <row r="795">
          <cell r="A795">
            <v>200128</v>
          </cell>
          <cell r="B795" t="str">
            <v>Tubs KINCREM 'KF' BASICS</v>
          </cell>
          <cell r="C795" t="str">
            <v>200128</v>
          </cell>
        </row>
        <row r="796">
          <cell r="A796">
            <v>200129</v>
          </cell>
          <cell r="B796" t="str">
            <v>Tubs KINCREM 'KF' BLONDES</v>
          </cell>
          <cell r="C796" t="str">
            <v>TUKFBL</v>
          </cell>
        </row>
        <row r="797">
          <cell r="A797">
            <v>200129</v>
          </cell>
          <cell r="B797" t="str">
            <v>Tubs KINCREM 'KF' BLONDES</v>
          </cell>
          <cell r="C797" t="str">
            <v>200129</v>
          </cell>
        </row>
        <row r="798">
          <cell r="A798">
            <v>200130</v>
          </cell>
          <cell r="B798" t="str">
            <v>Tubs KINCREM 'KF' BROWNS</v>
          </cell>
          <cell r="C798" t="str">
            <v>TUKFBR</v>
          </cell>
        </row>
        <row r="799">
          <cell r="A799">
            <v>200130</v>
          </cell>
          <cell r="B799" t="str">
            <v>Tubs KINCREM 'KF' BROWNS</v>
          </cell>
          <cell r="C799" t="str">
            <v>200130</v>
          </cell>
        </row>
        <row r="800">
          <cell r="A800">
            <v>200131</v>
          </cell>
          <cell r="B800" t="str">
            <v>Tubs KINCREM 'KF' ROUGES</v>
          </cell>
          <cell r="C800" t="str">
            <v>TUKFRO</v>
          </cell>
        </row>
        <row r="801">
          <cell r="A801">
            <v>200131</v>
          </cell>
          <cell r="B801" t="str">
            <v>Tubs KINCREM 'KF' ROUGES</v>
          </cell>
          <cell r="C801" t="str">
            <v>200131</v>
          </cell>
        </row>
        <row r="802">
          <cell r="A802">
            <v>200132</v>
          </cell>
          <cell r="B802" t="str">
            <v>TUBO K.PRESTIGE ACLARANTS</v>
          </cell>
          <cell r="C802" t="str">
            <v>TUKPAC</v>
          </cell>
        </row>
        <row r="803">
          <cell r="A803">
            <v>200132</v>
          </cell>
          <cell r="B803" t="str">
            <v>TUBO K.PRESTIGE ACLARANTS</v>
          </cell>
          <cell r="C803" t="str">
            <v>200132</v>
          </cell>
        </row>
        <row r="804">
          <cell r="A804">
            <v>200133</v>
          </cell>
          <cell r="B804" t="str">
            <v>TUBO K.PRESTIGE NATURALS</v>
          </cell>
          <cell r="C804" t="str">
            <v>TUKPNA</v>
          </cell>
        </row>
        <row r="805">
          <cell r="A805">
            <v>200133</v>
          </cell>
          <cell r="B805" t="str">
            <v>TUBO K.PRESTIGE NATURALS</v>
          </cell>
          <cell r="C805" t="str">
            <v>200133</v>
          </cell>
        </row>
        <row r="806">
          <cell r="A806">
            <v>200134</v>
          </cell>
          <cell r="B806" t="str">
            <v>TUBO K.PRESTIGE ROJOS (antic)</v>
          </cell>
          <cell r="C806" t="str">
            <v>TUKPRO</v>
          </cell>
        </row>
        <row r="807">
          <cell r="A807">
            <v>200134</v>
          </cell>
          <cell r="B807" t="str">
            <v>TUBO K.PRESTIGE ROJOS (antic)</v>
          </cell>
          <cell r="C807" t="str">
            <v>200134</v>
          </cell>
        </row>
        <row r="808">
          <cell r="A808">
            <v>200135</v>
          </cell>
          <cell r="B808" t="str">
            <v>TUB MASSAGE SENSITIVE</v>
          </cell>
          <cell r="C808" t="str">
            <v>TUMASE</v>
          </cell>
        </row>
        <row r="809">
          <cell r="A809">
            <v>200135</v>
          </cell>
          <cell r="B809" t="str">
            <v>TUB MASSAGE SENSITIVE</v>
          </cell>
          <cell r="C809" t="str">
            <v>200135</v>
          </cell>
        </row>
        <row r="810">
          <cell r="A810">
            <v>200136</v>
          </cell>
          <cell r="B810" t="str">
            <v>TUBO NEW GLAMOUR</v>
          </cell>
          <cell r="C810" t="str">
            <v>TUNCGL</v>
          </cell>
        </row>
        <row r="811">
          <cell r="A811">
            <v>200136</v>
          </cell>
          <cell r="B811" t="str">
            <v>TUBO NEW GLAMOUR</v>
          </cell>
          <cell r="C811" t="str">
            <v>200136</v>
          </cell>
        </row>
        <row r="812">
          <cell r="A812">
            <v>200137</v>
          </cell>
          <cell r="B812" t="str">
            <v>Tub COLOR BALANCE 12 ml.</v>
          </cell>
          <cell r="C812" t="str">
            <v>TUCOBA</v>
          </cell>
        </row>
        <row r="813">
          <cell r="A813">
            <v>200137</v>
          </cell>
          <cell r="B813" t="str">
            <v>Tub COLOR BALANCE 12 ml.</v>
          </cell>
          <cell r="C813" t="str">
            <v>200137</v>
          </cell>
        </row>
        <row r="814">
          <cell r="A814">
            <v>200138</v>
          </cell>
          <cell r="B814" t="str">
            <v>Tub COLOR CLEANSER 75 ml.</v>
          </cell>
          <cell r="C814" t="str">
            <v>TUCOCL</v>
          </cell>
        </row>
        <row r="815">
          <cell r="A815">
            <v>200138</v>
          </cell>
          <cell r="B815" t="str">
            <v>Tub COLOR CLEANSER 75 ml.</v>
          </cell>
          <cell r="C815" t="str">
            <v>REF. 66028</v>
          </cell>
        </row>
        <row r="816">
          <cell r="A816">
            <v>200138</v>
          </cell>
          <cell r="B816" t="str">
            <v>Tub COLOR CLEANSER 75 ml.</v>
          </cell>
          <cell r="C816" t="str">
            <v>200138</v>
          </cell>
        </row>
        <row r="817">
          <cell r="A817">
            <v>200139</v>
          </cell>
          <cell r="B817" t="str">
            <v>Tub DEEP COLOR 15 ml.</v>
          </cell>
          <cell r="C817" t="str">
            <v>TUDECO</v>
          </cell>
        </row>
        <row r="818">
          <cell r="A818">
            <v>200139</v>
          </cell>
          <cell r="B818" t="str">
            <v>Tub DEEP COLOR 15 ml.</v>
          </cell>
          <cell r="C818" t="str">
            <v>200139</v>
          </cell>
        </row>
        <row r="819">
          <cell r="A819">
            <v>200140</v>
          </cell>
          <cell r="B819" t="str">
            <v>Tub DEEP ENERGY 15 ml.</v>
          </cell>
          <cell r="C819" t="str">
            <v>TUDEEN</v>
          </cell>
        </row>
        <row r="820">
          <cell r="A820">
            <v>200140</v>
          </cell>
          <cell r="B820" t="str">
            <v>Tub DEEP ENERGY 15 ml.</v>
          </cell>
          <cell r="C820" t="str">
            <v>200140</v>
          </cell>
        </row>
        <row r="821">
          <cell r="A821">
            <v>200141</v>
          </cell>
          <cell r="B821" t="str">
            <v>Tub DEEP REPAIR 15 ml.</v>
          </cell>
          <cell r="C821" t="str">
            <v>TUDERE</v>
          </cell>
        </row>
        <row r="822">
          <cell r="A822">
            <v>200141</v>
          </cell>
          <cell r="B822" t="str">
            <v>Tub DEEP REPAIR 15 ml.</v>
          </cell>
          <cell r="C822" t="str">
            <v>200141</v>
          </cell>
        </row>
        <row r="823">
          <cell r="A823">
            <v>200142</v>
          </cell>
          <cell r="B823" t="str">
            <v>Tub 150 GOOP</v>
          </cell>
          <cell r="C823" t="str">
            <v>TUGOOP</v>
          </cell>
        </row>
        <row r="824">
          <cell r="A824">
            <v>200142</v>
          </cell>
          <cell r="B824" t="str">
            <v>Tub 150 GOOP</v>
          </cell>
          <cell r="C824" t="str">
            <v>200142</v>
          </cell>
        </row>
        <row r="825">
          <cell r="A825">
            <v>200143</v>
          </cell>
          <cell r="B825" t="str">
            <v>Tub NORMALIZE PEELING GEL 50</v>
          </cell>
          <cell r="C825" t="str">
            <v>TUNOPGA</v>
          </cell>
        </row>
        <row r="826">
          <cell r="A826">
            <v>200143</v>
          </cell>
          <cell r="B826" t="str">
            <v>Tub NORMALIZE PEELING GEL 50</v>
          </cell>
          <cell r="C826" t="str">
            <v>200143</v>
          </cell>
        </row>
        <row r="827">
          <cell r="A827">
            <v>200144</v>
          </cell>
          <cell r="B827" t="str">
            <v>Tub 150 N. REPAIR MASK</v>
          </cell>
          <cell r="C827" t="str">
            <v>TUNRMFA</v>
          </cell>
        </row>
        <row r="828">
          <cell r="A828">
            <v>200144</v>
          </cell>
          <cell r="B828" t="str">
            <v>Tub 150 N. REPAIR MASK</v>
          </cell>
          <cell r="C828" t="str">
            <v>200144</v>
          </cell>
        </row>
        <row r="829">
          <cell r="A829">
            <v>200145</v>
          </cell>
          <cell r="B829" t="str">
            <v>Tub 150 N. REPAIR MASK</v>
          </cell>
          <cell r="C829" t="str">
            <v>TUNRMGA</v>
          </cell>
        </row>
        <row r="830">
          <cell r="A830">
            <v>200145</v>
          </cell>
          <cell r="B830" t="str">
            <v>Tub 150 N. REPAIR MASK</v>
          </cell>
          <cell r="C830" t="str">
            <v>200145</v>
          </cell>
        </row>
        <row r="831">
          <cell r="A831">
            <v>200146</v>
          </cell>
          <cell r="B831" t="str">
            <v>Tub REGULIZE MASK REGUL 50</v>
          </cell>
          <cell r="C831" t="str">
            <v>TUREMR</v>
          </cell>
        </row>
        <row r="832">
          <cell r="A832">
            <v>200146</v>
          </cell>
          <cell r="B832" t="str">
            <v>Tub REGULIZE MASK REGUL 50</v>
          </cell>
          <cell r="C832" t="str">
            <v>200146</v>
          </cell>
        </row>
        <row r="833">
          <cell r="A833">
            <v>200147</v>
          </cell>
          <cell r="B833" t="str">
            <v>Tub 50 REGULIZE MASK REGUL</v>
          </cell>
          <cell r="C833" t="str">
            <v>TUREMRA</v>
          </cell>
        </row>
        <row r="834">
          <cell r="A834">
            <v>200147</v>
          </cell>
          <cell r="B834" t="str">
            <v>Tub 50 REGULIZE MASK REGUL</v>
          </cell>
          <cell r="C834" t="str">
            <v>200147</v>
          </cell>
        </row>
        <row r="835">
          <cell r="A835">
            <v>200148</v>
          </cell>
          <cell r="B835" t="str">
            <v>Tub 50 MASSAGE SENSITIVE</v>
          </cell>
          <cell r="C835" t="str">
            <v>TUSEMS</v>
          </cell>
        </row>
        <row r="836">
          <cell r="A836">
            <v>200148</v>
          </cell>
          <cell r="B836" t="str">
            <v>Tub 50 MASSAGE SENSITIVE</v>
          </cell>
          <cell r="C836" t="str">
            <v>200148</v>
          </cell>
        </row>
        <row r="837">
          <cell r="A837">
            <v>200149</v>
          </cell>
          <cell r="B837" t="str">
            <v>Tub 50 MASSAGE SENSITIVE</v>
          </cell>
          <cell r="C837" t="str">
            <v>TUSEMSA</v>
          </cell>
        </row>
        <row r="838">
          <cell r="A838">
            <v>200149</v>
          </cell>
          <cell r="B838" t="str">
            <v>Tub 50 MASSAGE SENSITIVE</v>
          </cell>
          <cell r="C838" t="str">
            <v>200149</v>
          </cell>
        </row>
        <row r="839">
          <cell r="A839">
            <v>200150</v>
          </cell>
          <cell r="B839" t="str">
            <v>Tub 50 SKULPTOR</v>
          </cell>
          <cell r="C839" t="str">
            <v>TUSKUL5A</v>
          </cell>
        </row>
        <row r="840">
          <cell r="A840">
            <v>200150</v>
          </cell>
          <cell r="B840" t="str">
            <v>Tub 50 SKULPTOR</v>
          </cell>
          <cell r="C840" t="str">
            <v>200150</v>
          </cell>
        </row>
        <row r="841">
          <cell r="A841">
            <v>200151</v>
          </cell>
          <cell r="B841" t="str">
            <v>Tub 200 SKULPTOR "Base Oberta"</v>
          </cell>
          <cell r="C841" t="str">
            <v>TUSKULA</v>
          </cell>
        </row>
        <row r="842">
          <cell r="A842">
            <v>200151</v>
          </cell>
          <cell r="B842" t="str">
            <v>Tub 200 SKULPTOR "Base Oberta"</v>
          </cell>
          <cell r="C842" t="str">
            <v>200151</v>
          </cell>
        </row>
        <row r="843">
          <cell r="A843">
            <v>200152</v>
          </cell>
          <cell r="B843" t="str">
            <v>Tub 150 SUNCARE CREAM</v>
          </cell>
          <cell r="C843" t="str">
            <v>TUSUCRA</v>
          </cell>
        </row>
        <row r="844">
          <cell r="A844">
            <v>200152</v>
          </cell>
          <cell r="B844" t="str">
            <v>Tub 150 SUNCARE CREAM</v>
          </cell>
          <cell r="C844" t="str">
            <v>200152</v>
          </cell>
        </row>
        <row r="845">
          <cell r="A845">
            <v>200153</v>
          </cell>
          <cell r="B845" t="str">
            <v>Tub 150 VITAL-COLOR COLOR MASK</v>
          </cell>
          <cell r="C845" t="str">
            <v>TUVCCMA</v>
          </cell>
        </row>
        <row r="846">
          <cell r="A846">
            <v>200153</v>
          </cell>
          <cell r="B846" t="str">
            <v>Tub 150 VITAL-COLOR COLOR MASK</v>
          </cell>
          <cell r="C846" t="str">
            <v>200153</v>
          </cell>
        </row>
        <row r="847">
          <cell r="A847">
            <v>200154</v>
          </cell>
          <cell r="B847" t="str">
            <v>Tub 150 WET &amp; SHINE</v>
          </cell>
          <cell r="C847" t="str">
            <v>TUWESH</v>
          </cell>
        </row>
        <row r="848">
          <cell r="A848">
            <v>200154</v>
          </cell>
          <cell r="B848" t="str">
            <v>Tub 150 WET &amp; SHINE</v>
          </cell>
          <cell r="C848" t="str">
            <v>200154</v>
          </cell>
        </row>
        <row r="849">
          <cell r="A849">
            <v>200155</v>
          </cell>
          <cell r="B849" t="str">
            <v>Tub 150 WET &amp; SHINE "Base Ober</v>
          </cell>
          <cell r="C849" t="str">
            <v>TUWESHA</v>
          </cell>
        </row>
        <row r="850">
          <cell r="A850">
            <v>200155</v>
          </cell>
          <cell r="B850" t="str">
            <v>Tub 150 WET &amp; SHINE "Base Ober</v>
          </cell>
          <cell r="C850" t="str">
            <v>200155</v>
          </cell>
        </row>
        <row r="851">
          <cell r="A851">
            <v>200156</v>
          </cell>
          <cell r="B851" t="str">
            <v>Tubo 200 X-LASTIC</v>
          </cell>
          <cell r="C851" t="str">
            <v>TUXLAS</v>
          </cell>
        </row>
        <row r="852">
          <cell r="A852">
            <v>200156</v>
          </cell>
          <cell r="B852" t="str">
            <v>Tubo 200 X-LASTIC</v>
          </cell>
          <cell r="C852" t="str">
            <v>200156</v>
          </cell>
        </row>
        <row r="853">
          <cell r="A853">
            <v>200157</v>
          </cell>
          <cell r="B853" t="str">
            <v>Tub 50 X-LASTIC</v>
          </cell>
          <cell r="C853" t="str">
            <v>TUXLAS5A</v>
          </cell>
        </row>
        <row r="854">
          <cell r="A854">
            <v>200157</v>
          </cell>
          <cell r="B854" t="str">
            <v>Tub 50 X-LASTIC</v>
          </cell>
          <cell r="C854" t="str">
            <v>200157</v>
          </cell>
        </row>
        <row r="855">
          <cell r="A855">
            <v>200158</v>
          </cell>
          <cell r="B855" t="str">
            <v>TUBO  X-LASTIC  200</v>
          </cell>
          <cell r="C855" t="str">
            <v>TUXLASA</v>
          </cell>
        </row>
        <row r="856">
          <cell r="A856">
            <v>200158</v>
          </cell>
          <cell r="B856" t="str">
            <v>TUBO  X-LASTIC  200</v>
          </cell>
          <cell r="C856" t="str">
            <v>200158</v>
          </cell>
        </row>
        <row r="857">
          <cell r="A857">
            <v>200159</v>
          </cell>
          <cell r="B857" t="str">
            <v>BOT. TONIC KINMEN FORCE</v>
          </cell>
          <cell r="C857" t="str">
            <v>BOKM15FO</v>
          </cell>
        </row>
        <row r="858">
          <cell r="A858">
            <v>200159</v>
          </cell>
          <cell r="B858" t="str">
            <v>BOT. TONIC KINMEN FORCE</v>
          </cell>
          <cell r="C858" t="str">
            <v>200159</v>
          </cell>
        </row>
        <row r="859">
          <cell r="A859">
            <v>200160</v>
          </cell>
          <cell r="B859" t="str">
            <v>BOT. TONIC KINMEN PURITY</v>
          </cell>
          <cell r="C859" t="str">
            <v>BOKM15PU</v>
          </cell>
        </row>
        <row r="860">
          <cell r="A860">
            <v>200160</v>
          </cell>
          <cell r="B860" t="str">
            <v>BOT. TONIC KINMEN PURITY</v>
          </cell>
          <cell r="C860" t="str">
            <v>200160</v>
          </cell>
        </row>
        <row r="861">
          <cell r="A861">
            <v>200161</v>
          </cell>
          <cell r="B861" t="str">
            <v>BOT. SHAMPOO KINMEN PURITY</v>
          </cell>
          <cell r="C861" t="str">
            <v>BOKM25PU</v>
          </cell>
        </row>
        <row r="862">
          <cell r="A862">
            <v>200161</v>
          </cell>
          <cell r="B862" t="str">
            <v>BOT. SHAMPOO KINMEN PURITY</v>
          </cell>
          <cell r="C862" t="str">
            <v>200161</v>
          </cell>
        </row>
        <row r="863">
          <cell r="A863">
            <v>200162</v>
          </cell>
          <cell r="B863" t="str">
            <v>BOT. SHAMPOO KINMEN ENERGY</v>
          </cell>
          <cell r="C863" t="str">
            <v>BOKM25EN</v>
          </cell>
        </row>
        <row r="864">
          <cell r="A864">
            <v>200162</v>
          </cell>
          <cell r="B864" t="str">
            <v>BOT. SHAMPOO KINMEN ENERGY</v>
          </cell>
          <cell r="C864" t="str">
            <v>200162</v>
          </cell>
        </row>
        <row r="865">
          <cell r="A865">
            <v>200163</v>
          </cell>
          <cell r="B865" t="str">
            <v>BOT. SHAMPOO KINMEN FORCE</v>
          </cell>
          <cell r="C865" t="str">
            <v>BOKM25FO</v>
          </cell>
        </row>
        <row r="866">
          <cell r="A866">
            <v>200163</v>
          </cell>
          <cell r="B866" t="str">
            <v>BOT. SHAMPOO KINMEN FORCE</v>
          </cell>
          <cell r="C866" t="str">
            <v>200163</v>
          </cell>
        </row>
        <row r="867">
          <cell r="A867">
            <v>200164</v>
          </cell>
          <cell r="B867" t="str">
            <v>TARRO KINMEN 100 ML.  MAT WAX</v>
          </cell>
          <cell r="C867" t="str">
            <v>TAKM10MW</v>
          </cell>
        </row>
        <row r="868">
          <cell r="A868">
            <v>200164</v>
          </cell>
          <cell r="B868" t="str">
            <v>TARRO KINMEN 100 ML.  MAT WAX</v>
          </cell>
          <cell r="C868" t="str">
            <v>200164</v>
          </cell>
        </row>
        <row r="869">
          <cell r="A869">
            <v>200165</v>
          </cell>
          <cell r="B869" t="str">
            <v>TARRO KINMEN 100 ML.WILD PASTE</v>
          </cell>
          <cell r="C869" t="str">
            <v>TAKM10WP</v>
          </cell>
        </row>
        <row r="870">
          <cell r="A870">
            <v>200165</v>
          </cell>
          <cell r="B870" t="str">
            <v>TARRO KINMEN 100 ML.WILD PASTE</v>
          </cell>
          <cell r="C870" t="str">
            <v>EIEIII</v>
          </cell>
        </row>
        <row r="871">
          <cell r="A871">
            <v>200165</v>
          </cell>
          <cell r="B871" t="str">
            <v>TARRO KINMEN 100 ML.WILD PASTE</v>
          </cell>
          <cell r="C871" t="str">
            <v>200165</v>
          </cell>
        </row>
        <row r="872">
          <cell r="A872">
            <v>200169</v>
          </cell>
          <cell r="B872" t="str">
            <v>TARRO KINBLOND PERLA "Anónimo"</v>
          </cell>
          <cell r="C872" t="str">
            <v>FL1000PP/NA10000</v>
          </cell>
        </row>
        <row r="873">
          <cell r="A873">
            <v>200169</v>
          </cell>
          <cell r="B873" t="str">
            <v>TARRO KINBLOND PERLA "Anónimo"</v>
          </cell>
          <cell r="C873" t="str">
            <v>200169</v>
          </cell>
        </row>
        <row r="874">
          <cell r="A874">
            <v>200170</v>
          </cell>
          <cell r="B874" t="str">
            <v>TAPA TARRO KINBLOND "PERLA"</v>
          </cell>
          <cell r="C874" t="str">
            <v>TP500PS/NA10000</v>
          </cell>
        </row>
        <row r="875">
          <cell r="A875">
            <v>200170</v>
          </cell>
          <cell r="B875" t="str">
            <v>TAPA TARRO KINBLOND "PERLA"</v>
          </cell>
          <cell r="C875" t="str">
            <v>200170</v>
          </cell>
        </row>
        <row r="876">
          <cell r="A876">
            <v>200171</v>
          </cell>
          <cell r="B876" t="str">
            <v>Frasco COMP.TRICO-ACT."FORCE"</v>
          </cell>
          <cell r="C876" t="str">
            <v>R1046003</v>
          </cell>
        </row>
        <row r="877">
          <cell r="A877">
            <v>200171</v>
          </cell>
          <cell r="B877" t="str">
            <v>Frasco COMP.TRICO-ACT."FORCE"</v>
          </cell>
          <cell r="C877" t="str">
            <v>200171</v>
          </cell>
        </row>
        <row r="878">
          <cell r="A878">
            <v>200172</v>
          </cell>
          <cell r="B878" t="str">
            <v>BOT. AIRLESS 150 ML. "EXTRACT"</v>
          </cell>
          <cell r="C878" t="str">
            <v>200172</v>
          </cell>
        </row>
        <row r="879">
          <cell r="A879">
            <v>200173</v>
          </cell>
          <cell r="B879" t="str">
            <v>TARRO MASK COLOR 200 ML.</v>
          </cell>
          <cell r="C879" t="str">
            <v>200173</v>
          </cell>
        </row>
        <row r="880">
          <cell r="A880">
            <v>200174</v>
          </cell>
          <cell r="B880" t="str">
            <v>TARRO MASK CURL  200 ML.</v>
          </cell>
          <cell r="C880" t="str">
            <v>200174</v>
          </cell>
        </row>
        <row r="881">
          <cell r="A881">
            <v>200175</v>
          </cell>
          <cell r="B881" t="str">
            <v>TARRO MASK ENERGY  200 ML.</v>
          </cell>
          <cell r="C881" t="str">
            <v>200175</v>
          </cell>
        </row>
        <row r="882">
          <cell r="A882">
            <v>200176</v>
          </cell>
          <cell r="B882" t="str">
            <v>TARRO MASK LISS 200 ML.</v>
          </cell>
          <cell r="C882" t="str">
            <v>200176</v>
          </cell>
        </row>
        <row r="883">
          <cell r="A883">
            <v>200177</v>
          </cell>
          <cell r="B883" t="str">
            <v>TARRO MASK NUTRI 200 ML.</v>
          </cell>
          <cell r="C883" t="str">
            <v>200177</v>
          </cell>
        </row>
        <row r="884">
          <cell r="A884">
            <v>200178</v>
          </cell>
          <cell r="B884" t="str">
            <v>TUB COLOR RECONST.  150 ml</v>
          </cell>
          <cell r="C884" t="str">
            <v>200178</v>
          </cell>
        </row>
        <row r="885">
          <cell r="A885">
            <v>200179</v>
          </cell>
          <cell r="B885" t="str">
            <v>TUB NUTRI  RECONST. 150 ml</v>
          </cell>
          <cell r="C885" t="str">
            <v>200179</v>
          </cell>
        </row>
        <row r="886">
          <cell r="A886">
            <v>200180</v>
          </cell>
          <cell r="B886" t="str">
            <v>TUB ENERGY RECONST. 150 M</v>
          </cell>
          <cell r="C886" t="str">
            <v>200180</v>
          </cell>
        </row>
        <row r="887">
          <cell r="A887">
            <v>200181</v>
          </cell>
          <cell r="B887" t="str">
            <v>TUB COLOR 18 ML. "Injector"</v>
          </cell>
          <cell r="C887" t="str">
            <v>200181</v>
          </cell>
        </row>
        <row r="888">
          <cell r="A888">
            <v>200182</v>
          </cell>
          <cell r="B888" t="str">
            <v>TUB NUTRI 18 ML."Injector"</v>
          </cell>
          <cell r="C888" t="str">
            <v>200182</v>
          </cell>
        </row>
        <row r="889">
          <cell r="A889">
            <v>200183</v>
          </cell>
          <cell r="B889" t="str">
            <v>TUB ENERGY 18 ML. "Injector"</v>
          </cell>
          <cell r="C889" t="str">
            <v>200183</v>
          </cell>
        </row>
        <row r="890">
          <cell r="A890">
            <v>200184</v>
          </cell>
          <cell r="B890" t="str">
            <v>TUB GEL PURITY 50 ML. "Inject"</v>
          </cell>
          <cell r="C890" t="str">
            <v>200184</v>
          </cell>
        </row>
        <row r="891">
          <cell r="A891">
            <v>200185</v>
          </cell>
          <cell r="B891" t="str">
            <v>TUB REG.BALANCE CLAY 50 ML.</v>
          </cell>
          <cell r="C891" t="str">
            <v>200185</v>
          </cell>
        </row>
        <row r="892">
          <cell r="A892">
            <v>200186</v>
          </cell>
          <cell r="B892" t="str">
            <v>TUB REG.CALM MASSAGE 50 ML.</v>
          </cell>
          <cell r="C892" t="str">
            <v>200186</v>
          </cell>
        </row>
        <row r="893">
          <cell r="A893">
            <v>200187</v>
          </cell>
          <cell r="B893" t="str">
            <v>BOT. SHAMPOO COLOR 250 ML.</v>
          </cell>
          <cell r="C893" t="str">
            <v>200187</v>
          </cell>
        </row>
        <row r="894">
          <cell r="A894">
            <v>200188</v>
          </cell>
          <cell r="B894" t="str">
            <v>BOT.SHAMPOO SILVER 250 ML.</v>
          </cell>
          <cell r="C894" t="str">
            <v>200188</v>
          </cell>
        </row>
        <row r="895">
          <cell r="A895">
            <v>200189</v>
          </cell>
          <cell r="B895" t="str">
            <v>BOT. SHAMPOO CURL 250 ML.</v>
          </cell>
          <cell r="C895" t="str">
            <v>200189</v>
          </cell>
        </row>
        <row r="896">
          <cell r="A896">
            <v>200190</v>
          </cell>
          <cell r="B896" t="str">
            <v>BOT. SHAMPOO ENERGY 250 ML.</v>
          </cell>
          <cell r="C896" t="str">
            <v>200190</v>
          </cell>
        </row>
        <row r="897">
          <cell r="A897">
            <v>200191</v>
          </cell>
          <cell r="B897" t="str">
            <v>BOT. SHAMPOO LISS 250 ML.</v>
          </cell>
          <cell r="C897" t="str">
            <v>200191</v>
          </cell>
        </row>
        <row r="898">
          <cell r="A898">
            <v>200192</v>
          </cell>
          <cell r="B898" t="str">
            <v>BOT. SHAMPOO NUTRI 1 SOFT 250</v>
          </cell>
          <cell r="C898" t="str">
            <v>200192</v>
          </cell>
        </row>
        <row r="899">
          <cell r="A899">
            <v>200193</v>
          </cell>
          <cell r="B899" t="str">
            <v>BOT.SHAMPO NUTRI 2 RICH 250</v>
          </cell>
          <cell r="C899" t="str">
            <v>200193</v>
          </cell>
        </row>
        <row r="900">
          <cell r="A900">
            <v>200194</v>
          </cell>
          <cell r="B900" t="str">
            <v>BOT.SHAMPOO NUTRI 3 INTEN 250</v>
          </cell>
          <cell r="C900" t="str">
            <v>200194</v>
          </cell>
        </row>
        <row r="901">
          <cell r="A901">
            <v>200195</v>
          </cell>
          <cell r="B901" t="str">
            <v>BOT.CONDIT.COLOR 200 ML.</v>
          </cell>
          <cell r="C901" t="str">
            <v>200195</v>
          </cell>
        </row>
        <row r="902">
          <cell r="A902">
            <v>200196</v>
          </cell>
          <cell r="B902" t="str">
            <v>BOT.CONDIT. LISS 200 ML.</v>
          </cell>
          <cell r="C902" t="str">
            <v>200196</v>
          </cell>
        </row>
        <row r="903">
          <cell r="A903">
            <v>200197</v>
          </cell>
          <cell r="B903" t="str">
            <v>BOT.CONDIT.NUTRI 200 ML.</v>
          </cell>
          <cell r="C903" t="str">
            <v>200197</v>
          </cell>
        </row>
        <row r="904">
          <cell r="A904">
            <v>200198</v>
          </cell>
          <cell r="B904" t="str">
            <v>BOT.SEALER COLOR 200 ML.</v>
          </cell>
          <cell r="C904" t="str">
            <v>200198</v>
          </cell>
        </row>
        <row r="905">
          <cell r="A905">
            <v>200199</v>
          </cell>
          <cell r="B905" t="str">
            <v>BOT. ACTIVATOR CURL 200 ML.</v>
          </cell>
          <cell r="C905" t="str">
            <v>200199</v>
          </cell>
        </row>
        <row r="906">
          <cell r="A906">
            <v>200200</v>
          </cell>
          <cell r="B906" t="str">
            <v>BOT. HYDRATOR NUTRI 200 ML.</v>
          </cell>
          <cell r="C906" t="str">
            <v>200200</v>
          </cell>
        </row>
        <row r="907">
          <cell r="A907">
            <v>200201</v>
          </cell>
          <cell r="B907" t="str">
            <v>BOT. SERUM LISS 150 ML.</v>
          </cell>
          <cell r="C907" t="str">
            <v>200201LOBO</v>
          </cell>
        </row>
        <row r="908">
          <cell r="A908">
            <v>200202</v>
          </cell>
          <cell r="B908" t="str">
            <v>BOT. TONIC FORCE 150 ML.</v>
          </cell>
          <cell r="C908" t="str">
            <v>200202</v>
          </cell>
        </row>
        <row r="909">
          <cell r="A909">
            <v>200203</v>
          </cell>
          <cell r="B909" t="str">
            <v>BOT. TONIC PURITY 150 ML.</v>
          </cell>
          <cell r="C909" t="str">
            <v>200203</v>
          </cell>
        </row>
        <row r="910">
          <cell r="A910">
            <v>200204</v>
          </cell>
          <cell r="B910" t="str">
            <v>BOT. TONIC BALANCE 150 ML.</v>
          </cell>
          <cell r="C910" t="str">
            <v>200204</v>
          </cell>
        </row>
        <row r="911">
          <cell r="A911">
            <v>200205</v>
          </cell>
          <cell r="B911" t="str">
            <v>BOT. SHAMPOO FORCE 250 ML.</v>
          </cell>
          <cell r="C911" t="str">
            <v>200205</v>
          </cell>
        </row>
        <row r="912">
          <cell r="A912">
            <v>200206</v>
          </cell>
          <cell r="B912" t="str">
            <v>BOT. SHAMPOO PURITY-DRY 250 ML</v>
          </cell>
          <cell r="C912" t="str">
            <v>200206</v>
          </cell>
        </row>
        <row r="913">
          <cell r="A913">
            <v>200207</v>
          </cell>
          <cell r="B913" t="str">
            <v>BOT.SHAMPOO PURITY-OILY 250 M</v>
          </cell>
          <cell r="C913" t="str">
            <v>200207</v>
          </cell>
        </row>
        <row r="914">
          <cell r="A914">
            <v>200208</v>
          </cell>
          <cell r="B914" t="str">
            <v>BOT. SHAMPOO BALANCE 250 ML.</v>
          </cell>
          <cell r="C914" t="str">
            <v>200208</v>
          </cell>
        </row>
        <row r="915">
          <cell r="A915">
            <v>200209</v>
          </cell>
          <cell r="B915" t="str">
            <v>BOT. SHAMPOO CALM 250 ML.</v>
          </cell>
          <cell r="C915" t="str">
            <v>200209</v>
          </cell>
        </row>
        <row r="916">
          <cell r="A916">
            <v>200210</v>
          </cell>
          <cell r="B916" t="str">
            <v>BOT.SHAMPOO COLOR 1000 ML.</v>
          </cell>
          <cell r="C916" t="str">
            <v>200210</v>
          </cell>
        </row>
        <row r="917">
          <cell r="A917">
            <v>200211</v>
          </cell>
          <cell r="B917" t="str">
            <v>BOT.SHAMPOO SILVER 1000 ML.</v>
          </cell>
          <cell r="C917" t="str">
            <v>200211</v>
          </cell>
        </row>
        <row r="918">
          <cell r="A918">
            <v>200212</v>
          </cell>
          <cell r="B918" t="str">
            <v>BOT. SHAMPOO CURL 1000 ML.</v>
          </cell>
          <cell r="C918" t="str">
            <v>200212</v>
          </cell>
        </row>
        <row r="919">
          <cell r="A919">
            <v>200213</v>
          </cell>
          <cell r="B919" t="str">
            <v>BOT. SHAMPOO ENERGY 1000 ML.</v>
          </cell>
          <cell r="C919" t="str">
            <v>200213</v>
          </cell>
        </row>
        <row r="920">
          <cell r="A920">
            <v>200214</v>
          </cell>
          <cell r="B920" t="str">
            <v>BOT. SHAMPOO LISS 1000 ML.</v>
          </cell>
          <cell r="C920" t="str">
            <v>200214</v>
          </cell>
        </row>
        <row r="921">
          <cell r="A921">
            <v>200215</v>
          </cell>
          <cell r="B921" t="str">
            <v>BOT.SHAMPOO NUTRI SOFT 1000 ML</v>
          </cell>
          <cell r="C921" t="str">
            <v>200215</v>
          </cell>
        </row>
        <row r="922">
          <cell r="A922">
            <v>200216</v>
          </cell>
          <cell r="B922" t="str">
            <v>BOT.SHAMPOO 2 RICH 1000 ML.</v>
          </cell>
          <cell r="C922" t="str">
            <v>200216</v>
          </cell>
        </row>
        <row r="923">
          <cell r="A923">
            <v>200217</v>
          </cell>
          <cell r="B923" t="str">
            <v>BOT.SHAMPOO NUTRI INTENSE 1000</v>
          </cell>
          <cell r="C923" t="str">
            <v>200217</v>
          </cell>
        </row>
        <row r="924">
          <cell r="A924">
            <v>200218</v>
          </cell>
          <cell r="B924" t="str">
            <v>BOT. CONDITIONER COLOR 1000 ml</v>
          </cell>
          <cell r="C924" t="str">
            <v>200218</v>
          </cell>
        </row>
        <row r="925">
          <cell r="A925">
            <v>200219</v>
          </cell>
          <cell r="B925" t="str">
            <v>BOT.CONDITIONER NUTRI 1000 ml</v>
          </cell>
          <cell r="C925" t="str">
            <v>200219</v>
          </cell>
        </row>
        <row r="926">
          <cell r="A926">
            <v>200220</v>
          </cell>
          <cell r="B926" t="str">
            <v>BOT.1000 MARFIL CUADR "ano"</v>
          </cell>
          <cell r="C926" t="str">
            <v>200220</v>
          </cell>
        </row>
        <row r="927">
          <cell r="A927">
            <v>200221</v>
          </cell>
          <cell r="B927" t="str">
            <v>BOT.SHAMPOO FORCE 1000 ML.</v>
          </cell>
          <cell r="C927" t="str">
            <v>200221</v>
          </cell>
        </row>
        <row r="928">
          <cell r="A928">
            <v>200222</v>
          </cell>
          <cell r="B928" t="str">
            <v>BOT.SH. PURITY "DRY" 1000 ML.</v>
          </cell>
          <cell r="C928" t="str">
            <v>200222</v>
          </cell>
        </row>
        <row r="929">
          <cell r="A929">
            <v>200223</v>
          </cell>
          <cell r="B929" t="str">
            <v>BOT.SH. PURITY "OILY" 1000 ML.</v>
          </cell>
          <cell r="C929" t="str">
            <v>200223</v>
          </cell>
        </row>
        <row r="930">
          <cell r="A930">
            <v>200224</v>
          </cell>
          <cell r="B930" t="str">
            <v>BOT.SHAMPOO BALANCE 1000 ML.</v>
          </cell>
          <cell r="C930" t="str">
            <v>200224</v>
          </cell>
        </row>
        <row r="931">
          <cell r="A931">
            <v>200225</v>
          </cell>
          <cell r="B931" t="str">
            <v>BOT.SHAMPOO CALM 1000 ML.</v>
          </cell>
          <cell r="C931" t="str">
            <v>200225</v>
          </cell>
        </row>
        <row r="932">
          <cell r="A932">
            <v>200226</v>
          </cell>
          <cell r="B932" t="str">
            <v>TARRO MASK COLOR 900 ML.</v>
          </cell>
          <cell r="C932" t="str">
            <v>200226</v>
          </cell>
        </row>
        <row r="933">
          <cell r="A933">
            <v>200227</v>
          </cell>
          <cell r="B933" t="str">
            <v>TARRO MASK CURL 900 ML.</v>
          </cell>
          <cell r="C933" t="str">
            <v>200227</v>
          </cell>
        </row>
        <row r="934">
          <cell r="A934">
            <v>200228</v>
          </cell>
          <cell r="B934" t="str">
            <v>TARRO MASK ENERGY 900 ML.</v>
          </cell>
          <cell r="C934" t="str">
            <v>200228</v>
          </cell>
        </row>
        <row r="935">
          <cell r="A935">
            <v>200229</v>
          </cell>
          <cell r="B935" t="str">
            <v>TARRO MASK LISS 900 ML.</v>
          </cell>
          <cell r="C935" t="str">
            <v>200229</v>
          </cell>
        </row>
        <row r="936">
          <cell r="A936">
            <v>200230</v>
          </cell>
          <cell r="B936" t="str">
            <v>TARRO MASK NUTRI 900 ML.</v>
          </cell>
          <cell r="C936" t="str">
            <v>200230</v>
          </cell>
        </row>
        <row r="937">
          <cell r="A937">
            <v>200231</v>
          </cell>
          <cell r="B937" t="str">
            <v>TARRO MASK 200 ML."anonim"</v>
          </cell>
          <cell r="C937" t="str">
            <v>200231</v>
          </cell>
        </row>
        <row r="938">
          <cell r="A938">
            <v>200232</v>
          </cell>
          <cell r="B938" t="str">
            <v>TARRO MASK 1000 ML.(Anonimo)</v>
          </cell>
          <cell r="C938" t="str">
            <v>200232</v>
          </cell>
        </row>
        <row r="939">
          <cell r="A939">
            <v>200232</v>
          </cell>
          <cell r="B939" t="str">
            <v>TARRO MASK 1000 ML.(Anonimo)</v>
          </cell>
          <cell r="C939" t="str">
            <v>200232</v>
          </cell>
        </row>
        <row r="940">
          <cell r="A940">
            <v>200233</v>
          </cell>
          <cell r="B940" t="str">
            <v>BOT.200 ML.MARFIL-TAP FLIP TOP</v>
          </cell>
          <cell r="C940" t="str">
            <v>200233</v>
          </cell>
        </row>
        <row r="941">
          <cell r="A941">
            <v>200234</v>
          </cell>
          <cell r="B941" t="str">
            <v>BOT.200 ML.MARFIL-TAP SPRAY(no comprar mes)</v>
          </cell>
          <cell r="C941" t="str">
            <v>200234</v>
          </cell>
        </row>
        <row r="942">
          <cell r="A942">
            <v>200235</v>
          </cell>
          <cell r="B942" t="str">
            <v>BOT.KAE TONICS 150 ML.BEIGE(no comprar)</v>
          </cell>
          <cell r="C942" t="str">
            <v>200235</v>
          </cell>
        </row>
        <row r="943">
          <cell r="A943">
            <v>200251</v>
          </cell>
          <cell r="B943" t="str">
            <v>TUB KINCREM 'CRK' BASICS</v>
          </cell>
          <cell r="C943" t="str">
            <v>200251</v>
          </cell>
        </row>
        <row r="944">
          <cell r="A944">
            <v>200254</v>
          </cell>
          <cell r="B944" t="str">
            <v>BOTELLA BOLA NAVIDAD 6,5 diam.</v>
          </cell>
          <cell r="C944" t="str">
            <v>BOTLLE BALL 6,5 DIAM</v>
          </cell>
        </row>
        <row r="945">
          <cell r="A945">
            <v>200278</v>
          </cell>
          <cell r="B945" t="str">
            <v>BOT. 1000 'BA' OX. 20 V. L.EDI</v>
          </cell>
          <cell r="C945" t="str">
            <v>REF.- 10031 B00</v>
          </cell>
        </row>
        <row r="946">
          <cell r="A946">
            <v>200279</v>
          </cell>
          <cell r="B946" t="str">
            <v>BOT. 100 PET NATURAL</v>
          </cell>
          <cell r="C946" t="str">
            <v>REF.- 0613/2410/100</v>
          </cell>
        </row>
        <row r="947">
          <cell r="A947">
            <v>200281</v>
          </cell>
          <cell r="B947" t="str">
            <v>BOT. 75 ml OXIDANT "BLANCA"</v>
          </cell>
          <cell r="C947" t="str">
            <v>3501229</v>
          </cell>
        </row>
        <row r="948">
          <cell r="A948">
            <v>200296</v>
          </cell>
          <cell r="B948" t="str">
            <v>FRASCO 30 ML.KINESSENCES OLEO</v>
          </cell>
          <cell r="C948" t="str">
            <v>200296</v>
          </cell>
        </row>
        <row r="949">
          <cell r="A949">
            <v>200296</v>
          </cell>
          <cell r="B949" t="str">
            <v>FRASCO 30 ML.KINESSENCES OLEO</v>
          </cell>
          <cell r="C949" t="str">
            <v>200296</v>
          </cell>
        </row>
        <row r="950">
          <cell r="A950">
            <v>210001</v>
          </cell>
          <cell r="B950" t="str">
            <v>ETIQ. AIRMOUSSE</v>
          </cell>
          <cell r="C950" t="str">
            <v>ETAIRM</v>
          </cell>
        </row>
        <row r="951">
          <cell r="A951">
            <v>210001</v>
          </cell>
          <cell r="B951" t="str">
            <v>ETIQ. AIRMOUSSE</v>
          </cell>
          <cell r="C951" t="str">
            <v>210001</v>
          </cell>
        </row>
        <row r="952">
          <cell r="A952">
            <v>210002</v>
          </cell>
          <cell r="B952" t="str">
            <v>ETIQ. BLANCA ENVIOS</v>
          </cell>
          <cell r="C952" t="str">
            <v>ETBLEN</v>
          </cell>
        </row>
        <row r="953">
          <cell r="A953">
            <v>210002</v>
          </cell>
          <cell r="B953" t="str">
            <v>ETIQ. BLANCA ENVIOS</v>
          </cell>
          <cell r="C953" t="str">
            <v>210002</v>
          </cell>
        </row>
        <row r="954">
          <cell r="A954">
            <v>210003</v>
          </cell>
          <cell r="B954" t="str">
            <v>ETIQ. BRUSHING BRILLANTE</v>
          </cell>
          <cell r="C954" t="str">
            <v>ETBRBR</v>
          </cell>
        </row>
        <row r="955">
          <cell r="A955">
            <v>210003</v>
          </cell>
          <cell r="B955" t="str">
            <v>ETIQ. BRUSHING BRILLANTE</v>
          </cell>
          <cell r="C955" t="str">
            <v>210003</v>
          </cell>
        </row>
        <row r="956">
          <cell r="A956">
            <v>210004</v>
          </cell>
          <cell r="B956" t="str">
            <v>ETIQ. BRUSHING CENIZA</v>
          </cell>
          <cell r="C956" t="str">
            <v>ETBRCE</v>
          </cell>
        </row>
        <row r="957">
          <cell r="A957">
            <v>210004</v>
          </cell>
          <cell r="B957" t="str">
            <v>ETIQ. BRUSHING CENIZA</v>
          </cell>
          <cell r="C957" t="str">
            <v>210004</v>
          </cell>
        </row>
        <row r="958">
          <cell r="A958">
            <v>210005</v>
          </cell>
          <cell r="B958" t="str">
            <v>ETIQ. BRUSHING NACAR</v>
          </cell>
          <cell r="C958" t="str">
            <v>ETBRNA</v>
          </cell>
        </row>
        <row r="959">
          <cell r="A959">
            <v>210005</v>
          </cell>
          <cell r="B959" t="str">
            <v>ETIQ. BRUSHING NACAR</v>
          </cell>
          <cell r="C959" t="str">
            <v>210005</v>
          </cell>
        </row>
        <row r="960">
          <cell r="A960">
            <v>210006</v>
          </cell>
          <cell r="B960" t="str">
            <v>ETIQ. BRUSHING PERLA</v>
          </cell>
          <cell r="C960" t="str">
            <v>ETBRPE</v>
          </cell>
        </row>
        <row r="961">
          <cell r="A961">
            <v>210006</v>
          </cell>
          <cell r="B961" t="str">
            <v>ETIQ. BRUSHING PERLA</v>
          </cell>
          <cell r="C961" t="str">
            <v>210006</v>
          </cell>
        </row>
        <row r="962">
          <cell r="A962">
            <v>210007</v>
          </cell>
          <cell r="B962" t="str">
            <v>ETIQ. BRUSHING PLATA</v>
          </cell>
          <cell r="C962" t="str">
            <v>ETBRPL</v>
          </cell>
        </row>
        <row r="963">
          <cell r="A963">
            <v>210007</v>
          </cell>
          <cell r="B963" t="str">
            <v>ETIQ. BRUSHING PLATA</v>
          </cell>
          <cell r="C963" t="str">
            <v>210007</v>
          </cell>
        </row>
        <row r="964">
          <cell r="A964">
            <v>210008</v>
          </cell>
          <cell r="B964" t="str">
            <v>ETIQ. BRUSHING RUBIO SAFARI</v>
          </cell>
          <cell r="C964" t="str">
            <v>ETBRRS</v>
          </cell>
        </row>
        <row r="965">
          <cell r="A965">
            <v>210008</v>
          </cell>
          <cell r="B965" t="str">
            <v>ETIQ. BRUSHING RUBIO SAFARI</v>
          </cell>
          <cell r="C965" t="str">
            <v>210008</v>
          </cell>
        </row>
        <row r="966">
          <cell r="A966">
            <v>210009</v>
          </cell>
          <cell r="B966" t="str">
            <v>ETIQ. N.C. CREAM BEIGE</v>
          </cell>
          <cell r="C966" t="str">
            <v>ETCCBE</v>
          </cell>
        </row>
        <row r="967">
          <cell r="A967">
            <v>210009</v>
          </cell>
          <cell r="B967" t="str">
            <v>ETIQ. N.C. CREAM BEIGE</v>
          </cell>
          <cell r="C967" t="str">
            <v>210009</v>
          </cell>
        </row>
        <row r="968">
          <cell r="A968">
            <v>210010</v>
          </cell>
          <cell r="B968" t="str">
            <v>ETIQ. N.C. CREAM CACAO</v>
          </cell>
          <cell r="C968" t="str">
            <v>ETCCCA</v>
          </cell>
        </row>
        <row r="969">
          <cell r="A969">
            <v>210010</v>
          </cell>
          <cell r="B969" t="str">
            <v>ETIQ. N.C. CREAM CACAO</v>
          </cell>
          <cell r="C969" t="str">
            <v>210010</v>
          </cell>
        </row>
        <row r="970">
          <cell r="A970">
            <v>210011</v>
          </cell>
          <cell r="B970" t="str">
            <v>ETIQ. N.C. CREAM CHERRY</v>
          </cell>
          <cell r="C970" t="str">
            <v>ETCCCH</v>
          </cell>
        </row>
        <row r="971">
          <cell r="A971">
            <v>210011</v>
          </cell>
          <cell r="B971" t="str">
            <v>ETIQ. N.C. CREAM CHERRY</v>
          </cell>
          <cell r="C971" t="str">
            <v>210011</v>
          </cell>
        </row>
        <row r="972">
          <cell r="A972">
            <v>210012</v>
          </cell>
          <cell r="B972" t="str">
            <v>ETIQ. N.C. CREAM COPPER</v>
          </cell>
          <cell r="C972" t="str">
            <v>ETCCCO</v>
          </cell>
        </row>
        <row r="973">
          <cell r="A973">
            <v>210012</v>
          </cell>
          <cell r="B973" t="str">
            <v>ETIQ. N.C. CREAM COPPER</v>
          </cell>
          <cell r="C973" t="str">
            <v>210012</v>
          </cell>
        </row>
        <row r="974">
          <cell r="A974">
            <v>210013</v>
          </cell>
          <cell r="B974" t="str">
            <v>ETIQ. N.C. CREAM DORADO</v>
          </cell>
          <cell r="C974" t="str">
            <v>ETCCDO</v>
          </cell>
        </row>
        <row r="975">
          <cell r="A975">
            <v>210013</v>
          </cell>
          <cell r="B975" t="str">
            <v>ETIQ. N.C. CREAM DORADO</v>
          </cell>
          <cell r="C975" t="str">
            <v>210013</v>
          </cell>
        </row>
        <row r="976">
          <cell r="A976">
            <v>210014</v>
          </cell>
          <cell r="B976" t="str">
            <v>ETIQ. N.C. CREAM EBONY</v>
          </cell>
          <cell r="C976" t="str">
            <v>ETCCEB</v>
          </cell>
        </row>
        <row r="977">
          <cell r="A977">
            <v>210014</v>
          </cell>
          <cell r="B977" t="str">
            <v>ETIQ. N.C. CREAM EBONY</v>
          </cell>
          <cell r="C977" t="str">
            <v>210014</v>
          </cell>
        </row>
        <row r="978">
          <cell r="A978">
            <v>210015</v>
          </cell>
          <cell r="B978" t="str">
            <v>ETIQ. N.C. CREAM MOKA</v>
          </cell>
          <cell r="C978" t="str">
            <v>ETCCMO</v>
          </cell>
        </row>
        <row r="979">
          <cell r="A979">
            <v>210015</v>
          </cell>
          <cell r="B979" t="str">
            <v>ETIQ. N.C. CREAM MOKA</v>
          </cell>
          <cell r="C979" t="str">
            <v>210015</v>
          </cell>
        </row>
        <row r="980">
          <cell r="A980">
            <v>210016</v>
          </cell>
          <cell r="B980" t="str">
            <v>ETIQ. N.C. CREAM PLATINE</v>
          </cell>
          <cell r="C980" t="str">
            <v>ETCCPL</v>
          </cell>
        </row>
        <row r="981">
          <cell r="A981">
            <v>210016</v>
          </cell>
          <cell r="B981" t="str">
            <v>ETIQ. N.C. CREAM PLATINE</v>
          </cell>
          <cell r="C981" t="str">
            <v>210016</v>
          </cell>
        </row>
        <row r="982">
          <cell r="A982">
            <v>210017</v>
          </cell>
          <cell r="B982" t="str">
            <v>ETIQ. N.C. CREAM PURPLE</v>
          </cell>
          <cell r="C982" t="str">
            <v>ETCCPU</v>
          </cell>
        </row>
        <row r="983">
          <cell r="A983">
            <v>210017</v>
          </cell>
          <cell r="B983" t="str">
            <v>ETIQ. N.C. CREAM PURPLE</v>
          </cell>
          <cell r="C983" t="str">
            <v>210017</v>
          </cell>
        </row>
        <row r="984">
          <cell r="A984">
            <v>210018</v>
          </cell>
          <cell r="B984" t="str">
            <v>ETI. CUTI-FORTE ENERG EXTR. CA</v>
          </cell>
          <cell r="C984" t="str">
            <v>ETCFEX</v>
          </cell>
        </row>
        <row r="985">
          <cell r="A985">
            <v>210018</v>
          </cell>
          <cell r="B985" t="str">
            <v>ETI. CUTI-FORTE ENERG EXTR. CA</v>
          </cell>
          <cell r="C985" t="str">
            <v>210018</v>
          </cell>
        </row>
        <row r="986">
          <cell r="A986">
            <v>210019</v>
          </cell>
          <cell r="B986" t="str">
            <v>ETI. CUTI-FORTE ENERG EXT. DO</v>
          </cell>
          <cell r="C986" t="str">
            <v>ETCFEXD</v>
          </cell>
        </row>
        <row r="987">
          <cell r="A987">
            <v>210019</v>
          </cell>
          <cell r="B987" t="str">
            <v>ETI. CUTI-FORTE ENERG EXT. DO</v>
          </cell>
          <cell r="C987" t="str">
            <v>210019</v>
          </cell>
        </row>
        <row r="988">
          <cell r="A988">
            <v>210020</v>
          </cell>
          <cell r="B988" t="str">
            <v>ETIQ. CUTI-FORTE SHAMPOO 250</v>
          </cell>
          <cell r="C988" t="str">
            <v>ETCFSH</v>
          </cell>
        </row>
        <row r="989">
          <cell r="A989">
            <v>210020</v>
          </cell>
          <cell r="B989" t="str">
            <v>ETIQ. CUTI-FORTE SHAMPOO 250</v>
          </cell>
          <cell r="C989" t="str">
            <v>210020</v>
          </cell>
        </row>
        <row r="990">
          <cell r="A990">
            <v>210021</v>
          </cell>
          <cell r="B990" t="str">
            <v>ETIQ. CUTI-FORTE SHAMPOO 250</v>
          </cell>
          <cell r="C990" t="str">
            <v>ETCFSHD</v>
          </cell>
        </row>
        <row r="991">
          <cell r="A991">
            <v>210021</v>
          </cell>
          <cell r="B991" t="str">
            <v>ETIQ. CUTI-FORTE SHAMPOO 250</v>
          </cell>
          <cell r="C991" t="str">
            <v>210021</v>
          </cell>
        </row>
        <row r="992">
          <cell r="A992">
            <v>210022</v>
          </cell>
          <cell r="B992" t="str">
            <v>ETIQ. CUTI-GLOSS SHAMPOO 250</v>
          </cell>
          <cell r="C992" t="str">
            <v>ETCGSH</v>
          </cell>
        </row>
        <row r="993">
          <cell r="A993">
            <v>210022</v>
          </cell>
          <cell r="B993" t="str">
            <v>ETIQ. CUTI-GLOSS SHAMPOO 250</v>
          </cell>
          <cell r="C993" t="str">
            <v>210022</v>
          </cell>
        </row>
        <row r="994">
          <cell r="A994">
            <v>210023</v>
          </cell>
          <cell r="B994" t="str">
            <v>ETIQ. CUTI-GLOSS SHAMPOO 5</v>
          </cell>
          <cell r="C994" t="str">
            <v>ETCGSHB5</v>
          </cell>
        </row>
        <row r="995">
          <cell r="A995">
            <v>210023</v>
          </cell>
          <cell r="B995" t="str">
            <v>ETIQ. CUTI-GLOSS SHAMPOO 5</v>
          </cell>
          <cell r="C995" t="str">
            <v>210023</v>
          </cell>
        </row>
        <row r="996">
          <cell r="A996">
            <v>210024</v>
          </cell>
          <cell r="B996" t="str">
            <v>ETIQ. CUTI-GLOSS SHAMPOO 250</v>
          </cell>
          <cell r="C996" t="str">
            <v>ETCGSHD</v>
          </cell>
        </row>
        <row r="997">
          <cell r="A997">
            <v>210024</v>
          </cell>
          <cell r="B997" t="str">
            <v>ETIQ. CUTI-GLOSS SHAMPOO 250</v>
          </cell>
          <cell r="C997" t="str">
            <v>210024</v>
          </cell>
        </row>
        <row r="998">
          <cell r="A998">
            <v>210025</v>
          </cell>
          <cell r="B998" t="str">
            <v>ETIQ. CHAMPU HIERBAS</v>
          </cell>
          <cell r="C998" t="str">
            <v>ETCH</v>
          </cell>
        </row>
        <row r="999">
          <cell r="A999">
            <v>210025</v>
          </cell>
          <cell r="B999" t="str">
            <v>ETIQ. CHAMPU HIERBAS</v>
          </cell>
          <cell r="C999" t="str">
            <v>210025</v>
          </cell>
        </row>
        <row r="1000">
          <cell r="A1000">
            <v>210026</v>
          </cell>
          <cell r="B1000" t="str">
            <v>ETIQ. CRYSTAL JELLY 250</v>
          </cell>
          <cell r="C1000" t="str">
            <v>ETCJ2I</v>
          </cell>
        </row>
        <row r="1001">
          <cell r="A1001">
            <v>210026</v>
          </cell>
          <cell r="B1001" t="str">
            <v>ETIQ. CRYSTAL JELLY 250</v>
          </cell>
          <cell r="C1001" t="str">
            <v>210026</v>
          </cell>
        </row>
        <row r="1002">
          <cell r="A1002">
            <v>210027</v>
          </cell>
          <cell r="B1002" t="str">
            <v>ETIQ. CRYSTAL JELLY 250</v>
          </cell>
          <cell r="C1002" t="str">
            <v>ETCJ2S</v>
          </cell>
        </row>
        <row r="1003">
          <cell r="A1003">
            <v>210027</v>
          </cell>
          <cell r="B1003" t="str">
            <v>ETIQ. CRYSTAL JELLY 250</v>
          </cell>
          <cell r="C1003" t="str">
            <v>210027</v>
          </cell>
        </row>
        <row r="1004">
          <cell r="A1004">
            <v>210028</v>
          </cell>
          <cell r="B1004" t="str">
            <v>ETIQ. Color REMOVER phase 1</v>
          </cell>
          <cell r="C1004" t="str">
            <v>ETCORE1</v>
          </cell>
        </row>
        <row r="1005">
          <cell r="A1005">
            <v>210028</v>
          </cell>
          <cell r="B1005" t="str">
            <v>ETIQ. Color REMOVER phase 1</v>
          </cell>
          <cell r="C1005" t="str">
            <v>210028</v>
          </cell>
        </row>
        <row r="1006">
          <cell r="A1006">
            <v>210029</v>
          </cell>
          <cell r="B1006" t="str">
            <v>ETIQ. Color REMOVER phase 2</v>
          </cell>
          <cell r="C1006" t="str">
            <v>ETCORE2</v>
          </cell>
        </row>
        <row r="1007">
          <cell r="A1007">
            <v>210029</v>
          </cell>
          <cell r="B1007" t="str">
            <v>ETIQ. Color REMOVER phase 2</v>
          </cell>
          <cell r="C1007" t="str">
            <v>210029</v>
          </cell>
        </row>
        <row r="1008">
          <cell r="A1008">
            <v>210030</v>
          </cell>
          <cell r="B1008" t="str">
            <v>ETIQ. CHAMPU PINO</v>
          </cell>
          <cell r="C1008" t="str">
            <v>ETCP</v>
          </cell>
        </row>
        <row r="1009">
          <cell r="A1009">
            <v>210030</v>
          </cell>
          <cell r="B1009" t="str">
            <v>ETIQ. CHAMPU PINO</v>
          </cell>
          <cell r="C1009" t="str">
            <v>210030</v>
          </cell>
        </row>
        <row r="1010">
          <cell r="A1010">
            <v>210031</v>
          </cell>
          <cell r="B1010" t="str">
            <v>ETIQ. CURLY - Cara</v>
          </cell>
          <cell r="C1010" t="str">
            <v>ETCURC</v>
          </cell>
        </row>
        <row r="1011">
          <cell r="A1011">
            <v>210031</v>
          </cell>
          <cell r="B1011" t="str">
            <v>ETIQ. CURLY - Cara</v>
          </cell>
          <cell r="C1011" t="str">
            <v>210031</v>
          </cell>
        </row>
        <row r="1012">
          <cell r="A1012">
            <v>210032</v>
          </cell>
          <cell r="B1012" t="str">
            <v>ETIQ. CURLY - Dorso</v>
          </cell>
          <cell r="C1012" t="str">
            <v>ETCURD</v>
          </cell>
        </row>
        <row r="1013">
          <cell r="A1013">
            <v>210032</v>
          </cell>
          <cell r="B1013" t="str">
            <v>ETIQ. CURLY - Dorso</v>
          </cell>
          <cell r="C1013" t="str">
            <v>210032</v>
          </cell>
        </row>
        <row r="1014">
          <cell r="A1014">
            <v>210033</v>
          </cell>
          <cell r="B1014" t="str">
            <v>ETIQ. COLOR VIBRANCE COPPER</v>
          </cell>
          <cell r="C1014" t="str">
            <v>ETCVCO</v>
          </cell>
        </row>
        <row r="1015">
          <cell r="A1015">
            <v>210033</v>
          </cell>
          <cell r="B1015" t="str">
            <v>ETIQ. COLOR VIBRANCE COPPER</v>
          </cell>
          <cell r="C1015" t="str">
            <v>210033</v>
          </cell>
        </row>
        <row r="1016">
          <cell r="A1016">
            <v>210034</v>
          </cell>
          <cell r="B1016" t="str">
            <v>ETIQ. COLOR VIBRANCE PURPLE</v>
          </cell>
          <cell r="C1016" t="str">
            <v>ETCVPU</v>
          </cell>
        </row>
        <row r="1017">
          <cell r="A1017">
            <v>210034</v>
          </cell>
          <cell r="B1017" t="str">
            <v>ETIQ. COLOR VIBRANCE PURPLE</v>
          </cell>
          <cell r="C1017" t="str">
            <v>210034</v>
          </cell>
        </row>
        <row r="1018">
          <cell r="A1018">
            <v>210035</v>
          </cell>
          <cell r="B1018" t="str">
            <v>ETIQ. COLOR VIBRANCE RED</v>
          </cell>
          <cell r="C1018" t="str">
            <v>ETCVRE</v>
          </cell>
        </row>
        <row r="1019">
          <cell r="A1019">
            <v>210035</v>
          </cell>
          <cell r="B1019" t="str">
            <v>ETIQ. COLOR VIBRANCE RED</v>
          </cell>
          <cell r="C1019" t="str">
            <v>210035</v>
          </cell>
        </row>
        <row r="1020">
          <cell r="A1020">
            <v>210036</v>
          </cell>
          <cell r="B1020" t="str">
            <v>ETIQ. DEVELOPER 120 ml.</v>
          </cell>
          <cell r="C1020" t="str">
            <v>ETDE12</v>
          </cell>
        </row>
        <row r="1021">
          <cell r="A1021">
            <v>210036</v>
          </cell>
          <cell r="B1021" t="str">
            <v>ETIQ. DEVELOPER 120 ml.</v>
          </cell>
          <cell r="C1021" t="str">
            <v>210036</v>
          </cell>
        </row>
        <row r="1022">
          <cell r="A1022">
            <v>210037</v>
          </cell>
          <cell r="B1022" t="str">
            <v>ETIQ. DEVELOPER INTENSE 120 ml</v>
          </cell>
          <cell r="C1022" t="str">
            <v>ETDI12</v>
          </cell>
        </row>
        <row r="1023">
          <cell r="A1023">
            <v>210037</v>
          </cell>
          <cell r="B1023" t="str">
            <v>ETIQ. DEVELOPER INTENSE 120 ml</v>
          </cell>
          <cell r="C1023" t="str">
            <v>210037</v>
          </cell>
        </row>
        <row r="1024">
          <cell r="A1024">
            <v>210038</v>
          </cell>
          <cell r="B1024" t="str">
            <v>ETIQ. EQUILIBRE BI-PHASE  Cara</v>
          </cell>
          <cell r="C1024" t="str">
            <v>ETEQBP</v>
          </cell>
        </row>
        <row r="1025">
          <cell r="A1025">
            <v>210038</v>
          </cell>
          <cell r="B1025" t="str">
            <v>ETIQ. EQUILIBRE BI-PHASE  Cara</v>
          </cell>
          <cell r="C1025" t="str">
            <v>210038</v>
          </cell>
        </row>
        <row r="1026">
          <cell r="A1026">
            <v>210039</v>
          </cell>
          <cell r="B1026" t="str">
            <v>ETIQ. EQUILIBRE BI-PHASE  Dors</v>
          </cell>
          <cell r="C1026" t="str">
            <v>ETEQBPD</v>
          </cell>
        </row>
        <row r="1027">
          <cell r="A1027">
            <v>210039</v>
          </cell>
          <cell r="B1027" t="str">
            <v>ETIQ. EQUILIBRE BI-PHASE  Dors</v>
          </cell>
          <cell r="C1027" t="str">
            <v>210039</v>
          </cell>
        </row>
        <row r="1028">
          <cell r="A1028">
            <v>210040</v>
          </cell>
          <cell r="B1028" t="str">
            <v>ETIQ. GLOSSY</v>
          </cell>
          <cell r="C1028" t="str">
            <v>ETGLSY</v>
          </cell>
        </row>
        <row r="1029">
          <cell r="A1029">
            <v>210040</v>
          </cell>
          <cell r="B1029" t="str">
            <v>ETIQ. GLOSSY</v>
          </cell>
          <cell r="C1029" t="str">
            <v>210040</v>
          </cell>
        </row>
        <row r="1030">
          <cell r="A1030">
            <v>210041</v>
          </cell>
          <cell r="B1030" t="str">
            <v>ETIQ. GUMMY STYLIUM</v>
          </cell>
          <cell r="C1030" t="str">
            <v>ETGUMM</v>
          </cell>
        </row>
        <row r="1031">
          <cell r="A1031">
            <v>210041</v>
          </cell>
          <cell r="B1031" t="str">
            <v>ETIQ. GUMMY STYLIUM</v>
          </cell>
          <cell r="C1031" t="str">
            <v>210041</v>
          </cell>
        </row>
        <row r="1032">
          <cell r="A1032">
            <v>210042</v>
          </cell>
          <cell r="B1032" t="str">
            <v>ETIQ. KINCREM (19 * 25)</v>
          </cell>
          <cell r="C1032" t="str">
            <v>ETKC</v>
          </cell>
        </row>
        <row r="1033">
          <cell r="A1033">
            <v>210042</v>
          </cell>
          <cell r="B1033" t="str">
            <v>ETIQ. KINCREM (19 * 25)</v>
          </cell>
          <cell r="C1033" t="str">
            <v>210042</v>
          </cell>
        </row>
        <row r="1034">
          <cell r="A1034">
            <v>210043</v>
          </cell>
          <cell r="B1034" t="str">
            <v>Etiq. 60 ml OX.CREME 20 V.'KF'</v>
          </cell>
          <cell r="C1034" t="str">
            <v>ETKFOC20</v>
          </cell>
        </row>
        <row r="1035">
          <cell r="A1035">
            <v>210043</v>
          </cell>
          <cell r="B1035" t="str">
            <v>Etiq. 60 ml OX.CREME 20 V.'KF'</v>
          </cell>
          <cell r="C1035" t="str">
            <v>210043</v>
          </cell>
        </row>
        <row r="1036">
          <cell r="A1036">
            <v>210044</v>
          </cell>
          <cell r="B1036" t="str">
            <v>Etiq. 60 ml OX.CREME 30 V.'KF'</v>
          </cell>
          <cell r="C1036" t="str">
            <v>ETKFOC30</v>
          </cell>
        </row>
        <row r="1037">
          <cell r="A1037">
            <v>210044</v>
          </cell>
          <cell r="B1037" t="str">
            <v>Etiq. 60 ml OX.CREME 30 V.'KF'</v>
          </cell>
          <cell r="C1037" t="str">
            <v>210044</v>
          </cell>
        </row>
        <row r="1038">
          <cell r="A1038">
            <v>210045</v>
          </cell>
          <cell r="B1038" t="str">
            <v>Etiq. 60 ml OX.CREME 40 V.'KF'</v>
          </cell>
          <cell r="C1038" t="str">
            <v>ETKFOC40</v>
          </cell>
        </row>
        <row r="1039">
          <cell r="A1039">
            <v>210045</v>
          </cell>
          <cell r="B1039" t="str">
            <v>Etiq. 60 ml OX.CREME 40 V.'KF'</v>
          </cell>
          <cell r="C1039" t="str">
            <v>210045</v>
          </cell>
        </row>
        <row r="1040">
          <cell r="A1040">
            <v>210046</v>
          </cell>
          <cell r="B1040" t="str">
            <v>Etiq. 60 ml OX.CPLUS 20 V.'KF'</v>
          </cell>
          <cell r="C1040" t="str">
            <v>ETKFOP20</v>
          </cell>
        </row>
        <row r="1041">
          <cell r="A1041">
            <v>210046</v>
          </cell>
          <cell r="B1041" t="str">
            <v>Etiq. 60 ml OX.CPLUS 20 V.'KF'</v>
          </cell>
          <cell r="C1041" t="str">
            <v>210046</v>
          </cell>
        </row>
        <row r="1042">
          <cell r="A1042">
            <v>210047</v>
          </cell>
          <cell r="B1042" t="str">
            <v>Etiq. 60 ml OX.CPLUS 30 V.'KF'</v>
          </cell>
          <cell r="C1042" t="str">
            <v>ETKFOP30</v>
          </cell>
        </row>
        <row r="1043">
          <cell r="A1043">
            <v>210047</v>
          </cell>
          <cell r="B1043" t="str">
            <v>Etiq. 60 ml OX.CPLUS 30 V.'KF'</v>
          </cell>
          <cell r="C1043" t="str">
            <v>210047</v>
          </cell>
        </row>
        <row r="1044">
          <cell r="A1044">
            <v>210048</v>
          </cell>
          <cell r="B1044" t="str">
            <v>ETIQ. KINPLIS CASTAÑO</v>
          </cell>
          <cell r="C1044" t="str">
            <v>ETKICA</v>
          </cell>
        </row>
        <row r="1045">
          <cell r="A1045">
            <v>210048</v>
          </cell>
          <cell r="B1045" t="str">
            <v>ETIQ. KINPLIS CASTAÑO</v>
          </cell>
          <cell r="C1045" t="str">
            <v>210048</v>
          </cell>
        </row>
        <row r="1046">
          <cell r="A1046">
            <v>210049</v>
          </cell>
          <cell r="B1046" t="str">
            <v>ETIQ. KINPLIS CENIZA</v>
          </cell>
          <cell r="C1046" t="str">
            <v>ETKICE</v>
          </cell>
        </row>
        <row r="1047">
          <cell r="A1047">
            <v>210049</v>
          </cell>
          <cell r="B1047" t="str">
            <v>ETIQ. KINPLIS CENIZA</v>
          </cell>
          <cell r="C1047" t="str">
            <v>210049</v>
          </cell>
        </row>
        <row r="1048">
          <cell r="A1048">
            <v>210050</v>
          </cell>
          <cell r="B1048" t="str">
            <v>ETIQ. KINPLIS CAB.GRASOS</v>
          </cell>
          <cell r="C1048" t="str">
            <v>ETKICG</v>
          </cell>
        </row>
        <row r="1049">
          <cell r="A1049">
            <v>210050</v>
          </cell>
          <cell r="B1049" t="str">
            <v>ETIQ. KINPLIS CAB.GRASOS</v>
          </cell>
          <cell r="C1049" t="str">
            <v>210050</v>
          </cell>
        </row>
        <row r="1050">
          <cell r="A1050">
            <v>210051</v>
          </cell>
          <cell r="B1050" t="str">
            <v>ETIQ. KINPLIS CAB.NORMALES</v>
          </cell>
          <cell r="C1050" t="str">
            <v>ETKICN</v>
          </cell>
        </row>
        <row r="1051">
          <cell r="A1051">
            <v>210051</v>
          </cell>
          <cell r="B1051" t="str">
            <v>ETIQ. KINPLIS CAB.NORMALES</v>
          </cell>
          <cell r="C1051" t="str">
            <v>210051</v>
          </cell>
        </row>
        <row r="1052">
          <cell r="A1052">
            <v>210052</v>
          </cell>
          <cell r="B1052" t="str">
            <v>ETIQ. KINPLIS CAB.SECOS</v>
          </cell>
          <cell r="C1052" t="str">
            <v>ETKICS</v>
          </cell>
        </row>
        <row r="1053">
          <cell r="A1053">
            <v>210052</v>
          </cell>
          <cell r="B1053" t="str">
            <v>ETIQ. KINPLIS CAB.SECOS</v>
          </cell>
          <cell r="C1053" t="str">
            <v>210052</v>
          </cell>
        </row>
        <row r="1054">
          <cell r="A1054">
            <v>210053</v>
          </cell>
          <cell r="B1054" t="str">
            <v>ETIQ. KINPLIS GRIS ESTELAR</v>
          </cell>
          <cell r="C1054" t="str">
            <v>ETKIGE</v>
          </cell>
        </row>
        <row r="1055">
          <cell r="A1055">
            <v>210053</v>
          </cell>
          <cell r="B1055" t="str">
            <v>ETIQ. KINPLIS GRIS ESTELAR</v>
          </cell>
          <cell r="C1055" t="str">
            <v>210053</v>
          </cell>
        </row>
        <row r="1056">
          <cell r="A1056">
            <v>210054</v>
          </cell>
          <cell r="B1056" t="str">
            <v>ETIQ. KINPLIS GRIS PERLA</v>
          </cell>
          <cell r="C1056" t="str">
            <v>ETKIGP</v>
          </cell>
        </row>
        <row r="1057">
          <cell r="A1057">
            <v>210054</v>
          </cell>
          <cell r="B1057" t="str">
            <v>ETIQ. KINPLIS GRIS PERLA</v>
          </cell>
          <cell r="C1057" t="str">
            <v>210054</v>
          </cell>
        </row>
        <row r="1058">
          <cell r="A1058">
            <v>210055</v>
          </cell>
          <cell r="B1058" t="str">
            <v>ETIQ. KINPLIS PLATA</v>
          </cell>
          <cell r="C1058" t="str">
            <v>ETKIPL</v>
          </cell>
        </row>
        <row r="1059">
          <cell r="A1059">
            <v>210055</v>
          </cell>
          <cell r="B1059" t="str">
            <v>ETIQ. KINPLIS PLATA</v>
          </cell>
          <cell r="C1059" t="str">
            <v>210055</v>
          </cell>
        </row>
        <row r="1060">
          <cell r="A1060">
            <v>210056</v>
          </cell>
          <cell r="B1060" t="str">
            <v>ETIQ. KINPERM nº 0 Cara</v>
          </cell>
          <cell r="C1060" t="str">
            <v>ETKP0C</v>
          </cell>
        </row>
        <row r="1061">
          <cell r="A1061">
            <v>210056</v>
          </cell>
          <cell r="B1061" t="str">
            <v>ETIQ. KINPERM nº 0 Cara</v>
          </cell>
          <cell r="C1061" t="str">
            <v>210056</v>
          </cell>
        </row>
        <row r="1062">
          <cell r="A1062">
            <v>210057</v>
          </cell>
          <cell r="B1062" t="str">
            <v>ETIQ. KINPERM nº 0 Dorso</v>
          </cell>
          <cell r="C1062" t="str">
            <v>ETKP0D</v>
          </cell>
        </row>
        <row r="1063">
          <cell r="A1063">
            <v>210057</v>
          </cell>
          <cell r="B1063" t="str">
            <v>ETIQ. KINPERM nº 0 Dorso</v>
          </cell>
          <cell r="C1063" t="str">
            <v>210057</v>
          </cell>
        </row>
        <row r="1064">
          <cell r="A1064">
            <v>210058</v>
          </cell>
          <cell r="B1064" t="str">
            <v>ETIQ. KINPERM nº 1 Cara</v>
          </cell>
          <cell r="C1064" t="str">
            <v>ETKP1C</v>
          </cell>
        </row>
        <row r="1065">
          <cell r="A1065">
            <v>210058</v>
          </cell>
          <cell r="B1065" t="str">
            <v>ETIQ. KINPERM nº 1 Cara</v>
          </cell>
          <cell r="C1065" t="str">
            <v>210058</v>
          </cell>
        </row>
        <row r="1066">
          <cell r="A1066">
            <v>210059</v>
          </cell>
          <cell r="B1066" t="str">
            <v>ETIQ. KINPERM nº 1 Dorso</v>
          </cell>
          <cell r="C1066" t="str">
            <v>ETKP1D</v>
          </cell>
        </row>
        <row r="1067">
          <cell r="A1067">
            <v>210059</v>
          </cell>
          <cell r="B1067" t="str">
            <v>ETIQ. KINPERM nº 1 Dorso</v>
          </cell>
          <cell r="C1067" t="str">
            <v>210059</v>
          </cell>
        </row>
        <row r="1068">
          <cell r="A1068">
            <v>210060</v>
          </cell>
          <cell r="B1068" t="str">
            <v>ETIQ. KINPERM nº 2 Cara</v>
          </cell>
          <cell r="C1068" t="str">
            <v>ETKP2C</v>
          </cell>
        </row>
        <row r="1069">
          <cell r="A1069">
            <v>210060</v>
          </cell>
          <cell r="B1069" t="str">
            <v>ETIQ. KINPERM nº 2 Cara</v>
          </cell>
          <cell r="C1069" t="str">
            <v>210060</v>
          </cell>
        </row>
        <row r="1070">
          <cell r="A1070">
            <v>210061</v>
          </cell>
          <cell r="B1070" t="str">
            <v>ETIQ. KINPERM nº 2 Dorso</v>
          </cell>
          <cell r="C1070" t="str">
            <v>ETKP2D</v>
          </cell>
        </row>
        <row r="1071">
          <cell r="A1071">
            <v>210061</v>
          </cell>
          <cell r="B1071" t="str">
            <v>ETIQ. KINPERM nº 2 Dorso</v>
          </cell>
          <cell r="C1071" t="str">
            <v>210061</v>
          </cell>
        </row>
        <row r="1072">
          <cell r="A1072">
            <v>210062</v>
          </cell>
          <cell r="B1072" t="str">
            <v>ETIQ. KINPERM nº 3 Cara</v>
          </cell>
          <cell r="C1072" t="str">
            <v>ETKP3C</v>
          </cell>
        </row>
        <row r="1073">
          <cell r="A1073">
            <v>210062</v>
          </cell>
          <cell r="B1073" t="str">
            <v>ETIQ. KINPERM nº 3 Cara</v>
          </cell>
          <cell r="C1073" t="str">
            <v>210062</v>
          </cell>
        </row>
        <row r="1074">
          <cell r="A1074">
            <v>210063</v>
          </cell>
          <cell r="B1074" t="str">
            <v>ETIQ. KINPERM nº 3 Dorso</v>
          </cell>
          <cell r="C1074" t="str">
            <v>ETKP3D</v>
          </cell>
        </row>
        <row r="1075">
          <cell r="A1075">
            <v>210063</v>
          </cell>
          <cell r="B1075" t="str">
            <v>ETIQ. KINPERM nº 3 Dorso</v>
          </cell>
          <cell r="C1075" t="str">
            <v>210063</v>
          </cell>
        </row>
        <row r="1076">
          <cell r="A1076">
            <v>210064</v>
          </cell>
          <cell r="B1076" t="str">
            <v>ETIQ. KINPERM NEUTRAL. Cara</v>
          </cell>
          <cell r="C1076" t="str">
            <v>ETKPNC</v>
          </cell>
        </row>
        <row r="1077">
          <cell r="A1077">
            <v>210064</v>
          </cell>
          <cell r="B1077" t="str">
            <v>ETIQ. KINPERM NEUTRAL. Cara</v>
          </cell>
          <cell r="C1077" t="str">
            <v>210064</v>
          </cell>
        </row>
        <row r="1078">
          <cell r="A1078">
            <v>210065</v>
          </cell>
          <cell r="B1078" t="str">
            <v>ETIQ. KINPERM NEUTRAL. Dorso</v>
          </cell>
          <cell r="C1078" t="str">
            <v>ETKPND</v>
          </cell>
        </row>
        <row r="1079">
          <cell r="A1079">
            <v>210065</v>
          </cell>
          <cell r="B1079" t="str">
            <v>ETIQ. KINPERM NEUTRAL. Dorso</v>
          </cell>
          <cell r="C1079" t="str">
            <v>210065</v>
          </cell>
        </row>
        <row r="1080">
          <cell r="A1080">
            <v>210066</v>
          </cell>
          <cell r="B1080" t="str">
            <v>ETIQ. LISS INTEN FLUID CONTROL</v>
          </cell>
          <cell r="C1080" t="str">
            <v>ETLIFL</v>
          </cell>
        </row>
        <row r="1081">
          <cell r="A1081">
            <v>210066</v>
          </cell>
          <cell r="B1081" t="str">
            <v>ETIQ. LISS INTEN FLUID CONTROL</v>
          </cell>
          <cell r="C1081" t="str">
            <v>210066</v>
          </cell>
        </row>
        <row r="1082">
          <cell r="A1082">
            <v>210067</v>
          </cell>
          <cell r="B1082" t="str">
            <v>ETIQ. LISS INTEN FLUID CONTROL</v>
          </cell>
          <cell r="C1082" t="str">
            <v>ETLIFLD</v>
          </cell>
        </row>
        <row r="1083">
          <cell r="A1083">
            <v>210067</v>
          </cell>
          <cell r="B1083" t="str">
            <v>ETIQ. LISS INTEN FLUID CONTROL</v>
          </cell>
          <cell r="C1083" t="str">
            <v>210067</v>
          </cell>
        </row>
        <row r="1084">
          <cell r="A1084">
            <v>210068</v>
          </cell>
          <cell r="B1084" t="str">
            <v>ETIQ. LISSAGE INTENSE GEL LISS</v>
          </cell>
          <cell r="C1084" t="str">
            <v>ETLIGL</v>
          </cell>
        </row>
        <row r="1085">
          <cell r="A1085">
            <v>210068</v>
          </cell>
          <cell r="B1085" t="str">
            <v>ETIQ. LISSAGE INTENSE GEL LISS</v>
          </cell>
          <cell r="C1085" t="str">
            <v>210068</v>
          </cell>
        </row>
        <row r="1086">
          <cell r="A1086">
            <v>210069</v>
          </cell>
          <cell r="B1086" t="str">
            <v>ETIQ. LISSAGE INTENSE GEL LISS</v>
          </cell>
          <cell r="C1086" t="str">
            <v>ETLIGLD</v>
          </cell>
        </row>
        <row r="1087">
          <cell r="A1087">
            <v>210069</v>
          </cell>
          <cell r="B1087" t="str">
            <v>ETIQ. LISSAGE INTENSE GEL LISS</v>
          </cell>
          <cell r="C1087" t="str">
            <v>210069</v>
          </cell>
        </row>
        <row r="1088">
          <cell r="A1088">
            <v>210070</v>
          </cell>
          <cell r="B1088" t="str">
            <v>ETIQ. LISSAGE INTENS LISS MASK</v>
          </cell>
          <cell r="C1088" t="str">
            <v>ETLILM</v>
          </cell>
        </row>
        <row r="1089">
          <cell r="A1089">
            <v>210070</v>
          </cell>
          <cell r="B1089" t="str">
            <v>ETIQ. LISSAGE INTENS LISS MASK</v>
          </cell>
          <cell r="C1089" t="str">
            <v>210070</v>
          </cell>
        </row>
        <row r="1090">
          <cell r="A1090">
            <v>210071</v>
          </cell>
          <cell r="B1090" t="str">
            <v>ETIQ. LISSAGE INTENS LISS MASK</v>
          </cell>
          <cell r="C1090" t="str">
            <v>ETLILMD</v>
          </cell>
        </row>
        <row r="1091">
          <cell r="A1091">
            <v>210071</v>
          </cell>
          <cell r="B1091" t="str">
            <v>ETIQ. LISSAGE INTENS LISS MASK</v>
          </cell>
          <cell r="C1091" t="str">
            <v>210071</v>
          </cell>
        </row>
        <row r="1092">
          <cell r="A1092">
            <v>210072</v>
          </cell>
          <cell r="B1092" t="str">
            <v>ETIQ. LISSAG INT. SHAMPOO 1000</v>
          </cell>
          <cell r="C1092" t="str">
            <v>ETLIS1C</v>
          </cell>
        </row>
        <row r="1093">
          <cell r="A1093">
            <v>210072</v>
          </cell>
          <cell r="B1093" t="str">
            <v>ETIQ. LISSAG INT. SHAMPOO 1000</v>
          </cell>
          <cell r="C1093" t="str">
            <v>210072</v>
          </cell>
        </row>
        <row r="1094">
          <cell r="A1094">
            <v>210073</v>
          </cell>
          <cell r="B1094" t="str">
            <v>ETIQ. LISSAG INT. SHAMPOO 1000</v>
          </cell>
          <cell r="C1094" t="str">
            <v>ETLIS1D</v>
          </cell>
        </row>
        <row r="1095">
          <cell r="A1095">
            <v>210073</v>
          </cell>
          <cell r="B1095" t="str">
            <v>ETIQ. LISSAG INT. SHAMPOO 1000</v>
          </cell>
          <cell r="C1095" t="str">
            <v>210073</v>
          </cell>
        </row>
        <row r="1096">
          <cell r="A1096">
            <v>210074</v>
          </cell>
          <cell r="B1096" t="str">
            <v>ETIQ. LISS INTENSE SHAMPOO 250</v>
          </cell>
          <cell r="C1096" t="str">
            <v>ETLIS2C</v>
          </cell>
        </row>
        <row r="1097">
          <cell r="A1097">
            <v>210074</v>
          </cell>
          <cell r="B1097" t="str">
            <v>ETIQ. LISS INTENSE SHAMPOO 250</v>
          </cell>
          <cell r="C1097" t="str">
            <v>210074</v>
          </cell>
        </row>
        <row r="1098">
          <cell r="A1098">
            <v>210075</v>
          </cell>
          <cell r="B1098" t="str">
            <v>ETIQ. LISS INTENSE SHAMPOO 250</v>
          </cell>
          <cell r="C1098" t="str">
            <v>ETLIS2D</v>
          </cell>
        </row>
        <row r="1099">
          <cell r="A1099">
            <v>210075</v>
          </cell>
          <cell r="B1099" t="str">
            <v>ETIQ. LISS INTENSE SHAMPOO 250</v>
          </cell>
          <cell r="C1099" t="str">
            <v>210075</v>
          </cell>
        </row>
        <row r="1100">
          <cell r="A1100">
            <v>210076</v>
          </cell>
          <cell r="B1100" t="str">
            <v>ETIQ. LISS INTENSE SHAMPOO 250</v>
          </cell>
          <cell r="C1100" t="str">
            <v>ETLISH</v>
          </cell>
        </row>
        <row r="1101">
          <cell r="A1101">
            <v>210076</v>
          </cell>
          <cell r="B1101" t="str">
            <v>ETIQ. LISS INTENSE SHAMPOO 250</v>
          </cell>
          <cell r="C1101" t="str">
            <v>210076</v>
          </cell>
        </row>
        <row r="1102">
          <cell r="A1102">
            <v>210077</v>
          </cell>
          <cell r="B1102" t="str">
            <v>ETIQ. LISS INTENSE SHAMPOO 5</v>
          </cell>
          <cell r="C1102" t="str">
            <v>ETLISHB5</v>
          </cell>
        </row>
        <row r="1103">
          <cell r="A1103">
            <v>210077</v>
          </cell>
          <cell r="B1103" t="str">
            <v>ETIQ. LISS INTENSE SHAMPOO 5</v>
          </cell>
          <cell r="C1103" t="str">
            <v>210077</v>
          </cell>
        </row>
        <row r="1104">
          <cell r="A1104">
            <v>210078</v>
          </cell>
          <cell r="B1104" t="str">
            <v>ETIQ. LISS INTENSE SHAMPOO 250</v>
          </cell>
          <cell r="C1104" t="str">
            <v>ETLISHD</v>
          </cell>
        </row>
        <row r="1105">
          <cell r="A1105">
            <v>210078</v>
          </cell>
          <cell r="B1105" t="str">
            <v>ETIQ. LISS INTENSE SHAMPOO 250</v>
          </cell>
          <cell r="C1105" t="str">
            <v>210078</v>
          </cell>
        </row>
        <row r="1106">
          <cell r="A1106">
            <v>210079</v>
          </cell>
          <cell r="B1106" t="str">
            <v>ETIQ. NEW COLOR 2000</v>
          </cell>
          <cell r="C1106" t="str">
            <v>ETMC</v>
          </cell>
        </row>
        <row r="1107">
          <cell r="A1107">
            <v>210079</v>
          </cell>
          <cell r="B1107" t="str">
            <v>ETIQ. NEW COLOR 2000</v>
          </cell>
          <cell r="C1107" t="str">
            <v>210079</v>
          </cell>
        </row>
        <row r="1108">
          <cell r="A1108">
            <v>210080</v>
          </cell>
          <cell r="B1108" t="str">
            <v>ETIQ. NORMALIZE SHAMPOO 250 C</v>
          </cell>
          <cell r="C1108" t="str">
            <v>ETNOSHCG</v>
          </cell>
        </row>
        <row r="1109">
          <cell r="A1109">
            <v>210080</v>
          </cell>
          <cell r="B1109" t="str">
            <v>ETIQ. NORMALIZE SHAMPOO 250 C</v>
          </cell>
          <cell r="C1109" t="str">
            <v>210080</v>
          </cell>
        </row>
        <row r="1110">
          <cell r="A1110">
            <v>210081</v>
          </cell>
          <cell r="B1110" t="str">
            <v>ETIQ. NORMALIZE SHAMPOO 250 D</v>
          </cell>
          <cell r="C1110" t="str">
            <v>ETNOSHCGD</v>
          </cell>
        </row>
        <row r="1111">
          <cell r="A1111">
            <v>210081</v>
          </cell>
          <cell r="B1111" t="str">
            <v>ETIQ. NORMALIZE SHAMPOO 250 D</v>
          </cell>
          <cell r="C1111" t="str">
            <v>210081</v>
          </cell>
        </row>
        <row r="1112">
          <cell r="A1112">
            <v>210082</v>
          </cell>
          <cell r="B1112" t="str">
            <v>ETIQ. NORMALIZE SHAMPOO 250 C</v>
          </cell>
          <cell r="C1112" t="str">
            <v>ETNOSHCS</v>
          </cell>
        </row>
        <row r="1113">
          <cell r="A1113">
            <v>210082</v>
          </cell>
          <cell r="B1113" t="str">
            <v>ETIQ. NORMALIZE SHAMPOO 250 C</v>
          </cell>
          <cell r="C1113" t="str">
            <v>210082</v>
          </cell>
        </row>
        <row r="1114">
          <cell r="A1114">
            <v>210083</v>
          </cell>
          <cell r="B1114" t="str">
            <v>ETIQ. NORMALIZE SHAMPOO 250 D</v>
          </cell>
          <cell r="C1114" t="str">
            <v>ETNOSHCSD</v>
          </cell>
        </row>
        <row r="1115">
          <cell r="A1115">
            <v>210083</v>
          </cell>
          <cell r="B1115" t="str">
            <v>ETIQ. NORMALIZE SHAMPOO 250 D</v>
          </cell>
          <cell r="C1115" t="str">
            <v>210083</v>
          </cell>
        </row>
        <row r="1116">
          <cell r="A1116">
            <v>210084</v>
          </cell>
          <cell r="B1116" t="str">
            <v>ETIQ. NORM TONIC PURIFICANT C</v>
          </cell>
          <cell r="C1116" t="str">
            <v>ETNOTP</v>
          </cell>
        </row>
        <row r="1117">
          <cell r="A1117">
            <v>210084</v>
          </cell>
          <cell r="B1117" t="str">
            <v>ETIQ. NORM TONIC PURIFICANT C</v>
          </cell>
          <cell r="C1117" t="str">
            <v>210084</v>
          </cell>
        </row>
        <row r="1118">
          <cell r="A1118">
            <v>210085</v>
          </cell>
          <cell r="B1118" t="str">
            <v>ETIQ. NORM TONIC PURIFICANT D</v>
          </cell>
          <cell r="C1118" t="str">
            <v>ETNOTPD</v>
          </cell>
        </row>
        <row r="1119">
          <cell r="A1119">
            <v>210085</v>
          </cell>
          <cell r="B1119" t="str">
            <v>ETIQ. NORM TONIC PURIFICANT D</v>
          </cell>
          <cell r="C1119" t="str">
            <v>210085</v>
          </cell>
        </row>
        <row r="1120">
          <cell r="A1120">
            <v>210086</v>
          </cell>
          <cell r="B1120" t="str">
            <v>ETIQ. NUTRI.REPAIR EXTRACT</v>
          </cell>
          <cell r="C1120" t="str">
            <v>ETNREX</v>
          </cell>
        </row>
        <row r="1121">
          <cell r="A1121">
            <v>210086</v>
          </cell>
          <cell r="B1121" t="str">
            <v>ETIQ. NUTRI.REPAIR EXTRACT</v>
          </cell>
          <cell r="C1121" t="str">
            <v>210086</v>
          </cell>
        </row>
        <row r="1122">
          <cell r="A1122">
            <v>210087</v>
          </cell>
          <cell r="B1122" t="str">
            <v>ETIQ. NUTRI-REPAIR EXTRACT</v>
          </cell>
          <cell r="C1122" t="str">
            <v>ETNREXD</v>
          </cell>
        </row>
        <row r="1123">
          <cell r="A1123">
            <v>210087</v>
          </cell>
          <cell r="B1123" t="str">
            <v>ETIQ. NUTRI-REPAIR EXTRACT</v>
          </cell>
          <cell r="C1123" t="str">
            <v>210087</v>
          </cell>
        </row>
        <row r="1124">
          <cell r="A1124">
            <v>210088</v>
          </cell>
          <cell r="B1124" t="str">
            <v>ETIQ. NUTRI-REPAIR SHAMPOO 250</v>
          </cell>
          <cell r="C1124" t="str">
            <v>ETNRSH</v>
          </cell>
        </row>
        <row r="1125">
          <cell r="A1125">
            <v>210088</v>
          </cell>
          <cell r="B1125" t="str">
            <v>ETIQ. NUTRI-REPAIR SHAMPOO 250</v>
          </cell>
          <cell r="C1125" t="str">
            <v>210088</v>
          </cell>
        </row>
        <row r="1126">
          <cell r="A1126">
            <v>210089</v>
          </cell>
          <cell r="B1126" t="str">
            <v>ETIQ. NUTRI REPAIR SHAMPOO 5</v>
          </cell>
          <cell r="C1126" t="str">
            <v>ETNRSHB5</v>
          </cell>
        </row>
        <row r="1127">
          <cell r="A1127">
            <v>210089</v>
          </cell>
          <cell r="B1127" t="str">
            <v>ETIQ. NUTRI REPAIR SHAMPOO 5</v>
          </cell>
          <cell r="C1127" t="str">
            <v>210089</v>
          </cell>
        </row>
        <row r="1128">
          <cell r="A1128">
            <v>210090</v>
          </cell>
          <cell r="B1128" t="str">
            <v>ETIQ. NUTRI-REPAIR SHAMPOO 250</v>
          </cell>
          <cell r="C1128" t="str">
            <v>ETNRSHD</v>
          </cell>
        </row>
        <row r="1129">
          <cell r="A1129">
            <v>210090</v>
          </cell>
          <cell r="B1129" t="str">
            <v>ETIQ. NUTRI-REPAIR SHAMPOO 250</v>
          </cell>
          <cell r="C1129" t="str">
            <v>210090</v>
          </cell>
        </row>
        <row r="1130">
          <cell r="A1130">
            <v>210091</v>
          </cell>
          <cell r="B1130" t="str">
            <v>ETIQ. NUTRI-SILK CONDITIONER</v>
          </cell>
          <cell r="C1130" t="str">
            <v>ETNSCO</v>
          </cell>
        </row>
        <row r="1131">
          <cell r="A1131">
            <v>210091</v>
          </cell>
          <cell r="B1131" t="str">
            <v>ETIQ. NUTRI-SILK CONDITIONER</v>
          </cell>
          <cell r="C1131" t="str">
            <v>210091</v>
          </cell>
        </row>
        <row r="1132">
          <cell r="A1132">
            <v>210092</v>
          </cell>
          <cell r="B1132" t="str">
            <v>ETIQ. NUTRI-SILK CONDITIONER 5</v>
          </cell>
          <cell r="C1132" t="str">
            <v>ETNSCOB5</v>
          </cell>
        </row>
        <row r="1133">
          <cell r="A1133">
            <v>210092</v>
          </cell>
          <cell r="B1133" t="str">
            <v>ETIQ. NUTRI-SILK CONDITIONER 5</v>
          </cell>
          <cell r="C1133" t="str">
            <v>210092</v>
          </cell>
        </row>
        <row r="1134">
          <cell r="A1134">
            <v>210093</v>
          </cell>
          <cell r="B1134" t="str">
            <v>ETIQ. NUTRI-SILK CONDITIONER</v>
          </cell>
          <cell r="C1134" t="str">
            <v>ETNSCOD</v>
          </cell>
        </row>
        <row r="1135">
          <cell r="A1135">
            <v>210093</v>
          </cell>
          <cell r="B1135" t="str">
            <v>ETIQ. NUTRI-SILK CONDITIONER</v>
          </cell>
          <cell r="C1135" t="str">
            <v>210093</v>
          </cell>
        </row>
        <row r="1136">
          <cell r="A1136">
            <v>210094</v>
          </cell>
          <cell r="B1136" t="str">
            <v>ETIQ. NUTRI-SILK SHAMPOO 250</v>
          </cell>
          <cell r="C1136" t="str">
            <v>ETNSSH</v>
          </cell>
        </row>
        <row r="1137">
          <cell r="A1137">
            <v>210094</v>
          </cell>
          <cell r="B1137" t="str">
            <v>ETIQ. NUTRI-SILK SHAMPOO 250</v>
          </cell>
          <cell r="C1137" t="str">
            <v>210094</v>
          </cell>
        </row>
        <row r="1138">
          <cell r="A1138">
            <v>210095</v>
          </cell>
          <cell r="B1138" t="str">
            <v>ETIQ. NUTRI SILK SHAMPOO</v>
          </cell>
          <cell r="C1138" t="str">
            <v>ETNSSHB5</v>
          </cell>
        </row>
        <row r="1139">
          <cell r="A1139">
            <v>210095</v>
          </cell>
          <cell r="B1139" t="str">
            <v>ETIQ. NUTRI SILK SHAMPOO</v>
          </cell>
          <cell r="C1139" t="str">
            <v>210095</v>
          </cell>
        </row>
        <row r="1140">
          <cell r="A1140">
            <v>210096</v>
          </cell>
          <cell r="B1140" t="str">
            <v>ETIQ. NUTRI-SILK SHAMPOO 250</v>
          </cell>
          <cell r="C1140" t="str">
            <v>ETNSSHD</v>
          </cell>
        </row>
        <row r="1141">
          <cell r="A1141">
            <v>210096</v>
          </cell>
          <cell r="B1141" t="str">
            <v>ETIQ. NUTRI-SILK SHAMPOO 250</v>
          </cell>
          <cell r="C1141" t="str">
            <v>210096</v>
          </cell>
        </row>
        <row r="1142">
          <cell r="A1142">
            <v>210097</v>
          </cell>
          <cell r="B1142" t="str">
            <v>ETIQ. OXID. PREST. 20 V. 60 ML</v>
          </cell>
          <cell r="C1142" t="str">
            <v>ETP20I</v>
          </cell>
        </row>
        <row r="1143">
          <cell r="A1143">
            <v>210097</v>
          </cell>
          <cell r="B1143" t="str">
            <v>ETIQ. OXID. PREST. 20 V. 60 ML</v>
          </cell>
          <cell r="C1143" t="str">
            <v>210097</v>
          </cell>
        </row>
        <row r="1144">
          <cell r="A1144">
            <v>210098</v>
          </cell>
          <cell r="B1144" t="str">
            <v>ETIQ. OX. PRESTIGE 20 V. 60 ML</v>
          </cell>
          <cell r="C1144" t="str">
            <v>ETP20IV</v>
          </cell>
        </row>
        <row r="1145">
          <cell r="A1145">
            <v>210098</v>
          </cell>
          <cell r="B1145" t="str">
            <v>ETIQ. OX. PRESTIGE 20 V. 60 ML</v>
          </cell>
          <cell r="C1145" t="str">
            <v>210098</v>
          </cell>
        </row>
        <row r="1146">
          <cell r="A1146">
            <v>210099</v>
          </cell>
          <cell r="B1146" t="str">
            <v>ETIQ. OXID. PREST. 30 V. 60 ML</v>
          </cell>
          <cell r="C1146" t="str">
            <v>ETP30I</v>
          </cell>
        </row>
        <row r="1147">
          <cell r="A1147">
            <v>210099</v>
          </cell>
          <cell r="B1147" t="str">
            <v>ETIQ. OXID. PREST. 30 V. 60 ML</v>
          </cell>
          <cell r="C1147" t="str">
            <v>210099</v>
          </cell>
        </row>
        <row r="1148">
          <cell r="A1148">
            <v>210100</v>
          </cell>
          <cell r="B1148" t="str">
            <v>ETIQ. OX. PRESTIGE 30 V. 60 ML</v>
          </cell>
          <cell r="C1148" t="str">
            <v>ETP30IV</v>
          </cell>
        </row>
        <row r="1149">
          <cell r="A1149">
            <v>210100</v>
          </cell>
          <cell r="B1149" t="str">
            <v>ETIQ. OX. PRESTIGE 30 V. 60 ML</v>
          </cell>
          <cell r="C1149" t="str">
            <v>210100</v>
          </cell>
        </row>
        <row r="1150">
          <cell r="A1150">
            <v>210101</v>
          </cell>
          <cell r="B1150" t="str">
            <v>ETIQ. OXID. PREST. 40 V. 60 ML</v>
          </cell>
          <cell r="C1150" t="str">
            <v>ETP40I</v>
          </cell>
        </row>
        <row r="1151">
          <cell r="A1151">
            <v>210101</v>
          </cell>
          <cell r="B1151" t="str">
            <v>ETIQ. OXID. PREST. 40 V. 60 ML</v>
          </cell>
          <cell r="C1151" t="str">
            <v>210101</v>
          </cell>
        </row>
        <row r="1152">
          <cell r="A1152">
            <v>210102</v>
          </cell>
          <cell r="B1152" t="str">
            <v>ETIQ. OX. PRESTIGE 40 V. 60 ML</v>
          </cell>
          <cell r="C1152" t="str">
            <v>ETP40IV</v>
          </cell>
        </row>
        <row r="1153">
          <cell r="A1153">
            <v>210102</v>
          </cell>
          <cell r="B1153" t="str">
            <v>ETIQ. OX. PRESTIGE 40 V. 60 ML</v>
          </cell>
          <cell r="C1153" t="str">
            <v>210102</v>
          </cell>
        </row>
        <row r="1154">
          <cell r="A1154">
            <v>210103</v>
          </cell>
          <cell r="B1154" t="str">
            <v>ETIQ. PERM. CLASSIC Nº 0</v>
          </cell>
          <cell r="C1154" t="str">
            <v>ETPCN0</v>
          </cell>
        </row>
        <row r="1155">
          <cell r="A1155">
            <v>210103</v>
          </cell>
          <cell r="B1155" t="str">
            <v>ETIQ. PERM. CLASSIC Nº 0</v>
          </cell>
          <cell r="C1155" t="str">
            <v>210103</v>
          </cell>
        </row>
        <row r="1156">
          <cell r="A1156">
            <v>210104</v>
          </cell>
          <cell r="B1156" t="str">
            <v>ETIQ. PERM. CLASSIC Nº 1</v>
          </cell>
          <cell r="C1156" t="str">
            <v>ETPCN1</v>
          </cell>
        </row>
        <row r="1157">
          <cell r="A1157">
            <v>210104</v>
          </cell>
          <cell r="B1157" t="str">
            <v>ETIQ. PERM. CLASSIC Nº 1</v>
          </cell>
          <cell r="C1157" t="str">
            <v>210104</v>
          </cell>
        </row>
        <row r="1158">
          <cell r="A1158">
            <v>210105</v>
          </cell>
          <cell r="B1158" t="str">
            <v>ETIQ. PERM. CLASSIC Nº 2</v>
          </cell>
          <cell r="C1158" t="str">
            <v>ETPCN2</v>
          </cell>
        </row>
        <row r="1159">
          <cell r="A1159">
            <v>210105</v>
          </cell>
          <cell r="B1159" t="str">
            <v>ETIQ. PERM. CLASSIC Nº 2</v>
          </cell>
          <cell r="C1159" t="str">
            <v>210105</v>
          </cell>
        </row>
        <row r="1160">
          <cell r="A1160">
            <v>210106</v>
          </cell>
          <cell r="B1160" t="str">
            <v>ETIQ. PLIS MOLDEADOR</v>
          </cell>
          <cell r="C1160" t="str">
            <v>ETPLMO</v>
          </cell>
        </row>
        <row r="1161">
          <cell r="A1161">
            <v>210106</v>
          </cell>
          <cell r="B1161" t="str">
            <v>ETIQ. PLIS MOLDEADOR</v>
          </cell>
          <cell r="C1161" t="str">
            <v>210106</v>
          </cell>
        </row>
        <row r="1162">
          <cell r="A1162">
            <v>210107</v>
          </cell>
          <cell r="B1162" t="str">
            <v>ETIQ. PROTECTOR ACONDIC.</v>
          </cell>
          <cell r="C1162" t="str">
            <v>ETPRAC</v>
          </cell>
        </row>
        <row r="1163">
          <cell r="A1163">
            <v>210107</v>
          </cell>
          <cell r="B1163" t="str">
            <v>ETIQ. PROTECTOR ACONDIC.</v>
          </cell>
          <cell r="C1163" t="str">
            <v>210107</v>
          </cell>
        </row>
        <row r="1164">
          <cell r="A1164">
            <v>210108</v>
          </cell>
          <cell r="B1164" t="str">
            <v>ETIQ. Pac Tratam. Caspa Grasa</v>
          </cell>
          <cell r="C1164" t="str">
            <v>ETPTCGBR</v>
          </cell>
        </row>
        <row r="1165">
          <cell r="A1165">
            <v>210108</v>
          </cell>
          <cell r="B1165" t="str">
            <v>ETIQ. Pac Tratam. Caspa Grasa</v>
          </cell>
          <cell r="C1165" t="str">
            <v>210108</v>
          </cell>
        </row>
        <row r="1166">
          <cell r="A1166">
            <v>210109</v>
          </cell>
          <cell r="B1166" t="str">
            <v>ETIQ. OXID. ROUGE 20 V. 60 ML.</v>
          </cell>
          <cell r="C1166" t="str">
            <v>ETR20I</v>
          </cell>
        </row>
        <row r="1167">
          <cell r="A1167">
            <v>210109</v>
          </cell>
          <cell r="B1167" t="str">
            <v>ETIQ. OXID. ROUGE 20 V. 60 ML.</v>
          </cell>
          <cell r="C1167" t="str">
            <v>210109</v>
          </cell>
        </row>
        <row r="1168">
          <cell r="A1168">
            <v>210110</v>
          </cell>
          <cell r="B1168" t="str">
            <v>ETIQ. OX. ROUGE 20 V. 60 ML.</v>
          </cell>
          <cell r="C1168" t="str">
            <v>ETR20IV</v>
          </cell>
        </row>
        <row r="1169">
          <cell r="A1169">
            <v>210110</v>
          </cell>
          <cell r="B1169" t="str">
            <v>ETIQ. OX. ROUGE 20 V. 60 ML.</v>
          </cell>
          <cell r="C1169" t="str">
            <v>210110</v>
          </cell>
        </row>
        <row r="1170">
          <cell r="A1170">
            <v>210111</v>
          </cell>
          <cell r="B1170" t="str">
            <v>ETIQ. OXID. ROUGE 30 V. 60 ML</v>
          </cell>
          <cell r="C1170" t="str">
            <v>ETR30I</v>
          </cell>
        </row>
        <row r="1171">
          <cell r="A1171">
            <v>210111</v>
          </cell>
          <cell r="B1171" t="str">
            <v>ETIQ. OXID. ROUGE 30 V. 60 ML</v>
          </cell>
          <cell r="C1171" t="str">
            <v>210111</v>
          </cell>
        </row>
        <row r="1172">
          <cell r="A1172">
            <v>210112</v>
          </cell>
          <cell r="B1172" t="str">
            <v>ETIQ. OX. ROUGE 30 V. 60 ML.</v>
          </cell>
          <cell r="C1172" t="str">
            <v>ETR30IV</v>
          </cell>
        </row>
        <row r="1173">
          <cell r="A1173">
            <v>210112</v>
          </cell>
          <cell r="B1173" t="str">
            <v>ETIQ. OX. ROUGE 30 V. 60 ML.</v>
          </cell>
          <cell r="C1173" t="str">
            <v>210112</v>
          </cell>
        </row>
        <row r="1174">
          <cell r="A1174">
            <v>210113</v>
          </cell>
          <cell r="B1174" t="str">
            <v>ETIQ. RADIANCE - Cara</v>
          </cell>
          <cell r="C1174" t="str">
            <v>ETRADC</v>
          </cell>
        </row>
        <row r="1175">
          <cell r="A1175">
            <v>210113</v>
          </cell>
          <cell r="B1175" t="str">
            <v>ETIQ. RADIANCE - Cara</v>
          </cell>
          <cell r="C1175" t="str">
            <v>210113</v>
          </cell>
        </row>
        <row r="1176">
          <cell r="A1176">
            <v>210114</v>
          </cell>
          <cell r="B1176" t="str">
            <v>ETIQ. RADIANCE - Dorso</v>
          </cell>
          <cell r="C1176" t="str">
            <v>ETRADD</v>
          </cell>
        </row>
        <row r="1177">
          <cell r="A1177">
            <v>210114</v>
          </cell>
          <cell r="B1177" t="str">
            <v>ETIQ. RADIANCE - Dorso</v>
          </cell>
          <cell r="C1177" t="str">
            <v>210114</v>
          </cell>
        </row>
        <row r="1178">
          <cell r="A1178">
            <v>210115</v>
          </cell>
          <cell r="B1178" t="str">
            <v>ETIQ. REGULIZE SHAMPOO 250</v>
          </cell>
          <cell r="C1178" t="str">
            <v>ETRESH</v>
          </cell>
        </row>
        <row r="1179">
          <cell r="A1179">
            <v>210115</v>
          </cell>
          <cell r="B1179" t="str">
            <v>ETIQ. REGULIZE SHAMPOO 250</v>
          </cell>
          <cell r="C1179" t="str">
            <v>210115</v>
          </cell>
        </row>
        <row r="1180">
          <cell r="A1180">
            <v>210116</v>
          </cell>
          <cell r="B1180" t="str">
            <v>ETIQ. REGULIZE SHAMPOO 250</v>
          </cell>
          <cell r="C1180" t="str">
            <v>ETRESHD</v>
          </cell>
        </row>
        <row r="1181">
          <cell r="A1181">
            <v>210116</v>
          </cell>
          <cell r="B1181" t="str">
            <v>ETIQ. REGULIZE SHAMPOO 250</v>
          </cell>
          <cell r="C1181" t="str">
            <v>210116</v>
          </cell>
        </row>
        <row r="1182">
          <cell r="A1182">
            <v>210117</v>
          </cell>
          <cell r="B1182" t="str">
            <v>ETIQ. REGULIZE TONIC REGUL</v>
          </cell>
          <cell r="C1182" t="str">
            <v>ETRETR</v>
          </cell>
        </row>
        <row r="1183">
          <cell r="A1183">
            <v>210117</v>
          </cell>
          <cell r="B1183" t="str">
            <v>ETIQ. REGULIZE TONIC REGUL</v>
          </cell>
          <cell r="C1183" t="str">
            <v>210117</v>
          </cell>
        </row>
        <row r="1184">
          <cell r="A1184">
            <v>210118</v>
          </cell>
          <cell r="B1184" t="str">
            <v>ETIQ. REGULIZE TONIC REGUL</v>
          </cell>
          <cell r="C1184" t="str">
            <v>ETRETRD</v>
          </cell>
        </row>
        <row r="1185">
          <cell r="A1185">
            <v>210118</v>
          </cell>
          <cell r="B1185" t="str">
            <v>ETIQ. REGULIZE TONIC REGUL</v>
          </cell>
          <cell r="C1185" t="str">
            <v>210118</v>
          </cell>
        </row>
        <row r="1186">
          <cell r="A1186">
            <v>210119</v>
          </cell>
          <cell r="B1186" t="str">
            <v>ETIQ. SILVER-COLOR SHAMPOO 250</v>
          </cell>
          <cell r="C1186" t="str">
            <v>ETSCSH</v>
          </cell>
        </row>
        <row r="1187">
          <cell r="A1187">
            <v>210119</v>
          </cell>
          <cell r="B1187" t="str">
            <v>ETIQ. SILVER-COLOR SHAMPOO 250</v>
          </cell>
          <cell r="C1187" t="str">
            <v>210119</v>
          </cell>
        </row>
        <row r="1188">
          <cell r="A1188">
            <v>210120</v>
          </cell>
          <cell r="B1188" t="str">
            <v>ETIQ. SILVER-COLOR SHAMPOO 250</v>
          </cell>
          <cell r="C1188" t="str">
            <v>ETSCSHD</v>
          </cell>
        </row>
        <row r="1189">
          <cell r="A1189">
            <v>210120</v>
          </cell>
          <cell r="B1189" t="str">
            <v>ETIQ. SILVER-COLOR SHAMPOO 250</v>
          </cell>
          <cell r="C1189" t="str">
            <v>210120</v>
          </cell>
        </row>
        <row r="1190">
          <cell r="A1190">
            <v>210121</v>
          </cell>
          <cell r="B1190" t="str">
            <v>ETIQ. SEDINOR LOCION</v>
          </cell>
          <cell r="C1190" t="str">
            <v>ETSELO</v>
          </cell>
        </row>
        <row r="1191">
          <cell r="A1191">
            <v>210121</v>
          </cell>
          <cell r="B1191" t="str">
            <v>ETIQ. SEDINOR LOCION</v>
          </cell>
          <cell r="C1191" t="str">
            <v>210121</v>
          </cell>
        </row>
        <row r="1192">
          <cell r="A1192">
            <v>210122</v>
          </cell>
          <cell r="B1192" t="str">
            <v>ETIQ. SENSITIVE SHAMPOO 250</v>
          </cell>
          <cell r="C1192" t="str">
            <v>ETSESH</v>
          </cell>
        </row>
        <row r="1193">
          <cell r="A1193">
            <v>210122</v>
          </cell>
          <cell r="B1193" t="str">
            <v>ETIQ. SENSITIVE SHAMPOO 250</v>
          </cell>
          <cell r="C1193" t="str">
            <v>210122</v>
          </cell>
        </row>
        <row r="1194">
          <cell r="A1194">
            <v>210123</v>
          </cell>
          <cell r="B1194" t="str">
            <v>ETIQ. SENSITIVE SHAMPOO 250</v>
          </cell>
          <cell r="C1194" t="str">
            <v>ETSESHD</v>
          </cell>
        </row>
        <row r="1195">
          <cell r="A1195">
            <v>210123</v>
          </cell>
          <cell r="B1195" t="str">
            <v>ETIQ. SENSITIVE SHAMPOO 250</v>
          </cell>
          <cell r="C1195" t="str">
            <v>210123</v>
          </cell>
        </row>
        <row r="1196">
          <cell r="A1196">
            <v>210124</v>
          </cell>
          <cell r="B1196" t="str">
            <v>ETIQ. N.C. SHAMPOO BEIGE</v>
          </cell>
          <cell r="C1196" t="str">
            <v>ETSHBE</v>
          </cell>
        </row>
        <row r="1197">
          <cell r="A1197">
            <v>210124</v>
          </cell>
          <cell r="B1197" t="str">
            <v>ETIQ. N.C. SHAMPOO BEIGE</v>
          </cell>
          <cell r="C1197" t="str">
            <v>210124</v>
          </cell>
        </row>
        <row r="1198">
          <cell r="A1198">
            <v>210125</v>
          </cell>
          <cell r="B1198" t="str">
            <v>ETIQ. N.C. SHAMPOO CACAO</v>
          </cell>
          <cell r="C1198" t="str">
            <v>ETSHCA</v>
          </cell>
        </row>
        <row r="1199">
          <cell r="A1199">
            <v>210125</v>
          </cell>
          <cell r="B1199" t="str">
            <v>ETIQ. N.C. SHAMPOO CACAO</v>
          </cell>
          <cell r="C1199" t="str">
            <v>210125</v>
          </cell>
        </row>
        <row r="1200">
          <cell r="A1200">
            <v>210126</v>
          </cell>
          <cell r="B1200" t="str">
            <v>ETIQ. N.C. SHAMPOO CHERRY</v>
          </cell>
          <cell r="C1200" t="str">
            <v>ETSHCH</v>
          </cell>
        </row>
        <row r="1201">
          <cell r="A1201">
            <v>210126</v>
          </cell>
          <cell r="B1201" t="str">
            <v>ETIQ. N.C. SHAMPOO CHERRY</v>
          </cell>
          <cell r="C1201" t="str">
            <v>210126</v>
          </cell>
        </row>
        <row r="1202">
          <cell r="A1202">
            <v>210127</v>
          </cell>
          <cell r="B1202" t="str">
            <v>ETIQ. N.C. SHAMPOO COPPER</v>
          </cell>
          <cell r="C1202" t="str">
            <v>ETSHCO</v>
          </cell>
        </row>
        <row r="1203">
          <cell r="A1203">
            <v>210127</v>
          </cell>
          <cell r="B1203" t="str">
            <v>ETIQ. N.C. SHAMPOO COPPER</v>
          </cell>
          <cell r="C1203" t="str">
            <v>210127</v>
          </cell>
        </row>
        <row r="1204">
          <cell r="A1204">
            <v>210128</v>
          </cell>
          <cell r="B1204" t="str">
            <v>ETIQ. N.C. SHAMPOO DORADO</v>
          </cell>
          <cell r="C1204" t="str">
            <v>ETSHDO</v>
          </cell>
        </row>
        <row r="1205">
          <cell r="A1205">
            <v>210128</v>
          </cell>
          <cell r="B1205" t="str">
            <v>ETIQ. N.C. SHAMPOO DORADO</v>
          </cell>
          <cell r="C1205" t="str">
            <v>210128</v>
          </cell>
        </row>
        <row r="1206">
          <cell r="A1206">
            <v>210129</v>
          </cell>
          <cell r="B1206" t="str">
            <v>ETIQ. N.C. SHAMPOO EBONY</v>
          </cell>
          <cell r="C1206" t="str">
            <v>ETSHEB</v>
          </cell>
        </row>
        <row r="1207">
          <cell r="A1207">
            <v>210129</v>
          </cell>
          <cell r="B1207" t="str">
            <v>ETIQ. N.C. SHAMPOO EBONY</v>
          </cell>
          <cell r="C1207" t="str">
            <v>210129</v>
          </cell>
        </row>
        <row r="1208">
          <cell r="A1208">
            <v>210130</v>
          </cell>
          <cell r="B1208" t="str">
            <v>ETIQ. N.C. SHAMPOO MOKA</v>
          </cell>
          <cell r="C1208" t="str">
            <v>ETSHMO</v>
          </cell>
        </row>
        <row r="1209">
          <cell r="A1209">
            <v>210130</v>
          </cell>
          <cell r="B1209" t="str">
            <v>ETIQ. N.C. SHAMPOO MOKA</v>
          </cell>
          <cell r="C1209" t="str">
            <v>210130</v>
          </cell>
        </row>
        <row r="1210">
          <cell r="A1210">
            <v>210131</v>
          </cell>
          <cell r="B1210" t="str">
            <v>ETIQ. N.C. SHAMPOO PLATINE</v>
          </cell>
          <cell r="C1210" t="str">
            <v>ETSHPL</v>
          </cell>
        </row>
        <row r="1211">
          <cell r="A1211">
            <v>210131</v>
          </cell>
          <cell r="B1211" t="str">
            <v>ETIQ. N.C. SHAMPOO PLATINE</v>
          </cell>
          <cell r="C1211" t="str">
            <v>210131</v>
          </cell>
        </row>
        <row r="1212">
          <cell r="A1212">
            <v>210132</v>
          </cell>
          <cell r="B1212" t="str">
            <v>ETIQ. N.C. SHAMPOO PURPLE</v>
          </cell>
          <cell r="C1212" t="str">
            <v>ETSHPU</v>
          </cell>
        </row>
        <row r="1213">
          <cell r="A1213">
            <v>210132</v>
          </cell>
          <cell r="B1213" t="str">
            <v>ETIQ. N.C. SHAMPOO PURPLE</v>
          </cell>
          <cell r="C1213" t="str">
            <v>210132</v>
          </cell>
        </row>
        <row r="1214">
          <cell r="A1214">
            <v>210133</v>
          </cell>
          <cell r="B1214" t="str">
            <v>ETIQ. STICK STYLIUM</v>
          </cell>
          <cell r="C1214" t="str">
            <v>ETSTIC</v>
          </cell>
        </row>
        <row r="1215">
          <cell r="A1215">
            <v>210133</v>
          </cell>
          <cell r="B1215" t="str">
            <v>ETIQ. STICK STYLIUM</v>
          </cell>
          <cell r="C1215" t="str">
            <v>210133</v>
          </cell>
        </row>
        <row r="1216">
          <cell r="A1216">
            <v>210134</v>
          </cell>
          <cell r="B1216" t="str">
            <v>ETIQ. STIMULANT SHAMPOO 250</v>
          </cell>
          <cell r="C1216" t="str">
            <v>ETSTSH</v>
          </cell>
        </row>
        <row r="1217">
          <cell r="A1217">
            <v>210134</v>
          </cell>
          <cell r="B1217" t="str">
            <v>ETIQ. STIMULANT SHAMPOO 250</v>
          </cell>
          <cell r="C1217" t="str">
            <v>210134</v>
          </cell>
        </row>
        <row r="1218">
          <cell r="A1218">
            <v>210135</v>
          </cell>
          <cell r="B1218" t="str">
            <v>ETIQ. STIMULANT SHAMPOO 250</v>
          </cell>
          <cell r="C1218" t="str">
            <v>ETSTSHD</v>
          </cell>
        </row>
        <row r="1219">
          <cell r="A1219">
            <v>210135</v>
          </cell>
          <cell r="B1219" t="str">
            <v>ETIQ. STIMULANT SHAMPOO 250</v>
          </cell>
          <cell r="C1219" t="str">
            <v>210135</v>
          </cell>
        </row>
        <row r="1220">
          <cell r="A1220">
            <v>210136</v>
          </cell>
          <cell r="B1220" t="str">
            <v>ETIQ. STIMULANT TONIC ACTIVE</v>
          </cell>
          <cell r="C1220" t="str">
            <v>ETSTTA</v>
          </cell>
        </row>
        <row r="1221">
          <cell r="A1221">
            <v>210136</v>
          </cell>
          <cell r="B1221" t="str">
            <v>ETIQ. STIMULANT TONIC ACTIVE</v>
          </cell>
          <cell r="C1221" t="str">
            <v>210136</v>
          </cell>
        </row>
        <row r="1222">
          <cell r="A1222">
            <v>210137</v>
          </cell>
          <cell r="B1222" t="str">
            <v>ETIQ. STIMULANT TONIC ACTIVE</v>
          </cell>
          <cell r="C1222" t="str">
            <v>ETSTTAD</v>
          </cell>
        </row>
        <row r="1223">
          <cell r="A1223">
            <v>210137</v>
          </cell>
          <cell r="B1223" t="str">
            <v>ETIQ. STIMULANT TONIC ACTIVE</v>
          </cell>
          <cell r="C1223" t="str">
            <v>210137</v>
          </cell>
        </row>
        <row r="1224">
          <cell r="A1224">
            <v>210138</v>
          </cell>
          <cell r="B1224" t="str">
            <v>ETIQ. SUNCARE SHAMPOO - Cara</v>
          </cell>
          <cell r="C1224" t="str">
            <v>ETSUSHC</v>
          </cell>
        </row>
        <row r="1225">
          <cell r="A1225">
            <v>210138</v>
          </cell>
          <cell r="B1225" t="str">
            <v>ETIQ. SUNCARE SHAMPOO - Cara</v>
          </cell>
          <cell r="C1225" t="str">
            <v>210138</v>
          </cell>
        </row>
        <row r="1226">
          <cell r="A1226">
            <v>210139</v>
          </cell>
          <cell r="B1226" t="str">
            <v>ETIQ. SUNCARE SHAMPOO - Dors</v>
          </cell>
          <cell r="C1226" t="str">
            <v>ETSUSHD</v>
          </cell>
        </row>
        <row r="1227">
          <cell r="A1227">
            <v>210139</v>
          </cell>
          <cell r="B1227" t="str">
            <v>ETIQ. SUNCARE SHAMPOO - Dors</v>
          </cell>
          <cell r="C1227" t="str">
            <v>210139</v>
          </cell>
        </row>
        <row r="1228">
          <cell r="A1228">
            <v>210140</v>
          </cell>
          <cell r="B1228" t="str">
            <v>ETIQ. SUNCARE SPRAY - Cara</v>
          </cell>
          <cell r="C1228" t="str">
            <v>ETSUSPC</v>
          </cell>
        </row>
        <row r="1229">
          <cell r="A1229">
            <v>210140</v>
          </cell>
          <cell r="B1229" t="str">
            <v>ETIQ. SUNCARE SPRAY - Cara</v>
          </cell>
          <cell r="C1229" t="str">
            <v>210140</v>
          </cell>
        </row>
        <row r="1230">
          <cell r="A1230">
            <v>210141</v>
          </cell>
          <cell r="B1230" t="str">
            <v>ETIQ. SUNCARE SPRAY - Dors</v>
          </cell>
          <cell r="C1230" t="str">
            <v>ETSUSRD</v>
          </cell>
        </row>
        <row r="1231">
          <cell r="A1231">
            <v>210141</v>
          </cell>
          <cell r="B1231" t="str">
            <v>ETIQ. SUNCARE SPRAY - Dors</v>
          </cell>
          <cell r="C1231" t="str">
            <v>210141</v>
          </cell>
        </row>
        <row r="1232">
          <cell r="A1232">
            <v>210142</v>
          </cell>
          <cell r="B1232" t="str">
            <v>ETIQ. TARRO 75 CRYSTAL JELLY</v>
          </cell>
          <cell r="C1232" t="str">
            <v>ETTCJI</v>
          </cell>
        </row>
        <row r="1233">
          <cell r="A1233">
            <v>210142</v>
          </cell>
          <cell r="B1233" t="str">
            <v>ETIQ. TARRO 75 CRYSTAL JELLY</v>
          </cell>
          <cell r="C1233" t="str">
            <v>210142</v>
          </cell>
        </row>
        <row r="1234">
          <cell r="A1234">
            <v>210143</v>
          </cell>
          <cell r="B1234" t="str">
            <v>ETIQ. TARRO 75 CRYSTAL JELLY</v>
          </cell>
          <cell r="C1234" t="str">
            <v>ETTCJS</v>
          </cell>
        </row>
        <row r="1235">
          <cell r="A1235">
            <v>210143</v>
          </cell>
          <cell r="B1235" t="str">
            <v>ETIQ. TARRO 75 CRYSTAL JELLY</v>
          </cell>
          <cell r="C1235" t="str">
            <v>210143</v>
          </cell>
        </row>
        <row r="1236">
          <cell r="A1236">
            <v>210144</v>
          </cell>
          <cell r="B1236" t="str">
            <v>ETIQ. TARRO DEFINER Inferior</v>
          </cell>
          <cell r="C1236" t="str">
            <v>ETTDEI</v>
          </cell>
        </row>
        <row r="1237">
          <cell r="A1237">
            <v>210144</v>
          </cell>
          <cell r="B1237" t="str">
            <v>ETIQ. TARRO DEFINER Inferior</v>
          </cell>
          <cell r="C1237" t="str">
            <v>210144</v>
          </cell>
        </row>
        <row r="1238">
          <cell r="A1238">
            <v>210145</v>
          </cell>
          <cell r="B1238" t="str">
            <v>ETIQ. TARRO DEFINER Superior</v>
          </cell>
          <cell r="C1238" t="str">
            <v>ETTDES</v>
          </cell>
        </row>
        <row r="1239">
          <cell r="A1239">
            <v>210145</v>
          </cell>
          <cell r="B1239" t="str">
            <v>ETIQ. TARRO DEFINER Superior</v>
          </cell>
          <cell r="C1239" t="str">
            <v>210145</v>
          </cell>
        </row>
        <row r="1240">
          <cell r="A1240">
            <v>210146</v>
          </cell>
          <cell r="B1240" t="str">
            <v>ETIQ. TARRO FIBER Inferior</v>
          </cell>
          <cell r="C1240" t="str">
            <v>ETTFII</v>
          </cell>
        </row>
        <row r="1241">
          <cell r="A1241">
            <v>210146</v>
          </cell>
          <cell r="B1241" t="str">
            <v>ETIQ. TARRO FIBER Inferior</v>
          </cell>
          <cell r="C1241" t="str">
            <v>210146</v>
          </cell>
        </row>
        <row r="1242">
          <cell r="A1242">
            <v>210147</v>
          </cell>
          <cell r="B1242" t="str">
            <v>ETIQ. TARRO FIBER Superior</v>
          </cell>
          <cell r="C1242" t="str">
            <v>ETTFIS</v>
          </cell>
        </row>
        <row r="1243">
          <cell r="A1243">
            <v>210147</v>
          </cell>
          <cell r="B1243" t="str">
            <v>ETIQ. TARRO FIBER Superior</v>
          </cell>
          <cell r="C1243" t="str">
            <v>210147</v>
          </cell>
        </row>
        <row r="1244">
          <cell r="A1244">
            <v>210148</v>
          </cell>
          <cell r="B1244" t="str">
            <v>ETIQ. TARRO GLAZER Inferior</v>
          </cell>
          <cell r="C1244" t="str">
            <v>ETTGLI</v>
          </cell>
        </row>
        <row r="1245">
          <cell r="A1245">
            <v>210148</v>
          </cell>
          <cell r="B1245" t="str">
            <v>ETIQ. TARRO GLAZER Inferior</v>
          </cell>
          <cell r="C1245" t="str">
            <v>210148</v>
          </cell>
        </row>
        <row r="1246">
          <cell r="A1246">
            <v>210149</v>
          </cell>
          <cell r="B1246" t="str">
            <v>ETIQ. TARRO GLAZER Superior</v>
          </cell>
          <cell r="C1246" t="str">
            <v>ETTGLS</v>
          </cell>
        </row>
        <row r="1247">
          <cell r="A1247">
            <v>210149</v>
          </cell>
          <cell r="B1247" t="str">
            <v>ETIQ. TARRO GLAZER Superior</v>
          </cell>
          <cell r="C1247" t="str">
            <v>210149</v>
          </cell>
        </row>
        <row r="1248">
          <cell r="A1248">
            <v>210150</v>
          </cell>
          <cell r="B1248" t="str">
            <v>ETIQ. THERMIC - Cara</v>
          </cell>
          <cell r="C1248" t="str">
            <v>ETTHEC</v>
          </cell>
        </row>
        <row r="1249">
          <cell r="A1249">
            <v>210150</v>
          </cell>
          <cell r="B1249" t="str">
            <v>ETIQ. THERMIC - Cara</v>
          </cell>
          <cell r="C1249" t="str">
            <v>210150</v>
          </cell>
        </row>
        <row r="1250">
          <cell r="A1250">
            <v>210151</v>
          </cell>
          <cell r="B1250" t="str">
            <v>ETIQ. THERMIC - Dorso</v>
          </cell>
          <cell r="C1250" t="str">
            <v>ETTHED</v>
          </cell>
        </row>
        <row r="1251">
          <cell r="A1251">
            <v>210151</v>
          </cell>
          <cell r="B1251" t="str">
            <v>ETIQ. THERMIC - Dorso</v>
          </cell>
          <cell r="C1251" t="str">
            <v>210151</v>
          </cell>
        </row>
        <row r="1252">
          <cell r="A1252">
            <v>210152</v>
          </cell>
          <cell r="B1252" t="str">
            <v>ETIQ. TARRO MOULDER Inferior</v>
          </cell>
          <cell r="C1252" t="str">
            <v>ETTMOI</v>
          </cell>
        </row>
        <row r="1253">
          <cell r="A1253">
            <v>210152</v>
          </cell>
          <cell r="B1253" t="str">
            <v>ETIQ. TARRO MOULDER Inferior</v>
          </cell>
          <cell r="C1253" t="str">
            <v>210152</v>
          </cell>
        </row>
        <row r="1254">
          <cell r="A1254">
            <v>210153</v>
          </cell>
          <cell r="B1254" t="str">
            <v>ETIQ. TARRO MOULDER Superior</v>
          </cell>
          <cell r="C1254" t="str">
            <v>ETTMOS</v>
          </cell>
        </row>
        <row r="1255">
          <cell r="A1255">
            <v>210153</v>
          </cell>
          <cell r="B1255" t="str">
            <v>ETIQ. TARRO MOULDER Superior</v>
          </cell>
          <cell r="C1255" t="str">
            <v>210153</v>
          </cell>
        </row>
        <row r="1256">
          <cell r="A1256">
            <v>210154</v>
          </cell>
          <cell r="B1256" t="str">
            <v>ETIQ. TAPA TEXTOS 38 * 21,2mm.</v>
          </cell>
          <cell r="C1256" t="str">
            <v>ETTTKP</v>
          </cell>
        </row>
        <row r="1257">
          <cell r="A1257">
            <v>210154</v>
          </cell>
          <cell r="B1257" t="str">
            <v>ETIQ. TAPA TEXTOS 38 * 21,2mm.</v>
          </cell>
          <cell r="C1257" t="str">
            <v>210154</v>
          </cell>
        </row>
        <row r="1258">
          <cell r="A1258">
            <v>210155</v>
          </cell>
          <cell r="B1258" t="str">
            <v>ETIQ. VITAL-COLOR COL EXTRACT</v>
          </cell>
          <cell r="C1258" t="str">
            <v>ETVCCE</v>
          </cell>
        </row>
        <row r="1259">
          <cell r="A1259">
            <v>210155</v>
          </cell>
          <cell r="B1259" t="str">
            <v>ETIQ. VITAL-COLOR COL EXTRACT</v>
          </cell>
          <cell r="C1259" t="str">
            <v>210155</v>
          </cell>
        </row>
        <row r="1260">
          <cell r="A1260">
            <v>210156</v>
          </cell>
          <cell r="B1260" t="str">
            <v>ETIQ. VITAL COLOR COL EXTRACT</v>
          </cell>
          <cell r="C1260" t="str">
            <v>ETVCCED</v>
          </cell>
        </row>
        <row r="1261">
          <cell r="A1261">
            <v>210156</v>
          </cell>
          <cell r="B1261" t="str">
            <v>ETIQ. VITAL COLOR COL EXTRACT</v>
          </cell>
          <cell r="C1261" t="str">
            <v>210156</v>
          </cell>
        </row>
        <row r="1262">
          <cell r="A1262">
            <v>210157</v>
          </cell>
          <cell r="B1262" t="str">
            <v>ETIQ. VITAL COLOR CONDITIONER</v>
          </cell>
          <cell r="C1262" t="str">
            <v>ETVCCO</v>
          </cell>
        </row>
        <row r="1263">
          <cell r="A1263">
            <v>210157</v>
          </cell>
          <cell r="B1263" t="str">
            <v>ETIQ. VITAL COLOR CONDITIONER</v>
          </cell>
          <cell r="C1263" t="str">
            <v>210157</v>
          </cell>
        </row>
        <row r="1264">
          <cell r="A1264">
            <v>210158</v>
          </cell>
          <cell r="B1264" t="str">
            <v>ETIQ. VITAL-COLOR CONDITIONE 5</v>
          </cell>
          <cell r="C1264" t="str">
            <v>ETVCCOB5</v>
          </cell>
        </row>
        <row r="1265">
          <cell r="A1265">
            <v>210158</v>
          </cell>
          <cell r="B1265" t="str">
            <v>ETIQ. VITAL-COLOR CONDITIONE 5</v>
          </cell>
          <cell r="C1265" t="str">
            <v>210158</v>
          </cell>
        </row>
        <row r="1266">
          <cell r="A1266">
            <v>210159</v>
          </cell>
          <cell r="B1266" t="str">
            <v>ETIQ. VITAL COLOR CONDITIONER</v>
          </cell>
          <cell r="C1266" t="str">
            <v>ETVCCOD</v>
          </cell>
        </row>
        <row r="1267">
          <cell r="A1267">
            <v>210159</v>
          </cell>
          <cell r="B1267" t="str">
            <v>ETIQ. VITAL COLOR CONDITIONER</v>
          </cell>
          <cell r="C1267" t="str">
            <v>210159</v>
          </cell>
        </row>
        <row r="1268">
          <cell r="A1268">
            <v>210160</v>
          </cell>
          <cell r="B1268" t="str">
            <v>ETIQ. VITAL-COLOR SHAMPOO 250</v>
          </cell>
          <cell r="C1268" t="str">
            <v>ETVCSH</v>
          </cell>
        </row>
        <row r="1269">
          <cell r="A1269">
            <v>210160</v>
          </cell>
          <cell r="B1269" t="str">
            <v>ETIQ. VITAL-COLOR SHAMPOO 250</v>
          </cell>
          <cell r="C1269" t="str">
            <v>210160</v>
          </cell>
        </row>
        <row r="1270">
          <cell r="A1270">
            <v>210161</v>
          </cell>
          <cell r="B1270" t="str">
            <v>ETIQ. VITAL-COLOR SHAMPOO 5</v>
          </cell>
          <cell r="C1270" t="str">
            <v>ETVCSHB5</v>
          </cell>
        </row>
        <row r="1271">
          <cell r="A1271">
            <v>210161</v>
          </cell>
          <cell r="B1271" t="str">
            <v>ETIQ. VITAL-COLOR SHAMPOO 5</v>
          </cell>
          <cell r="C1271" t="str">
            <v>210161</v>
          </cell>
        </row>
        <row r="1272">
          <cell r="A1272">
            <v>210162</v>
          </cell>
          <cell r="B1272" t="str">
            <v>ETIQ. VITAL-COLOR SHAMPOO 250</v>
          </cell>
          <cell r="C1272" t="str">
            <v>ETVCSHD</v>
          </cell>
        </row>
        <row r="1273">
          <cell r="A1273">
            <v>210162</v>
          </cell>
          <cell r="B1273" t="str">
            <v>ETIQ. VITAL-COLOR SHAMPOO 250</v>
          </cell>
          <cell r="C1273" t="str">
            <v>210162</v>
          </cell>
        </row>
        <row r="1274">
          <cell r="A1274">
            <v>210163</v>
          </cell>
          <cell r="B1274" t="str">
            <v>ETIQ. VIGOR PERM CONDITIONER</v>
          </cell>
          <cell r="C1274" t="str">
            <v>ETVPCO</v>
          </cell>
        </row>
        <row r="1275">
          <cell r="A1275">
            <v>210163</v>
          </cell>
          <cell r="B1275" t="str">
            <v>ETIQ. VIGOR PERM CONDITIONER</v>
          </cell>
          <cell r="C1275" t="str">
            <v>210163</v>
          </cell>
        </row>
        <row r="1276">
          <cell r="A1276">
            <v>210164</v>
          </cell>
          <cell r="B1276" t="str">
            <v>ETIQ. VIGOR-PERM CONDITIONER</v>
          </cell>
          <cell r="C1276" t="str">
            <v>ETVPCOD</v>
          </cell>
        </row>
        <row r="1277">
          <cell r="A1277">
            <v>210164</v>
          </cell>
          <cell r="B1277" t="str">
            <v>ETIQ. VIGOR-PERM CONDITIONER</v>
          </cell>
          <cell r="C1277" t="str">
            <v>210164</v>
          </cell>
        </row>
        <row r="1278">
          <cell r="A1278">
            <v>210165</v>
          </cell>
          <cell r="B1278" t="str">
            <v>ETIQ. VIGOR-PERM SHAMPOO 250</v>
          </cell>
          <cell r="C1278" t="str">
            <v>ETVPSH</v>
          </cell>
        </row>
        <row r="1279">
          <cell r="A1279">
            <v>210165</v>
          </cell>
          <cell r="B1279" t="str">
            <v>ETIQ. VIGOR-PERM SHAMPOO 250</v>
          </cell>
          <cell r="C1279" t="str">
            <v>210165</v>
          </cell>
        </row>
        <row r="1280">
          <cell r="A1280">
            <v>210166</v>
          </cell>
          <cell r="B1280" t="str">
            <v>ETIQ. VIGOR-PERM SHAMPOO 250</v>
          </cell>
          <cell r="C1280" t="str">
            <v>ETVPSHD</v>
          </cell>
        </row>
        <row r="1281">
          <cell r="A1281">
            <v>210166</v>
          </cell>
          <cell r="B1281" t="str">
            <v>ETIQ. VIGOR-PERM SHAMPOO 250</v>
          </cell>
          <cell r="C1281" t="str">
            <v>210166</v>
          </cell>
        </row>
        <row r="1282">
          <cell r="A1282">
            <v>210167</v>
          </cell>
          <cell r="B1282" t="str">
            <v>ETIQ. XPANSOR - Cara</v>
          </cell>
          <cell r="C1282" t="str">
            <v>ETXPAC</v>
          </cell>
        </row>
        <row r="1283">
          <cell r="A1283">
            <v>210167</v>
          </cell>
          <cell r="B1283" t="str">
            <v>ETIQ. XPANSOR - Cara</v>
          </cell>
          <cell r="C1283" t="str">
            <v>210167</v>
          </cell>
        </row>
        <row r="1284">
          <cell r="A1284">
            <v>210168</v>
          </cell>
          <cell r="B1284" t="str">
            <v>ETIQ. XPANSOR - Dorso</v>
          </cell>
          <cell r="C1284" t="str">
            <v>ETXPAD</v>
          </cell>
        </row>
        <row r="1285">
          <cell r="A1285">
            <v>210168</v>
          </cell>
          <cell r="B1285" t="str">
            <v>ETIQ. XPANSOR - Dorso</v>
          </cell>
          <cell r="C1285" t="str">
            <v>210168</v>
          </cell>
        </row>
        <row r="1286">
          <cell r="A1286">
            <v>210169</v>
          </cell>
          <cell r="B1286" t="str">
            <v>ETIQ. X-TREM - Cara</v>
          </cell>
          <cell r="C1286" t="str">
            <v>ETXTRC</v>
          </cell>
        </row>
        <row r="1287">
          <cell r="A1287">
            <v>210169</v>
          </cell>
          <cell r="B1287" t="str">
            <v>ETIQ. X-TREM - Cara</v>
          </cell>
          <cell r="C1287" t="str">
            <v>210169</v>
          </cell>
        </row>
        <row r="1288">
          <cell r="A1288">
            <v>210170</v>
          </cell>
          <cell r="B1288" t="str">
            <v>ETIQ. X-TREM - Dorso</v>
          </cell>
          <cell r="C1288" t="str">
            <v>ETXTRD</v>
          </cell>
        </row>
        <row r="1289">
          <cell r="A1289">
            <v>210170</v>
          </cell>
          <cell r="B1289" t="str">
            <v>ETIQ. X-TREM - Dorso</v>
          </cell>
          <cell r="C1289" t="str">
            <v>210170</v>
          </cell>
        </row>
        <row r="1290">
          <cell r="A1290">
            <v>210171</v>
          </cell>
          <cell r="B1290" t="str">
            <v>PROSPECTE COLOR REMOVER(ara 210439)</v>
          </cell>
          <cell r="C1290" t="str">
            <v>PRCORE</v>
          </cell>
        </row>
        <row r="1291">
          <cell r="A1291">
            <v>210171</v>
          </cell>
          <cell r="B1291" t="str">
            <v>PROSPECTE COLOR REMOVER(ara 210439)</v>
          </cell>
          <cell r="C1291" t="str">
            <v>210171</v>
          </cell>
        </row>
        <row r="1292">
          <cell r="A1292">
            <v>210172</v>
          </cell>
          <cell r="B1292" t="str">
            <v>PROSPECTE COLOR VIBRANCE</v>
          </cell>
          <cell r="C1292" t="str">
            <v>PRCOVI</v>
          </cell>
        </row>
        <row r="1293">
          <cell r="A1293">
            <v>210172</v>
          </cell>
          <cell r="B1293" t="str">
            <v>PROSPECTE COLOR VIBRANCE</v>
          </cell>
          <cell r="C1293" t="str">
            <v>210172</v>
          </cell>
        </row>
        <row r="1294">
          <cell r="A1294">
            <v>210173</v>
          </cell>
          <cell r="B1294" t="str">
            <v>PROSPECTE DEEP</v>
          </cell>
          <cell r="C1294" t="str">
            <v>PRDEEP</v>
          </cell>
        </row>
        <row r="1295">
          <cell r="A1295">
            <v>210173</v>
          </cell>
          <cell r="B1295" t="str">
            <v>PROSPECTE DEEP</v>
          </cell>
          <cell r="C1295" t="str">
            <v>210173</v>
          </cell>
        </row>
        <row r="1296">
          <cell r="A1296">
            <v>210174</v>
          </cell>
          <cell r="B1296" t="str">
            <v>PROSPECTO N COLOR GLAMOUR 1 T.</v>
          </cell>
          <cell r="C1296" t="str">
            <v>PRGL</v>
          </cell>
        </row>
        <row r="1297">
          <cell r="A1297">
            <v>210174</v>
          </cell>
          <cell r="B1297" t="str">
            <v>PROSPECTO N COLOR GLAMOUR 1 T.</v>
          </cell>
          <cell r="C1297" t="str">
            <v>210174</v>
          </cell>
        </row>
        <row r="1298">
          <cell r="A1298">
            <v>210175</v>
          </cell>
          <cell r="B1298" t="str">
            <v>Prospecto K.A. NORMALIZE</v>
          </cell>
          <cell r="C1298" t="str">
            <v>PRKANO</v>
          </cell>
        </row>
        <row r="1299">
          <cell r="A1299">
            <v>210175</v>
          </cell>
          <cell r="B1299" t="str">
            <v>Prospecto K.A. NORMALIZE</v>
          </cell>
          <cell r="C1299" t="str">
            <v>210175</v>
          </cell>
        </row>
        <row r="1300">
          <cell r="A1300">
            <v>210176</v>
          </cell>
          <cell r="B1300" t="str">
            <v>Prospecto K.A. REGULIZE</v>
          </cell>
          <cell r="C1300" t="str">
            <v>PRKARE</v>
          </cell>
        </row>
        <row r="1301">
          <cell r="A1301">
            <v>210176</v>
          </cell>
          <cell r="B1301" t="str">
            <v>Prospecto K.A. REGULIZE</v>
          </cell>
          <cell r="C1301" t="str">
            <v>210176</v>
          </cell>
        </row>
        <row r="1302">
          <cell r="A1302">
            <v>210177</v>
          </cell>
          <cell r="B1302" t="str">
            <v>Prospecto K.A. STIM COMP. T.A.</v>
          </cell>
          <cell r="C1302" t="str">
            <v>PRKAST</v>
          </cell>
        </row>
        <row r="1303">
          <cell r="A1303">
            <v>210177</v>
          </cell>
          <cell r="B1303" t="str">
            <v>Prospecto K.A. STIM COMP. T.A.</v>
          </cell>
          <cell r="C1303" t="str">
            <v>210177</v>
          </cell>
        </row>
        <row r="1304">
          <cell r="A1304">
            <v>210178</v>
          </cell>
          <cell r="B1304" t="str">
            <v>PROSPECTO KC. CONTRAST</v>
          </cell>
          <cell r="C1304" t="str">
            <v>PRKC</v>
          </cell>
        </row>
        <row r="1305">
          <cell r="A1305">
            <v>210178</v>
          </cell>
          <cell r="B1305" t="str">
            <v>PROSPECTO KC. CONTRAST</v>
          </cell>
          <cell r="C1305" t="str">
            <v>210178</v>
          </cell>
        </row>
        <row r="1306">
          <cell r="A1306">
            <v>210179</v>
          </cell>
          <cell r="B1306" t="str">
            <v>Prospecto KINCREM 'CRK' nou</v>
          </cell>
          <cell r="C1306" t="str">
            <v>PRKF</v>
          </cell>
        </row>
        <row r="1307">
          <cell r="A1307">
            <v>210179</v>
          </cell>
          <cell r="B1307" t="str">
            <v>Prospecto KINCREM 'CRK' nou</v>
          </cell>
          <cell r="C1307" t="str">
            <v>210179</v>
          </cell>
        </row>
        <row r="1308">
          <cell r="A1308">
            <v>210180</v>
          </cell>
          <cell r="B1308" t="str">
            <v>PROSPECTO KINCREM PRESTIGE</v>
          </cell>
          <cell r="C1308" t="str">
            <v>PRKP</v>
          </cell>
        </row>
        <row r="1309">
          <cell r="A1309">
            <v>210180</v>
          </cell>
          <cell r="B1309" t="str">
            <v>PROSPECTO KINCREM PRESTIGE</v>
          </cell>
          <cell r="C1309" t="str">
            <v>210180</v>
          </cell>
        </row>
        <row r="1310">
          <cell r="A1310">
            <v>210181</v>
          </cell>
          <cell r="B1310" t="str">
            <v>PROSPECTO KR CASPA (vell)</v>
          </cell>
          <cell r="C1310" t="str">
            <v>PRKRCA</v>
          </cell>
        </row>
        <row r="1311">
          <cell r="A1311">
            <v>210181</v>
          </cell>
          <cell r="B1311" t="str">
            <v>PROSPECTO KR CASPA (vell)</v>
          </cell>
          <cell r="C1311" t="str">
            <v>210181</v>
          </cell>
        </row>
        <row r="1312">
          <cell r="A1312">
            <v>210182</v>
          </cell>
          <cell r="B1312" t="str">
            <v>PROSPECTO KR CAIDA (vell</v>
          </cell>
          <cell r="C1312" t="str">
            <v>PRKRCD</v>
          </cell>
        </row>
        <row r="1313">
          <cell r="A1313">
            <v>210182</v>
          </cell>
          <cell r="B1313" t="str">
            <v>PROSPECTO KR CAIDA (vell</v>
          </cell>
          <cell r="C1313" t="str">
            <v>210182</v>
          </cell>
        </row>
        <row r="1314">
          <cell r="A1314">
            <v>210183</v>
          </cell>
          <cell r="B1314" t="str">
            <v>PROSPECTO KR C SENSIBLES (vell</v>
          </cell>
          <cell r="C1314" t="str">
            <v>PRKRCS</v>
          </cell>
        </row>
        <row r="1315">
          <cell r="A1315">
            <v>210183</v>
          </cell>
          <cell r="B1315" t="str">
            <v>PROSPECTO KR C SENSIBLES (vell</v>
          </cell>
          <cell r="C1315" t="str">
            <v>210183</v>
          </cell>
        </row>
        <row r="1316">
          <cell r="A1316">
            <v>210184</v>
          </cell>
          <cell r="B1316" t="str">
            <v>PROSPECTO KR GRASA (vell)</v>
          </cell>
          <cell r="C1316" t="str">
            <v>PRKRGR</v>
          </cell>
        </row>
        <row r="1317">
          <cell r="A1317">
            <v>210184</v>
          </cell>
          <cell r="B1317" t="str">
            <v>PROSPECTO KR GRASA (vell)</v>
          </cell>
          <cell r="C1317" t="str">
            <v>210184</v>
          </cell>
        </row>
        <row r="1318">
          <cell r="A1318">
            <v>210185</v>
          </cell>
          <cell r="B1318" t="str">
            <v>PROSPECTO NEW COLOR 2000</v>
          </cell>
          <cell r="C1318" t="str">
            <v>PRMC</v>
          </cell>
        </row>
        <row r="1319">
          <cell r="A1319">
            <v>210185</v>
          </cell>
          <cell r="B1319" t="str">
            <v>PROSPECTO NEW COLOR 2000</v>
          </cell>
          <cell r="C1319" t="str">
            <v>210185</v>
          </cell>
        </row>
        <row r="1320">
          <cell r="A1320">
            <v>210186</v>
          </cell>
          <cell r="B1320" t="str">
            <v>PROSPECTO NORM Tonic Purifican</v>
          </cell>
          <cell r="C1320" t="str">
            <v>PRNORM</v>
          </cell>
        </row>
        <row r="1321">
          <cell r="A1321">
            <v>210186</v>
          </cell>
          <cell r="B1321" t="str">
            <v>PROSPECTO NORM Tonic Purifican</v>
          </cell>
          <cell r="C1321" t="str">
            <v>210186</v>
          </cell>
        </row>
        <row r="1322">
          <cell r="A1322">
            <v>210187</v>
          </cell>
          <cell r="B1322" t="str">
            <v>PROSPECTO REGUL Tonic Regulize</v>
          </cell>
          <cell r="C1322" t="str">
            <v>PRREGU</v>
          </cell>
        </row>
        <row r="1323">
          <cell r="A1323">
            <v>210187</v>
          </cell>
          <cell r="B1323" t="str">
            <v>PROSPECTO REGUL Tonic Regulize</v>
          </cell>
          <cell r="C1323" t="str">
            <v>210187</v>
          </cell>
        </row>
        <row r="1324">
          <cell r="A1324">
            <v>210188</v>
          </cell>
          <cell r="B1324" t="str">
            <v>PROSPECTO SENS Mass Sensitive</v>
          </cell>
          <cell r="C1324" t="str">
            <v>PRSENS</v>
          </cell>
        </row>
        <row r="1325">
          <cell r="A1325">
            <v>210188</v>
          </cell>
          <cell r="B1325" t="str">
            <v>PROSPECTO SENS Mass Sensitive</v>
          </cell>
          <cell r="C1325" t="str">
            <v>210188</v>
          </cell>
        </row>
        <row r="1326">
          <cell r="A1326">
            <v>210189</v>
          </cell>
          <cell r="B1326" t="str">
            <v>PROSPECTO STIM Tonico Active</v>
          </cell>
          <cell r="C1326" t="str">
            <v>PRSTTA</v>
          </cell>
        </row>
        <row r="1327">
          <cell r="A1327">
            <v>210189</v>
          </cell>
          <cell r="B1327" t="str">
            <v>PROSPECTO STIM Tonico Active</v>
          </cell>
          <cell r="C1327" t="str">
            <v>210189</v>
          </cell>
        </row>
        <row r="1328">
          <cell r="A1328">
            <v>210190</v>
          </cell>
          <cell r="B1328" t="str">
            <v>ETIQ.TARRO POWER JELLY Inferio</v>
          </cell>
          <cell r="C1328" t="str">
            <v>ETTPJI</v>
          </cell>
        </row>
        <row r="1329">
          <cell r="A1329">
            <v>210190</v>
          </cell>
          <cell r="B1329" t="str">
            <v>ETIQ.TARRO POWER JELLY Inferio</v>
          </cell>
          <cell r="C1329" t="str">
            <v>210190</v>
          </cell>
        </row>
        <row r="1330">
          <cell r="A1330">
            <v>210191</v>
          </cell>
          <cell r="B1330" t="str">
            <v>ETIQ.TARRO POWER JELLY Superio</v>
          </cell>
          <cell r="C1330" t="str">
            <v>ETTPJS</v>
          </cell>
        </row>
        <row r="1331">
          <cell r="A1331">
            <v>210191</v>
          </cell>
          <cell r="B1331" t="str">
            <v>ETIQ.TARRO POWER JELLY Superio</v>
          </cell>
          <cell r="C1331" t="str">
            <v>210191</v>
          </cell>
        </row>
        <row r="1332">
          <cell r="A1332">
            <v>210192</v>
          </cell>
          <cell r="B1332" t="str">
            <v>ETIQ.TARRO MAT WAX Superior</v>
          </cell>
          <cell r="C1332" t="str">
            <v>ETTMWS</v>
          </cell>
        </row>
        <row r="1333">
          <cell r="A1333">
            <v>210192</v>
          </cell>
          <cell r="B1333" t="str">
            <v>ETIQ.TARRO MAT WAX Superior</v>
          </cell>
          <cell r="C1333" t="str">
            <v>210192</v>
          </cell>
        </row>
        <row r="1334">
          <cell r="A1334">
            <v>210193</v>
          </cell>
          <cell r="B1334" t="str">
            <v>ETIQ.TARRO MAT WAX</v>
          </cell>
          <cell r="C1334" t="str">
            <v>ETTMWI</v>
          </cell>
        </row>
        <row r="1335">
          <cell r="A1335">
            <v>210193</v>
          </cell>
          <cell r="B1335" t="str">
            <v>ETIQ.TARRO MAT WAX</v>
          </cell>
          <cell r="C1335" t="str">
            <v>210193</v>
          </cell>
        </row>
        <row r="1336">
          <cell r="A1336">
            <v>210194</v>
          </cell>
          <cell r="B1336" t="str">
            <v>ETIQ.TARRO WILD PASTE Superior</v>
          </cell>
          <cell r="C1336" t="str">
            <v>ETTWPS</v>
          </cell>
        </row>
        <row r="1337">
          <cell r="A1337">
            <v>210194</v>
          </cell>
          <cell r="B1337" t="str">
            <v>ETIQ.TARRO WILD PASTE Superior</v>
          </cell>
          <cell r="C1337" t="str">
            <v>210194</v>
          </cell>
        </row>
        <row r="1338">
          <cell r="A1338">
            <v>210195</v>
          </cell>
          <cell r="B1338" t="str">
            <v>ETIQ.TARRO WILD PASTE</v>
          </cell>
          <cell r="C1338" t="str">
            <v>ETTWPI</v>
          </cell>
        </row>
        <row r="1339">
          <cell r="A1339">
            <v>210195</v>
          </cell>
          <cell r="B1339" t="str">
            <v>ETIQ.TARRO WILD PASTE</v>
          </cell>
          <cell r="C1339" t="str">
            <v>210195</v>
          </cell>
        </row>
        <row r="1340">
          <cell r="A1340">
            <v>210196</v>
          </cell>
          <cell r="B1340" t="str">
            <v>ETIQ. TAPA  MASK COLOR 200 ml</v>
          </cell>
          <cell r="C1340" t="str">
            <v>210196</v>
          </cell>
        </row>
        <row r="1341">
          <cell r="A1341">
            <v>210197</v>
          </cell>
          <cell r="B1341" t="str">
            <v>ETIQ. TAPA MASK CURL 200 ml.</v>
          </cell>
          <cell r="C1341" t="str">
            <v>210197</v>
          </cell>
        </row>
        <row r="1342">
          <cell r="A1342">
            <v>210198</v>
          </cell>
          <cell r="B1342" t="str">
            <v>ETIQ.TAPA MASK ENERGY 200 ml.</v>
          </cell>
          <cell r="C1342" t="str">
            <v>210198</v>
          </cell>
        </row>
        <row r="1343">
          <cell r="A1343">
            <v>210199</v>
          </cell>
          <cell r="B1343" t="str">
            <v>ETIQ. TAPA MASK LISS 200 ml.</v>
          </cell>
          <cell r="C1343" t="str">
            <v>210199</v>
          </cell>
        </row>
        <row r="1344">
          <cell r="A1344">
            <v>210200</v>
          </cell>
          <cell r="B1344" t="str">
            <v>ETIQ.TAPA MASK NUTRI 200 ml.</v>
          </cell>
          <cell r="C1344" t="str">
            <v>210200</v>
          </cell>
        </row>
        <row r="1345">
          <cell r="A1345">
            <v>210201</v>
          </cell>
          <cell r="B1345" t="str">
            <v>ETIQ. EXTRACT COLOR 150 ml.</v>
          </cell>
          <cell r="C1345" t="str">
            <v>210201</v>
          </cell>
        </row>
        <row r="1346">
          <cell r="A1346">
            <v>210202</v>
          </cell>
          <cell r="B1346" t="str">
            <v>ETIQ. EXTRACT ENERGY 150 ml.</v>
          </cell>
          <cell r="C1346" t="str">
            <v>210202</v>
          </cell>
        </row>
        <row r="1347">
          <cell r="A1347">
            <v>210203</v>
          </cell>
          <cell r="B1347" t="str">
            <v>ETIQ. EXTRACT LISS 150 ml.</v>
          </cell>
          <cell r="C1347" t="str">
            <v>210203</v>
          </cell>
        </row>
        <row r="1348">
          <cell r="A1348">
            <v>210204</v>
          </cell>
          <cell r="B1348" t="str">
            <v>ETIQ. EXTRACT NUTRI 150 ml.</v>
          </cell>
          <cell r="C1348" t="str">
            <v>210204</v>
          </cell>
        </row>
        <row r="1349">
          <cell r="A1349">
            <v>210205</v>
          </cell>
          <cell r="B1349" t="str">
            <v>ETIQ. SERUM NUTRI 50 ml.</v>
          </cell>
          <cell r="C1349" t="str">
            <v>210205</v>
          </cell>
        </row>
        <row r="1350">
          <cell r="A1350">
            <v>210206</v>
          </cell>
          <cell r="B1350" t="str">
            <v>PROSPECTO MASSAGE CALM</v>
          </cell>
          <cell r="C1350" t="str">
            <v>210206</v>
          </cell>
        </row>
        <row r="1351">
          <cell r="A1351">
            <v>210207</v>
          </cell>
          <cell r="B1351" t="str">
            <v>PROSPECTO  BALANCE</v>
          </cell>
          <cell r="C1351" t="str">
            <v>210207</v>
          </cell>
        </row>
        <row r="1352">
          <cell r="A1352">
            <v>210208</v>
          </cell>
          <cell r="B1352" t="str">
            <v>PROSPECTO  PURITY</v>
          </cell>
          <cell r="C1352" t="str">
            <v>210208</v>
          </cell>
        </row>
        <row r="1353">
          <cell r="A1353">
            <v>210209</v>
          </cell>
          <cell r="B1353" t="str">
            <v>PROSPECTO FORCE</v>
          </cell>
          <cell r="C1353" t="str">
            <v>210209</v>
          </cell>
        </row>
        <row r="1354">
          <cell r="A1354">
            <v>210210</v>
          </cell>
          <cell r="B1354" t="str">
            <v>ETIQ. EST.PACK ANTIC.2011</v>
          </cell>
          <cell r="C1354" t="str">
            <v>210210</v>
          </cell>
        </row>
        <row r="1355">
          <cell r="A1355">
            <v>210266</v>
          </cell>
          <cell r="B1355" t="str">
            <v>ET.NAVIDAD 2013 PERSONALIZABLE</v>
          </cell>
          <cell r="C1355" t="str">
            <v>0000000210266</v>
          </cell>
        </row>
        <row r="1356">
          <cell r="A1356">
            <v>220001</v>
          </cell>
          <cell r="B1356" t="str">
            <v>CAIXA N' 1 IMPRESA</v>
          </cell>
          <cell r="C1356" t="str">
            <v>CE01</v>
          </cell>
        </row>
        <row r="1357">
          <cell r="A1357">
            <v>220001</v>
          </cell>
          <cell r="B1357" t="str">
            <v>CAIXA N' 1 IMPRESA</v>
          </cell>
          <cell r="C1357" t="str">
            <v>0000002200019</v>
          </cell>
        </row>
        <row r="1358">
          <cell r="A1358">
            <v>220002</v>
          </cell>
          <cell r="B1358" t="str">
            <v>CAIXA N' 7  IMPRESA KIN</v>
          </cell>
          <cell r="C1358" t="str">
            <v>CE07</v>
          </cell>
        </row>
        <row r="1359">
          <cell r="A1359">
            <v>220002</v>
          </cell>
          <cell r="B1359" t="str">
            <v>CAIXA N' 7  IMPRESA KIN</v>
          </cell>
          <cell r="C1359" t="str">
            <v>0000002200026</v>
          </cell>
        </row>
        <row r="1360">
          <cell r="A1360">
            <v>220003</v>
          </cell>
          <cell r="B1360" t="str">
            <v>CAIXA N' 7  S/IMPRIMIR</v>
          </cell>
          <cell r="C1360" t="str">
            <v>CE07S</v>
          </cell>
        </row>
        <row r="1361">
          <cell r="A1361">
            <v>220003</v>
          </cell>
          <cell r="B1361" t="str">
            <v>CAIXA N' 7  S/IMPRIMIR</v>
          </cell>
          <cell r="C1361" t="str">
            <v>0000002200033</v>
          </cell>
        </row>
        <row r="1362">
          <cell r="A1362">
            <v>220004</v>
          </cell>
          <cell r="B1362" t="str">
            <v>CAIXA N' 10 SIN IMPRIMIR</v>
          </cell>
          <cell r="C1362" t="str">
            <v>CE10</v>
          </cell>
        </row>
        <row r="1363">
          <cell r="A1363">
            <v>220004</v>
          </cell>
          <cell r="B1363" t="str">
            <v>CAIXA N' 10 SIN IMPRIMIR</v>
          </cell>
          <cell r="C1363" t="str">
            <v>0000002200040</v>
          </cell>
        </row>
        <row r="1364">
          <cell r="A1364">
            <v>220005</v>
          </cell>
          <cell r="B1364" t="str">
            <v>CAIXA N' 100 IMPRESA</v>
          </cell>
          <cell r="C1364" t="str">
            <v>CE100</v>
          </cell>
        </row>
        <row r="1365">
          <cell r="A1365">
            <v>220005</v>
          </cell>
          <cell r="B1365" t="str">
            <v>CAIXA N' 100 IMPRESA</v>
          </cell>
          <cell r="C1365" t="str">
            <v>0000002200057</v>
          </cell>
        </row>
        <row r="1366">
          <cell r="A1366">
            <v>220006</v>
          </cell>
          <cell r="B1366" t="str">
            <v>CAIXA N' 101 IMPRESA</v>
          </cell>
          <cell r="C1366" t="str">
            <v>CE101</v>
          </cell>
        </row>
        <row r="1367">
          <cell r="A1367">
            <v>220006</v>
          </cell>
          <cell r="B1367" t="str">
            <v>CAIXA N' 101 IMPRESA</v>
          </cell>
          <cell r="C1367" t="str">
            <v>0000002200064</v>
          </cell>
        </row>
        <row r="1368">
          <cell r="A1368">
            <v>220007</v>
          </cell>
          <cell r="B1368" t="str">
            <v>CAIXA N' 101A IMPRESA</v>
          </cell>
          <cell r="C1368" t="str">
            <v>CE101A</v>
          </cell>
        </row>
        <row r="1369">
          <cell r="A1369">
            <v>220007</v>
          </cell>
          <cell r="B1369" t="str">
            <v>CAIXA N' 101A IMPRESA</v>
          </cell>
          <cell r="C1369" t="str">
            <v>0000002200071</v>
          </cell>
        </row>
        <row r="1370">
          <cell r="A1370">
            <v>220008</v>
          </cell>
          <cell r="B1370" t="str">
            <v>CAIXA N' 102 IMPRESA</v>
          </cell>
          <cell r="C1370" t="str">
            <v>CE102</v>
          </cell>
        </row>
        <row r="1371">
          <cell r="A1371">
            <v>220008</v>
          </cell>
          <cell r="B1371" t="str">
            <v>CAIXA N' 102 IMPRESA</v>
          </cell>
          <cell r="C1371" t="str">
            <v>0000002200088</v>
          </cell>
        </row>
        <row r="1372">
          <cell r="A1372">
            <v>220009</v>
          </cell>
          <cell r="B1372" t="str">
            <v>CAIXA N' 103 IMPRESA</v>
          </cell>
          <cell r="C1372" t="str">
            <v>CE103</v>
          </cell>
        </row>
        <row r="1373">
          <cell r="A1373">
            <v>220009</v>
          </cell>
          <cell r="B1373" t="str">
            <v>CAIXA N' 103 IMPRESA</v>
          </cell>
          <cell r="C1373" t="str">
            <v>220009</v>
          </cell>
        </row>
        <row r="1374">
          <cell r="A1374">
            <v>220010</v>
          </cell>
          <cell r="B1374" t="str">
            <v>CAIXA N' 104 IMPRESA</v>
          </cell>
          <cell r="C1374" t="str">
            <v>CE104</v>
          </cell>
        </row>
        <row r="1375">
          <cell r="A1375">
            <v>220010</v>
          </cell>
          <cell r="B1375" t="str">
            <v>CAIXA N' 104 IMPRESA</v>
          </cell>
          <cell r="C1375" t="str">
            <v>220010</v>
          </cell>
        </row>
        <row r="1376">
          <cell r="A1376">
            <v>220011</v>
          </cell>
          <cell r="B1376" t="str">
            <v>CAIXA N' 105 IMPRESA</v>
          </cell>
          <cell r="C1376" t="str">
            <v>CE105</v>
          </cell>
        </row>
        <row r="1377">
          <cell r="A1377">
            <v>220011</v>
          </cell>
          <cell r="B1377" t="str">
            <v>CAIXA N' 105 IMPRESA</v>
          </cell>
          <cell r="C1377" t="str">
            <v>0000002200118</v>
          </cell>
        </row>
        <row r="1378">
          <cell r="A1378">
            <v>220012</v>
          </cell>
          <cell r="B1378" t="str">
            <v>CAIXA N' 106 IMP.CR.JELLY 250</v>
          </cell>
          <cell r="C1378" t="str">
            <v>CE106</v>
          </cell>
        </row>
        <row r="1379">
          <cell r="A1379">
            <v>220012</v>
          </cell>
          <cell r="B1379" t="str">
            <v>CAIXA N' 106 IMP.CR.JELLY 250</v>
          </cell>
          <cell r="C1379" t="str">
            <v>0000002200125</v>
          </cell>
        </row>
        <row r="1380">
          <cell r="A1380">
            <v>220013</v>
          </cell>
          <cell r="B1380" t="str">
            <v>CAIXA N' 107 IMPRESA</v>
          </cell>
          <cell r="C1380" t="str">
            <v>CE107</v>
          </cell>
        </row>
        <row r="1381">
          <cell r="A1381">
            <v>220013</v>
          </cell>
          <cell r="B1381" t="str">
            <v>CAIXA N' 107 IMPRESA</v>
          </cell>
          <cell r="C1381" t="str">
            <v>220013</v>
          </cell>
        </row>
        <row r="1382">
          <cell r="A1382">
            <v>220014</v>
          </cell>
          <cell r="B1382" t="str">
            <v>CAIXA N' 108 IMPRESA</v>
          </cell>
          <cell r="C1382" t="str">
            <v>CE108</v>
          </cell>
        </row>
        <row r="1383">
          <cell r="A1383">
            <v>220014</v>
          </cell>
          <cell r="B1383" t="str">
            <v>CAIXA N' 108 IMPRESA</v>
          </cell>
          <cell r="C1383" t="str">
            <v>220014</v>
          </cell>
        </row>
        <row r="1384">
          <cell r="A1384">
            <v>220015</v>
          </cell>
          <cell r="B1384" t="str">
            <v>CAIXA N' 109 IMPRESA</v>
          </cell>
          <cell r="C1384" t="str">
            <v>CE109</v>
          </cell>
        </row>
        <row r="1385">
          <cell r="A1385">
            <v>220015</v>
          </cell>
          <cell r="B1385" t="str">
            <v>CAIXA N' 109 IMPRESA</v>
          </cell>
          <cell r="C1385" t="str">
            <v>220015</v>
          </cell>
        </row>
        <row r="1386">
          <cell r="A1386">
            <v>220016</v>
          </cell>
          <cell r="B1386" t="str">
            <v>CAIXA N' 110 IMPRESA</v>
          </cell>
          <cell r="C1386" t="str">
            <v>CE110</v>
          </cell>
        </row>
        <row r="1387">
          <cell r="A1387">
            <v>220016</v>
          </cell>
          <cell r="B1387" t="str">
            <v>CAIXA N' 110 IMPRESA</v>
          </cell>
          <cell r="C1387" t="str">
            <v>220016</v>
          </cell>
        </row>
        <row r="1388">
          <cell r="A1388">
            <v>220017</v>
          </cell>
          <cell r="B1388" t="str">
            <v>CAIXA N' 111 IMPRESA</v>
          </cell>
          <cell r="C1388" t="str">
            <v>CE111</v>
          </cell>
        </row>
        <row r="1389">
          <cell r="A1389">
            <v>220017</v>
          </cell>
          <cell r="B1389" t="str">
            <v>CAIXA N' 111 IMPRESA</v>
          </cell>
          <cell r="C1389" t="str">
            <v>220017</v>
          </cell>
        </row>
        <row r="1390">
          <cell r="A1390">
            <v>220018</v>
          </cell>
          <cell r="B1390" t="str">
            <v>CAIXA N' 112 IMPRESA</v>
          </cell>
          <cell r="C1390" t="str">
            <v>CE112</v>
          </cell>
        </row>
        <row r="1391">
          <cell r="A1391">
            <v>220018</v>
          </cell>
          <cell r="B1391" t="str">
            <v>CAIXA N' 112 IMPRESA</v>
          </cell>
          <cell r="C1391" t="str">
            <v>220018</v>
          </cell>
        </row>
        <row r="1392">
          <cell r="A1392">
            <v>220019</v>
          </cell>
          <cell r="B1392" t="str">
            <v>CAIXA 113 MASK TARRO 1000 ml.</v>
          </cell>
          <cell r="C1392" t="str">
            <v>CE113</v>
          </cell>
        </row>
        <row r="1393">
          <cell r="A1393">
            <v>220019</v>
          </cell>
          <cell r="B1393" t="str">
            <v>CAIXA 113 MASK TARRO 1000 ml.</v>
          </cell>
          <cell r="C1393" t="str">
            <v>220019</v>
          </cell>
        </row>
        <row r="1394">
          <cell r="A1394">
            <v>220020</v>
          </cell>
          <cell r="B1394" t="str">
            <v>CAIXA 114 EQUIL BI-PHASE 500</v>
          </cell>
          <cell r="C1394" t="str">
            <v>CE114</v>
          </cell>
        </row>
        <row r="1395">
          <cell r="A1395">
            <v>220020</v>
          </cell>
          <cell r="B1395" t="str">
            <v>CAIXA 114 EQUIL BI-PHASE 500</v>
          </cell>
          <cell r="C1395" t="str">
            <v>0000002200200</v>
          </cell>
        </row>
        <row r="1396">
          <cell r="A1396">
            <v>220021</v>
          </cell>
          <cell r="B1396" t="str">
            <v>CAIXA 115 FLUID CONTROL</v>
          </cell>
          <cell r="C1396" t="str">
            <v>CE115</v>
          </cell>
        </row>
        <row r="1397">
          <cell r="A1397">
            <v>220021</v>
          </cell>
          <cell r="B1397" t="str">
            <v>CAIXA 115 FLUID CONTROL</v>
          </cell>
          <cell r="C1397" t="str">
            <v>0000002200217</v>
          </cell>
        </row>
        <row r="1398">
          <cell r="A1398">
            <v>220022</v>
          </cell>
          <cell r="B1398" t="str">
            <v>CAIXA 116 KW TOUCHING/FIXING</v>
          </cell>
          <cell r="C1398" t="str">
            <v>CE116</v>
          </cell>
        </row>
        <row r="1399">
          <cell r="A1399">
            <v>220022</v>
          </cell>
          <cell r="B1399" t="str">
            <v>CAIXA 116 KW TOUCHING/FIXING</v>
          </cell>
          <cell r="C1399" t="str">
            <v>0000002200224</v>
          </cell>
        </row>
        <row r="1400">
          <cell r="A1400">
            <v>220023</v>
          </cell>
          <cell r="B1400" t="str">
            <v>CAIXA 117 KINWORKS DECOLORACIO</v>
          </cell>
          <cell r="C1400" t="str">
            <v>CE117</v>
          </cell>
        </row>
        <row r="1401">
          <cell r="A1401">
            <v>220023</v>
          </cell>
          <cell r="B1401" t="str">
            <v>CAIXA 117 KINWORKS DECOLORACIO</v>
          </cell>
          <cell r="C1401" t="str">
            <v>220023</v>
          </cell>
        </row>
        <row r="1402">
          <cell r="A1402">
            <v>220023</v>
          </cell>
          <cell r="B1402" t="str">
            <v>CAIXA 117 KINWORKS DECOLORACIO</v>
          </cell>
          <cell r="C1402" t="str">
            <v>0000002200231</v>
          </cell>
        </row>
        <row r="1403">
          <cell r="A1403">
            <v>220024</v>
          </cell>
          <cell r="B1403" t="str">
            <v>CAIXA 118 OXIDANT BLOND 180 ML</v>
          </cell>
          <cell r="C1403" t="str">
            <v>CE118</v>
          </cell>
        </row>
        <row r="1404">
          <cell r="A1404">
            <v>220024</v>
          </cell>
          <cell r="B1404" t="str">
            <v>CAIXA 118 OXIDANT BLOND 180 ML</v>
          </cell>
          <cell r="C1404" t="str">
            <v>220024</v>
          </cell>
        </row>
        <row r="1405">
          <cell r="A1405">
            <v>220025</v>
          </cell>
          <cell r="B1405" t="str">
            <v>CAIXA 119 KW FIXING GEL 500 ML</v>
          </cell>
          <cell r="C1405" t="str">
            <v>CE119</v>
          </cell>
        </row>
        <row r="1406">
          <cell r="A1406">
            <v>220025</v>
          </cell>
          <cell r="B1406" t="str">
            <v>CAIXA 119 KW FIXING GEL 500 ML</v>
          </cell>
          <cell r="C1406" t="str">
            <v>0000002200255</v>
          </cell>
        </row>
        <row r="1407">
          <cell r="A1407">
            <v>220026</v>
          </cell>
          <cell r="B1407" t="str">
            <v>CAIXA 120 DEEP EST. 4 TUBS</v>
          </cell>
          <cell r="C1407" t="str">
            <v>CE120</v>
          </cell>
        </row>
        <row r="1408">
          <cell r="A1408">
            <v>220026</v>
          </cell>
          <cell r="B1408" t="str">
            <v>CAIXA 120 DEEP EST. 4 TUBS</v>
          </cell>
          <cell r="C1408" t="str">
            <v>220026</v>
          </cell>
        </row>
        <row r="1409">
          <cell r="A1409">
            <v>220027</v>
          </cell>
          <cell r="B1409" t="str">
            <v>CAIXA 121 DEEP EST. 24 TUBS</v>
          </cell>
          <cell r="C1409" t="str">
            <v>CE121</v>
          </cell>
        </row>
        <row r="1410">
          <cell r="A1410">
            <v>220027</v>
          </cell>
          <cell r="B1410" t="str">
            <v>CAIXA 121 DEEP EST. 24 TUBS</v>
          </cell>
          <cell r="C1410" t="str">
            <v>220027</v>
          </cell>
        </row>
        <row r="1411">
          <cell r="A1411">
            <v>220028</v>
          </cell>
          <cell r="B1411" t="str">
            <v>CAIXA 122 LOTE DEEP</v>
          </cell>
          <cell r="C1411" t="str">
            <v>CE122</v>
          </cell>
        </row>
        <row r="1412">
          <cell r="A1412">
            <v>220028</v>
          </cell>
          <cell r="B1412" t="str">
            <v>CAIXA 122 LOTE DEEP</v>
          </cell>
          <cell r="C1412" t="str">
            <v>0000002200286</v>
          </cell>
        </row>
        <row r="1413">
          <cell r="A1413">
            <v>220029</v>
          </cell>
          <cell r="B1413" t="str">
            <v>CAIXA 123 NCOLOR SHAMPOO/CREAM</v>
          </cell>
          <cell r="C1413" t="str">
            <v>CE123</v>
          </cell>
        </row>
        <row r="1414">
          <cell r="A1414">
            <v>220029</v>
          </cell>
          <cell r="B1414" t="str">
            <v>CAIXA 123 NCOLOR SHAMPOO/CREAM</v>
          </cell>
          <cell r="C1414" t="str">
            <v>0000002200293</v>
          </cell>
        </row>
        <row r="1415">
          <cell r="A1415">
            <v>220030</v>
          </cell>
          <cell r="B1415" t="str">
            <v>CAIXA 124 LOT N.COLOR REFLECTS</v>
          </cell>
          <cell r="C1415" t="str">
            <v>CE124</v>
          </cell>
        </row>
        <row r="1416">
          <cell r="A1416">
            <v>220030</v>
          </cell>
          <cell r="B1416" t="str">
            <v>CAIXA 124 LOT N.COLOR REFLECTS</v>
          </cell>
          <cell r="C1416" t="str">
            <v>0000002200309</v>
          </cell>
        </row>
        <row r="1417">
          <cell r="A1417">
            <v>220031</v>
          </cell>
          <cell r="B1417" t="str">
            <v>CAIXA 125 KINCREM 'KF' 36 PACS</v>
          </cell>
          <cell r="C1417" t="str">
            <v>CE125</v>
          </cell>
        </row>
        <row r="1418">
          <cell r="A1418">
            <v>220031</v>
          </cell>
          <cell r="B1418" t="str">
            <v>CAIXA 125 KINCREM 'KF' 36 PACS</v>
          </cell>
          <cell r="C1418" t="str">
            <v>220031</v>
          </cell>
        </row>
        <row r="1419">
          <cell r="A1419">
            <v>220031</v>
          </cell>
          <cell r="B1419" t="str">
            <v>CAIXA 125 KINCREM 'KF' 36 PACS</v>
          </cell>
          <cell r="C1419" t="str">
            <v>0000002200316</v>
          </cell>
        </row>
        <row r="1420">
          <cell r="A1420">
            <v>220032</v>
          </cell>
          <cell r="B1420" t="str">
            <v>CAIXA 126 COLOR REMOVER</v>
          </cell>
          <cell r="C1420" t="str">
            <v>CE126</v>
          </cell>
        </row>
        <row r="1421">
          <cell r="A1421">
            <v>220032</v>
          </cell>
          <cell r="B1421" t="str">
            <v>CAIXA 126 COLOR REMOVER</v>
          </cell>
          <cell r="C1421" t="str">
            <v>0000002200323</v>
          </cell>
        </row>
        <row r="1422">
          <cell r="A1422">
            <v>220033</v>
          </cell>
          <cell r="B1422" t="str">
            <v>CAIXA 127 CLEANSER Ref.220033</v>
          </cell>
          <cell r="C1422" t="str">
            <v>CE127</v>
          </cell>
        </row>
        <row r="1423">
          <cell r="A1423">
            <v>220033</v>
          </cell>
          <cell r="B1423" t="str">
            <v>CAIXA 127 CLEANSER Ref.220033</v>
          </cell>
          <cell r="C1423" t="str">
            <v>0000002200330</v>
          </cell>
        </row>
        <row r="1424">
          <cell r="A1424">
            <v>220034</v>
          </cell>
          <cell r="B1424" t="str">
            <v>CAIXA 128 COLOR BALANCE</v>
          </cell>
          <cell r="C1424" t="str">
            <v>CE128</v>
          </cell>
        </row>
        <row r="1425">
          <cell r="A1425">
            <v>220034</v>
          </cell>
          <cell r="B1425" t="str">
            <v>CAIXA 128 COLOR BALANCE</v>
          </cell>
          <cell r="C1425" t="str">
            <v>0000002200347</v>
          </cell>
        </row>
        <row r="1426">
          <cell r="A1426">
            <v>220035</v>
          </cell>
          <cell r="B1426" t="str">
            <v>CAIXA 129 COLOR SCREEN</v>
          </cell>
          <cell r="C1426" t="str">
            <v>CE129</v>
          </cell>
        </row>
        <row r="1427">
          <cell r="A1427">
            <v>220035</v>
          </cell>
          <cell r="B1427" t="str">
            <v>CAIXA 129 COLOR SCREEN</v>
          </cell>
          <cell r="C1427" t="str">
            <v>0000002200354</v>
          </cell>
        </row>
        <row r="1428">
          <cell r="A1428">
            <v>220036</v>
          </cell>
          <cell r="B1428" t="str">
            <v>CAIXA 130 FCO 1 LT 'KF' S/ROMB !!!!ojooooooo</v>
          </cell>
          <cell r="C1428" t="str">
            <v>CE130</v>
          </cell>
        </row>
        <row r="1429">
          <cell r="A1429">
            <v>220036</v>
          </cell>
          <cell r="B1429" t="str">
            <v>CAIXA 130 FCO 1 LT 'KF' S/ROMB !!!!ojooooooo</v>
          </cell>
          <cell r="C1429" t="str">
            <v>0000002200361</v>
          </cell>
        </row>
        <row r="1430">
          <cell r="A1430">
            <v>220037</v>
          </cell>
          <cell r="B1430" t="str">
            <v>CAIXA 130A OXIDANTS 'KF' ROMBO !!!!ojoooooo</v>
          </cell>
          <cell r="C1430" t="str">
            <v>CE130A</v>
          </cell>
        </row>
        <row r="1431">
          <cell r="A1431">
            <v>220037</v>
          </cell>
          <cell r="B1431" t="str">
            <v>CAIXA 130A OXIDANTS 'KF' ROMBO !!!!ojoooooo</v>
          </cell>
          <cell r="C1431" t="str">
            <v>0000002200378</v>
          </cell>
        </row>
        <row r="1432">
          <cell r="A1432">
            <v>220038</v>
          </cell>
          <cell r="B1432" t="str">
            <v>CAIXA 131 OXID 'KF' FC0. 60 ML</v>
          </cell>
          <cell r="C1432" t="str">
            <v>CE131</v>
          </cell>
        </row>
        <row r="1433">
          <cell r="A1433">
            <v>220038</v>
          </cell>
          <cell r="B1433" t="str">
            <v>CAIXA 131 OXID 'KF' FC0. 60 ML</v>
          </cell>
          <cell r="C1433" t="str">
            <v>0000002200385</v>
          </cell>
        </row>
        <row r="1434">
          <cell r="A1434">
            <v>220039</v>
          </cell>
          <cell r="B1434" t="str">
            <v>CAIXA 132 OX.BLOND/DEVEL. 120</v>
          </cell>
          <cell r="C1434" t="str">
            <v>CE132</v>
          </cell>
        </row>
        <row r="1435">
          <cell r="A1435">
            <v>220039</v>
          </cell>
          <cell r="B1435" t="str">
            <v>CAIXA 132 OX.BLOND/DEVEL. 120</v>
          </cell>
          <cell r="C1435" t="str">
            <v>0000002200392</v>
          </cell>
        </row>
        <row r="1436">
          <cell r="A1436">
            <v>220040</v>
          </cell>
          <cell r="B1436" t="str">
            <v>CAIXA 133 BIDON 5 LTS.</v>
          </cell>
          <cell r="C1436" t="str">
            <v>CE133</v>
          </cell>
        </row>
        <row r="1437">
          <cell r="A1437">
            <v>220040</v>
          </cell>
          <cell r="B1437" t="str">
            <v>CAIXA 133 BIDON 5 LTS.</v>
          </cell>
          <cell r="C1437" t="str">
            <v>0000002200408</v>
          </cell>
        </row>
        <row r="1438">
          <cell r="A1438">
            <v>220041</v>
          </cell>
          <cell r="B1438" t="str">
            <v>CAIXA 134 KWORKS SETTING PLIS</v>
          </cell>
          <cell r="C1438" t="str">
            <v>CE134</v>
          </cell>
        </row>
        <row r="1439">
          <cell r="A1439">
            <v>220041</v>
          </cell>
          <cell r="B1439" t="str">
            <v>CAIXA 134 KWORKS SETTING PLIS</v>
          </cell>
          <cell r="C1439" t="str">
            <v>0000002200415</v>
          </cell>
        </row>
        <row r="1440">
          <cell r="A1440">
            <v>220042</v>
          </cell>
          <cell r="B1440" t="str">
            <v>CAIXA 135 MASK TARRO 500 ml.</v>
          </cell>
          <cell r="C1440" t="str">
            <v>CE135</v>
          </cell>
        </row>
        <row r="1441">
          <cell r="A1441">
            <v>220042</v>
          </cell>
          <cell r="B1441" t="str">
            <v>CAIXA 135 MASK TARRO 500 ml.</v>
          </cell>
          <cell r="C1441" t="str">
            <v>220042</v>
          </cell>
        </row>
        <row r="1442">
          <cell r="A1442">
            <v>220043</v>
          </cell>
          <cell r="B1442" t="str">
            <v>CAIXA KINESSENCES BLONDE 36TUB</v>
          </cell>
          <cell r="C1442" t="str">
            <v>CE136</v>
          </cell>
        </row>
        <row r="1443">
          <cell r="A1443">
            <v>220043</v>
          </cell>
          <cell r="B1443" t="str">
            <v>CAIXA KINESSENCES BLONDE 36TUB</v>
          </cell>
          <cell r="C1443" t="str">
            <v>220043</v>
          </cell>
        </row>
        <row r="1444">
          <cell r="A1444">
            <v>220043</v>
          </cell>
          <cell r="B1444" t="str">
            <v>CAIXA KINESSENCES BLONDE 36TUB</v>
          </cell>
          <cell r="C1444" t="str">
            <v>0000002200439</v>
          </cell>
        </row>
        <row r="1445">
          <cell r="A1445">
            <v>220044</v>
          </cell>
          <cell r="B1445" t="str">
            <v>CAIXA 137 DEVELOPER 120 ML</v>
          </cell>
          <cell r="C1445" t="str">
            <v>CE137</v>
          </cell>
        </row>
        <row r="1446">
          <cell r="A1446">
            <v>220044</v>
          </cell>
          <cell r="B1446" t="str">
            <v>CAIXA 137 DEVELOPER 120 ML</v>
          </cell>
          <cell r="C1446" t="str">
            <v>0000002200446</v>
          </cell>
        </row>
        <row r="1447">
          <cell r="A1447">
            <v>220045</v>
          </cell>
          <cell r="B1447" t="str">
            <v>CAIXA 138 COLOR VIBRANCE</v>
          </cell>
          <cell r="C1447" t="str">
            <v>CE138</v>
          </cell>
        </row>
        <row r="1448">
          <cell r="A1448">
            <v>220045</v>
          </cell>
          <cell r="B1448" t="str">
            <v>CAIXA 138 COLOR VIBRANCE</v>
          </cell>
          <cell r="C1448" t="str">
            <v>0000002200453</v>
          </cell>
        </row>
        <row r="1449">
          <cell r="A1449">
            <v>220046</v>
          </cell>
          <cell r="B1449" t="str">
            <v>CAIXA 30 KHATIONS S/IMP.</v>
          </cell>
          <cell r="C1449" t="str">
            <v>CE30</v>
          </cell>
        </row>
        <row r="1450">
          <cell r="A1450">
            <v>220046</v>
          </cell>
          <cell r="B1450" t="str">
            <v>CAIXA 30 KHATIONS S/IMP.</v>
          </cell>
          <cell r="C1450" t="str">
            <v>220046</v>
          </cell>
        </row>
        <row r="1451">
          <cell r="A1451">
            <v>220047</v>
          </cell>
          <cell r="B1451" t="str">
            <v>CAIXA 42 BOT/ LITRO Kin</v>
          </cell>
          <cell r="C1451" t="str">
            <v>CE42</v>
          </cell>
        </row>
        <row r="1452">
          <cell r="A1452">
            <v>220047</v>
          </cell>
          <cell r="B1452" t="str">
            <v>CAIXA 42 BOT/ LITRO Kin</v>
          </cell>
          <cell r="C1452" t="str">
            <v>0000002200477</v>
          </cell>
        </row>
        <row r="1453">
          <cell r="A1453">
            <v>220048</v>
          </cell>
          <cell r="B1453" t="str">
            <v>CAIXA 42 BOT/ LITRO S/Imprimir</v>
          </cell>
          <cell r="C1453" t="str">
            <v>CE42S</v>
          </cell>
        </row>
        <row r="1454">
          <cell r="A1454">
            <v>220048</v>
          </cell>
          <cell r="B1454" t="str">
            <v>CAIXA 42 BOT/ LITRO S/Imprimir</v>
          </cell>
          <cell r="C1454" t="str">
            <v>0000002200484</v>
          </cell>
        </row>
        <row r="1455">
          <cell r="A1455">
            <v>220049</v>
          </cell>
          <cell r="B1455" t="str">
            <v>CAIXA 44 KINBLANC</v>
          </cell>
          <cell r="C1455" t="str">
            <v>CE44</v>
          </cell>
        </row>
        <row r="1456">
          <cell r="A1456">
            <v>220049</v>
          </cell>
          <cell r="B1456" t="str">
            <v>CAIXA 44 KINBLANC</v>
          </cell>
          <cell r="C1456" t="str">
            <v>0000002200491</v>
          </cell>
        </row>
        <row r="1457">
          <cell r="A1457">
            <v>220050</v>
          </cell>
          <cell r="B1457" t="str">
            <v>CAIXA 56 PERMAMENT CLASSIC</v>
          </cell>
          <cell r="C1457" t="str">
            <v>CE56</v>
          </cell>
        </row>
        <row r="1458">
          <cell r="A1458">
            <v>220050</v>
          </cell>
          <cell r="B1458" t="str">
            <v>CAIXA 56 PERMAMENT CLASSIC</v>
          </cell>
          <cell r="C1458" t="str">
            <v>0000002200507</v>
          </cell>
        </row>
        <row r="1459">
          <cell r="A1459">
            <v>220051</v>
          </cell>
          <cell r="B1459" t="str">
            <v>CAIXA 57 NEW COLOR 2000</v>
          </cell>
          <cell r="C1459" t="str">
            <v>CE57</v>
          </cell>
        </row>
        <row r="1460">
          <cell r="A1460">
            <v>220051</v>
          </cell>
          <cell r="B1460" t="str">
            <v>CAIXA 57 NEW COLOR 2000</v>
          </cell>
          <cell r="C1460" t="str">
            <v>0000002200514</v>
          </cell>
        </row>
        <row r="1461">
          <cell r="A1461">
            <v>220052</v>
          </cell>
          <cell r="B1461" t="str">
            <v>CAIXA 72 K.PRESTIGE 36 PACS</v>
          </cell>
          <cell r="C1461" t="str">
            <v>CE72</v>
          </cell>
        </row>
        <row r="1462">
          <cell r="A1462">
            <v>220052</v>
          </cell>
          <cell r="B1462" t="str">
            <v>CAIXA 72 K.PRESTIGE 36 PACS</v>
          </cell>
          <cell r="C1462" t="str">
            <v>220052</v>
          </cell>
        </row>
        <row r="1463">
          <cell r="A1463">
            <v>220053</v>
          </cell>
          <cell r="B1463" t="str">
            <v>CAIXA 76 K. CONTRAST</v>
          </cell>
          <cell r="C1463" t="str">
            <v>CE76</v>
          </cell>
        </row>
        <row r="1464">
          <cell r="A1464">
            <v>220053</v>
          </cell>
          <cell r="B1464" t="str">
            <v>CAIXA 76 K. CONTRAST</v>
          </cell>
          <cell r="C1464" t="str">
            <v>220053</v>
          </cell>
        </row>
        <row r="1465">
          <cell r="A1465">
            <v>220054</v>
          </cell>
          <cell r="B1465" t="str">
            <v>CAIXA 77 K. PRESTIGE 36 TUBOS</v>
          </cell>
          <cell r="C1465" t="str">
            <v>CE77</v>
          </cell>
        </row>
        <row r="1466">
          <cell r="A1466">
            <v>220054</v>
          </cell>
          <cell r="B1466" t="str">
            <v>CAIXA 77 K. PRESTIGE 36 TUBOS</v>
          </cell>
          <cell r="C1466" t="str">
            <v>220054</v>
          </cell>
        </row>
        <row r="1467">
          <cell r="A1467">
            <v>220055</v>
          </cell>
          <cell r="B1467" t="str">
            <v>caixa 78 oxidant 60 ML.</v>
          </cell>
          <cell r="C1467" t="str">
            <v>CE78</v>
          </cell>
        </row>
        <row r="1468">
          <cell r="A1468">
            <v>220055</v>
          </cell>
          <cell r="B1468" t="str">
            <v>caixa 78 oxidant 60 ML.</v>
          </cell>
          <cell r="C1468" t="str">
            <v>220055</v>
          </cell>
        </row>
        <row r="1469">
          <cell r="A1469">
            <v>220056</v>
          </cell>
          <cell r="B1469" t="str">
            <v>CAIXA 81 FLUID CONTROL 100 ML.</v>
          </cell>
          <cell r="C1469" t="str">
            <v>CE81</v>
          </cell>
        </row>
        <row r="1470">
          <cell r="A1470">
            <v>220056</v>
          </cell>
          <cell r="B1470" t="str">
            <v>CAIXA 81 FLUID CONTROL 100 ML.</v>
          </cell>
          <cell r="C1470" t="str">
            <v>220056</v>
          </cell>
        </row>
        <row r="1471">
          <cell r="A1471">
            <v>220057</v>
          </cell>
          <cell r="B1471" t="str">
            <v>CAIXA 82 LISSAGE INT. LOTE</v>
          </cell>
          <cell r="C1471" t="str">
            <v>CE82</v>
          </cell>
        </row>
        <row r="1472">
          <cell r="A1472">
            <v>220057</v>
          </cell>
          <cell r="B1472" t="str">
            <v>CAIXA 82 LISSAGE INT. LOTE</v>
          </cell>
          <cell r="C1472" t="str">
            <v>220057</v>
          </cell>
        </row>
        <row r="1473">
          <cell r="A1473">
            <v>220058</v>
          </cell>
          <cell r="B1473" t="str">
            <v>CAIXA 83 NEW COLOR 12 Pacs</v>
          </cell>
          <cell r="C1473" t="str">
            <v>CE83</v>
          </cell>
        </row>
        <row r="1474">
          <cell r="A1474">
            <v>220058</v>
          </cell>
          <cell r="B1474" t="str">
            <v>CAIXA 83 NEW COLOR 12 Pacs</v>
          </cell>
          <cell r="C1474" t="str">
            <v>0000002200583</v>
          </cell>
        </row>
        <row r="1475">
          <cell r="A1475">
            <v>220059</v>
          </cell>
          <cell r="B1475" t="str">
            <v>CAIXA 84 DEVELOPER 120 ML.</v>
          </cell>
          <cell r="C1475" t="str">
            <v>CE84</v>
          </cell>
        </row>
        <row r="1476">
          <cell r="A1476">
            <v>220059</v>
          </cell>
          <cell r="B1476" t="str">
            <v>CAIXA 84 DEVELOPER 120 ML.</v>
          </cell>
          <cell r="C1476" t="str">
            <v>220059</v>
          </cell>
        </row>
        <row r="1477">
          <cell r="A1477">
            <v>220060</v>
          </cell>
          <cell r="B1477" t="str">
            <v>CAIXA 86 KIN PERM</v>
          </cell>
          <cell r="C1477" t="str">
            <v>CE86</v>
          </cell>
        </row>
        <row r="1478">
          <cell r="A1478">
            <v>220060</v>
          </cell>
          <cell r="B1478" t="str">
            <v>CAIXA 86 KIN PERM</v>
          </cell>
          <cell r="C1478" t="str">
            <v>000000220060</v>
          </cell>
        </row>
        <row r="1479">
          <cell r="A1479">
            <v>220061</v>
          </cell>
          <cell r="B1479" t="str">
            <v>CAIXA 87 OXIDANT 1000 S/ ROMBO</v>
          </cell>
          <cell r="C1479" t="str">
            <v>CE87</v>
          </cell>
        </row>
        <row r="1480">
          <cell r="A1480">
            <v>220061</v>
          </cell>
          <cell r="B1480" t="str">
            <v>CAIXA 87 OXIDANT 1000 S/ ROMBO</v>
          </cell>
          <cell r="C1480" t="str">
            <v>220061</v>
          </cell>
        </row>
        <row r="1481">
          <cell r="A1481">
            <v>220062</v>
          </cell>
          <cell r="B1481" t="str">
            <v>CAIXA 87A OXIDANT 1000 'ROMBO'</v>
          </cell>
          <cell r="C1481" t="str">
            <v>CE87A</v>
          </cell>
        </row>
        <row r="1482">
          <cell r="A1482">
            <v>220062</v>
          </cell>
          <cell r="B1482" t="str">
            <v>CAIXA 87A OXIDANT 1000 'ROMBO'</v>
          </cell>
          <cell r="C1482" t="str">
            <v>220062</v>
          </cell>
        </row>
        <row r="1483">
          <cell r="A1483">
            <v>220063</v>
          </cell>
          <cell r="B1483" t="str">
            <v>CAIXA 88 TARRO STYLIUM 50 ml.</v>
          </cell>
          <cell r="C1483" t="str">
            <v>CE88</v>
          </cell>
        </row>
        <row r="1484">
          <cell r="A1484">
            <v>220063</v>
          </cell>
          <cell r="B1484" t="str">
            <v>CAIXA 88 TARRO STYLIUM 50 ml.</v>
          </cell>
          <cell r="C1484" t="str">
            <v>0000002200637</v>
          </cell>
        </row>
        <row r="1485">
          <cell r="A1485">
            <v>220064</v>
          </cell>
          <cell r="B1485" t="str">
            <v>CAIXA 89 LOT EXPOSIT. STYLIUM</v>
          </cell>
          <cell r="C1485" t="str">
            <v>CE89</v>
          </cell>
        </row>
        <row r="1486">
          <cell r="A1486">
            <v>220064</v>
          </cell>
          <cell r="B1486" t="str">
            <v>CAIXA 89 LOT EXPOSIT. STYLIUM</v>
          </cell>
          <cell r="C1486" t="str">
            <v>220064</v>
          </cell>
        </row>
        <row r="1487">
          <cell r="A1487">
            <v>220065</v>
          </cell>
          <cell r="B1487" t="str">
            <v>SEPARADOR LOT STYLIUM TARROS</v>
          </cell>
          <cell r="C1487" t="str">
            <v>CE89.1</v>
          </cell>
        </row>
        <row r="1488">
          <cell r="A1488">
            <v>220065</v>
          </cell>
          <cell r="B1488" t="str">
            <v>SEPARADOR LOT STYLIUM TARROS</v>
          </cell>
          <cell r="C1488" t="str">
            <v>220065</v>
          </cell>
        </row>
        <row r="1489">
          <cell r="A1489">
            <v>220066</v>
          </cell>
          <cell r="B1489" t="str">
            <v>SEPARADOR LOT STYLIUM</v>
          </cell>
          <cell r="C1489" t="str">
            <v>CE89.2</v>
          </cell>
        </row>
        <row r="1490">
          <cell r="A1490">
            <v>220066</v>
          </cell>
          <cell r="B1490" t="str">
            <v>SEPARADOR LOT STYLIUM</v>
          </cell>
          <cell r="C1490" t="str">
            <v>220066</v>
          </cell>
        </row>
        <row r="1491">
          <cell r="A1491">
            <v>220067</v>
          </cell>
          <cell r="B1491" t="str">
            <v>ENVOLTORI LOT STYLIUM 2</v>
          </cell>
          <cell r="C1491" t="str">
            <v>CE89.3</v>
          </cell>
        </row>
        <row r="1492">
          <cell r="A1492">
            <v>220067</v>
          </cell>
          <cell r="B1492" t="str">
            <v>ENVOLTORI LOT STYLIUM 2</v>
          </cell>
          <cell r="C1492" t="str">
            <v>220067</v>
          </cell>
        </row>
        <row r="1493">
          <cell r="A1493">
            <v>220068</v>
          </cell>
          <cell r="B1493" t="str">
            <v>CAIXA 90 DISPLAY SUNCARE</v>
          </cell>
          <cell r="C1493" t="str">
            <v>CE90</v>
          </cell>
        </row>
        <row r="1494">
          <cell r="A1494">
            <v>220068</v>
          </cell>
          <cell r="B1494" t="str">
            <v>CAIXA 90 DISPLAY SUNCARE</v>
          </cell>
          <cell r="C1494" t="str">
            <v>220068</v>
          </cell>
        </row>
        <row r="1495">
          <cell r="A1495">
            <v>220069</v>
          </cell>
          <cell r="B1495" t="str">
            <v>CAIXA 91 STICK STYLIUM</v>
          </cell>
          <cell r="C1495" t="str">
            <v>CE91</v>
          </cell>
        </row>
        <row r="1496">
          <cell r="A1496">
            <v>220069</v>
          </cell>
          <cell r="B1496" t="str">
            <v>CAIXA 91 STICK STYLIUM</v>
          </cell>
          <cell r="C1496" t="str">
            <v>0000002200699</v>
          </cell>
        </row>
        <row r="1497">
          <cell r="A1497">
            <v>220070</v>
          </cell>
          <cell r="B1497" t="str">
            <v>CAIXA 92 STYLIUM GUMMY/GLOSSY</v>
          </cell>
          <cell r="C1497" t="str">
            <v>CE92</v>
          </cell>
        </row>
        <row r="1498">
          <cell r="A1498">
            <v>220070</v>
          </cell>
          <cell r="B1498" t="str">
            <v>CAIXA 92 STYLIUM GUMMY/GLOSSY</v>
          </cell>
          <cell r="C1498" t="str">
            <v>0000002200705</v>
          </cell>
        </row>
        <row r="1499">
          <cell r="A1499">
            <v>220071</v>
          </cell>
          <cell r="B1499" t="str">
            <v>CAIXA 93 STYL GOOP/WET 150 ml.</v>
          </cell>
          <cell r="C1499" t="str">
            <v>CE93</v>
          </cell>
        </row>
        <row r="1500">
          <cell r="A1500">
            <v>220071</v>
          </cell>
          <cell r="B1500" t="str">
            <v>CAIXA 93 STYL GOOP/WET 150 ml.</v>
          </cell>
          <cell r="C1500" t="str">
            <v>0000002200712</v>
          </cell>
        </row>
        <row r="1501">
          <cell r="A1501">
            <v>220072</v>
          </cell>
          <cell r="B1501" t="str">
            <v>CAIXA 94 KIN WORKS LACA LITRO</v>
          </cell>
          <cell r="C1501" t="str">
            <v>CE94</v>
          </cell>
        </row>
        <row r="1502">
          <cell r="A1502">
            <v>220072</v>
          </cell>
          <cell r="B1502" t="str">
            <v>CAIXA 94 KIN WORKS LACA LITRO</v>
          </cell>
          <cell r="C1502" t="str">
            <v>0000002200729</v>
          </cell>
        </row>
        <row r="1503">
          <cell r="A1503">
            <v>220073</v>
          </cell>
          <cell r="B1503" t="str">
            <v>CAIXA 95 STYL LACA POT 500 ML.</v>
          </cell>
          <cell r="C1503" t="str">
            <v>CE95</v>
          </cell>
        </row>
        <row r="1504">
          <cell r="A1504">
            <v>220073</v>
          </cell>
          <cell r="B1504" t="str">
            <v>CAIXA 95 STYL LACA POT 500 ML.</v>
          </cell>
          <cell r="C1504" t="str">
            <v>CAJA EMB.Nº95 IMP.</v>
          </cell>
        </row>
        <row r="1505">
          <cell r="A1505">
            <v>220073</v>
          </cell>
          <cell r="B1505" t="str">
            <v>CAIXA 95 STYL LACA POT 500 ML.</v>
          </cell>
          <cell r="C1505" t="str">
            <v>0000002200736</v>
          </cell>
        </row>
        <row r="1506">
          <cell r="A1506">
            <v>220074</v>
          </cell>
          <cell r="B1506" t="str">
            <v>CAIXA 96 STYL ESPUMA 300 ml.</v>
          </cell>
          <cell r="C1506" t="str">
            <v>CE96</v>
          </cell>
        </row>
        <row r="1507">
          <cell r="A1507">
            <v>220074</v>
          </cell>
          <cell r="B1507" t="str">
            <v>CAIXA 96 STYL ESPUMA 300 ml.</v>
          </cell>
          <cell r="C1507" t="str">
            <v>0000002200743</v>
          </cell>
        </row>
        <row r="1508">
          <cell r="A1508">
            <v>220075</v>
          </cell>
          <cell r="B1508" t="str">
            <v>CAIXA 97 STYL XLAS/SKULP 200</v>
          </cell>
          <cell r="C1508" t="str">
            <v>CE97</v>
          </cell>
        </row>
        <row r="1509">
          <cell r="A1509">
            <v>220075</v>
          </cell>
          <cell r="B1509" t="str">
            <v>CAIXA 97 STYL XLAS/SKULP 200</v>
          </cell>
          <cell r="C1509" t="str">
            <v>0000002200750</v>
          </cell>
        </row>
        <row r="1510">
          <cell r="A1510">
            <v>220076</v>
          </cell>
          <cell r="B1510" t="str">
            <v>CAIXA 98 STYL THERM/XPA 200 ml</v>
          </cell>
          <cell r="C1510" t="str">
            <v>CE98</v>
          </cell>
        </row>
        <row r="1511">
          <cell r="A1511">
            <v>220076</v>
          </cell>
          <cell r="B1511" t="str">
            <v>CAIXA 98 STYL THERM/XPA 200 ml</v>
          </cell>
          <cell r="C1511" t="str">
            <v>0000002200767</v>
          </cell>
        </row>
        <row r="1512">
          <cell r="A1512">
            <v>220077</v>
          </cell>
          <cell r="B1512" t="str">
            <v>CAIXA 99 STYL RADIANCE 100 ml.</v>
          </cell>
          <cell r="C1512" t="str">
            <v>CE99</v>
          </cell>
        </row>
        <row r="1513">
          <cell r="A1513">
            <v>220077</v>
          </cell>
          <cell r="B1513" t="str">
            <v>CAIXA 99 STYL RADIANCE 100 ml.</v>
          </cell>
          <cell r="C1513" t="str">
            <v>0000002200774</v>
          </cell>
        </row>
        <row r="1514">
          <cell r="A1514">
            <v>220078</v>
          </cell>
          <cell r="B1514" t="str">
            <v>PRECINTO PP. IMPRESO KIN</v>
          </cell>
          <cell r="C1514" t="str">
            <v>PREKIN</v>
          </cell>
        </row>
        <row r="1515">
          <cell r="A1515">
            <v>220079</v>
          </cell>
          <cell r="B1515" t="str">
            <v>PRECINTO TRANSP. PP 132x48</v>
          </cell>
          <cell r="C1515" t="str">
            <v>PREANO</v>
          </cell>
        </row>
        <row r="1516">
          <cell r="A1516">
            <v>220080</v>
          </cell>
          <cell r="B1516" t="str">
            <v>SEPARADOR C/101-101A POT 50 ml</v>
          </cell>
          <cell r="C1516" t="str">
            <v>CES101</v>
          </cell>
        </row>
        <row r="1517">
          <cell r="A1517">
            <v>220080</v>
          </cell>
          <cell r="B1517" t="str">
            <v>SEPARADOR C/101-101A POT 50 ml</v>
          </cell>
          <cell r="C1517" t="str">
            <v>220080</v>
          </cell>
        </row>
        <row r="1518">
          <cell r="A1518">
            <v>220081</v>
          </cell>
          <cell r="B1518" t="str">
            <v>SEPARADOR C/102 TUB ST. 50 ml.</v>
          </cell>
          <cell r="C1518" t="str">
            <v>CES102</v>
          </cell>
        </row>
        <row r="1519">
          <cell r="A1519">
            <v>220081</v>
          </cell>
          <cell r="B1519" t="str">
            <v>SEPARADOR C/102 TUB ST. 50 ml.</v>
          </cell>
          <cell r="C1519" t="str">
            <v>220081</v>
          </cell>
        </row>
        <row r="1520">
          <cell r="A1520">
            <v>220082</v>
          </cell>
          <cell r="B1520" t="str">
            <v>SEPARADOR C/123 NC CREAM</v>
          </cell>
          <cell r="C1520" t="str">
            <v>CES123</v>
          </cell>
        </row>
        <row r="1521">
          <cell r="A1521">
            <v>220082</v>
          </cell>
          <cell r="B1521" t="str">
            <v>SEPARADOR C/123 NC CREAM</v>
          </cell>
          <cell r="C1521" t="str">
            <v>220082</v>
          </cell>
        </row>
        <row r="1522">
          <cell r="A1522">
            <v>220083</v>
          </cell>
          <cell r="B1522" t="str">
            <v>SEPARADOR C/129 C. SCREEN</v>
          </cell>
          <cell r="C1522" t="str">
            <v>CES129</v>
          </cell>
        </row>
        <row r="1523">
          <cell r="A1523">
            <v>220083</v>
          </cell>
          <cell r="B1523" t="str">
            <v>SEPARADOR C/129 C. SCREEN</v>
          </cell>
          <cell r="C1523" t="str">
            <v>220083</v>
          </cell>
        </row>
        <row r="1524">
          <cell r="A1524">
            <v>220084</v>
          </cell>
          <cell r="B1524" t="str">
            <v>SEPARADOR CAJA 76/77 KP/KCC</v>
          </cell>
          <cell r="C1524" t="str">
            <v>CES76</v>
          </cell>
        </row>
        <row r="1525">
          <cell r="A1525">
            <v>220084</v>
          </cell>
          <cell r="B1525" t="str">
            <v>SEPARADOR CAJA 76/77 KP/KCC</v>
          </cell>
          <cell r="C1525" t="str">
            <v>220084</v>
          </cell>
        </row>
        <row r="1526">
          <cell r="A1526">
            <v>220085</v>
          </cell>
          <cell r="B1526" t="str">
            <v>SEPARADOR C/131 OXIDANT 60 ML</v>
          </cell>
          <cell r="C1526" t="str">
            <v>CES78</v>
          </cell>
        </row>
        <row r="1527">
          <cell r="A1527">
            <v>220085</v>
          </cell>
          <cell r="B1527" t="str">
            <v>SEPARADOR C/131 OXIDANT 60 ML</v>
          </cell>
          <cell r="C1527" t="str">
            <v>220085</v>
          </cell>
        </row>
        <row r="1528">
          <cell r="A1528">
            <v>220086</v>
          </cell>
          <cell r="B1528" t="str">
            <v>SEPARADOR C/81 FLUID CONTROL</v>
          </cell>
          <cell r="C1528" t="str">
            <v>CES81</v>
          </cell>
        </row>
        <row r="1529">
          <cell r="A1529">
            <v>220086</v>
          </cell>
          <cell r="B1529" t="str">
            <v>SEPARADOR C/81 FLUID CONTROL</v>
          </cell>
          <cell r="C1529" t="str">
            <v>220086</v>
          </cell>
        </row>
        <row r="1530">
          <cell r="A1530">
            <v>220087</v>
          </cell>
          <cell r="B1530" t="str">
            <v>SEPARADOR C/82 LIS.INT. LOTE</v>
          </cell>
          <cell r="C1530" t="str">
            <v>CES82</v>
          </cell>
        </row>
        <row r="1531">
          <cell r="A1531">
            <v>220087</v>
          </cell>
          <cell r="B1531" t="str">
            <v>SEPARADOR C/82 LIS.INT. LOTE</v>
          </cell>
          <cell r="C1531" t="str">
            <v>220087</v>
          </cell>
        </row>
        <row r="1532">
          <cell r="A1532">
            <v>220088</v>
          </cell>
          <cell r="B1532" t="str">
            <v>SEPARADOR EXP. KAE MOSTRADOR</v>
          </cell>
          <cell r="C1532" t="str">
            <v>CESKA</v>
          </cell>
        </row>
        <row r="1533">
          <cell r="A1533">
            <v>220088</v>
          </cell>
          <cell r="B1533" t="str">
            <v>SEPARADOR EXP. KAE MOSTRADOR</v>
          </cell>
          <cell r="C1533" t="str">
            <v>220088</v>
          </cell>
        </row>
        <row r="1534">
          <cell r="A1534">
            <v>220089</v>
          </cell>
          <cell r="B1534" t="str">
            <v>BASES EST. KINPLIS/BRUSHING</v>
          </cell>
          <cell r="C1534" t="str">
            <v>AVBAKB</v>
          </cell>
        </row>
        <row r="1535">
          <cell r="A1535">
            <v>220089</v>
          </cell>
          <cell r="B1535" t="str">
            <v>BASES EST. KINPLIS/BRUSHING</v>
          </cell>
          <cell r="C1535" t="str">
            <v>220089</v>
          </cell>
        </row>
        <row r="1536">
          <cell r="A1536">
            <v>220090</v>
          </cell>
          <cell r="B1536" t="str">
            <v>SEPARADOR EST. K/BRUSHING</v>
          </cell>
          <cell r="C1536" t="str">
            <v>AVSEKB</v>
          </cell>
        </row>
        <row r="1537">
          <cell r="A1537">
            <v>220090</v>
          </cell>
          <cell r="B1537" t="str">
            <v>SEPARADOR EST. K/BRUSHING</v>
          </cell>
          <cell r="C1537" t="str">
            <v>220090</v>
          </cell>
        </row>
        <row r="1538">
          <cell r="A1538">
            <v>220091</v>
          </cell>
          <cell r="B1538" t="str">
            <v>ESTUCHE L-33</v>
          </cell>
          <cell r="C1538" t="str">
            <v>ES33</v>
          </cell>
        </row>
        <row r="1539">
          <cell r="A1539">
            <v>220091</v>
          </cell>
          <cell r="B1539" t="str">
            <v>ESTUCHE L-33</v>
          </cell>
          <cell r="C1539" t="str">
            <v>220091</v>
          </cell>
        </row>
        <row r="1540">
          <cell r="A1540">
            <v>220092</v>
          </cell>
          <cell r="B1540" t="str">
            <v>BANDEJAS LOCION L-33</v>
          </cell>
          <cell r="C1540" t="str">
            <v>ESBA</v>
          </cell>
        </row>
        <row r="1541">
          <cell r="A1541">
            <v>220092</v>
          </cell>
          <cell r="B1541" t="str">
            <v>BANDEJAS LOCION L-33</v>
          </cell>
          <cell r="C1541" t="str">
            <v>220092</v>
          </cell>
        </row>
        <row r="1542">
          <cell r="A1542">
            <v>220093</v>
          </cell>
          <cell r="B1542" t="str">
            <v>BANDEJAS LOCIONS K.A.R.</v>
          </cell>
          <cell r="C1542" t="str">
            <v>ESBKAR</v>
          </cell>
        </row>
        <row r="1543">
          <cell r="A1543">
            <v>220093</v>
          </cell>
          <cell r="B1543" t="str">
            <v>BANDEJAS LOCIONS K.A.R.</v>
          </cell>
          <cell r="C1543" t="str">
            <v>220093</v>
          </cell>
        </row>
        <row r="1544">
          <cell r="A1544">
            <v>220094</v>
          </cell>
          <cell r="B1544" t="str">
            <v>Estoig COLOR BALANCE 24 TUBS</v>
          </cell>
          <cell r="C1544" t="str">
            <v>ESCOBA</v>
          </cell>
        </row>
        <row r="1545">
          <cell r="A1545">
            <v>220094</v>
          </cell>
          <cell r="B1545" t="str">
            <v>Estoig COLOR BALANCE 24 TUBS</v>
          </cell>
          <cell r="C1545" t="str">
            <v>220094</v>
          </cell>
        </row>
        <row r="1546">
          <cell r="A1546">
            <v>220095</v>
          </cell>
          <cell r="B1546" t="str">
            <v>EST. COLOR REMOVER</v>
          </cell>
          <cell r="C1546" t="str">
            <v>ESCORE</v>
          </cell>
        </row>
        <row r="1547">
          <cell r="A1547">
            <v>220095</v>
          </cell>
          <cell r="B1547" t="str">
            <v>EST. COLOR REMOVER</v>
          </cell>
          <cell r="C1547" t="str">
            <v>220095</v>
          </cell>
        </row>
        <row r="1548">
          <cell r="A1548">
            <v>220096</v>
          </cell>
          <cell r="B1548" t="str">
            <v>EST. COM TRICOACTIVE 6 INYEC.(</v>
          </cell>
          <cell r="C1548" t="str">
            <v>ESCOTR</v>
          </cell>
        </row>
        <row r="1549">
          <cell r="A1549">
            <v>220096</v>
          </cell>
          <cell r="B1549" t="str">
            <v>EST. COM TRICOACTIVE 6 INYEC.(</v>
          </cell>
          <cell r="C1549" t="str">
            <v>220096</v>
          </cell>
        </row>
        <row r="1550">
          <cell r="A1550">
            <v>220097</v>
          </cell>
          <cell r="B1550" t="str">
            <v>EST. COLOR VIBRANCE COPPER</v>
          </cell>
          <cell r="C1550" t="str">
            <v>ESCVCO</v>
          </cell>
        </row>
        <row r="1551">
          <cell r="A1551">
            <v>220097</v>
          </cell>
          <cell r="B1551" t="str">
            <v>EST. COLOR VIBRANCE COPPER</v>
          </cell>
          <cell r="C1551" t="str">
            <v>220097</v>
          </cell>
        </row>
        <row r="1552">
          <cell r="A1552">
            <v>220098</v>
          </cell>
          <cell r="B1552" t="str">
            <v>EST. COLOR VIBRANCE PURPLE</v>
          </cell>
          <cell r="C1552" t="str">
            <v>ESCVPU</v>
          </cell>
        </row>
        <row r="1553">
          <cell r="A1553">
            <v>220098</v>
          </cell>
          <cell r="B1553" t="str">
            <v>EST. COLOR VIBRANCE PURPLE</v>
          </cell>
          <cell r="C1553" t="str">
            <v>220098</v>
          </cell>
        </row>
        <row r="1554">
          <cell r="A1554">
            <v>220099</v>
          </cell>
          <cell r="B1554" t="str">
            <v>EST. COLOR VIBRANCE RED</v>
          </cell>
          <cell r="C1554" t="str">
            <v>ESCVRE</v>
          </cell>
        </row>
        <row r="1555">
          <cell r="A1555">
            <v>220099</v>
          </cell>
          <cell r="B1555" t="str">
            <v>EST. COLOR VIBRANCE RED</v>
          </cell>
          <cell r="C1555" t="str">
            <v>220099</v>
          </cell>
        </row>
        <row r="1556">
          <cell r="A1556">
            <v>220100</v>
          </cell>
          <cell r="B1556" t="str">
            <v>EST. DEEP COLOR 4 TUBS</v>
          </cell>
          <cell r="C1556" t="str">
            <v>ESDC04</v>
          </cell>
        </row>
        <row r="1557">
          <cell r="A1557">
            <v>220100</v>
          </cell>
          <cell r="B1557" t="str">
            <v>EST. DEEP COLOR 4 TUBS</v>
          </cell>
          <cell r="C1557" t="str">
            <v>220100</v>
          </cell>
        </row>
        <row r="1558">
          <cell r="A1558">
            <v>220101</v>
          </cell>
          <cell r="B1558" t="str">
            <v>EST. DEEP COLOR 24 TUBS</v>
          </cell>
          <cell r="C1558" t="str">
            <v>ESDC24</v>
          </cell>
        </row>
        <row r="1559">
          <cell r="A1559">
            <v>220101</v>
          </cell>
          <cell r="B1559" t="str">
            <v>EST. DEEP COLOR 24 TUBS</v>
          </cell>
          <cell r="C1559" t="str">
            <v>220101</v>
          </cell>
        </row>
        <row r="1560">
          <cell r="A1560">
            <v>220102</v>
          </cell>
          <cell r="B1560" t="str">
            <v>EST. DEEP ENERGY 4 TUBS</v>
          </cell>
          <cell r="C1560" t="str">
            <v>ESDE04</v>
          </cell>
        </row>
        <row r="1561">
          <cell r="A1561">
            <v>220102</v>
          </cell>
          <cell r="B1561" t="str">
            <v>EST. DEEP ENERGY 4 TUBS</v>
          </cell>
          <cell r="C1561" t="str">
            <v>220102</v>
          </cell>
        </row>
        <row r="1562">
          <cell r="A1562">
            <v>220103</v>
          </cell>
          <cell r="B1562" t="str">
            <v>EST. DEEP ENERGY 24 TUBS</v>
          </cell>
          <cell r="C1562" t="str">
            <v>ESDE24</v>
          </cell>
        </row>
        <row r="1563">
          <cell r="A1563">
            <v>220103</v>
          </cell>
          <cell r="B1563" t="str">
            <v>EST. DEEP ENERGY 24 TUBS</v>
          </cell>
          <cell r="C1563" t="str">
            <v>220103</v>
          </cell>
        </row>
        <row r="1564">
          <cell r="A1564">
            <v>220104</v>
          </cell>
          <cell r="B1564" t="str">
            <v>DISPENSADOR COMPLEXE T.A.</v>
          </cell>
          <cell r="C1564" t="str">
            <v>ESDISP</v>
          </cell>
        </row>
        <row r="1565">
          <cell r="A1565">
            <v>220104</v>
          </cell>
          <cell r="B1565" t="str">
            <v>DISPENSADOR COMPLEXE T.A.</v>
          </cell>
          <cell r="C1565" t="str">
            <v>220104</v>
          </cell>
        </row>
        <row r="1566">
          <cell r="A1566">
            <v>220105</v>
          </cell>
          <cell r="B1566" t="str">
            <v>EST. DEEP REPAIR 4 TUBS</v>
          </cell>
          <cell r="C1566" t="str">
            <v>ESDR04</v>
          </cell>
        </row>
        <row r="1567">
          <cell r="A1567">
            <v>220105</v>
          </cell>
          <cell r="B1567" t="str">
            <v>EST. DEEP REPAIR 4 TUBS</v>
          </cell>
          <cell r="C1567" t="str">
            <v>220105</v>
          </cell>
        </row>
        <row r="1568">
          <cell r="A1568">
            <v>220106</v>
          </cell>
          <cell r="B1568" t="str">
            <v>EST. DEEP REPAIR 24 TUBS</v>
          </cell>
          <cell r="C1568" t="str">
            <v>ESDR24</v>
          </cell>
        </row>
        <row r="1569">
          <cell r="A1569">
            <v>220106</v>
          </cell>
          <cell r="B1569" t="str">
            <v>EST. DEEP REPAIR 24 TUBS</v>
          </cell>
          <cell r="C1569" t="str">
            <v>220106</v>
          </cell>
        </row>
        <row r="1570">
          <cell r="A1570">
            <v>220107</v>
          </cell>
          <cell r="B1570" t="str">
            <v>ESTUCHE HULMA T.CREMA VI</v>
          </cell>
          <cell r="C1570" t="str">
            <v>ESHS</v>
          </cell>
        </row>
        <row r="1571">
          <cell r="A1571">
            <v>220107</v>
          </cell>
          <cell r="B1571" t="str">
            <v>ESTUCHE HULMA T.CREMA VI</v>
          </cell>
          <cell r="C1571" t="str">
            <v>220107</v>
          </cell>
        </row>
        <row r="1572">
          <cell r="A1572">
            <v>220108</v>
          </cell>
          <cell r="B1572" t="str">
            <v>ESTUCHE KINPLIS/BRUSHING</v>
          </cell>
          <cell r="C1572" t="str">
            <v>ESKB</v>
          </cell>
        </row>
        <row r="1573">
          <cell r="A1573">
            <v>220108</v>
          </cell>
          <cell r="B1573" t="str">
            <v>ESTUCHE KINPLIS/BRUSHING</v>
          </cell>
          <cell r="C1573" t="str">
            <v>220108</v>
          </cell>
        </row>
        <row r="1574">
          <cell r="A1574">
            <v>220109</v>
          </cell>
          <cell r="B1574" t="str">
            <v>ESTUCHE KINCREM CONTRAST</v>
          </cell>
          <cell r="C1574" t="str">
            <v>ESKCCO</v>
          </cell>
        </row>
        <row r="1575">
          <cell r="A1575">
            <v>220109</v>
          </cell>
          <cell r="B1575" t="str">
            <v>ESTUCHE KINCREM CONTRAST</v>
          </cell>
          <cell r="C1575" t="str">
            <v>220109</v>
          </cell>
        </row>
        <row r="1576">
          <cell r="A1576">
            <v>220110</v>
          </cell>
          <cell r="B1576" t="str">
            <v>EST. K.PRESTIGE ACLARANTS</v>
          </cell>
          <cell r="C1576" t="str">
            <v>ESKPAC</v>
          </cell>
        </row>
        <row r="1577">
          <cell r="A1577">
            <v>220110</v>
          </cell>
          <cell r="B1577" t="str">
            <v>EST. K.PRESTIGE ACLARANTS</v>
          </cell>
          <cell r="C1577" t="str">
            <v>220110</v>
          </cell>
        </row>
        <row r="1578">
          <cell r="A1578">
            <v>220111</v>
          </cell>
          <cell r="B1578" t="str">
            <v>EST. KINPERM nº 0</v>
          </cell>
          <cell r="C1578" t="str">
            <v>ESKPM0</v>
          </cell>
        </row>
        <row r="1579">
          <cell r="A1579">
            <v>220111</v>
          </cell>
          <cell r="B1579" t="str">
            <v>EST. KINPERM nº 0</v>
          </cell>
          <cell r="C1579" t="str">
            <v>220111</v>
          </cell>
        </row>
        <row r="1580">
          <cell r="A1580">
            <v>220112</v>
          </cell>
          <cell r="B1580" t="str">
            <v>EST. KINPERM nº 1</v>
          </cell>
          <cell r="C1580" t="str">
            <v>ESKPM1</v>
          </cell>
        </row>
        <row r="1581">
          <cell r="A1581">
            <v>220112</v>
          </cell>
          <cell r="B1581" t="str">
            <v>EST. KINPERM nº 1</v>
          </cell>
          <cell r="C1581" t="str">
            <v>220112</v>
          </cell>
        </row>
        <row r="1582">
          <cell r="A1582">
            <v>220113</v>
          </cell>
          <cell r="B1582" t="str">
            <v>EST. KINPERM nº 2</v>
          </cell>
          <cell r="C1582" t="str">
            <v>ESKPM2</v>
          </cell>
        </row>
        <row r="1583">
          <cell r="A1583">
            <v>220113</v>
          </cell>
          <cell r="B1583" t="str">
            <v>EST. KINPERM nº 2</v>
          </cell>
          <cell r="C1583" t="str">
            <v>220113</v>
          </cell>
        </row>
        <row r="1584">
          <cell r="A1584">
            <v>220114</v>
          </cell>
          <cell r="B1584" t="str">
            <v>EST. KINPERM nº 3</v>
          </cell>
          <cell r="C1584" t="str">
            <v>ESKPM3</v>
          </cell>
        </row>
        <row r="1585">
          <cell r="A1585">
            <v>220114</v>
          </cell>
          <cell r="B1585" t="str">
            <v>EST. KINPERM nº 3</v>
          </cell>
          <cell r="C1585" t="str">
            <v>220114</v>
          </cell>
        </row>
        <row r="1586">
          <cell r="A1586">
            <v>220115</v>
          </cell>
          <cell r="B1586" t="str">
            <v>EST. KINPERM NEUTRAL.</v>
          </cell>
          <cell r="C1586" t="str">
            <v>ESKPMN</v>
          </cell>
        </row>
        <row r="1587">
          <cell r="A1587">
            <v>220115</v>
          </cell>
          <cell r="B1587" t="str">
            <v>EST. KINPERM NEUTRAL.</v>
          </cell>
          <cell r="C1587" t="str">
            <v>220115</v>
          </cell>
        </row>
        <row r="1588">
          <cell r="A1588">
            <v>220116</v>
          </cell>
          <cell r="B1588" t="str">
            <v>SEPARADOR EST. KINPERM</v>
          </cell>
          <cell r="C1588" t="str">
            <v>ESKPMS</v>
          </cell>
        </row>
        <row r="1589">
          <cell r="A1589">
            <v>220116</v>
          </cell>
          <cell r="B1589" t="str">
            <v>SEPARADOR EST. KINPERM</v>
          </cell>
          <cell r="C1589" t="str">
            <v>220116</v>
          </cell>
        </row>
        <row r="1590">
          <cell r="A1590">
            <v>220117</v>
          </cell>
          <cell r="B1590" t="str">
            <v>EST. K.PRESTIGE NATURALS</v>
          </cell>
          <cell r="C1590" t="str">
            <v>ESKPNA</v>
          </cell>
        </row>
        <row r="1591">
          <cell r="A1591">
            <v>220117</v>
          </cell>
          <cell r="B1591" t="str">
            <v>EST. K.PRESTIGE NATURALS</v>
          </cell>
          <cell r="C1591" t="str">
            <v>220117</v>
          </cell>
        </row>
        <row r="1592">
          <cell r="A1592">
            <v>220118</v>
          </cell>
          <cell r="B1592" t="str">
            <v>EST. K.P. NATURAL SIN FLECHAS</v>
          </cell>
          <cell r="C1592" t="str">
            <v>ESKPNASF</v>
          </cell>
        </row>
        <row r="1593">
          <cell r="A1593">
            <v>220118</v>
          </cell>
          <cell r="B1593" t="str">
            <v>EST. K.P. NATURAL SIN FLECHAS</v>
          </cell>
          <cell r="C1593" t="str">
            <v>220118</v>
          </cell>
        </row>
        <row r="1594">
          <cell r="A1594">
            <v>220119</v>
          </cell>
          <cell r="B1594" t="str">
            <v>SEPARADOR EST. KINPERM NEUTRAL</v>
          </cell>
          <cell r="C1594" t="str">
            <v>ESKPNS</v>
          </cell>
        </row>
        <row r="1595">
          <cell r="A1595">
            <v>220119</v>
          </cell>
          <cell r="B1595" t="str">
            <v>SEPARADOR EST. KINPERM NEUTRAL</v>
          </cell>
          <cell r="C1595" t="str">
            <v>220119</v>
          </cell>
        </row>
        <row r="1596">
          <cell r="A1596">
            <v>220120</v>
          </cell>
          <cell r="B1596" t="str">
            <v>EST. K.PRESTIGE ROJOS</v>
          </cell>
          <cell r="C1596" t="str">
            <v>ESKPRO</v>
          </cell>
        </row>
        <row r="1597">
          <cell r="A1597">
            <v>220120</v>
          </cell>
          <cell r="B1597" t="str">
            <v>EST. K.PRESTIGE ROJOS</v>
          </cell>
          <cell r="C1597" t="str">
            <v>220120</v>
          </cell>
        </row>
        <row r="1598">
          <cell r="A1598">
            <v>220121</v>
          </cell>
          <cell r="B1598" t="str">
            <v>EST. K.P ROJOS SIN FLECHAS</v>
          </cell>
          <cell r="C1598" t="str">
            <v>ESKPROSF</v>
          </cell>
        </row>
        <row r="1599">
          <cell r="A1599">
            <v>220121</v>
          </cell>
          <cell r="B1599" t="str">
            <v>EST. K.P ROJOS SIN FLECHAS</v>
          </cell>
          <cell r="C1599" t="str">
            <v>220121</v>
          </cell>
        </row>
        <row r="1600">
          <cell r="A1600">
            <v>220122</v>
          </cell>
          <cell r="B1600" t="str">
            <v>EST. NEW COLOR 2000</v>
          </cell>
          <cell r="C1600" t="str">
            <v>ESNC2</v>
          </cell>
        </row>
        <row r="1601">
          <cell r="A1601">
            <v>220122</v>
          </cell>
          <cell r="B1601" t="str">
            <v>EST. NEW COLOR 2000</v>
          </cell>
          <cell r="C1601" t="str">
            <v>220122</v>
          </cell>
        </row>
        <row r="1602">
          <cell r="A1602">
            <v>220123</v>
          </cell>
          <cell r="B1602" t="str">
            <v>EST. N. COLOR GLAMOUR 1 TUB.</v>
          </cell>
          <cell r="C1602" t="str">
            <v>ESNCGL</v>
          </cell>
        </row>
        <row r="1603">
          <cell r="A1603">
            <v>220123</v>
          </cell>
          <cell r="B1603" t="str">
            <v>EST. N. COLOR GLAMOUR 1 TUB.</v>
          </cell>
          <cell r="C1603" t="str">
            <v>220123</v>
          </cell>
        </row>
        <row r="1604">
          <cell r="A1604">
            <v>220124</v>
          </cell>
          <cell r="B1604" t="str">
            <v>EST. NORMALIZE PEELING GEL</v>
          </cell>
          <cell r="C1604" t="str">
            <v>ESNOPG</v>
          </cell>
        </row>
        <row r="1605">
          <cell r="A1605">
            <v>220124</v>
          </cell>
          <cell r="B1605" t="str">
            <v>EST. NORMALIZE PEELING GEL</v>
          </cell>
          <cell r="C1605" t="str">
            <v>220124</v>
          </cell>
        </row>
        <row r="1606">
          <cell r="A1606">
            <v>220125</v>
          </cell>
          <cell r="B1606" t="str">
            <v>EST. NORMALE TONIC PURIFICANT</v>
          </cell>
          <cell r="C1606" t="str">
            <v>ESNOTP</v>
          </cell>
        </row>
        <row r="1607">
          <cell r="A1607">
            <v>220125</v>
          </cell>
          <cell r="B1607" t="str">
            <v>EST. NORMALE TONIC PURIFICANT</v>
          </cell>
          <cell r="C1607" t="str">
            <v>220125</v>
          </cell>
        </row>
        <row r="1608">
          <cell r="A1608">
            <v>220126</v>
          </cell>
          <cell r="B1608" t="str">
            <v>EST. NUTRI-REPAIR SERUM</v>
          </cell>
          <cell r="C1608" t="str">
            <v>ESNRSE</v>
          </cell>
        </row>
        <row r="1609">
          <cell r="A1609">
            <v>220126</v>
          </cell>
          <cell r="B1609" t="str">
            <v>EST. NUTRI-REPAIR SERUM</v>
          </cell>
          <cell r="C1609" t="str">
            <v>220126</v>
          </cell>
        </row>
        <row r="1610">
          <cell r="A1610">
            <v>220127</v>
          </cell>
          <cell r="B1610" t="str">
            <v>EST. PacK Tratam. Anti Caida</v>
          </cell>
          <cell r="C1610" t="str">
            <v>ESPTAC</v>
          </cell>
        </row>
        <row r="1611">
          <cell r="A1611">
            <v>220127</v>
          </cell>
          <cell r="B1611" t="str">
            <v>EST. PacK Tratam. Anti Caida</v>
          </cell>
          <cell r="C1611" t="str">
            <v>220127</v>
          </cell>
        </row>
        <row r="1612">
          <cell r="A1612">
            <v>220128</v>
          </cell>
          <cell r="B1612" t="str">
            <v>EST. Pack Normalize</v>
          </cell>
          <cell r="C1612" t="str">
            <v>ESPTNO</v>
          </cell>
        </row>
        <row r="1613">
          <cell r="A1613">
            <v>220128</v>
          </cell>
          <cell r="B1613" t="str">
            <v>EST. Pack Normalize</v>
          </cell>
          <cell r="C1613" t="str">
            <v>220128</v>
          </cell>
        </row>
        <row r="1614">
          <cell r="A1614">
            <v>220129</v>
          </cell>
          <cell r="B1614" t="str">
            <v>EST. Pack Regulize</v>
          </cell>
          <cell r="C1614" t="str">
            <v>ESPTRE</v>
          </cell>
        </row>
        <row r="1615">
          <cell r="A1615">
            <v>220129</v>
          </cell>
          <cell r="B1615" t="str">
            <v>EST. Pack Regulize</v>
          </cell>
          <cell r="C1615" t="str">
            <v>220129</v>
          </cell>
        </row>
        <row r="1616">
          <cell r="A1616">
            <v>220130</v>
          </cell>
          <cell r="B1616" t="str">
            <v>EST. REGULIZE MASK REGUL</v>
          </cell>
          <cell r="C1616" t="str">
            <v>ESREMR</v>
          </cell>
        </row>
        <row r="1617">
          <cell r="A1617">
            <v>220130</v>
          </cell>
          <cell r="B1617" t="str">
            <v>EST. REGULIZE MASK REGUL</v>
          </cell>
          <cell r="C1617" t="str">
            <v>220130</v>
          </cell>
        </row>
        <row r="1618">
          <cell r="A1618">
            <v>220131</v>
          </cell>
          <cell r="B1618" t="str">
            <v>EST. REGULIZE TONIC REGUL</v>
          </cell>
          <cell r="C1618" t="str">
            <v>ESRETR</v>
          </cell>
        </row>
        <row r="1619">
          <cell r="A1619">
            <v>220131</v>
          </cell>
          <cell r="B1619" t="str">
            <v>EST. REGULIZE TONIC REGUL</v>
          </cell>
          <cell r="C1619" t="str">
            <v>220131</v>
          </cell>
        </row>
        <row r="1620">
          <cell r="A1620">
            <v>220132</v>
          </cell>
          <cell r="B1620" t="str">
            <v>CAJA SECADOR KIN 5000 AZUL</v>
          </cell>
          <cell r="C1620" t="str">
            <v>ESSE5A</v>
          </cell>
        </row>
        <row r="1621">
          <cell r="A1621">
            <v>220132</v>
          </cell>
          <cell r="B1621" t="str">
            <v>CAJA SECADOR KIN 5000 AZUL</v>
          </cell>
          <cell r="C1621" t="str">
            <v>220132</v>
          </cell>
        </row>
        <row r="1622">
          <cell r="A1622">
            <v>220133</v>
          </cell>
          <cell r="B1622" t="str">
            <v>EST. SENSIT MASSAGE SENSITIVE</v>
          </cell>
          <cell r="C1622" t="str">
            <v>ESSEMS</v>
          </cell>
        </row>
        <row r="1623">
          <cell r="A1623">
            <v>220133</v>
          </cell>
          <cell r="B1623" t="str">
            <v>EST. SENSIT MASSAGE SENSITIVE</v>
          </cell>
          <cell r="C1623" t="str">
            <v>220133</v>
          </cell>
        </row>
        <row r="1624">
          <cell r="A1624">
            <v>220134</v>
          </cell>
          <cell r="B1624" t="str">
            <v>EST. STIM COMP TRICO-ACTIVE</v>
          </cell>
          <cell r="C1624" t="str">
            <v>ESSTCT</v>
          </cell>
        </row>
        <row r="1625">
          <cell r="A1625">
            <v>220134</v>
          </cell>
          <cell r="B1625" t="str">
            <v>EST. STIM COMP TRICO-ACTIVE</v>
          </cell>
          <cell r="C1625" t="str">
            <v>220134</v>
          </cell>
        </row>
        <row r="1626">
          <cell r="A1626">
            <v>220135</v>
          </cell>
          <cell r="B1626" t="str">
            <v>EST. STIMULANT TONIC ACTIVE</v>
          </cell>
          <cell r="C1626" t="str">
            <v>ESSTTA</v>
          </cell>
        </row>
        <row r="1627">
          <cell r="A1627">
            <v>220135</v>
          </cell>
          <cell r="B1627" t="str">
            <v>EST. STIMULANT TONIC ACTIVE</v>
          </cell>
          <cell r="C1627" t="str">
            <v>220135</v>
          </cell>
        </row>
        <row r="1628">
          <cell r="A1628">
            <v>220136</v>
          </cell>
          <cell r="B1628" t="str">
            <v>Interior Est. L-33</v>
          </cell>
          <cell r="C1628" t="str">
            <v>IN33</v>
          </cell>
        </row>
        <row r="1629">
          <cell r="A1629">
            <v>220136</v>
          </cell>
          <cell r="B1629" t="str">
            <v>Interior Est. L-33</v>
          </cell>
          <cell r="C1629" t="str">
            <v>220136</v>
          </cell>
        </row>
        <row r="1630">
          <cell r="A1630">
            <v>220137</v>
          </cell>
          <cell r="B1630" t="str">
            <v>Interior Est. Pack Tratamient</v>
          </cell>
          <cell r="C1630" t="str">
            <v>INPTAC</v>
          </cell>
        </row>
        <row r="1631">
          <cell r="A1631">
            <v>220137</v>
          </cell>
          <cell r="B1631" t="str">
            <v>Interior Est. Pack Tratamient</v>
          </cell>
          <cell r="C1631" t="str">
            <v>220137</v>
          </cell>
        </row>
        <row r="1632">
          <cell r="A1632">
            <v>220138</v>
          </cell>
          <cell r="B1632" t="str">
            <v>Interior Est. Pack Tratamient</v>
          </cell>
          <cell r="C1632" t="str">
            <v>INPTCP</v>
          </cell>
        </row>
        <row r="1633">
          <cell r="A1633">
            <v>220138</v>
          </cell>
          <cell r="B1633" t="str">
            <v>Interior Est. Pack Tratamient</v>
          </cell>
          <cell r="C1633" t="str">
            <v>220138</v>
          </cell>
        </row>
        <row r="1634">
          <cell r="A1634">
            <v>220139</v>
          </cell>
          <cell r="B1634" t="str">
            <v>Interior Est. Pack Tratam.</v>
          </cell>
          <cell r="C1634" t="str">
            <v>INPTGC</v>
          </cell>
        </row>
        <row r="1635">
          <cell r="A1635">
            <v>220139</v>
          </cell>
          <cell r="B1635" t="str">
            <v>Interior Est. Pack Tratam.</v>
          </cell>
          <cell r="C1635" t="str">
            <v>220139</v>
          </cell>
        </row>
        <row r="1636">
          <cell r="A1636">
            <v>220140</v>
          </cell>
          <cell r="B1636" t="str">
            <v>Interior Est. Pack Tratam.</v>
          </cell>
          <cell r="C1636" t="str">
            <v>INPTPE</v>
          </cell>
        </row>
        <row r="1637">
          <cell r="A1637">
            <v>220140</v>
          </cell>
          <cell r="B1637" t="str">
            <v>Interior Est. Pack Tratam.</v>
          </cell>
          <cell r="C1637" t="str">
            <v>220140</v>
          </cell>
        </row>
        <row r="1638">
          <cell r="A1638">
            <v>220141</v>
          </cell>
          <cell r="B1638" t="str">
            <v>Interior SERUM REPAIR</v>
          </cell>
          <cell r="C1638" t="str">
            <v>INSERE</v>
          </cell>
        </row>
        <row r="1639">
          <cell r="A1639">
            <v>220141</v>
          </cell>
          <cell r="B1639" t="str">
            <v>Interior SERUM REPAIR</v>
          </cell>
          <cell r="C1639" t="str">
            <v>220141</v>
          </cell>
        </row>
        <row r="1640">
          <cell r="A1640">
            <v>220142</v>
          </cell>
          <cell r="B1640" t="str">
            <v>Interior Est. COMP TRICOACTIVE</v>
          </cell>
          <cell r="C1640" t="str">
            <v>INSTCT</v>
          </cell>
        </row>
        <row r="1641">
          <cell r="A1641">
            <v>220142</v>
          </cell>
          <cell r="B1641" t="str">
            <v>Interior Est. COMP TRICOACTIVE</v>
          </cell>
          <cell r="C1641" t="str">
            <v>220142</v>
          </cell>
        </row>
        <row r="1642">
          <cell r="A1642">
            <v>220143</v>
          </cell>
          <cell r="B1642" t="str">
            <v>SEPARAD EST. DEEP ENERG 4 TUBS</v>
          </cell>
          <cell r="C1642" t="str">
            <v>SEDEEN</v>
          </cell>
        </row>
        <row r="1643">
          <cell r="A1643">
            <v>220143</v>
          </cell>
          <cell r="B1643" t="str">
            <v>SEPARAD EST. DEEP ENERG 4 TUBS</v>
          </cell>
          <cell r="C1643" t="str">
            <v>220143</v>
          </cell>
        </row>
        <row r="1644">
          <cell r="A1644">
            <v>220144</v>
          </cell>
          <cell r="B1644" t="str">
            <v>SEPARAD EST. DEEP REPAI 4 TUBS</v>
          </cell>
          <cell r="C1644" t="str">
            <v>SEDERE</v>
          </cell>
        </row>
        <row r="1645">
          <cell r="A1645">
            <v>220144</v>
          </cell>
          <cell r="B1645" t="str">
            <v>SEPARAD EST. DEEP REPAI 4 TUBS</v>
          </cell>
          <cell r="C1645" t="str">
            <v>220144</v>
          </cell>
        </row>
        <row r="1646">
          <cell r="A1646">
            <v>220145</v>
          </cell>
          <cell r="B1646" t="str">
            <v>SEPARAD EST. DEEP V COLOR 4 T</v>
          </cell>
          <cell r="C1646" t="str">
            <v>SEDEVC</v>
          </cell>
        </row>
        <row r="1647">
          <cell r="A1647">
            <v>220145</v>
          </cell>
          <cell r="B1647" t="str">
            <v>SEPARAD EST. DEEP V COLOR 4 T</v>
          </cell>
          <cell r="C1647" t="str">
            <v>220145</v>
          </cell>
        </row>
        <row r="1648">
          <cell r="A1648">
            <v>220146</v>
          </cell>
          <cell r="B1648" t="str">
            <v>Estoix KINCREM 'KF' 1.0</v>
          </cell>
          <cell r="C1648" t="str">
            <v>ESKF10</v>
          </cell>
        </row>
        <row r="1649">
          <cell r="A1649">
            <v>220146</v>
          </cell>
          <cell r="B1649" t="str">
            <v>Estoix KINCREM 'KF' 1.0</v>
          </cell>
          <cell r="C1649" t="str">
            <v>220146</v>
          </cell>
        </row>
        <row r="1650">
          <cell r="A1650">
            <v>220147</v>
          </cell>
          <cell r="B1650" t="str">
            <v>Estoix KINCREM 'KF' 10.0</v>
          </cell>
          <cell r="C1650" t="str">
            <v>ESKF100</v>
          </cell>
        </row>
        <row r="1651">
          <cell r="A1651">
            <v>220147</v>
          </cell>
          <cell r="B1651" t="str">
            <v>Estoix KINCREM 'KF' 10.0</v>
          </cell>
          <cell r="C1651" t="str">
            <v>220147</v>
          </cell>
        </row>
        <row r="1652">
          <cell r="A1652">
            <v>220148</v>
          </cell>
          <cell r="B1652" t="str">
            <v>Estoix KINCREM 'KF' 10.00</v>
          </cell>
          <cell r="C1652" t="str">
            <v>ESKF1000</v>
          </cell>
        </row>
        <row r="1653">
          <cell r="A1653">
            <v>220148</v>
          </cell>
          <cell r="B1653" t="str">
            <v>Estoix KINCREM 'KF' 10.00</v>
          </cell>
          <cell r="C1653" t="str">
            <v>220148</v>
          </cell>
        </row>
        <row r="1654">
          <cell r="A1654">
            <v>220149</v>
          </cell>
          <cell r="B1654" t="str">
            <v>Estoix KINCREM 'KF' 10.1</v>
          </cell>
          <cell r="C1654" t="str">
            <v>ESKF101</v>
          </cell>
        </row>
        <row r="1655">
          <cell r="A1655">
            <v>220149</v>
          </cell>
          <cell r="B1655" t="str">
            <v>Estoix KINCREM 'KF' 10.1</v>
          </cell>
          <cell r="C1655" t="str">
            <v>220149</v>
          </cell>
        </row>
        <row r="1656">
          <cell r="A1656">
            <v>220150</v>
          </cell>
          <cell r="B1656" t="str">
            <v>Estoix KINCREM 'KF' 10.3</v>
          </cell>
          <cell r="C1656" t="str">
            <v>ESKF103</v>
          </cell>
        </row>
        <row r="1657">
          <cell r="A1657">
            <v>220150</v>
          </cell>
          <cell r="B1657" t="str">
            <v>Estoix KINCREM 'KF' 10.3</v>
          </cell>
          <cell r="C1657" t="str">
            <v>220150</v>
          </cell>
        </row>
        <row r="1658">
          <cell r="A1658">
            <v>220151</v>
          </cell>
          <cell r="B1658" t="str">
            <v>Estoix KINCREM 'KF' 10.32</v>
          </cell>
          <cell r="C1658" t="str">
            <v>ESKF1032</v>
          </cell>
        </row>
        <row r="1659">
          <cell r="A1659">
            <v>220151</v>
          </cell>
          <cell r="B1659" t="str">
            <v>Estoix KINCREM 'KF' 10.32</v>
          </cell>
          <cell r="C1659" t="str">
            <v>220151</v>
          </cell>
        </row>
        <row r="1660">
          <cell r="A1660">
            <v>220152</v>
          </cell>
          <cell r="B1660" t="str">
            <v>Estoix KINCREM 'KF' 1.1</v>
          </cell>
          <cell r="C1660" t="str">
            <v>ESKF11</v>
          </cell>
        </row>
        <row r="1661">
          <cell r="A1661">
            <v>220152</v>
          </cell>
          <cell r="B1661" t="str">
            <v>Estoix KINCREM 'KF' 1.1</v>
          </cell>
          <cell r="C1661" t="str">
            <v>220152</v>
          </cell>
        </row>
        <row r="1662">
          <cell r="A1662">
            <v>220153</v>
          </cell>
          <cell r="B1662" t="str">
            <v>Estoix KINCREM 'KF' 2.0</v>
          </cell>
          <cell r="C1662" t="str">
            <v>ESKF20</v>
          </cell>
        </row>
        <row r="1663">
          <cell r="A1663">
            <v>220153</v>
          </cell>
          <cell r="B1663" t="str">
            <v>Estoix KINCREM 'KF' 2.0</v>
          </cell>
          <cell r="C1663" t="str">
            <v>220153</v>
          </cell>
        </row>
        <row r="1664">
          <cell r="A1664">
            <v>220154</v>
          </cell>
          <cell r="B1664" t="str">
            <v>Estoix KINCREM 'KF' 3.0</v>
          </cell>
          <cell r="C1664" t="str">
            <v>ESKF30</v>
          </cell>
        </row>
        <row r="1665">
          <cell r="A1665">
            <v>220154</v>
          </cell>
          <cell r="B1665" t="str">
            <v>Estoix KINCREM 'KF' 3.0</v>
          </cell>
          <cell r="C1665" t="str">
            <v>220154</v>
          </cell>
        </row>
        <row r="1666">
          <cell r="A1666">
            <v>220155</v>
          </cell>
          <cell r="B1666" t="str">
            <v>Estoix KINCREM 'KF' 3.00</v>
          </cell>
          <cell r="C1666" t="str">
            <v>ESKF300</v>
          </cell>
        </row>
        <row r="1667">
          <cell r="A1667">
            <v>220155</v>
          </cell>
          <cell r="B1667" t="str">
            <v>Estoix KINCREM 'KF' 3.00</v>
          </cell>
          <cell r="C1667" t="str">
            <v>220155</v>
          </cell>
        </row>
        <row r="1668">
          <cell r="A1668">
            <v>220156</v>
          </cell>
          <cell r="B1668" t="str">
            <v>Estoix KINCREM 'KF' 4.0</v>
          </cell>
          <cell r="C1668" t="str">
            <v>ESKF40</v>
          </cell>
        </row>
        <row r="1669">
          <cell r="A1669">
            <v>220156</v>
          </cell>
          <cell r="B1669" t="str">
            <v>Estoix KINCREM 'KF' 4.0</v>
          </cell>
          <cell r="C1669" t="str">
            <v>220156</v>
          </cell>
        </row>
        <row r="1670">
          <cell r="A1670">
            <v>220157</v>
          </cell>
          <cell r="B1670" t="str">
            <v>Estoix KINCREM 'KF' 4.00</v>
          </cell>
          <cell r="C1670" t="str">
            <v>ESKF400</v>
          </cell>
        </row>
        <row r="1671">
          <cell r="A1671">
            <v>220157</v>
          </cell>
          <cell r="B1671" t="str">
            <v>Estoix KINCREM 'KF' 4.00</v>
          </cell>
          <cell r="C1671" t="str">
            <v>220157</v>
          </cell>
        </row>
        <row r="1672">
          <cell r="A1672">
            <v>220158</v>
          </cell>
          <cell r="B1672" t="str">
            <v>Estoix KINCREM 'KF' 4.3</v>
          </cell>
          <cell r="C1672" t="str">
            <v>ESKF43</v>
          </cell>
        </row>
        <row r="1673">
          <cell r="A1673">
            <v>220158</v>
          </cell>
          <cell r="B1673" t="str">
            <v>Estoix KINCREM 'KF' 4.3</v>
          </cell>
          <cell r="C1673" t="str">
            <v>220158</v>
          </cell>
        </row>
        <row r="1674">
          <cell r="A1674">
            <v>220159</v>
          </cell>
          <cell r="B1674" t="str">
            <v>Estoix KINCREM 'KF' 5.0</v>
          </cell>
          <cell r="C1674" t="str">
            <v>ESKF50</v>
          </cell>
        </row>
        <row r="1675">
          <cell r="A1675">
            <v>220159</v>
          </cell>
          <cell r="B1675" t="str">
            <v>Estoix KINCREM 'KF' 5.0</v>
          </cell>
          <cell r="C1675" t="str">
            <v>220159</v>
          </cell>
        </row>
        <row r="1676">
          <cell r="A1676">
            <v>220160</v>
          </cell>
          <cell r="B1676" t="str">
            <v>Estoix KINCREM 'KF' 5.00</v>
          </cell>
          <cell r="C1676" t="str">
            <v>ESKF500</v>
          </cell>
        </row>
        <row r="1677">
          <cell r="A1677">
            <v>220160</v>
          </cell>
          <cell r="B1677" t="str">
            <v>Estoix KINCREM 'KF' 5.00</v>
          </cell>
          <cell r="C1677" t="str">
            <v>220160</v>
          </cell>
        </row>
        <row r="1678">
          <cell r="A1678">
            <v>220161</v>
          </cell>
          <cell r="B1678" t="str">
            <v>Estoix KINCREM 'KF' 5.1</v>
          </cell>
          <cell r="C1678" t="str">
            <v>ESKF51</v>
          </cell>
        </row>
        <row r="1679">
          <cell r="A1679">
            <v>220161</v>
          </cell>
          <cell r="B1679" t="str">
            <v>Estoix KINCREM 'KF' 5.1</v>
          </cell>
          <cell r="C1679" t="str">
            <v>220161</v>
          </cell>
        </row>
        <row r="1680">
          <cell r="A1680">
            <v>220162</v>
          </cell>
          <cell r="B1680" t="str">
            <v>Estoix KINCREM 'KF' 5.3</v>
          </cell>
          <cell r="C1680" t="str">
            <v>ESKF53</v>
          </cell>
        </row>
        <row r="1681">
          <cell r="A1681">
            <v>220162</v>
          </cell>
          <cell r="B1681" t="str">
            <v>Estoix KINCREM 'KF' 5.3</v>
          </cell>
          <cell r="C1681" t="str">
            <v>220162</v>
          </cell>
        </row>
        <row r="1682">
          <cell r="A1682">
            <v>220163</v>
          </cell>
          <cell r="B1682" t="str">
            <v>Estoix KINCREM 'KF' 6.0</v>
          </cell>
          <cell r="C1682" t="str">
            <v>ESKF60</v>
          </cell>
        </row>
        <row r="1683">
          <cell r="A1683">
            <v>220163</v>
          </cell>
          <cell r="B1683" t="str">
            <v>Estoix KINCREM 'KF' 6.0</v>
          </cell>
          <cell r="C1683" t="str">
            <v>220163</v>
          </cell>
        </row>
        <row r="1684">
          <cell r="A1684">
            <v>220164</v>
          </cell>
          <cell r="B1684" t="str">
            <v>Estoix KINCREM 'KF' 6.00</v>
          </cell>
          <cell r="C1684" t="str">
            <v>ESKF600</v>
          </cell>
        </row>
        <row r="1685">
          <cell r="A1685">
            <v>220164</v>
          </cell>
          <cell r="B1685" t="str">
            <v>Estoix KINCREM 'KF' 6.00</v>
          </cell>
          <cell r="C1685" t="str">
            <v>220164</v>
          </cell>
        </row>
        <row r="1686">
          <cell r="A1686">
            <v>220165</v>
          </cell>
          <cell r="B1686" t="str">
            <v>Estoix KINCREM 'KF' 6.1</v>
          </cell>
          <cell r="C1686" t="str">
            <v>ESKF61</v>
          </cell>
        </row>
        <row r="1687">
          <cell r="A1687">
            <v>220165</v>
          </cell>
          <cell r="B1687" t="str">
            <v>Estoix KINCREM 'KF' 6.1</v>
          </cell>
          <cell r="C1687" t="str">
            <v>220165</v>
          </cell>
        </row>
        <row r="1688">
          <cell r="A1688">
            <v>220166</v>
          </cell>
          <cell r="B1688" t="str">
            <v>Estoix KINCREM 'KF' 6.3</v>
          </cell>
          <cell r="C1688" t="str">
            <v>ESKF63</v>
          </cell>
        </row>
        <row r="1689">
          <cell r="A1689">
            <v>220166</v>
          </cell>
          <cell r="B1689" t="str">
            <v>Estoix KINCREM 'KF' 6.3</v>
          </cell>
          <cell r="C1689" t="str">
            <v>220166</v>
          </cell>
        </row>
        <row r="1690">
          <cell r="A1690">
            <v>220167</v>
          </cell>
          <cell r="B1690" t="str">
            <v>Estoix KINCREM 'KF' 6.31</v>
          </cell>
          <cell r="C1690" t="str">
            <v>ESKF631</v>
          </cell>
        </row>
        <row r="1691">
          <cell r="A1691">
            <v>220167</v>
          </cell>
          <cell r="B1691" t="str">
            <v>Estoix KINCREM 'KF' 6.31</v>
          </cell>
          <cell r="C1691" t="str">
            <v>220167</v>
          </cell>
        </row>
        <row r="1692">
          <cell r="A1692">
            <v>220168</v>
          </cell>
          <cell r="B1692" t="str">
            <v>Estoix KINCREM 'KF' 6.32</v>
          </cell>
          <cell r="C1692" t="str">
            <v>ESKF632</v>
          </cell>
        </row>
        <row r="1693">
          <cell r="A1693">
            <v>220168</v>
          </cell>
          <cell r="B1693" t="str">
            <v>Estoix KINCREM 'KF' 6.32</v>
          </cell>
          <cell r="C1693" t="str">
            <v>220168</v>
          </cell>
        </row>
        <row r="1694">
          <cell r="A1694">
            <v>220169</v>
          </cell>
          <cell r="B1694" t="str">
            <v>Estoix KINCREM 'KF' 6.34</v>
          </cell>
          <cell r="C1694" t="str">
            <v>ESKF634</v>
          </cell>
        </row>
        <row r="1695">
          <cell r="A1695">
            <v>220169</v>
          </cell>
          <cell r="B1695" t="str">
            <v>Estoix KINCREM 'KF' 6.34</v>
          </cell>
          <cell r="C1695" t="str">
            <v>220169</v>
          </cell>
        </row>
        <row r="1696">
          <cell r="A1696">
            <v>220170</v>
          </cell>
          <cell r="B1696" t="str">
            <v>Estoix KINCREM 'KF' 7.0</v>
          </cell>
          <cell r="C1696" t="str">
            <v>ESKF70</v>
          </cell>
        </row>
        <row r="1697">
          <cell r="A1697">
            <v>220170</v>
          </cell>
          <cell r="B1697" t="str">
            <v>Estoix KINCREM 'KF' 7.0</v>
          </cell>
          <cell r="C1697" t="str">
            <v>220170</v>
          </cell>
        </row>
        <row r="1698">
          <cell r="A1698">
            <v>220171</v>
          </cell>
          <cell r="B1698" t="str">
            <v>Estoix KINCREM 'KF' 7.00</v>
          </cell>
          <cell r="C1698" t="str">
            <v>ESKF700</v>
          </cell>
        </row>
        <row r="1699">
          <cell r="A1699">
            <v>220171</v>
          </cell>
          <cell r="B1699" t="str">
            <v>Estoix KINCREM 'KF' 7.00</v>
          </cell>
          <cell r="C1699" t="str">
            <v>220171</v>
          </cell>
        </row>
        <row r="1700">
          <cell r="A1700">
            <v>220172</v>
          </cell>
          <cell r="B1700" t="str">
            <v>Estoix KINCREM 'KF' 7.01</v>
          </cell>
          <cell r="C1700" t="str">
            <v>ESKF701</v>
          </cell>
        </row>
        <row r="1701">
          <cell r="A1701">
            <v>220172</v>
          </cell>
          <cell r="B1701" t="str">
            <v>Estoix KINCREM 'KF' 7.01</v>
          </cell>
          <cell r="C1701" t="str">
            <v>220172</v>
          </cell>
        </row>
        <row r="1702">
          <cell r="A1702">
            <v>220173</v>
          </cell>
          <cell r="B1702" t="str">
            <v>Estoix KINCREM 'KF' 7.1</v>
          </cell>
          <cell r="C1702" t="str">
            <v>ESKF71</v>
          </cell>
        </row>
        <row r="1703">
          <cell r="A1703">
            <v>220173</v>
          </cell>
          <cell r="B1703" t="str">
            <v>Estoix KINCREM 'KF' 7.1</v>
          </cell>
          <cell r="C1703" t="str">
            <v>220173</v>
          </cell>
        </row>
        <row r="1704">
          <cell r="A1704">
            <v>220174</v>
          </cell>
          <cell r="B1704" t="str">
            <v>Estoix KINCREM 'KF' 7.3</v>
          </cell>
          <cell r="C1704" t="str">
            <v>ESKF73</v>
          </cell>
        </row>
        <row r="1705">
          <cell r="A1705">
            <v>220174</v>
          </cell>
          <cell r="B1705" t="str">
            <v>Estoix KINCREM 'KF' 7.3</v>
          </cell>
          <cell r="C1705" t="str">
            <v>220174</v>
          </cell>
        </row>
        <row r="1706">
          <cell r="A1706">
            <v>220175</v>
          </cell>
          <cell r="B1706" t="str">
            <v>Estoix KINCREM 'KF' 7.31</v>
          </cell>
          <cell r="C1706" t="str">
            <v>ESKF731</v>
          </cell>
        </row>
        <row r="1707">
          <cell r="A1707">
            <v>220175</v>
          </cell>
          <cell r="B1707" t="str">
            <v>Estoix KINCREM 'KF' 7.31</v>
          </cell>
          <cell r="C1707" t="str">
            <v>220175</v>
          </cell>
        </row>
        <row r="1708">
          <cell r="A1708">
            <v>220176</v>
          </cell>
          <cell r="B1708" t="str">
            <v>Estoix KINCREM 'KF' 7.32</v>
          </cell>
          <cell r="C1708" t="str">
            <v>ESKF732</v>
          </cell>
        </row>
        <row r="1709">
          <cell r="A1709">
            <v>220176</v>
          </cell>
          <cell r="B1709" t="str">
            <v>Estoix KINCREM 'KF' 7.32</v>
          </cell>
          <cell r="C1709" t="str">
            <v>220176</v>
          </cell>
        </row>
        <row r="1710">
          <cell r="A1710">
            <v>220177</v>
          </cell>
          <cell r="B1710" t="str">
            <v>Estoix KINCREM 'KF' 7.33</v>
          </cell>
          <cell r="C1710" t="str">
            <v>ESKF733</v>
          </cell>
        </row>
        <row r="1711">
          <cell r="A1711">
            <v>220177</v>
          </cell>
          <cell r="B1711" t="str">
            <v>Estoix KINCREM 'KF' 7.33</v>
          </cell>
          <cell r="C1711" t="str">
            <v>220177</v>
          </cell>
        </row>
        <row r="1712">
          <cell r="A1712">
            <v>220178</v>
          </cell>
          <cell r="B1712" t="str">
            <v>Estoix KINCREM 'KF' 7.34</v>
          </cell>
          <cell r="C1712" t="str">
            <v>ESKF734</v>
          </cell>
        </row>
        <row r="1713">
          <cell r="A1713">
            <v>220178</v>
          </cell>
          <cell r="B1713" t="str">
            <v>Estoix KINCREM 'KF' 7.34</v>
          </cell>
          <cell r="C1713" t="str">
            <v>220178</v>
          </cell>
        </row>
        <row r="1714">
          <cell r="A1714">
            <v>220179</v>
          </cell>
          <cell r="B1714" t="str">
            <v>Estoix KINCREM 'KF' 8.0</v>
          </cell>
          <cell r="C1714" t="str">
            <v>ESKF80</v>
          </cell>
        </row>
        <row r="1715">
          <cell r="A1715">
            <v>220179</v>
          </cell>
          <cell r="B1715" t="str">
            <v>Estoix KINCREM 'KF' 8.0</v>
          </cell>
          <cell r="C1715" t="str">
            <v>220179</v>
          </cell>
        </row>
        <row r="1716">
          <cell r="A1716">
            <v>220180</v>
          </cell>
          <cell r="B1716" t="str">
            <v>Estoix KINCREM 'KF' 8.00</v>
          </cell>
          <cell r="C1716" t="str">
            <v>ESKF800</v>
          </cell>
        </row>
        <row r="1717">
          <cell r="A1717">
            <v>220180</v>
          </cell>
          <cell r="B1717" t="str">
            <v>Estoix KINCREM 'KF' 8.00</v>
          </cell>
          <cell r="C1717" t="str">
            <v>220180</v>
          </cell>
        </row>
        <row r="1718">
          <cell r="A1718">
            <v>220181</v>
          </cell>
          <cell r="B1718" t="str">
            <v>Estoix KINCREM 'KF' 8.01</v>
          </cell>
          <cell r="C1718" t="str">
            <v>ESKF801</v>
          </cell>
        </row>
        <row r="1719">
          <cell r="A1719">
            <v>220181</v>
          </cell>
          <cell r="B1719" t="str">
            <v>Estoix KINCREM 'KF' 8.01</v>
          </cell>
          <cell r="C1719" t="str">
            <v>220181</v>
          </cell>
        </row>
        <row r="1720">
          <cell r="A1720">
            <v>220182</v>
          </cell>
          <cell r="B1720" t="str">
            <v>Estoix KINCREM 'KF' 8.1</v>
          </cell>
          <cell r="C1720" t="str">
            <v>ESKF81</v>
          </cell>
        </row>
        <row r="1721">
          <cell r="A1721">
            <v>220182</v>
          </cell>
          <cell r="B1721" t="str">
            <v>Estoix KINCREM 'KF' 8.1</v>
          </cell>
          <cell r="C1721" t="str">
            <v>220182</v>
          </cell>
        </row>
        <row r="1722">
          <cell r="A1722">
            <v>220183</v>
          </cell>
          <cell r="B1722" t="str">
            <v>Estoix KINCREM 'KF' 8.3</v>
          </cell>
          <cell r="C1722" t="str">
            <v>ESKF83</v>
          </cell>
        </row>
        <row r="1723">
          <cell r="A1723">
            <v>220183</v>
          </cell>
          <cell r="B1723" t="str">
            <v>Estoix KINCREM 'KF' 8.3</v>
          </cell>
          <cell r="C1723" t="str">
            <v>220183</v>
          </cell>
        </row>
        <row r="1724">
          <cell r="A1724">
            <v>220184</v>
          </cell>
          <cell r="B1724" t="str">
            <v>Estoix KINCREM 'KF' 8.31</v>
          </cell>
          <cell r="C1724" t="str">
            <v>ESKF831</v>
          </cell>
        </row>
        <row r="1725">
          <cell r="A1725">
            <v>220184</v>
          </cell>
          <cell r="B1725" t="str">
            <v>Estoix KINCREM 'KF' 8.31</v>
          </cell>
          <cell r="C1725" t="str">
            <v>220184</v>
          </cell>
        </row>
        <row r="1726">
          <cell r="A1726">
            <v>220185</v>
          </cell>
          <cell r="B1726" t="str">
            <v>Estoix KINCREM 'KF' 8.32</v>
          </cell>
          <cell r="C1726" t="str">
            <v>ESKF832</v>
          </cell>
        </row>
        <row r="1727">
          <cell r="A1727">
            <v>220185</v>
          </cell>
          <cell r="B1727" t="str">
            <v>Estoix KINCREM 'KF' 8.32</v>
          </cell>
          <cell r="C1727" t="str">
            <v>220185</v>
          </cell>
        </row>
        <row r="1728">
          <cell r="A1728">
            <v>220186</v>
          </cell>
          <cell r="B1728" t="str">
            <v>Estoix KINCREM 'KF' 8.33</v>
          </cell>
          <cell r="C1728" t="str">
            <v>ESKF833</v>
          </cell>
        </row>
        <row r="1729">
          <cell r="A1729">
            <v>220186</v>
          </cell>
          <cell r="B1729" t="str">
            <v>Estoix KINCREM 'KF' 8.33</v>
          </cell>
          <cell r="C1729" t="str">
            <v>220186</v>
          </cell>
        </row>
        <row r="1730">
          <cell r="A1730">
            <v>220187</v>
          </cell>
          <cell r="B1730" t="str">
            <v>Estoix KINCREM 'KF' 8.34</v>
          </cell>
          <cell r="C1730" t="str">
            <v>ESKF834</v>
          </cell>
        </row>
        <row r="1731">
          <cell r="A1731">
            <v>220187</v>
          </cell>
          <cell r="B1731" t="str">
            <v>Estoix KINCREM 'KF' 8.34</v>
          </cell>
          <cell r="C1731" t="str">
            <v>220187</v>
          </cell>
        </row>
        <row r="1732">
          <cell r="A1732">
            <v>220188</v>
          </cell>
          <cell r="B1732" t="str">
            <v>Estoix KINCREM 'KF' 9.0</v>
          </cell>
          <cell r="C1732" t="str">
            <v>ESKF90</v>
          </cell>
        </row>
        <row r="1733">
          <cell r="A1733">
            <v>220188</v>
          </cell>
          <cell r="B1733" t="str">
            <v>Estoix KINCREM 'KF' 9.0</v>
          </cell>
          <cell r="C1733" t="str">
            <v>220188</v>
          </cell>
        </row>
        <row r="1734">
          <cell r="A1734">
            <v>220189</v>
          </cell>
          <cell r="B1734" t="str">
            <v>Estoix KINCREM 'KF' 9.00</v>
          </cell>
          <cell r="C1734" t="str">
            <v>ESKF900</v>
          </cell>
        </row>
        <row r="1735">
          <cell r="A1735">
            <v>220189</v>
          </cell>
          <cell r="B1735" t="str">
            <v>Estoix KINCREM 'KF' 9.00</v>
          </cell>
          <cell r="C1735" t="str">
            <v>220189</v>
          </cell>
        </row>
        <row r="1736">
          <cell r="A1736">
            <v>220190</v>
          </cell>
          <cell r="B1736" t="str">
            <v>Estoix KINCREM 'KF' 9.01</v>
          </cell>
          <cell r="C1736" t="str">
            <v>ESKF901</v>
          </cell>
        </row>
        <row r="1737">
          <cell r="A1737">
            <v>220190</v>
          </cell>
          <cell r="B1737" t="str">
            <v>Estoix KINCREM 'KF' 9.01</v>
          </cell>
          <cell r="C1737" t="str">
            <v>220190</v>
          </cell>
        </row>
        <row r="1738">
          <cell r="A1738">
            <v>220191</v>
          </cell>
          <cell r="B1738" t="str">
            <v>Estoix KINCREM 'KF' 9.1</v>
          </cell>
          <cell r="C1738" t="str">
            <v>ESKF91</v>
          </cell>
        </row>
        <row r="1739">
          <cell r="A1739">
            <v>220191</v>
          </cell>
          <cell r="B1739" t="str">
            <v>Estoix KINCREM 'KF' 9.1</v>
          </cell>
          <cell r="C1739" t="str">
            <v>220191</v>
          </cell>
        </row>
        <row r="1740">
          <cell r="A1740">
            <v>220192</v>
          </cell>
          <cell r="B1740" t="str">
            <v>Estoix KINCREM 'KF' 9.12</v>
          </cell>
          <cell r="C1740" t="str">
            <v>ESKF912</v>
          </cell>
        </row>
        <row r="1741">
          <cell r="A1741">
            <v>220192</v>
          </cell>
          <cell r="B1741" t="str">
            <v>Estoix KINCREM 'KF' 9.12</v>
          </cell>
          <cell r="C1741" t="str">
            <v>220192</v>
          </cell>
        </row>
        <row r="1742">
          <cell r="A1742">
            <v>220193</v>
          </cell>
          <cell r="B1742" t="str">
            <v>Estoix KINCREM 'KF' 9.3</v>
          </cell>
          <cell r="C1742" t="str">
            <v>ESKF93</v>
          </cell>
        </row>
        <row r="1743">
          <cell r="A1743">
            <v>220193</v>
          </cell>
          <cell r="B1743" t="str">
            <v>Estoix KINCREM 'KF' 9.3</v>
          </cell>
          <cell r="C1743" t="str">
            <v>220193</v>
          </cell>
        </row>
        <row r="1744">
          <cell r="A1744">
            <v>220194</v>
          </cell>
          <cell r="B1744" t="str">
            <v>Estoix KINCREM 'KF' 9.31</v>
          </cell>
          <cell r="C1744" t="str">
            <v>ESKF931</v>
          </cell>
        </row>
        <row r="1745">
          <cell r="A1745">
            <v>220194</v>
          </cell>
          <cell r="B1745" t="str">
            <v>Estoix KINCREM 'KF' 9.31</v>
          </cell>
          <cell r="C1745" t="str">
            <v>220194</v>
          </cell>
        </row>
        <row r="1746">
          <cell r="A1746">
            <v>220195</v>
          </cell>
          <cell r="B1746" t="str">
            <v>Estoix KINCREM 'KF' 9.32</v>
          </cell>
          <cell r="C1746" t="str">
            <v>ESKF932</v>
          </cell>
        </row>
        <row r="1747">
          <cell r="A1747">
            <v>220195</v>
          </cell>
          <cell r="B1747" t="str">
            <v>Estoix KINCREM 'KF' 9.32</v>
          </cell>
          <cell r="C1747" t="str">
            <v>220195</v>
          </cell>
        </row>
        <row r="1748">
          <cell r="A1748">
            <v>220196</v>
          </cell>
          <cell r="B1748" t="str">
            <v>Estoix KINCREM 'KF' 9.9</v>
          </cell>
          <cell r="C1748" t="str">
            <v>ESKF99</v>
          </cell>
        </row>
        <row r="1749">
          <cell r="A1749">
            <v>220196</v>
          </cell>
          <cell r="B1749" t="str">
            <v>Estoix KINCREM 'KF' 9.9</v>
          </cell>
          <cell r="C1749" t="str">
            <v>220196</v>
          </cell>
        </row>
        <row r="1750">
          <cell r="A1750">
            <v>220197</v>
          </cell>
          <cell r="B1750" t="str">
            <v>Estoix KINCR. KF BASICS anonim</v>
          </cell>
          <cell r="C1750" t="str">
            <v>ESKFBA</v>
          </cell>
        </row>
        <row r="1751">
          <cell r="A1751">
            <v>220197</v>
          </cell>
          <cell r="B1751" t="str">
            <v>Estoix KINCR. KF BASICS anonim</v>
          </cell>
          <cell r="C1751" t="str">
            <v>220197</v>
          </cell>
        </row>
        <row r="1752">
          <cell r="A1752">
            <v>220198</v>
          </cell>
          <cell r="B1752" t="str">
            <v>Estoix KINCREM 'KF' M/00</v>
          </cell>
          <cell r="C1752" t="str">
            <v>ESKFM00</v>
          </cell>
        </row>
        <row r="1753">
          <cell r="A1753">
            <v>220198</v>
          </cell>
          <cell r="B1753" t="str">
            <v>Estoix KINCREM 'KF' M/00</v>
          </cell>
          <cell r="C1753" t="str">
            <v>220198</v>
          </cell>
        </row>
        <row r="1754">
          <cell r="A1754">
            <v>220199</v>
          </cell>
          <cell r="B1754" t="str">
            <v>Estoix KINCREM 'KF' M/66</v>
          </cell>
          <cell r="C1754" t="str">
            <v>ESKFM66</v>
          </cell>
        </row>
        <row r="1755">
          <cell r="A1755">
            <v>220199</v>
          </cell>
          <cell r="B1755" t="str">
            <v>Estoix KINCREM 'KF' M/66</v>
          </cell>
          <cell r="C1755" t="str">
            <v>220199</v>
          </cell>
        </row>
        <row r="1756">
          <cell r="A1756">
            <v>220200</v>
          </cell>
          <cell r="B1756" t="str">
            <v>Estoix KINCREM 'KF' M/77</v>
          </cell>
          <cell r="C1756" t="str">
            <v>ESKFM77</v>
          </cell>
        </row>
        <row r="1757">
          <cell r="A1757">
            <v>220200</v>
          </cell>
          <cell r="B1757" t="str">
            <v>Estoix KINCREM 'KF' M/77</v>
          </cell>
          <cell r="C1757" t="str">
            <v>220200</v>
          </cell>
        </row>
        <row r="1758">
          <cell r="A1758">
            <v>220201</v>
          </cell>
          <cell r="B1758" t="str">
            <v>Estoix KINCREM 'KF' 11.0</v>
          </cell>
          <cell r="C1758" t="str">
            <v>ESKF110</v>
          </cell>
        </row>
        <row r="1759">
          <cell r="A1759">
            <v>220201</v>
          </cell>
          <cell r="B1759" t="str">
            <v>Estoix KINCREM 'KF' 11.0</v>
          </cell>
          <cell r="C1759" t="str">
            <v>220201</v>
          </cell>
        </row>
        <row r="1760">
          <cell r="A1760">
            <v>220202</v>
          </cell>
          <cell r="B1760" t="str">
            <v>Estoix KINCREM 'KF' 11.1</v>
          </cell>
          <cell r="C1760" t="str">
            <v>ESKF111</v>
          </cell>
        </row>
        <row r="1761">
          <cell r="A1761">
            <v>220202</v>
          </cell>
          <cell r="B1761" t="str">
            <v>Estoix KINCREM 'KF' 11.1</v>
          </cell>
          <cell r="C1761" t="str">
            <v>220202</v>
          </cell>
        </row>
        <row r="1762">
          <cell r="A1762">
            <v>220203</v>
          </cell>
          <cell r="B1762" t="str">
            <v>Estoix KINCREM 'KF' 11.12</v>
          </cell>
          <cell r="C1762" t="str">
            <v>ESKF1112</v>
          </cell>
        </row>
        <row r="1763">
          <cell r="A1763">
            <v>220203</v>
          </cell>
          <cell r="B1763" t="str">
            <v>Estoix KINCREM 'KF' 11.12</v>
          </cell>
          <cell r="C1763" t="str">
            <v>220203</v>
          </cell>
        </row>
        <row r="1764">
          <cell r="A1764">
            <v>220204</v>
          </cell>
          <cell r="B1764" t="str">
            <v>Estoix KINCREM 'KF' 11.32</v>
          </cell>
          <cell r="C1764" t="str">
            <v>ESKF1132</v>
          </cell>
        </row>
        <row r="1765">
          <cell r="A1765">
            <v>220204</v>
          </cell>
          <cell r="B1765" t="str">
            <v>Estoix KINCREM 'KF' 11.32</v>
          </cell>
          <cell r="C1765" t="str">
            <v>220204</v>
          </cell>
        </row>
        <row r="1766">
          <cell r="A1766">
            <v>220205</v>
          </cell>
          <cell r="B1766" t="str">
            <v>Estoix KINCREM 'KF' 12.0</v>
          </cell>
          <cell r="C1766" t="str">
            <v>ESKF120</v>
          </cell>
        </row>
        <row r="1767">
          <cell r="A1767">
            <v>220205</v>
          </cell>
          <cell r="B1767" t="str">
            <v>Estoix KINCREM 'KF' 12.0</v>
          </cell>
          <cell r="C1767" t="str">
            <v>220205</v>
          </cell>
        </row>
        <row r="1768">
          <cell r="A1768">
            <v>220206</v>
          </cell>
          <cell r="B1768" t="str">
            <v>Estoix KINCREM 'KF' 12.1</v>
          </cell>
          <cell r="C1768" t="str">
            <v>ESKF121</v>
          </cell>
        </row>
        <row r="1769">
          <cell r="A1769">
            <v>220206</v>
          </cell>
          <cell r="B1769" t="str">
            <v>Estoix KINCREM 'KF' 12.1</v>
          </cell>
          <cell r="C1769" t="str">
            <v>220206</v>
          </cell>
        </row>
        <row r="1770">
          <cell r="A1770">
            <v>220207</v>
          </cell>
          <cell r="B1770" t="str">
            <v>Estoix KINCR. KF BLONDES anoni</v>
          </cell>
          <cell r="C1770" t="str">
            <v>ESKFBL</v>
          </cell>
        </row>
        <row r="1771">
          <cell r="A1771">
            <v>220207</v>
          </cell>
          <cell r="B1771" t="str">
            <v>Estoix KINCR. KF BLONDES anoni</v>
          </cell>
          <cell r="C1771" t="str">
            <v>220207</v>
          </cell>
        </row>
        <row r="1772">
          <cell r="A1772">
            <v>220208</v>
          </cell>
          <cell r="B1772" t="str">
            <v>Estoix KINCREM 'KF' 3.5</v>
          </cell>
          <cell r="C1772" t="str">
            <v>ESKF35</v>
          </cell>
        </row>
        <row r="1773">
          <cell r="A1773">
            <v>220208</v>
          </cell>
          <cell r="B1773" t="str">
            <v>Estoix KINCREM 'KF' 3.5</v>
          </cell>
          <cell r="C1773" t="str">
            <v>220208</v>
          </cell>
        </row>
        <row r="1774">
          <cell r="A1774">
            <v>220209</v>
          </cell>
          <cell r="B1774" t="str">
            <v>Estoix KINCREM 'KF' 4.42</v>
          </cell>
          <cell r="C1774" t="str">
            <v>ESKF442</v>
          </cell>
        </row>
        <row r="1775">
          <cell r="A1775">
            <v>220209</v>
          </cell>
          <cell r="B1775" t="str">
            <v>Estoix KINCREM 'KF' 4.42</v>
          </cell>
          <cell r="C1775" t="str">
            <v>220209</v>
          </cell>
        </row>
        <row r="1776">
          <cell r="A1776">
            <v>220210</v>
          </cell>
          <cell r="B1776" t="str">
            <v>Estoix KINCREM 'KF' 4.5</v>
          </cell>
          <cell r="C1776" t="str">
            <v>ESKF45</v>
          </cell>
        </row>
        <row r="1777">
          <cell r="A1777">
            <v>220210</v>
          </cell>
          <cell r="B1777" t="str">
            <v>Estoix KINCREM 'KF' 4.5</v>
          </cell>
          <cell r="C1777" t="str">
            <v>220210</v>
          </cell>
        </row>
        <row r="1778">
          <cell r="A1778">
            <v>220211</v>
          </cell>
          <cell r="B1778" t="str">
            <v>Estoix KINCREM 'KF' 4.50</v>
          </cell>
          <cell r="C1778" t="str">
            <v>ESKF450</v>
          </cell>
        </row>
        <row r="1779">
          <cell r="A1779">
            <v>220211</v>
          </cell>
          <cell r="B1779" t="str">
            <v>Estoix KINCREM 'KF' 4.50</v>
          </cell>
          <cell r="C1779" t="str">
            <v>220211</v>
          </cell>
        </row>
        <row r="1780">
          <cell r="A1780">
            <v>220212</v>
          </cell>
          <cell r="B1780" t="str">
            <v>Estoix KINCREM 'KF' 4.51</v>
          </cell>
          <cell r="C1780" t="str">
            <v>ESKF451</v>
          </cell>
        </row>
        <row r="1781">
          <cell r="A1781">
            <v>220212</v>
          </cell>
          <cell r="B1781" t="str">
            <v>Estoix KINCREM 'KF' 4.51</v>
          </cell>
          <cell r="C1781" t="str">
            <v>220212</v>
          </cell>
        </row>
        <row r="1782">
          <cell r="A1782">
            <v>220213</v>
          </cell>
          <cell r="B1782" t="str">
            <v>Estoix KINCREM 'KF' 4.53</v>
          </cell>
          <cell r="C1782" t="str">
            <v>ESKF453</v>
          </cell>
        </row>
        <row r="1783">
          <cell r="A1783">
            <v>220213</v>
          </cell>
          <cell r="B1783" t="str">
            <v>Estoix KINCREM 'KF' 4.53</v>
          </cell>
          <cell r="C1783" t="str">
            <v>220213</v>
          </cell>
        </row>
        <row r="1784">
          <cell r="A1784">
            <v>220214</v>
          </cell>
          <cell r="B1784" t="str">
            <v>Estoix KINCREM 'KF' 5.4</v>
          </cell>
          <cell r="C1784" t="str">
            <v>ESKF54</v>
          </cell>
        </row>
        <row r="1785">
          <cell r="A1785">
            <v>220214</v>
          </cell>
          <cell r="B1785" t="str">
            <v>Estoix KINCREM 'KF' 5.4</v>
          </cell>
          <cell r="C1785" t="str">
            <v>220214</v>
          </cell>
        </row>
        <row r="1786">
          <cell r="A1786">
            <v>220215</v>
          </cell>
          <cell r="B1786" t="str">
            <v>Estoix KINCREM 'KF' 5.45</v>
          </cell>
          <cell r="C1786" t="str">
            <v>ESKF545</v>
          </cell>
        </row>
        <row r="1787">
          <cell r="A1787">
            <v>220215</v>
          </cell>
          <cell r="B1787" t="str">
            <v>Estoix KINCREM 'KF' 5.45</v>
          </cell>
          <cell r="C1787" t="str">
            <v>220215</v>
          </cell>
        </row>
        <row r="1788">
          <cell r="A1788">
            <v>220216</v>
          </cell>
          <cell r="B1788" t="str">
            <v>Estoix KINCREM 'KF' 5.5</v>
          </cell>
          <cell r="C1788" t="str">
            <v>ESKF55</v>
          </cell>
        </row>
        <row r="1789">
          <cell r="A1789">
            <v>220216</v>
          </cell>
          <cell r="B1789" t="str">
            <v>Estoix KINCREM 'KF' 5.5</v>
          </cell>
          <cell r="C1789" t="str">
            <v>220216</v>
          </cell>
        </row>
        <row r="1790">
          <cell r="A1790">
            <v>220217</v>
          </cell>
          <cell r="B1790" t="str">
            <v>Estoix KINCREM 'KF' 5.50</v>
          </cell>
          <cell r="C1790" t="str">
            <v>ESKF550</v>
          </cell>
        </row>
        <row r="1791">
          <cell r="A1791">
            <v>220217</v>
          </cell>
          <cell r="B1791" t="str">
            <v>Estoix KINCREM 'KF' 5.50</v>
          </cell>
          <cell r="C1791" t="str">
            <v>220217</v>
          </cell>
        </row>
        <row r="1792">
          <cell r="A1792">
            <v>220218</v>
          </cell>
          <cell r="B1792" t="str">
            <v>Estoix KINCREM 'KF' 5.51</v>
          </cell>
          <cell r="C1792" t="str">
            <v>ESKF551</v>
          </cell>
        </row>
        <row r="1793">
          <cell r="A1793">
            <v>220218</v>
          </cell>
          <cell r="B1793" t="str">
            <v>Estoix KINCREM 'KF' 5.51</v>
          </cell>
          <cell r="C1793" t="str">
            <v>220218</v>
          </cell>
        </row>
        <row r="1794">
          <cell r="A1794">
            <v>220219</v>
          </cell>
          <cell r="B1794" t="str">
            <v>Estoix KINCREM 'KF' 5.52</v>
          </cell>
          <cell r="C1794" t="str">
            <v>ESKF552</v>
          </cell>
        </row>
        <row r="1795">
          <cell r="A1795">
            <v>220219</v>
          </cell>
          <cell r="B1795" t="str">
            <v>Estoix KINCREM 'KF' 5.52</v>
          </cell>
          <cell r="C1795" t="str">
            <v>220219</v>
          </cell>
        </row>
        <row r="1796">
          <cell r="A1796">
            <v>220220</v>
          </cell>
          <cell r="B1796" t="str">
            <v>Estoix KINCREM 'KF' 5.53</v>
          </cell>
          <cell r="C1796" t="str">
            <v>ESKF553</v>
          </cell>
        </row>
        <row r="1797">
          <cell r="A1797">
            <v>220220</v>
          </cell>
          <cell r="B1797" t="str">
            <v>Estoix KINCREM 'KF' 5.53</v>
          </cell>
          <cell r="C1797" t="str">
            <v>220220</v>
          </cell>
        </row>
        <row r="1798">
          <cell r="A1798">
            <v>220221</v>
          </cell>
          <cell r="B1798" t="str">
            <v>Estoix KINCREM 'KF' 6.42</v>
          </cell>
          <cell r="C1798" t="str">
            <v>ESKF642</v>
          </cell>
        </row>
        <row r="1799">
          <cell r="A1799">
            <v>220221</v>
          </cell>
          <cell r="B1799" t="str">
            <v>Estoix KINCREM 'KF' 6.42</v>
          </cell>
          <cell r="C1799" t="str">
            <v>220221</v>
          </cell>
        </row>
        <row r="1800">
          <cell r="A1800">
            <v>220222</v>
          </cell>
          <cell r="B1800" t="str">
            <v>Estoix KINCREM 'KF' 6.43</v>
          </cell>
          <cell r="C1800" t="str">
            <v>ESKF643</v>
          </cell>
        </row>
        <row r="1801">
          <cell r="A1801">
            <v>220222</v>
          </cell>
          <cell r="B1801" t="str">
            <v>Estoix KINCREM 'KF' 6.43</v>
          </cell>
          <cell r="C1801" t="str">
            <v>220222</v>
          </cell>
        </row>
        <row r="1802">
          <cell r="A1802">
            <v>220223</v>
          </cell>
          <cell r="B1802" t="str">
            <v>Estoix KINCREM 'KF' 6.44</v>
          </cell>
          <cell r="C1802" t="str">
            <v>ESKF644</v>
          </cell>
        </row>
        <row r="1803">
          <cell r="A1803">
            <v>220223</v>
          </cell>
          <cell r="B1803" t="str">
            <v>Estoix KINCREM 'KF' 6.44</v>
          </cell>
          <cell r="C1803" t="str">
            <v>220223</v>
          </cell>
        </row>
        <row r="1804">
          <cell r="A1804">
            <v>220224</v>
          </cell>
          <cell r="B1804" t="str">
            <v>Estoix KINCREM 'KF' 6.45</v>
          </cell>
          <cell r="C1804" t="str">
            <v>ESKF645</v>
          </cell>
        </row>
        <row r="1805">
          <cell r="A1805">
            <v>220224</v>
          </cell>
          <cell r="B1805" t="str">
            <v>Estoix KINCREM 'KF' 6.45</v>
          </cell>
          <cell r="C1805" t="str">
            <v>220224</v>
          </cell>
        </row>
        <row r="1806">
          <cell r="A1806">
            <v>220225</v>
          </cell>
          <cell r="B1806" t="str">
            <v>Estoix KINCREM 'KF' 6.5</v>
          </cell>
          <cell r="C1806" t="str">
            <v>ESKF65</v>
          </cell>
        </row>
        <row r="1807">
          <cell r="A1807">
            <v>220225</v>
          </cell>
          <cell r="B1807" t="str">
            <v>Estoix KINCREM 'KF' 6.5</v>
          </cell>
          <cell r="C1807" t="str">
            <v>220225</v>
          </cell>
        </row>
        <row r="1808">
          <cell r="A1808">
            <v>220226</v>
          </cell>
          <cell r="B1808" t="str">
            <v>Estoix KINCREM 'KF' 6.50</v>
          </cell>
          <cell r="C1808" t="str">
            <v>ESKF650</v>
          </cell>
        </row>
        <row r="1809">
          <cell r="A1809">
            <v>220226</v>
          </cell>
          <cell r="B1809" t="str">
            <v>Estoix KINCREM 'KF' 6.50</v>
          </cell>
          <cell r="C1809" t="str">
            <v>220226</v>
          </cell>
        </row>
        <row r="1810">
          <cell r="A1810">
            <v>220227</v>
          </cell>
          <cell r="B1810" t="str">
            <v>Estoix KINCREM 'KF' 6.51</v>
          </cell>
          <cell r="C1810" t="str">
            <v>ESKF651</v>
          </cell>
        </row>
        <row r="1811">
          <cell r="A1811">
            <v>220227</v>
          </cell>
          <cell r="B1811" t="str">
            <v>Estoix KINCREM 'KF' 6.51</v>
          </cell>
          <cell r="C1811" t="str">
            <v>220227</v>
          </cell>
        </row>
        <row r="1812">
          <cell r="A1812">
            <v>220228</v>
          </cell>
          <cell r="B1812" t="str">
            <v>Estoix KINCREM 'KF' 6.52</v>
          </cell>
          <cell r="C1812" t="str">
            <v>ESKF652</v>
          </cell>
        </row>
        <row r="1813">
          <cell r="A1813">
            <v>220228</v>
          </cell>
          <cell r="B1813" t="str">
            <v>Estoix KINCREM 'KF' 6.52</v>
          </cell>
          <cell r="C1813" t="str">
            <v>220228</v>
          </cell>
        </row>
        <row r="1814">
          <cell r="A1814">
            <v>220229</v>
          </cell>
          <cell r="B1814" t="str">
            <v>Estoix KINCREM 'KF' 6.53</v>
          </cell>
          <cell r="C1814" t="str">
            <v>ESKF653</v>
          </cell>
        </row>
        <row r="1815">
          <cell r="A1815">
            <v>220229</v>
          </cell>
          <cell r="B1815" t="str">
            <v>Estoix KINCREM 'KF' 6.53</v>
          </cell>
          <cell r="C1815" t="str">
            <v>220229</v>
          </cell>
        </row>
        <row r="1816">
          <cell r="A1816">
            <v>220230</v>
          </cell>
          <cell r="B1816" t="str">
            <v>Estoix KINCREM 'KF' 6.54</v>
          </cell>
          <cell r="C1816" t="str">
            <v>ESKF654</v>
          </cell>
        </row>
        <row r="1817">
          <cell r="A1817">
            <v>220230</v>
          </cell>
          <cell r="B1817" t="str">
            <v>Estoix KINCREM 'KF' 6.54</v>
          </cell>
          <cell r="C1817" t="str">
            <v>220230</v>
          </cell>
        </row>
        <row r="1818">
          <cell r="A1818">
            <v>220231</v>
          </cell>
          <cell r="B1818" t="str">
            <v>Estoix KINCREM 'KF' 7.4</v>
          </cell>
          <cell r="C1818" t="str">
            <v>ESKF74</v>
          </cell>
        </row>
        <row r="1819">
          <cell r="A1819">
            <v>220231</v>
          </cell>
          <cell r="B1819" t="str">
            <v>Estoix KINCREM 'KF' 7.4</v>
          </cell>
          <cell r="C1819" t="str">
            <v>220231</v>
          </cell>
        </row>
        <row r="1820">
          <cell r="A1820">
            <v>220232</v>
          </cell>
          <cell r="B1820" t="str">
            <v>Estoix KINCREM 'KF' 7.44</v>
          </cell>
          <cell r="C1820" t="str">
            <v>ESKF744</v>
          </cell>
        </row>
        <row r="1821">
          <cell r="A1821">
            <v>220232</v>
          </cell>
          <cell r="B1821" t="str">
            <v>Estoix KINCREM 'KF' 7.44</v>
          </cell>
          <cell r="C1821" t="str">
            <v>220232</v>
          </cell>
        </row>
        <row r="1822">
          <cell r="A1822">
            <v>220233</v>
          </cell>
          <cell r="B1822" t="str">
            <v>Estoix KINCREM 'KF' 7.45</v>
          </cell>
          <cell r="C1822" t="str">
            <v>ESKF745</v>
          </cell>
        </row>
        <row r="1823">
          <cell r="A1823">
            <v>220233</v>
          </cell>
          <cell r="B1823" t="str">
            <v>Estoix KINCREM 'KF' 7.45</v>
          </cell>
          <cell r="C1823" t="str">
            <v>220233</v>
          </cell>
        </row>
        <row r="1824">
          <cell r="A1824">
            <v>220234</v>
          </cell>
          <cell r="B1824" t="str">
            <v>Estoix KINCREM 'KF' 7.5</v>
          </cell>
          <cell r="C1824" t="str">
            <v>ESKF75</v>
          </cell>
        </row>
        <row r="1825">
          <cell r="A1825">
            <v>220234</v>
          </cell>
          <cell r="B1825" t="str">
            <v>Estoix KINCREM 'KF' 7.5</v>
          </cell>
          <cell r="C1825" t="str">
            <v>220234</v>
          </cell>
        </row>
        <row r="1826">
          <cell r="A1826">
            <v>220235</v>
          </cell>
          <cell r="B1826" t="str">
            <v>Estoix KINCREM 'KF' 7.50</v>
          </cell>
          <cell r="C1826" t="str">
            <v>ESKF750</v>
          </cell>
        </row>
        <row r="1827">
          <cell r="A1827">
            <v>220235</v>
          </cell>
          <cell r="B1827" t="str">
            <v>Estoix KINCREM 'KF' 7.50</v>
          </cell>
          <cell r="C1827" t="str">
            <v>220235</v>
          </cell>
        </row>
        <row r="1828">
          <cell r="A1828">
            <v>220236</v>
          </cell>
          <cell r="B1828" t="str">
            <v>Estoix KINCREM 'KF' 7.51</v>
          </cell>
          <cell r="C1828" t="str">
            <v>ESKF751</v>
          </cell>
        </row>
        <row r="1829">
          <cell r="A1829">
            <v>220236</v>
          </cell>
          <cell r="B1829" t="str">
            <v>Estoix KINCREM 'KF' 7.51</v>
          </cell>
          <cell r="C1829" t="str">
            <v>220236</v>
          </cell>
        </row>
        <row r="1830">
          <cell r="A1830">
            <v>220237</v>
          </cell>
          <cell r="B1830" t="str">
            <v>Estoix KINCREM 'KF' 7.52</v>
          </cell>
          <cell r="C1830" t="str">
            <v>ESKF752</v>
          </cell>
        </row>
        <row r="1831">
          <cell r="A1831">
            <v>220237</v>
          </cell>
          <cell r="B1831" t="str">
            <v>Estoix KINCREM 'KF' 7.52</v>
          </cell>
          <cell r="C1831" t="str">
            <v>220237</v>
          </cell>
        </row>
        <row r="1832">
          <cell r="A1832">
            <v>220238</v>
          </cell>
          <cell r="B1832" t="str">
            <v>Estoix KINCREM 'KF' 7.53</v>
          </cell>
          <cell r="C1832" t="str">
            <v>ESKF753</v>
          </cell>
        </row>
        <row r="1833">
          <cell r="A1833">
            <v>220238</v>
          </cell>
          <cell r="B1833" t="str">
            <v>Estoix KINCREM 'KF' 7.53</v>
          </cell>
          <cell r="C1833" t="str">
            <v>220238</v>
          </cell>
        </row>
        <row r="1834">
          <cell r="A1834">
            <v>220239</v>
          </cell>
          <cell r="B1834" t="str">
            <v>Estoix KINCREM 'KF' 8.43</v>
          </cell>
          <cell r="C1834" t="str">
            <v>ESKF843</v>
          </cell>
        </row>
        <row r="1835">
          <cell r="A1835">
            <v>220239</v>
          </cell>
          <cell r="B1835" t="str">
            <v>Estoix KINCREM 'KF' 8.43</v>
          </cell>
          <cell r="C1835" t="str">
            <v>220239</v>
          </cell>
        </row>
        <row r="1836">
          <cell r="A1836">
            <v>220240</v>
          </cell>
          <cell r="B1836" t="str">
            <v>Estoix KINCREM 'KF' 8.44</v>
          </cell>
          <cell r="C1836" t="str">
            <v>ESKF844</v>
          </cell>
        </row>
        <row r="1837">
          <cell r="A1837">
            <v>220240</v>
          </cell>
          <cell r="B1837" t="str">
            <v>Estoix KINCREM 'KF' 8.44</v>
          </cell>
          <cell r="C1837" t="str">
            <v>220240</v>
          </cell>
        </row>
        <row r="1838">
          <cell r="A1838">
            <v>220241</v>
          </cell>
          <cell r="B1838" t="str">
            <v>Estoix KINCREM 'KF' 8.45</v>
          </cell>
          <cell r="C1838" t="str">
            <v>ESKF845</v>
          </cell>
        </row>
        <row r="1839">
          <cell r="A1839">
            <v>220241</v>
          </cell>
          <cell r="B1839" t="str">
            <v>Estoix KINCREM 'KF' 8.45</v>
          </cell>
          <cell r="C1839" t="str">
            <v>220241</v>
          </cell>
        </row>
        <row r="1840">
          <cell r="A1840">
            <v>220242</v>
          </cell>
          <cell r="B1840" t="str">
            <v>Estoix KINCREM 'KF' 8.51</v>
          </cell>
          <cell r="C1840" t="str">
            <v>ESKF851</v>
          </cell>
        </row>
        <row r="1841">
          <cell r="A1841">
            <v>220242</v>
          </cell>
          <cell r="B1841" t="str">
            <v>Estoix KINCREM 'KF' 8.51</v>
          </cell>
          <cell r="C1841" t="str">
            <v>220242</v>
          </cell>
        </row>
        <row r="1842">
          <cell r="A1842">
            <v>220243</v>
          </cell>
          <cell r="B1842" t="str">
            <v>Estoix KINCREM 'KF' 8.53</v>
          </cell>
          <cell r="C1842" t="str">
            <v>ESKF853</v>
          </cell>
        </row>
        <row r="1843">
          <cell r="A1843">
            <v>220243</v>
          </cell>
          <cell r="B1843" t="str">
            <v>Estoix KINCREM 'KF' 8.53</v>
          </cell>
          <cell r="C1843" t="str">
            <v>220243</v>
          </cell>
        </row>
        <row r="1844">
          <cell r="A1844">
            <v>220244</v>
          </cell>
          <cell r="B1844" t="str">
            <v>Estoix KINCREM 'KF' 8.54</v>
          </cell>
          <cell r="C1844" t="str">
            <v>ESKF854</v>
          </cell>
        </row>
        <row r="1845">
          <cell r="A1845">
            <v>220244</v>
          </cell>
          <cell r="B1845" t="str">
            <v>Estoix KINCREM 'KF' 8.54</v>
          </cell>
          <cell r="C1845" t="str">
            <v>220244</v>
          </cell>
        </row>
        <row r="1846">
          <cell r="A1846">
            <v>220245</v>
          </cell>
          <cell r="B1846" t="str">
            <v>Estoix KINCREM KF BROWN anonim</v>
          </cell>
          <cell r="C1846" t="str">
            <v>ESKFBR</v>
          </cell>
        </row>
        <row r="1847">
          <cell r="A1847">
            <v>220245</v>
          </cell>
          <cell r="B1847" t="str">
            <v>Estoix KINCREM KF BROWN anonim</v>
          </cell>
          <cell r="C1847" t="str">
            <v>220245</v>
          </cell>
        </row>
        <row r="1848">
          <cell r="A1848">
            <v>220246</v>
          </cell>
          <cell r="B1848" t="str">
            <v>Estoix KINCREM 'KF' 4.67</v>
          </cell>
          <cell r="C1848" t="str">
            <v>ESKF467</v>
          </cell>
        </row>
        <row r="1849">
          <cell r="A1849">
            <v>220246</v>
          </cell>
          <cell r="B1849" t="str">
            <v>Estoix KINCREM 'KF' 4.67</v>
          </cell>
          <cell r="C1849" t="str">
            <v>220246</v>
          </cell>
        </row>
        <row r="1850">
          <cell r="A1850">
            <v>220247</v>
          </cell>
          <cell r="B1850" t="str">
            <v>Estoix KINCREM 'KF' 4.77</v>
          </cell>
          <cell r="C1850" t="str">
            <v>ESKF477</v>
          </cell>
        </row>
        <row r="1851">
          <cell r="A1851">
            <v>220247</v>
          </cell>
          <cell r="B1851" t="str">
            <v>Estoix KINCREM 'KF' 4.77</v>
          </cell>
          <cell r="C1851" t="str">
            <v>220247</v>
          </cell>
        </row>
        <row r="1852">
          <cell r="A1852">
            <v>220248</v>
          </cell>
          <cell r="B1852" t="str">
            <v>Estoix KINCREM 'KF' 5.66</v>
          </cell>
          <cell r="C1852" t="str">
            <v>ESKF566</v>
          </cell>
        </row>
        <row r="1853">
          <cell r="A1853">
            <v>220248</v>
          </cell>
          <cell r="B1853" t="str">
            <v>Estoix KINCREM 'KF' 5.66</v>
          </cell>
          <cell r="C1853" t="str">
            <v>220248</v>
          </cell>
        </row>
        <row r="1854">
          <cell r="A1854">
            <v>220249</v>
          </cell>
          <cell r="B1854" t="str">
            <v>Estoix KINCREM 'KF' 5.67</v>
          </cell>
          <cell r="C1854" t="str">
            <v>ESKF567</v>
          </cell>
        </row>
        <row r="1855">
          <cell r="A1855">
            <v>220249</v>
          </cell>
          <cell r="B1855" t="str">
            <v>Estoix KINCREM 'KF' 5.67</v>
          </cell>
          <cell r="C1855" t="str">
            <v>220249</v>
          </cell>
        </row>
        <row r="1856">
          <cell r="A1856">
            <v>220250</v>
          </cell>
          <cell r="B1856" t="str">
            <v>Estoix KINCREM 'KF' 5.77</v>
          </cell>
          <cell r="C1856" t="str">
            <v>ESKF577</v>
          </cell>
        </row>
        <row r="1857">
          <cell r="A1857">
            <v>220250</v>
          </cell>
          <cell r="B1857" t="str">
            <v>Estoix KINCREM 'KF' 5.77</v>
          </cell>
          <cell r="C1857" t="str">
            <v>220250</v>
          </cell>
        </row>
        <row r="1858">
          <cell r="A1858">
            <v>220251</v>
          </cell>
          <cell r="B1858" t="str">
            <v>Estoix KINCREM 'KF' 6.64</v>
          </cell>
          <cell r="C1858" t="str">
            <v>ESKF664</v>
          </cell>
        </row>
        <row r="1859">
          <cell r="A1859">
            <v>220251</v>
          </cell>
          <cell r="B1859" t="str">
            <v>Estoix KINCREM 'KF' 6.64</v>
          </cell>
          <cell r="C1859" t="str">
            <v>220251</v>
          </cell>
        </row>
        <row r="1860">
          <cell r="A1860">
            <v>220252</v>
          </cell>
          <cell r="B1860" t="str">
            <v>Estoix KINCREM 'KF' 6.66</v>
          </cell>
          <cell r="C1860" t="str">
            <v>ESKF666</v>
          </cell>
        </row>
        <row r="1861">
          <cell r="A1861">
            <v>220252</v>
          </cell>
          <cell r="B1861" t="str">
            <v>Estoix KINCREM 'KF' 6.66</v>
          </cell>
          <cell r="C1861" t="str">
            <v>220252</v>
          </cell>
        </row>
        <row r="1862">
          <cell r="A1862">
            <v>220253</v>
          </cell>
          <cell r="B1862" t="str">
            <v>Estoix KINCREM 'KF' 6.67</v>
          </cell>
          <cell r="C1862" t="str">
            <v>ESKF667</v>
          </cell>
        </row>
        <row r="1863">
          <cell r="A1863">
            <v>220253</v>
          </cell>
          <cell r="B1863" t="str">
            <v>Estoix KINCREM 'KF' 6.67</v>
          </cell>
          <cell r="C1863" t="str">
            <v>220253</v>
          </cell>
        </row>
        <row r="1864">
          <cell r="A1864">
            <v>220254</v>
          </cell>
          <cell r="B1864" t="str">
            <v>Estoix KINCREM 'KF' 6.77</v>
          </cell>
          <cell r="C1864" t="str">
            <v>ESKF677</v>
          </cell>
        </row>
        <row r="1865">
          <cell r="A1865">
            <v>220254</v>
          </cell>
          <cell r="B1865" t="str">
            <v>Estoix KINCREM 'KF' 6.77</v>
          </cell>
          <cell r="C1865" t="str">
            <v>220254</v>
          </cell>
        </row>
        <row r="1866">
          <cell r="A1866">
            <v>220255</v>
          </cell>
          <cell r="B1866" t="str">
            <v>Estoix KINCREM 'KF' 7.64</v>
          </cell>
          <cell r="C1866" t="str">
            <v>ESKF764</v>
          </cell>
        </row>
        <row r="1867">
          <cell r="A1867">
            <v>220255</v>
          </cell>
          <cell r="B1867" t="str">
            <v>Estoix KINCREM 'KF' 7.64</v>
          </cell>
          <cell r="C1867" t="str">
            <v>220255</v>
          </cell>
        </row>
        <row r="1868">
          <cell r="A1868">
            <v>220256</v>
          </cell>
          <cell r="B1868" t="str">
            <v>Estoix KINCREM 'KF' 7.66</v>
          </cell>
          <cell r="C1868" t="str">
            <v>ESKF766</v>
          </cell>
        </row>
        <row r="1869">
          <cell r="A1869">
            <v>220256</v>
          </cell>
          <cell r="B1869" t="str">
            <v>Estoix KINCREM 'KF' 7.66</v>
          </cell>
          <cell r="C1869" t="str">
            <v>220256</v>
          </cell>
        </row>
        <row r="1870">
          <cell r="A1870">
            <v>220257</v>
          </cell>
          <cell r="B1870" t="str">
            <v>Estoix KINCREM 'KF' 7.67</v>
          </cell>
          <cell r="C1870" t="str">
            <v>ESKF767</v>
          </cell>
        </row>
        <row r="1871">
          <cell r="A1871">
            <v>220257</v>
          </cell>
          <cell r="B1871" t="str">
            <v>Estoix KINCREM 'KF' 7.67</v>
          </cell>
          <cell r="C1871" t="str">
            <v>220257</v>
          </cell>
        </row>
        <row r="1872">
          <cell r="A1872">
            <v>220258</v>
          </cell>
          <cell r="B1872" t="str">
            <v>Estoix KINCREM 'KF' 7.77</v>
          </cell>
          <cell r="C1872" t="str">
            <v>ESKF777</v>
          </cell>
        </row>
        <row r="1873">
          <cell r="A1873">
            <v>220258</v>
          </cell>
          <cell r="B1873" t="str">
            <v>Estoix KINCREM 'KF' 7.77</v>
          </cell>
          <cell r="C1873" t="str">
            <v>220258</v>
          </cell>
        </row>
        <row r="1874">
          <cell r="A1874">
            <v>220259</v>
          </cell>
          <cell r="B1874" t="str">
            <v>Estoix KINCREM 'KF' 8.64</v>
          </cell>
          <cell r="C1874" t="str">
            <v>ESKF864</v>
          </cell>
        </row>
        <row r="1875">
          <cell r="A1875">
            <v>220259</v>
          </cell>
          <cell r="B1875" t="str">
            <v>Estoix KINCREM 'KF' 8.64</v>
          </cell>
          <cell r="C1875" t="str">
            <v>220259</v>
          </cell>
        </row>
        <row r="1876">
          <cell r="A1876">
            <v>220260</v>
          </cell>
          <cell r="B1876" t="str">
            <v>Estoix KINCR.  KF ROUGES anoni</v>
          </cell>
          <cell r="C1876" t="str">
            <v>ESKFRO</v>
          </cell>
        </row>
        <row r="1877">
          <cell r="A1877">
            <v>220260</v>
          </cell>
          <cell r="B1877" t="str">
            <v>Estoix KINCR.  KF ROUGES anoni</v>
          </cell>
          <cell r="C1877" t="str">
            <v>220260</v>
          </cell>
        </row>
        <row r="1878">
          <cell r="A1878">
            <v>220261</v>
          </cell>
          <cell r="B1878" t="str">
            <v>CAIXA 220261 KINMEN SHAMPOOS</v>
          </cell>
          <cell r="C1878" t="str">
            <v>CEK001</v>
          </cell>
        </row>
        <row r="1879">
          <cell r="A1879">
            <v>220261</v>
          </cell>
          <cell r="B1879" t="str">
            <v>CAIXA 220261 KINMEN SHAMPOOS</v>
          </cell>
          <cell r="C1879" t="str">
            <v>0000002202617</v>
          </cell>
        </row>
        <row r="1880">
          <cell r="A1880">
            <v>220262</v>
          </cell>
          <cell r="B1880" t="str">
            <v>CAIXA 220262 KINMEN TONICS</v>
          </cell>
          <cell r="C1880" t="str">
            <v>CEK002</v>
          </cell>
        </row>
        <row r="1881">
          <cell r="A1881">
            <v>220262</v>
          </cell>
          <cell r="B1881" t="str">
            <v>CAIXA 220262 KINMEN TONICS</v>
          </cell>
          <cell r="C1881" t="str">
            <v>0000002202624</v>
          </cell>
        </row>
        <row r="1882">
          <cell r="A1882">
            <v>220263</v>
          </cell>
          <cell r="B1882" t="str">
            <v>CAIXA 220263 KINMEN WET GEL</v>
          </cell>
          <cell r="C1882" t="str">
            <v>CEK003</v>
          </cell>
        </row>
        <row r="1883">
          <cell r="A1883">
            <v>220263</v>
          </cell>
          <cell r="B1883" t="str">
            <v>CAIXA 220263 KINMEN WET GEL</v>
          </cell>
          <cell r="C1883" t="str">
            <v>0000002202631</v>
          </cell>
        </row>
        <row r="1884">
          <cell r="A1884">
            <v>220264</v>
          </cell>
          <cell r="B1884" t="str">
            <v>CAIXA 220264 KINMEN TARRO 75</v>
          </cell>
          <cell r="C1884" t="str">
            <v>CEK004</v>
          </cell>
        </row>
        <row r="1885">
          <cell r="A1885">
            <v>220264</v>
          </cell>
          <cell r="B1885" t="str">
            <v>CAIXA 220264 KINMEN TARRO 75</v>
          </cell>
          <cell r="C1885" t="str">
            <v>0000002202648</v>
          </cell>
        </row>
        <row r="1886">
          <cell r="A1886">
            <v>220265</v>
          </cell>
          <cell r="B1886" t="str">
            <v>CAIXA 220265 KINMEN POWER JELL</v>
          </cell>
          <cell r="C1886" t="str">
            <v>CEK005</v>
          </cell>
        </row>
        <row r="1887">
          <cell r="A1887">
            <v>220265</v>
          </cell>
          <cell r="B1887" t="str">
            <v>CAIXA 220265 KINMEN POWER JELL</v>
          </cell>
          <cell r="C1887" t="str">
            <v>0000002202655</v>
          </cell>
        </row>
        <row r="1888">
          <cell r="A1888">
            <v>220266</v>
          </cell>
          <cell r="B1888" t="str">
            <v>EST. KINMEN TONIC  PURITY</v>
          </cell>
          <cell r="C1888" t="str">
            <v>ESKMTOPU</v>
          </cell>
        </row>
        <row r="1889">
          <cell r="A1889">
            <v>220266</v>
          </cell>
          <cell r="B1889" t="str">
            <v>EST. KINMEN TONIC  PURITY</v>
          </cell>
          <cell r="C1889" t="str">
            <v>220266</v>
          </cell>
        </row>
        <row r="1890">
          <cell r="A1890">
            <v>220267</v>
          </cell>
          <cell r="B1890" t="str">
            <v>EST. KINMEN TONIC FORCE</v>
          </cell>
          <cell r="C1890" t="str">
            <v>ESKMTOFO</v>
          </cell>
        </row>
        <row r="1891">
          <cell r="A1891">
            <v>220267</v>
          </cell>
          <cell r="B1891" t="str">
            <v>EST. KINMEN TONIC FORCE</v>
          </cell>
          <cell r="C1891" t="str">
            <v>220267</v>
          </cell>
        </row>
        <row r="1892">
          <cell r="A1892">
            <v>220268</v>
          </cell>
          <cell r="B1892" t="str">
            <v>CAIXA SPRAY SUNCARE"coll gran</v>
          </cell>
          <cell r="C1892" t="str">
            <v>CE139</v>
          </cell>
        </row>
        <row r="1893">
          <cell r="A1893">
            <v>220268</v>
          </cell>
          <cell r="B1893" t="str">
            <v>CAIXA SPRAY SUNCARE"coll gran</v>
          </cell>
          <cell r="C1893" t="str">
            <v>0000002202686</v>
          </cell>
        </row>
        <row r="1894">
          <cell r="A1894">
            <v>220269</v>
          </cell>
          <cell r="B1894" t="str">
            <v>CAIXA 220269 TARRO 900</v>
          </cell>
          <cell r="C1894" t="str">
            <v>0000002202693</v>
          </cell>
        </row>
        <row r="1895">
          <cell r="A1895">
            <v>220270</v>
          </cell>
          <cell r="B1895" t="str">
            <v>CAIXA 220270 KINBLOND SOBRES 24</v>
          </cell>
          <cell r="C1895" t="str">
            <v>0000002202709</v>
          </cell>
        </row>
        <row r="1896">
          <cell r="A1896">
            <v>220271</v>
          </cell>
          <cell r="B1896" t="str">
            <v>CAIXA 220271 KA SHAMPO 250</v>
          </cell>
          <cell r="C1896" t="str">
            <v>220271</v>
          </cell>
        </row>
        <row r="1897">
          <cell r="A1897">
            <v>220271</v>
          </cell>
          <cell r="B1897" t="str">
            <v>CAIXA 220271 KA SHAMPO 250</v>
          </cell>
          <cell r="C1897" t="str">
            <v>0000002202716</v>
          </cell>
        </row>
        <row r="1898">
          <cell r="A1898">
            <v>220272</v>
          </cell>
          <cell r="B1898" t="str">
            <v>caixa 220272 ka shampoo 1000NO COMPRA MES</v>
          </cell>
          <cell r="C1898" t="str">
            <v>0000002202723</v>
          </cell>
        </row>
        <row r="1899">
          <cell r="A1899">
            <v>220273</v>
          </cell>
          <cell r="B1899" t="str">
            <v>CAIXA 220273 KA 200 FLIP-TOP</v>
          </cell>
          <cell r="C1899" t="str">
            <v>0000002202730</v>
          </cell>
        </row>
        <row r="1900">
          <cell r="A1900">
            <v>220274</v>
          </cell>
          <cell r="B1900" t="str">
            <v>CAIXA 220274 KA 200 VALVULA SP</v>
          </cell>
          <cell r="C1900" t="str">
            <v>0000002202747</v>
          </cell>
        </row>
        <row r="1901">
          <cell r="A1901">
            <v>220275</v>
          </cell>
          <cell r="B1901" t="str">
            <v>CAIXA 220275 KA TARRO 200</v>
          </cell>
          <cell r="C1901" t="str">
            <v>0000002202754</v>
          </cell>
        </row>
        <row r="1902">
          <cell r="A1902">
            <v>220276</v>
          </cell>
          <cell r="B1902" t="str">
            <v>CAIXA 220276 ANULADA</v>
          </cell>
          <cell r="C1902" t="str">
            <v>220276</v>
          </cell>
        </row>
        <row r="1903">
          <cell r="A1903">
            <v>220277</v>
          </cell>
          <cell r="B1903" t="str">
            <v>CAIXA 220277 KA EST. 24 x 18</v>
          </cell>
          <cell r="C1903" t="str">
            <v>0000002202778</v>
          </cell>
        </row>
        <row r="1904">
          <cell r="A1904">
            <v>220278</v>
          </cell>
          <cell r="B1904" t="str">
            <v>CAIXA 220278 KA TUBO/ AIRLESS</v>
          </cell>
          <cell r="C1904" t="str">
            <v>0000002202785</v>
          </cell>
        </row>
        <row r="1905">
          <cell r="A1905">
            <v>220279</v>
          </cell>
          <cell r="B1905" t="str">
            <v>CAIXA 220279 ANULADA</v>
          </cell>
          <cell r="C1905" t="str">
            <v>220279</v>
          </cell>
        </row>
        <row r="1906">
          <cell r="A1906">
            <v>220280</v>
          </cell>
          <cell r="B1906" t="str">
            <v>CAIXA 220280 KA AIRLESS 50 ML.</v>
          </cell>
          <cell r="C1906" t="str">
            <v>0000002202808</v>
          </cell>
        </row>
        <row r="1907">
          <cell r="A1907">
            <v>220281</v>
          </cell>
          <cell r="B1907" t="str">
            <v>CAIXA 220281 KA BOT. 150 ML.</v>
          </cell>
          <cell r="C1907" t="str">
            <v>0000002202815</v>
          </cell>
        </row>
        <row r="1908">
          <cell r="A1908">
            <v>220282</v>
          </cell>
          <cell r="B1908" t="str">
            <v>CAIXA 220282 KA EST. TONIC 150</v>
          </cell>
          <cell r="C1908" t="str">
            <v>000000220282</v>
          </cell>
        </row>
        <row r="1909">
          <cell r="A1909">
            <v>220283</v>
          </cell>
          <cell r="B1909" t="str">
            <v>CAIXA 220283 KA EST TUB 6 x 50</v>
          </cell>
          <cell r="C1909" t="str">
            <v>0000002202839</v>
          </cell>
        </row>
        <row r="1910">
          <cell r="A1910">
            <v>220284</v>
          </cell>
          <cell r="B1910" t="str">
            <v>CAIXA 220284 KA COMPLEXE</v>
          </cell>
          <cell r="C1910" t="str">
            <v>0000002202846</v>
          </cell>
        </row>
        <row r="1911">
          <cell r="A1911">
            <v>220285</v>
          </cell>
          <cell r="B1911" t="str">
            <v>BANDEJA 12 VIALES "COMPL.T.ACT</v>
          </cell>
          <cell r="C1911" t="str">
            <v>220285</v>
          </cell>
        </row>
        <row r="1912">
          <cell r="A1912">
            <v>220286</v>
          </cell>
          <cell r="B1912" t="str">
            <v>ESTOIG  24 TUB. INJECTOR COLOR</v>
          </cell>
          <cell r="C1912" t="str">
            <v>220286</v>
          </cell>
        </row>
        <row r="1913">
          <cell r="A1913">
            <v>220287</v>
          </cell>
          <cell r="B1913" t="str">
            <v>ESTOIG  24 TUB.INJECTOR ENERGY</v>
          </cell>
          <cell r="C1913" t="str">
            <v>220287</v>
          </cell>
        </row>
        <row r="1914">
          <cell r="A1914">
            <v>220288</v>
          </cell>
          <cell r="B1914" t="str">
            <v>ESTOIG  24 TUB.INJECTOR NUTRI</v>
          </cell>
          <cell r="C1914" t="str">
            <v>220288</v>
          </cell>
        </row>
        <row r="1915">
          <cell r="A1915">
            <v>220289</v>
          </cell>
          <cell r="B1915" t="str">
            <v>ESTOIG TARRO MASK COLOR</v>
          </cell>
          <cell r="C1915" t="str">
            <v>220289</v>
          </cell>
        </row>
        <row r="1916">
          <cell r="A1916">
            <v>220290</v>
          </cell>
          <cell r="B1916" t="str">
            <v>ESTOIG TARRO MASK CURL</v>
          </cell>
          <cell r="C1916" t="str">
            <v>220290</v>
          </cell>
        </row>
        <row r="1917">
          <cell r="A1917">
            <v>220291</v>
          </cell>
          <cell r="B1917" t="str">
            <v>ESTOIG  TARRO MASK ENERGY</v>
          </cell>
          <cell r="C1917" t="str">
            <v>220291</v>
          </cell>
        </row>
        <row r="1918">
          <cell r="A1918">
            <v>220292</v>
          </cell>
          <cell r="B1918" t="str">
            <v>ESTOIG  TARRO MASK LISS</v>
          </cell>
          <cell r="C1918" t="str">
            <v>220292</v>
          </cell>
        </row>
        <row r="1919">
          <cell r="A1919">
            <v>220293</v>
          </cell>
          <cell r="B1919" t="str">
            <v>ESTOIG  TARRO MASK NUTRI</v>
          </cell>
          <cell r="C1919" t="str">
            <v>220293</v>
          </cell>
        </row>
        <row r="1920">
          <cell r="A1920">
            <v>220294</v>
          </cell>
          <cell r="B1920" t="str">
            <v>ESTOIG AIRLESS 50 ml. SERUM</v>
          </cell>
          <cell r="C1920" t="str">
            <v>220294</v>
          </cell>
        </row>
        <row r="1921">
          <cell r="A1921">
            <v>220295</v>
          </cell>
          <cell r="B1921" t="str">
            <v>ESTOIG TONIC FORCE KAE</v>
          </cell>
          <cell r="C1921" t="str">
            <v>220295</v>
          </cell>
        </row>
        <row r="1922">
          <cell r="A1922">
            <v>220296</v>
          </cell>
          <cell r="B1922" t="str">
            <v>ESTOIG TONIC PURITY KAE</v>
          </cell>
          <cell r="C1922" t="str">
            <v>220296</v>
          </cell>
        </row>
        <row r="1923">
          <cell r="A1923">
            <v>220297</v>
          </cell>
          <cell r="B1923" t="str">
            <v>ESTOIG  TONIC BALANCE KAE</v>
          </cell>
          <cell r="C1923" t="str">
            <v>220297</v>
          </cell>
        </row>
        <row r="1924">
          <cell r="A1924">
            <v>220298</v>
          </cell>
          <cell r="B1924" t="str">
            <v>ESTOIG  "6 tub" GEL PURITY</v>
          </cell>
          <cell r="C1924" t="str">
            <v>220298</v>
          </cell>
        </row>
        <row r="1925">
          <cell r="A1925">
            <v>220299</v>
          </cell>
          <cell r="B1925" t="str">
            <v>ESTOIG  "6 tub" CLAY BALANCE</v>
          </cell>
          <cell r="C1925" t="str">
            <v>220299</v>
          </cell>
        </row>
        <row r="1926">
          <cell r="A1926">
            <v>220300</v>
          </cell>
          <cell r="B1926" t="str">
            <v>ESTOIG  "6 tub" MASSAGE CALM</v>
          </cell>
          <cell r="C1926" t="str">
            <v>220300</v>
          </cell>
        </row>
        <row r="1927">
          <cell r="A1927">
            <v>220301</v>
          </cell>
          <cell r="B1927" t="str">
            <v>EST.MARFIL  "COMPLEXE T.ACTIVE"</v>
          </cell>
          <cell r="C1927" t="str">
            <v>220301</v>
          </cell>
        </row>
        <row r="1928">
          <cell r="A1928">
            <v>220302</v>
          </cell>
          <cell r="B1928" t="str">
            <v>ESTOIG  PACK ANTICAIDA 2010</v>
          </cell>
          <cell r="C1928" t="str">
            <v>220302</v>
          </cell>
        </row>
        <row r="1929">
          <cell r="A1929">
            <v>220303</v>
          </cell>
          <cell r="B1929" t="str">
            <v>INTERIOR CAJA PACK  KA FORCE 2015</v>
          </cell>
          <cell r="C1929" t="str">
            <v>220303</v>
          </cell>
        </row>
        <row r="1930">
          <cell r="A1930">
            <v>220304</v>
          </cell>
          <cell r="B1930" t="str">
            <v>CAIXA 220304 LOT ANTICAID.2010</v>
          </cell>
          <cell r="C1930" t="str">
            <v>0000002203041</v>
          </cell>
        </row>
        <row r="1931">
          <cell r="A1931">
            <v>220370</v>
          </cell>
          <cell r="B1931" t="str">
            <v>ESTOIG  PACK SUNCARE 2011</v>
          </cell>
          <cell r="C1931" t="str">
            <v>220370</v>
          </cell>
        </row>
        <row r="1932">
          <cell r="A1932">
            <v>220372</v>
          </cell>
          <cell r="B1932" t="str">
            <v>CAIXA 220372 KINLISS</v>
          </cell>
          <cell r="C1932" t="str">
            <v>0000002203720</v>
          </cell>
        </row>
        <row r="1933">
          <cell r="A1933">
            <v>220375</v>
          </cell>
          <cell r="B1933" t="str">
            <v>Estoix KINCREM 'CRK' 1.0</v>
          </cell>
          <cell r="C1933" t="str">
            <v>220375</v>
          </cell>
        </row>
        <row r="1934">
          <cell r="A1934">
            <v>220376</v>
          </cell>
          <cell r="B1934" t="str">
            <v>Estoix KINCREM 'CRK' 2.0</v>
          </cell>
          <cell r="C1934" t="str">
            <v>220376</v>
          </cell>
        </row>
        <row r="1935">
          <cell r="A1935">
            <v>220377</v>
          </cell>
          <cell r="B1935" t="str">
            <v>Estoix KINCREM 'CRK' 3.0</v>
          </cell>
          <cell r="C1935" t="str">
            <v>220377</v>
          </cell>
        </row>
        <row r="1936">
          <cell r="A1936">
            <v>220378</v>
          </cell>
          <cell r="B1936" t="str">
            <v>Estoix KINCREM 'CRK' 4.0</v>
          </cell>
          <cell r="C1936" t="str">
            <v>220378</v>
          </cell>
        </row>
        <row r="1937">
          <cell r="A1937">
            <v>220379</v>
          </cell>
          <cell r="B1937" t="str">
            <v>Estoix KINCREM 'CRK' 5.0</v>
          </cell>
          <cell r="C1937" t="str">
            <v>220379</v>
          </cell>
        </row>
        <row r="1938">
          <cell r="A1938">
            <v>220380</v>
          </cell>
          <cell r="B1938" t="str">
            <v>Estoix KINCREM 'CRK' 6.0</v>
          </cell>
          <cell r="C1938" t="str">
            <v>220380</v>
          </cell>
        </row>
        <row r="1939">
          <cell r="A1939">
            <v>220381</v>
          </cell>
          <cell r="B1939" t="str">
            <v>Estoix KINCREM 'CRK' 7.0</v>
          </cell>
          <cell r="C1939" t="str">
            <v>220381</v>
          </cell>
        </row>
        <row r="1940">
          <cell r="A1940">
            <v>220382</v>
          </cell>
          <cell r="B1940" t="str">
            <v>Estoix KINCREM 'CRK' 8.0</v>
          </cell>
          <cell r="C1940" t="str">
            <v>220382</v>
          </cell>
        </row>
        <row r="1941">
          <cell r="A1941">
            <v>220383</v>
          </cell>
          <cell r="B1941" t="str">
            <v>Estoix KINCREM 'CRK' 9.0</v>
          </cell>
          <cell r="C1941" t="str">
            <v>220383</v>
          </cell>
        </row>
        <row r="1942">
          <cell r="A1942">
            <v>220384</v>
          </cell>
          <cell r="B1942" t="str">
            <v>Estoix KINCREM 'CRK' 10.0</v>
          </cell>
          <cell r="C1942" t="str">
            <v>220384</v>
          </cell>
        </row>
        <row r="1943">
          <cell r="A1943">
            <v>220385</v>
          </cell>
          <cell r="B1943" t="str">
            <v>Estoix KINCREM 'CRK' 3.00</v>
          </cell>
          <cell r="C1943" t="str">
            <v>220385</v>
          </cell>
        </row>
        <row r="1944">
          <cell r="A1944">
            <v>220386</v>
          </cell>
          <cell r="B1944" t="str">
            <v>Estoix KINCREM 'CRK' 4.00</v>
          </cell>
          <cell r="C1944" t="str">
            <v>220386</v>
          </cell>
        </row>
        <row r="1945">
          <cell r="A1945">
            <v>220387</v>
          </cell>
          <cell r="B1945" t="str">
            <v>Estoix KINCREM 'CRK' 5.00</v>
          </cell>
          <cell r="C1945" t="str">
            <v>220387</v>
          </cell>
        </row>
        <row r="1946">
          <cell r="A1946">
            <v>220388</v>
          </cell>
          <cell r="B1946" t="str">
            <v>Estoix KINCREM 'CRK' 6.00</v>
          </cell>
          <cell r="C1946" t="str">
            <v>220388</v>
          </cell>
        </row>
        <row r="1947">
          <cell r="A1947">
            <v>220389</v>
          </cell>
          <cell r="B1947" t="str">
            <v>Estoix KINCREM 'CRK' 7.00</v>
          </cell>
          <cell r="C1947" t="str">
            <v>220389</v>
          </cell>
        </row>
        <row r="1948">
          <cell r="A1948">
            <v>220390</v>
          </cell>
          <cell r="B1948" t="str">
            <v>Estoix KINCREM 'CRK' 8.00</v>
          </cell>
          <cell r="C1948" t="str">
            <v>220390</v>
          </cell>
        </row>
        <row r="1949">
          <cell r="A1949">
            <v>220391</v>
          </cell>
          <cell r="B1949" t="str">
            <v>Estoix KINCREM 'CRK' 9.00</v>
          </cell>
          <cell r="C1949" t="str">
            <v>220391</v>
          </cell>
        </row>
        <row r="1950">
          <cell r="A1950">
            <v>220392</v>
          </cell>
          <cell r="B1950" t="str">
            <v>Estoix KINCREM 'CRK' 10.00</v>
          </cell>
          <cell r="C1950" t="str">
            <v>220392</v>
          </cell>
        </row>
        <row r="1951">
          <cell r="A1951">
            <v>220393</v>
          </cell>
          <cell r="B1951" t="str">
            <v>Estoix KINCREM 'CRK' CN/ 3.0</v>
          </cell>
          <cell r="C1951" t="str">
            <v>220393</v>
          </cell>
        </row>
        <row r="1952">
          <cell r="A1952">
            <v>220394</v>
          </cell>
          <cell r="B1952" t="str">
            <v>Estoix KINCREM 'CRK' CN/ 4.0</v>
          </cell>
          <cell r="C1952" t="str">
            <v>220394</v>
          </cell>
        </row>
        <row r="1953">
          <cell r="A1953">
            <v>220395</v>
          </cell>
          <cell r="B1953" t="str">
            <v>Estoix KINCREM 'CRK' CN/ 5.0</v>
          </cell>
          <cell r="C1953" t="str">
            <v>220395</v>
          </cell>
        </row>
        <row r="1954">
          <cell r="A1954">
            <v>220396</v>
          </cell>
          <cell r="B1954" t="str">
            <v>Estoix KINCREM 'CRK' CN/ 6.0</v>
          </cell>
          <cell r="C1954" t="str">
            <v>220396</v>
          </cell>
        </row>
        <row r="1955">
          <cell r="A1955">
            <v>220397</v>
          </cell>
          <cell r="B1955" t="str">
            <v>Estoix KINCREM 'CRK' CN/ 7.0</v>
          </cell>
          <cell r="C1955" t="str">
            <v>220397</v>
          </cell>
        </row>
        <row r="1956">
          <cell r="A1956">
            <v>220398</v>
          </cell>
          <cell r="B1956" t="str">
            <v>Estoix KINCREM 'CRK' CN/  8.0</v>
          </cell>
          <cell r="C1956" t="str">
            <v>220398</v>
          </cell>
        </row>
        <row r="1957">
          <cell r="A1957">
            <v>220399</v>
          </cell>
          <cell r="B1957" t="str">
            <v>Estoix KINCREM 'CRK' CN/ 9.0</v>
          </cell>
          <cell r="C1957" t="str">
            <v>220399</v>
          </cell>
        </row>
        <row r="1958">
          <cell r="A1958">
            <v>220400</v>
          </cell>
          <cell r="B1958" t="str">
            <v>Estoix KINCREM 'CRK' CN/ 10.0</v>
          </cell>
          <cell r="C1958" t="str">
            <v>220400</v>
          </cell>
        </row>
        <row r="1959">
          <cell r="A1959">
            <v>220401</v>
          </cell>
          <cell r="B1959" t="str">
            <v>Estoix KINCREM 'CRK' CN/ 3.00</v>
          </cell>
          <cell r="C1959" t="str">
            <v>220401</v>
          </cell>
        </row>
        <row r="1960">
          <cell r="A1960">
            <v>220402</v>
          </cell>
          <cell r="B1960" t="str">
            <v>Estoix KINCREM 'CRK' CN/ 4.00</v>
          </cell>
          <cell r="C1960" t="str">
            <v>220402</v>
          </cell>
        </row>
        <row r="1961">
          <cell r="A1961">
            <v>220403</v>
          </cell>
          <cell r="B1961" t="str">
            <v>Estoix KINCREM 'CRK' CN/ 5.00</v>
          </cell>
          <cell r="C1961" t="str">
            <v>220403</v>
          </cell>
        </row>
        <row r="1962">
          <cell r="A1962">
            <v>220404</v>
          </cell>
          <cell r="B1962" t="str">
            <v>Estoix KINCREM 'CRK' CN/ 6.00</v>
          </cell>
          <cell r="C1962" t="str">
            <v>220404</v>
          </cell>
        </row>
        <row r="1963">
          <cell r="A1963">
            <v>220405</v>
          </cell>
          <cell r="B1963" t="str">
            <v>Estoix KINCREM 'CRK' CN/ 7.00</v>
          </cell>
          <cell r="C1963" t="str">
            <v>220405</v>
          </cell>
        </row>
        <row r="1964">
          <cell r="A1964">
            <v>220406</v>
          </cell>
          <cell r="B1964" t="str">
            <v>Estoix KINCREM 'CRK' CN/ 8.00</v>
          </cell>
          <cell r="C1964" t="str">
            <v>220406</v>
          </cell>
        </row>
        <row r="1965">
          <cell r="A1965">
            <v>220407</v>
          </cell>
          <cell r="B1965" t="str">
            <v>Estoix KINCREM 'CRK' CN/ 9.00</v>
          </cell>
          <cell r="C1965" t="str">
            <v>220407</v>
          </cell>
        </row>
        <row r="1966">
          <cell r="A1966">
            <v>220408</v>
          </cell>
          <cell r="B1966" t="str">
            <v>Estoix KINCREM 'CRK' CN/ 10.00</v>
          </cell>
          <cell r="C1966" t="str">
            <v>220408</v>
          </cell>
        </row>
        <row r="1967">
          <cell r="A1967">
            <v>230001</v>
          </cell>
          <cell r="B1967" t="str">
            <v>OBTURAD BO. PERM.CLASIC 500 ML</v>
          </cell>
          <cell r="C1967" t="str">
            <v>AVOPC5</v>
          </cell>
        </row>
        <row r="1968">
          <cell r="A1968">
            <v>230001</v>
          </cell>
          <cell r="B1968" t="str">
            <v>OBTURAD BO. PERM.CLASIC 500 ML</v>
          </cell>
          <cell r="C1968" t="str">
            <v>230001</v>
          </cell>
        </row>
        <row r="1969">
          <cell r="A1969">
            <v>230002</v>
          </cell>
          <cell r="B1969" t="str">
            <v>DISCO TARRO STYLIUM 250 ML.</v>
          </cell>
          <cell r="C1969" t="str">
            <v>DITS25</v>
          </cell>
        </row>
        <row r="1970">
          <cell r="A1970">
            <v>230002</v>
          </cell>
          <cell r="B1970" t="str">
            <v>DISCO TARRO STYLIUM 250 ML.</v>
          </cell>
          <cell r="C1970" t="str">
            <v>230002</v>
          </cell>
        </row>
        <row r="1971">
          <cell r="A1971">
            <v>230003</v>
          </cell>
          <cell r="B1971" t="str">
            <v>GOTEADOR COMPLEXE TRICOACTIVE</v>
          </cell>
          <cell r="C1971" t="str">
            <v>GOCOTA</v>
          </cell>
        </row>
        <row r="1972">
          <cell r="A1972">
            <v>230003</v>
          </cell>
          <cell r="B1972" t="str">
            <v>GOTEADOR COMPLEXE TRICOACTIVE</v>
          </cell>
          <cell r="C1972" t="str">
            <v>CV17</v>
          </cell>
        </row>
        <row r="1973">
          <cell r="A1973">
            <v>230003</v>
          </cell>
          <cell r="B1973" t="str">
            <v>GOTEADOR COMPLEXE TRICOACTIVE</v>
          </cell>
          <cell r="C1973" t="str">
            <v>230003</v>
          </cell>
        </row>
        <row r="1974">
          <cell r="A1974">
            <v>230004</v>
          </cell>
          <cell r="B1974" t="str">
            <v>OBTURADOR STICK 50 ml.</v>
          </cell>
          <cell r="C1974" t="str">
            <v>OBST50</v>
          </cell>
        </row>
        <row r="1975">
          <cell r="A1975">
            <v>230004</v>
          </cell>
          <cell r="B1975" t="str">
            <v>OBTURADOR STICK 50 ml.</v>
          </cell>
          <cell r="C1975" t="str">
            <v>230004</v>
          </cell>
        </row>
        <row r="1976">
          <cell r="A1976">
            <v>230005</v>
          </cell>
          <cell r="B1976" t="str">
            <v>OBTURADOR STICK 75 ml.</v>
          </cell>
          <cell r="C1976" t="str">
            <v>OBST75</v>
          </cell>
        </row>
        <row r="1977">
          <cell r="A1977">
            <v>230005</v>
          </cell>
          <cell r="B1977" t="str">
            <v>OBTURADOR STICK 75 ml.</v>
          </cell>
          <cell r="C1977" t="str">
            <v>230005</v>
          </cell>
        </row>
        <row r="1978">
          <cell r="A1978">
            <v>230006</v>
          </cell>
          <cell r="B1978" t="str">
            <v>TAPON FCO. 120 ML GRAF. NEGRO</v>
          </cell>
          <cell r="C1978" t="str">
            <v>AVT12N</v>
          </cell>
        </row>
        <row r="1979">
          <cell r="A1979">
            <v>230006</v>
          </cell>
          <cell r="B1979" t="str">
            <v>TAPON FCO. 120 ML GRAF. NEGRO</v>
          </cell>
          <cell r="C1979" t="str">
            <v>230006</v>
          </cell>
        </row>
        <row r="1980">
          <cell r="A1980">
            <v>230007</v>
          </cell>
          <cell r="B1980" t="str">
            <v>TAPON 1 LT. AZUL KIN</v>
          </cell>
          <cell r="C1980" t="str">
            <v>AVT1AK</v>
          </cell>
        </row>
        <row r="1981">
          <cell r="A1981">
            <v>230007</v>
          </cell>
          <cell r="B1981" t="str">
            <v>TAPON 1 LT. AZUL KIN</v>
          </cell>
          <cell r="C1981" t="str">
            <v>230007</v>
          </cell>
        </row>
        <row r="1982">
          <cell r="A1982">
            <v>230008</v>
          </cell>
          <cell r="B1982" t="str">
            <v>TAPON 1 LT. NEGRO KIN K-28</v>
          </cell>
          <cell r="C1982" t="str">
            <v>AVT1NK</v>
          </cell>
        </row>
        <row r="1983">
          <cell r="A1983">
            <v>230008</v>
          </cell>
          <cell r="B1983" t="str">
            <v>TAPON 1 LT. NEGRO KIN K-28</v>
          </cell>
          <cell r="C1983" t="str">
            <v>230008</v>
          </cell>
        </row>
        <row r="1984">
          <cell r="A1984">
            <v>230009</v>
          </cell>
          <cell r="B1984" t="str">
            <v>TAPON 1 LT. BOT. SEDINOR</v>
          </cell>
          <cell r="C1984" t="str">
            <v>AVT1SE</v>
          </cell>
        </row>
        <row r="1985">
          <cell r="A1985">
            <v>230009</v>
          </cell>
          <cell r="B1985" t="str">
            <v>TAPON 1 LT. BOT. SEDINOR</v>
          </cell>
          <cell r="C1985" t="str">
            <v>230009</v>
          </cell>
        </row>
        <row r="1986">
          <cell r="A1986">
            <v>230010</v>
          </cell>
          <cell r="B1986" t="str">
            <v>TAPON 60 ML. AZUL KIN</v>
          </cell>
          <cell r="C1986" t="str">
            <v>AVT6AK</v>
          </cell>
        </row>
        <row r="1987">
          <cell r="A1987">
            <v>230010</v>
          </cell>
          <cell r="B1987" t="str">
            <v>TAPON 60 ML. AZUL KIN</v>
          </cell>
          <cell r="C1987" t="str">
            <v>230010</v>
          </cell>
        </row>
        <row r="1988">
          <cell r="A1988">
            <v>230011</v>
          </cell>
          <cell r="B1988" t="str">
            <v>TAPA BOT. FIXING-TOUCHING</v>
          </cell>
          <cell r="C1988" t="str">
            <v>AVTAFX</v>
          </cell>
        </row>
        <row r="1989">
          <cell r="A1989">
            <v>230011</v>
          </cell>
          <cell r="B1989" t="str">
            <v>TAPA BOT. FIXING-TOUCHING</v>
          </cell>
          <cell r="C1989" t="str">
            <v>230011</v>
          </cell>
        </row>
        <row r="1990">
          <cell r="A1990">
            <v>230012</v>
          </cell>
          <cell r="B1990" t="str">
            <v>TAPON GFA 5 LTS. ROJO(anul.lat</v>
          </cell>
          <cell r="C1990" t="str">
            <v>AVTAG5</v>
          </cell>
        </row>
        <row r="1991">
          <cell r="A1991">
            <v>230012</v>
          </cell>
          <cell r="B1991" t="str">
            <v>TAPON GFA 5 LTS. ROJO(anul.lat</v>
          </cell>
          <cell r="C1991" t="str">
            <v>230012</v>
          </cell>
        </row>
        <row r="1992">
          <cell r="A1992">
            <v>230013</v>
          </cell>
          <cell r="B1992" t="str">
            <v>TAPON GELES TUBO</v>
          </cell>
          <cell r="C1992" t="str">
            <v>AVTAGO</v>
          </cell>
        </row>
        <row r="1993">
          <cell r="A1993">
            <v>230013</v>
          </cell>
          <cell r="B1993" t="str">
            <v>TAPON GELES TUBO</v>
          </cell>
          <cell r="C1993" t="str">
            <v>230013</v>
          </cell>
        </row>
        <row r="1994">
          <cell r="A1994">
            <v>230014</v>
          </cell>
          <cell r="B1994" t="str">
            <v>TAPON CANULA KINPERM</v>
          </cell>
          <cell r="C1994" t="str">
            <v>AVTCAP</v>
          </cell>
        </row>
        <row r="1995">
          <cell r="A1995">
            <v>230014</v>
          </cell>
          <cell r="B1995" t="str">
            <v>TAPON CANULA KINPERM</v>
          </cell>
          <cell r="C1995" t="str">
            <v>230014</v>
          </cell>
        </row>
        <row r="1996">
          <cell r="A1996">
            <v>230015</v>
          </cell>
          <cell r="B1996" t="str">
            <v>TAPON CANULA TRANSP. (KAR)</v>
          </cell>
          <cell r="C1996" t="str">
            <v>AVTCAT</v>
          </cell>
        </row>
        <row r="1997">
          <cell r="A1997">
            <v>230015</v>
          </cell>
          <cell r="B1997" t="str">
            <v>TAPON CANULA TRANSP. (KAR)</v>
          </cell>
          <cell r="C1997" t="str">
            <v>230015</v>
          </cell>
        </row>
        <row r="1998">
          <cell r="A1998">
            <v>230016</v>
          </cell>
          <cell r="B1998" t="str">
            <v>TAPON BOT. NEW COLOR REFLECS</v>
          </cell>
          <cell r="C1998" t="str">
            <v>AVTNCR</v>
          </cell>
        </row>
        <row r="1999">
          <cell r="A1999">
            <v>230016</v>
          </cell>
          <cell r="B1999" t="str">
            <v>TAPON BOT. NEW COLOR REFLECS</v>
          </cell>
          <cell r="C1999" t="str">
            <v>230016</v>
          </cell>
        </row>
        <row r="2000">
          <cell r="A2000">
            <v>230017</v>
          </cell>
          <cell r="B2000" t="str">
            <v>TAPON PERMANENT CLASIC 500</v>
          </cell>
          <cell r="C2000" t="str">
            <v>AVTPC5</v>
          </cell>
        </row>
        <row r="2001">
          <cell r="A2001">
            <v>230017</v>
          </cell>
          <cell r="B2001" t="str">
            <v>TAPON PERMANENT CLASIC 500</v>
          </cell>
          <cell r="C2001" t="str">
            <v>230017</v>
          </cell>
        </row>
        <row r="2002">
          <cell r="A2002">
            <v>230018</v>
          </cell>
          <cell r="B2002" t="str">
            <v>TAPON PUSH-PULL GRIS</v>
          </cell>
          <cell r="C2002" t="str">
            <v>AVTPPG</v>
          </cell>
        </row>
        <row r="2003">
          <cell r="A2003">
            <v>230018</v>
          </cell>
          <cell r="B2003" t="str">
            <v>TAPON PUSH-PULL GRIS</v>
          </cell>
          <cell r="C2003" t="str">
            <v>230018</v>
          </cell>
        </row>
        <row r="2004">
          <cell r="A2004">
            <v>230019</v>
          </cell>
          <cell r="B2004" t="str">
            <v>TAPA TARRO KINBLOND (VELL)</v>
          </cell>
          <cell r="C2004" t="str">
            <v>AVTTKB</v>
          </cell>
        </row>
        <row r="2005">
          <cell r="A2005">
            <v>230019</v>
          </cell>
          <cell r="B2005" t="str">
            <v>TAPA TARRO KINBLOND (VELL)</v>
          </cell>
          <cell r="C2005" t="str">
            <v>230019</v>
          </cell>
        </row>
        <row r="2006">
          <cell r="A2006">
            <v>230020</v>
          </cell>
          <cell r="B2006" t="str">
            <v>Gotero Bot. Color Vibrance</v>
          </cell>
          <cell r="C2006" t="str">
            <v>GOCOVI</v>
          </cell>
        </row>
        <row r="2007">
          <cell r="A2007">
            <v>230020</v>
          </cell>
          <cell r="B2007" t="str">
            <v>Gotero Bot. Color Vibrance</v>
          </cell>
          <cell r="C2007" t="str">
            <v>230020</v>
          </cell>
        </row>
        <row r="2008">
          <cell r="A2008">
            <v>230021</v>
          </cell>
          <cell r="B2008" t="str">
            <v>tap precinto gf 5 Lts apilable</v>
          </cell>
          <cell r="C2008" t="str">
            <v>TAG5AP</v>
          </cell>
        </row>
        <row r="2009">
          <cell r="A2009">
            <v>230021</v>
          </cell>
          <cell r="B2009" t="str">
            <v>tap precinto gf 5 Lts apilable</v>
          </cell>
          <cell r="C2009" t="str">
            <v>230021</v>
          </cell>
        </row>
        <row r="2010">
          <cell r="A2010">
            <v>230022</v>
          </cell>
          <cell r="B2010" t="str">
            <v>TAPON 1 LITRO FLIP TOP EST.UNI</v>
          </cell>
          <cell r="C2010" t="str">
            <v>TP1FLT</v>
          </cell>
        </row>
        <row r="2011">
          <cell r="A2011">
            <v>230022</v>
          </cell>
          <cell r="B2011" t="str">
            <v>TAPON 1 LITRO FLIP TOP EST.UNI</v>
          </cell>
          <cell r="C2011" t="str">
            <v>230022</v>
          </cell>
        </row>
        <row r="2012">
          <cell r="A2012">
            <v>230023</v>
          </cell>
          <cell r="B2012" t="str">
            <v>TAPON 1 LITRO TRANSP. KIN</v>
          </cell>
          <cell r="C2012" t="str">
            <v>TP1TRK</v>
          </cell>
        </row>
        <row r="2013">
          <cell r="A2013">
            <v>230023</v>
          </cell>
          <cell r="B2013" t="str">
            <v>TAPON 1 LITRO TRANSP. KIN</v>
          </cell>
          <cell r="C2013" t="str">
            <v>9-R-01116000</v>
          </cell>
        </row>
        <row r="2014">
          <cell r="A2014">
            <v>230023</v>
          </cell>
          <cell r="B2014" t="str">
            <v>TAPON 1 LITRO TRANSP. KIN</v>
          </cell>
          <cell r="C2014" t="str">
            <v>230023</v>
          </cell>
        </row>
        <row r="2015">
          <cell r="A2015">
            <v>230024</v>
          </cell>
          <cell r="B2015" t="str">
            <v>TAPA TAR CRYSTAL JELLY 250 ml.</v>
          </cell>
          <cell r="C2015" t="str">
            <v>TPCJ25</v>
          </cell>
        </row>
        <row r="2016">
          <cell r="A2016">
            <v>230024</v>
          </cell>
          <cell r="B2016" t="str">
            <v>TAPA TAR CRYSTAL JELLY 250 ml.</v>
          </cell>
          <cell r="C2016" t="str">
            <v>230024</v>
          </cell>
        </row>
        <row r="2017">
          <cell r="A2017">
            <v>230025</v>
          </cell>
          <cell r="B2017" t="str">
            <v>TAPON BOT. COLOR REMOVER</v>
          </cell>
          <cell r="C2017" t="str">
            <v>TPCORE</v>
          </cell>
        </row>
        <row r="2018">
          <cell r="A2018">
            <v>230025</v>
          </cell>
          <cell r="B2018" t="str">
            <v>TAPON BOT. COLOR REMOVER</v>
          </cell>
          <cell r="C2018" t="str">
            <v>230025</v>
          </cell>
        </row>
        <row r="2019">
          <cell r="A2019">
            <v>230026</v>
          </cell>
          <cell r="B2019" t="str">
            <v>TAPA TARRO COLOR SCREEN 75 ml.</v>
          </cell>
          <cell r="C2019" t="str">
            <v>TPCOSC</v>
          </cell>
        </row>
        <row r="2020">
          <cell r="A2020">
            <v>230026</v>
          </cell>
          <cell r="B2020" t="str">
            <v>TAPA TARRO COLOR SCREEN 75 ml.</v>
          </cell>
          <cell r="C2020" t="str">
            <v>230026</v>
          </cell>
        </row>
        <row r="2021">
          <cell r="A2021">
            <v>230027</v>
          </cell>
          <cell r="B2021" t="str">
            <v>Tapón Fco COMPL TRICO-ACTIVE</v>
          </cell>
          <cell r="C2021" t="str">
            <v>TPCOTA</v>
          </cell>
        </row>
        <row r="2022">
          <cell r="A2022">
            <v>230027</v>
          </cell>
          <cell r="B2022" t="str">
            <v>Tapón Fco COMPL TRICO-ACTIVE</v>
          </cell>
          <cell r="C2022" t="str">
            <v>230027</v>
          </cell>
        </row>
        <row r="2023">
          <cell r="A2023">
            <v>230028</v>
          </cell>
          <cell r="B2023" t="str">
            <v>Tap Bot. Color Vibrance</v>
          </cell>
          <cell r="C2023" t="str">
            <v>TPCOVI</v>
          </cell>
        </row>
        <row r="2024">
          <cell r="A2024">
            <v>230028</v>
          </cell>
          <cell r="B2024" t="str">
            <v>Tap Bot. Color Vibrance</v>
          </cell>
          <cell r="C2024" t="str">
            <v>230028</v>
          </cell>
        </row>
        <row r="2025">
          <cell r="A2025">
            <v>230029</v>
          </cell>
          <cell r="B2025" t="str">
            <v>TAPA TARRO CRYSTAL JELLY 75 ml</v>
          </cell>
          <cell r="C2025" t="str">
            <v>TPCRJE</v>
          </cell>
        </row>
        <row r="2026">
          <cell r="A2026">
            <v>230029</v>
          </cell>
          <cell r="B2026" t="str">
            <v>TAPA TARRO CRYSTAL JELLY 75 ml</v>
          </cell>
          <cell r="C2026" t="str">
            <v>230029</v>
          </cell>
        </row>
        <row r="2027">
          <cell r="A2027">
            <v>230030</v>
          </cell>
          <cell r="B2027" t="str">
            <v>Tapón DISC-TOP Blanc Col Shamp</v>
          </cell>
          <cell r="C2027" t="str">
            <v>TPCSBL</v>
          </cell>
        </row>
        <row r="2028">
          <cell r="A2028">
            <v>230030</v>
          </cell>
          <cell r="B2028" t="str">
            <v>Tapón DISC-TOP Blanc Col Shamp</v>
          </cell>
          <cell r="C2028" t="str">
            <v>230030</v>
          </cell>
        </row>
        <row r="2029">
          <cell r="A2029">
            <v>230031</v>
          </cell>
          <cell r="B2029" t="str">
            <v>TAPON BOT. 60/ 120 ml. 'GL'</v>
          </cell>
          <cell r="C2029" t="str">
            <v>TPDE12</v>
          </cell>
        </row>
        <row r="2030">
          <cell r="A2030">
            <v>230031</v>
          </cell>
          <cell r="B2030" t="str">
            <v>TAPON BOT. 60/ 120 ml. 'GL'</v>
          </cell>
          <cell r="C2030" t="str">
            <v>230031</v>
          </cell>
        </row>
        <row r="2031">
          <cell r="A2031">
            <v>230032</v>
          </cell>
          <cell r="B2031" t="str">
            <v>TAPA TARRO DEFINER (Groc)</v>
          </cell>
          <cell r="C2031" t="str">
            <v>TPDEFI</v>
          </cell>
        </row>
        <row r="2032">
          <cell r="A2032">
            <v>230032</v>
          </cell>
          <cell r="B2032" t="str">
            <v>TAPA TARRO DEFINER (Groc)</v>
          </cell>
          <cell r="C2032" t="str">
            <v>230032</v>
          </cell>
        </row>
        <row r="2033">
          <cell r="A2033">
            <v>230033</v>
          </cell>
          <cell r="B2033" t="str">
            <v>TAPA TARRO FIBER (Violeta)</v>
          </cell>
          <cell r="C2033" t="str">
            <v>TPFIBE</v>
          </cell>
        </row>
        <row r="2034">
          <cell r="A2034">
            <v>230033</v>
          </cell>
          <cell r="B2034" t="str">
            <v>TAPA TARRO FIBER (Violeta)</v>
          </cell>
          <cell r="C2034" t="str">
            <v>230033</v>
          </cell>
        </row>
        <row r="2035">
          <cell r="A2035">
            <v>230034</v>
          </cell>
          <cell r="B2035" t="str">
            <v>TAPON GARRAFA 5 LTS. BLANCO</v>
          </cell>
          <cell r="C2035" t="str">
            <v>TPG5BL</v>
          </cell>
        </row>
        <row r="2036">
          <cell r="A2036">
            <v>230034</v>
          </cell>
          <cell r="B2036" t="str">
            <v>TAPON GARRAFA 5 LTS. BLANCO</v>
          </cell>
          <cell r="C2036" t="str">
            <v>230034</v>
          </cell>
        </row>
        <row r="2037">
          <cell r="A2037">
            <v>230035</v>
          </cell>
          <cell r="B2037" t="str">
            <v>TAPA TARRO GLAZER (Blanc)</v>
          </cell>
          <cell r="C2037" t="str">
            <v>TPGLAZ</v>
          </cell>
        </row>
        <row r="2038">
          <cell r="A2038">
            <v>230035</v>
          </cell>
          <cell r="B2038" t="str">
            <v>TAPA TARRO GLAZER (Blanc)</v>
          </cell>
          <cell r="C2038" t="str">
            <v>230035</v>
          </cell>
        </row>
        <row r="2039">
          <cell r="A2039">
            <v>230036</v>
          </cell>
          <cell r="B2039" t="str">
            <v>TAPON HUEVO TRANSPARENTE</v>
          </cell>
          <cell r="C2039" t="str">
            <v>TPHUTR</v>
          </cell>
        </row>
        <row r="2040">
          <cell r="A2040">
            <v>230036</v>
          </cell>
          <cell r="B2040" t="str">
            <v>TAPON HUEVO TRANSPARENTE</v>
          </cell>
          <cell r="C2040" t="str">
            <v>8435057056045</v>
          </cell>
        </row>
        <row r="2041">
          <cell r="A2041">
            <v>230037</v>
          </cell>
          <cell r="B2041" t="str">
            <v>TAPON BOT. 1 LT. K-28 Violeta(ojo compra)???</v>
          </cell>
          <cell r="C2041" t="str">
            <v>TPKF10</v>
          </cell>
        </row>
        <row r="2042">
          <cell r="A2042">
            <v>230037</v>
          </cell>
          <cell r="B2042" t="str">
            <v>TAPON BOT. 1 LT. K-28 Violeta(ojo compra)???</v>
          </cell>
          <cell r="C2042" t="str">
            <v>230037</v>
          </cell>
        </row>
        <row r="2043">
          <cell r="A2043">
            <v>230038</v>
          </cell>
          <cell r="B2043" t="str">
            <v>TAPON BOT. 60 K-20 VIOLETA KIN</v>
          </cell>
          <cell r="C2043" t="str">
            <v>TPKF60</v>
          </cell>
        </row>
        <row r="2044">
          <cell r="A2044">
            <v>230038</v>
          </cell>
          <cell r="B2044" t="str">
            <v>TAPON BOT. 60 K-20 VIOLETA KIN</v>
          </cell>
          <cell r="C2044" t="str">
            <v>230038</v>
          </cell>
        </row>
        <row r="2045">
          <cell r="A2045">
            <v>230039</v>
          </cell>
          <cell r="B2045" t="str">
            <v>TAPA TARRO LINEA KINMEN 100 ML</v>
          </cell>
          <cell r="C2045" t="str">
            <v>TPKM10</v>
          </cell>
        </row>
        <row r="2046">
          <cell r="A2046">
            <v>230039</v>
          </cell>
          <cell r="B2046" t="str">
            <v>TAPA TARRO LINEA KINMEN 100 ML</v>
          </cell>
          <cell r="C2046" t="str">
            <v>230039</v>
          </cell>
        </row>
        <row r="2047">
          <cell r="A2047">
            <v>230040</v>
          </cell>
          <cell r="B2047" t="str">
            <v>TAPA TARRO LINEA KINMEN 250 ML</v>
          </cell>
          <cell r="C2047" t="str">
            <v>TPKM25</v>
          </cell>
        </row>
        <row r="2048">
          <cell r="A2048">
            <v>230040</v>
          </cell>
          <cell r="B2048" t="str">
            <v>TAPA TARRO LINEA KINMEN 250 ML</v>
          </cell>
          <cell r="C2048" t="str">
            <v>230040</v>
          </cell>
        </row>
        <row r="2049">
          <cell r="A2049">
            <v>230041</v>
          </cell>
          <cell r="B2049" t="str">
            <v>TAPON KINMEN FLIP-TOP</v>
          </cell>
          <cell r="C2049" t="str">
            <v>TPKMFT</v>
          </cell>
        </row>
        <row r="2050">
          <cell r="A2050">
            <v>230041</v>
          </cell>
          <cell r="B2050" t="str">
            <v>TAPON KINMEN FLIP-TOP</v>
          </cell>
          <cell r="C2050" t="str">
            <v>230041</v>
          </cell>
        </row>
        <row r="2051">
          <cell r="A2051">
            <v>230042</v>
          </cell>
          <cell r="B2051" t="str">
            <v>TAPA TARRO KWORKS DECO 1500 ml</v>
          </cell>
          <cell r="C2051" t="str">
            <v>TPKWDE</v>
          </cell>
        </row>
        <row r="2052">
          <cell r="A2052">
            <v>230042</v>
          </cell>
          <cell r="B2052" t="str">
            <v>TAPA TARRO KWORKS DECO 1500 ml</v>
          </cell>
          <cell r="C2052" t="str">
            <v>230042</v>
          </cell>
        </row>
        <row r="2053">
          <cell r="A2053">
            <v>230043</v>
          </cell>
          <cell r="B2053" t="str">
            <v>TAPA TARRO KWORKS DECO 1500 ml</v>
          </cell>
          <cell r="C2053" t="str">
            <v>TPKWDE2</v>
          </cell>
        </row>
        <row r="2054">
          <cell r="A2054">
            <v>230043</v>
          </cell>
          <cell r="B2054" t="str">
            <v>TAPA TARRO KWORKS DECO 1500 ml</v>
          </cell>
          <cell r="C2054" t="str">
            <v>230043</v>
          </cell>
        </row>
        <row r="2055">
          <cell r="A2055">
            <v>230044</v>
          </cell>
          <cell r="B2055" t="str">
            <v>TAPA TARRO MOULDER (Vert)</v>
          </cell>
          <cell r="C2055" t="str">
            <v>TPMOUL</v>
          </cell>
        </row>
        <row r="2056">
          <cell r="A2056">
            <v>230044</v>
          </cell>
          <cell r="B2056" t="str">
            <v>TAPA TARRO MOULDER (Vert)</v>
          </cell>
          <cell r="C2056" t="str">
            <v>230044</v>
          </cell>
        </row>
        <row r="2057">
          <cell r="A2057">
            <v>230045</v>
          </cell>
          <cell r="B2057" t="str">
            <v>TAPA TARRO N.REPAIR NUTRI MASK</v>
          </cell>
          <cell r="C2057" t="str">
            <v>TPNRMA</v>
          </cell>
        </row>
        <row r="2058">
          <cell r="A2058">
            <v>230045</v>
          </cell>
          <cell r="B2058" t="str">
            <v>TAPA TARRO N.REPAIR NUTRI MASK</v>
          </cell>
          <cell r="C2058" t="str">
            <v>8435057056076</v>
          </cell>
        </row>
        <row r="2059">
          <cell r="A2059">
            <v>230046</v>
          </cell>
          <cell r="B2059" t="str">
            <v>TAPA TARRO N.REPAIR N MASK 500</v>
          </cell>
          <cell r="C2059" t="str">
            <v>TPNRMA5</v>
          </cell>
        </row>
        <row r="2060">
          <cell r="A2060">
            <v>230046</v>
          </cell>
          <cell r="B2060" t="str">
            <v>TAPA TARRO N.REPAIR N MASK 500</v>
          </cell>
          <cell r="C2060" t="str">
            <v>8435057056083</v>
          </cell>
        </row>
        <row r="2061">
          <cell r="A2061">
            <v>230047</v>
          </cell>
          <cell r="B2061" t="str">
            <v>TAPON PUSH-PULL TRANSPARENTE</v>
          </cell>
          <cell r="C2061" t="str">
            <v>TPPPTR</v>
          </cell>
        </row>
        <row r="2062">
          <cell r="A2062">
            <v>230047</v>
          </cell>
          <cell r="B2062" t="str">
            <v>TAPON PUSH-PULL TRANSPARENTE</v>
          </cell>
          <cell r="C2062" t="str">
            <v>230047</v>
          </cell>
        </row>
        <row r="2063">
          <cell r="A2063">
            <v>230048</v>
          </cell>
          <cell r="B2063" t="str">
            <v>TAPON + VALV AIRLES  50 ML.</v>
          </cell>
          <cell r="C2063" t="str">
            <v>TPST50S</v>
          </cell>
        </row>
        <row r="2064">
          <cell r="A2064">
            <v>230048</v>
          </cell>
          <cell r="B2064" t="str">
            <v>TAPON + VALV AIRLES  50 ML.</v>
          </cell>
          <cell r="C2064" t="str">
            <v>230048</v>
          </cell>
        </row>
        <row r="2065">
          <cell r="A2065">
            <v>230049</v>
          </cell>
          <cell r="B2065" t="str">
            <v>TAPON STICK 50 ml. TRANSP.(anu</v>
          </cell>
          <cell r="C2065" t="str">
            <v>TPST50T</v>
          </cell>
        </row>
        <row r="2066">
          <cell r="A2066">
            <v>230049</v>
          </cell>
          <cell r="B2066" t="str">
            <v>TAPON STICK 50 ml. TRANSP.(anu</v>
          </cell>
          <cell r="C2066" t="str">
            <v>230049</v>
          </cell>
        </row>
        <row r="2067">
          <cell r="A2067">
            <v>230050</v>
          </cell>
          <cell r="B2067" t="str">
            <v>TAPON TUBO BISAGRA NATURAL</v>
          </cell>
          <cell r="C2067" t="str">
            <v>TPSTBN</v>
          </cell>
        </row>
        <row r="2068">
          <cell r="A2068">
            <v>230050</v>
          </cell>
          <cell r="B2068" t="str">
            <v>TAPON TUBO BISAGRA NATURAL</v>
          </cell>
          <cell r="C2068" t="str">
            <v>230050</v>
          </cell>
        </row>
        <row r="2069">
          <cell r="A2069">
            <v>230051</v>
          </cell>
          <cell r="B2069" t="str">
            <v>TAPA TARRO VITAL COLOR C. MASK</v>
          </cell>
          <cell r="C2069" t="str">
            <v>TPVCCM</v>
          </cell>
        </row>
        <row r="2070">
          <cell r="A2070">
            <v>230051</v>
          </cell>
          <cell r="B2070" t="str">
            <v>TAPA TARRO VITAL COLOR C. MASK</v>
          </cell>
          <cell r="C2070" t="str">
            <v>8435057056090</v>
          </cell>
        </row>
        <row r="2071">
          <cell r="A2071">
            <v>230052</v>
          </cell>
          <cell r="B2071" t="str">
            <v>TAPA TARR V COLOR C. MASK 500</v>
          </cell>
          <cell r="C2071" t="str">
            <v>TPVCCM5</v>
          </cell>
        </row>
        <row r="2072">
          <cell r="A2072">
            <v>230052</v>
          </cell>
          <cell r="B2072" t="str">
            <v>TAPA TARR V COLOR C. MASK 500</v>
          </cell>
          <cell r="C2072" t="str">
            <v>8435057056106</v>
          </cell>
        </row>
        <row r="2073">
          <cell r="A2073">
            <v>230053</v>
          </cell>
          <cell r="B2073" t="str">
            <v>VASITO Bot. COLOR VIBRANCE</v>
          </cell>
          <cell r="C2073" t="str">
            <v>VACOVI</v>
          </cell>
        </row>
        <row r="2074">
          <cell r="A2074">
            <v>230053</v>
          </cell>
          <cell r="B2074" t="str">
            <v>VASITO Bot. COLOR VIBRANCE</v>
          </cell>
          <cell r="C2074" t="str">
            <v>230053</v>
          </cell>
        </row>
        <row r="2075">
          <cell r="A2075">
            <v>230054</v>
          </cell>
          <cell r="B2075" t="str">
            <v>VALVULA NEW COLOR 2000</v>
          </cell>
          <cell r="C2075" t="str">
            <v>AVBOMC</v>
          </cell>
        </row>
        <row r="2076">
          <cell r="A2076">
            <v>230054</v>
          </cell>
          <cell r="B2076" t="str">
            <v>VALVULA NEW COLOR 2000</v>
          </cell>
          <cell r="C2076" t="str">
            <v>230054</v>
          </cell>
        </row>
        <row r="2077">
          <cell r="A2077">
            <v>230055</v>
          </cell>
          <cell r="B2077" t="str">
            <v>CAPUCHON VALVULA THERMIC</v>
          </cell>
          <cell r="C2077" t="str">
            <v>CATHER</v>
          </cell>
        </row>
        <row r="2078">
          <cell r="A2078">
            <v>230055</v>
          </cell>
          <cell r="B2078" t="str">
            <v>CAPUCHON VALVULA THERMIC</v>
          </cell>
          <cell r="C2078" t="str">
            <v>230055</v>
          </cell>
        </row>
        <row r="2079">
          <cell r="A2079">
            <v>230056</v>
          </cell>
          <cell r="B2079" t="str">
            <v>PULSADOR LACA STYLIUM 650</v>
          </cell>
          <cell r="C2079" t="str">
            <v>PULAST</v>
          </cell>
        </row>
        <row r="2080">
          <cell r="A2080">
            <v>230056</v>
          </cell>
          <cell r="B2080" t="str">
            <v>PULSADOR LACA STYLIUM 650</v>
          </cell>
          <cell r="C2080" t="str">
            <v>230056</v>
          </cell>
        </row>
        <row r="2081">
          <cell r="A2081">
            <v>230057</v>
          </cell>
          <cell r="B2081" t="str">
            <v>VALVULA FCO 200 ML SPRAY TRANS</v>
          </cell>
          <cell r="C2081" t="str">
            <v>VA200T</v>
          </cell>
        </row>
        <row r="2082">
          <cell r="A2082">
            <v>230057</v>
          </cell>
          <cell r="B2082" t="str">
            <v>VALVULA FCO 200 ML SPRAY TRANS</v>
          </cell>
          <cell r="C2082" t="str">
            <v>230057</v>
          </cell>
        </row>
        <row r="2083">
          <cell r="A2083">
            <v>230058</v>
          </cell>
          <cell r="B2083" t="str">
            <v>VÁLVULA SH. LITRO TRANSPARENTE</v>
          </cell>
          <cell r="C2083" t="str">
            <v>VAKA1T</v>
          </cell>
        </row>
        <row r="2084">
          <cell r="A2084">
            <v>230058</v>
          </cell>
          <cell r="B2084" t="str">
            <v>VÁLVULA SH. LITRO TRANSPARENTE</v>
          </cell>
          <cell r="C2084" t="str">
            <v>9-R-00232820</v>
          </cell>
        </row>
        <row r="2085">
          <cell r="A2085">
            <v>230058</v>
          </cell>
          <cell r="B2085" t="str">
            <v>VÁLVULA SH. LITRO TRANSPARENTE</v>
          </cell>
          <cell r="C2085" t="str">
            <v>8435057052504</v>
          </cell>
        </row>
        <row r="2086">
          <cell r="A2086">
            <v>230059</v>
          </cell>
          <cell r="B2086" t="str">
            <v>VALVULA KA EXTRACT 200  TRANSP</v>
          </cell>
          <cell r="C2086" t="str">
            <v>VAKA2T</v>
          </cell>
        </row>
        <row r="2087">
          <cell r="A2087">
            <v>230059</v>
          </cell>
          <cell r="B2087" t="str">
            <v>VALVULA KA EXTRACT 200  TRANSP</v>
          </cell>
          <cell r="C2087" t="str">
            <v>8435057056052</v>
          </cell>
        </row>
        <row r="2088">
          <cell r="A2088">
            <v>230060</v>
          </cell>
          <cell r="B2088" t="str">
            <v>VALVULA KAE SUNCARE SPRAY</v>
          </cell>
          <cell r="C2088" t="str">
            <v>VAKASU</v>
          </cell>
        </row>
        <row r="2089">
          <cell r="A2089">
            <v>230060</v>
          </cell>
          <cell r="B2089" t="str">
            <v>VALVULA KAE SUNCARE SPRAY</v>
          </cell>
          <cell r="C2089" t="str">
            <v>230060</v>
          </cell>
        </row>
        <row r="2090">
          <cell r="A2090">
            <v>230061</v>
          </cell>
          <cell r="B2090" t="str">
            <v>VALVULA LINEA  K.A.150</v>
          </cell>
          <cell r="C2090" t="str">
            <v>VAKM15</v>
          </cell>
        </row>
        <row r="2091">
          <cell r="A2091">
            <v>230061</v>
          </cell>
          <cell r="B2091" t="str">
            <v>VALVULA LINEA  K.A.150</v>
          </cell>
          <cell r="C2091" t="str">
            <v>230061</v>
          </cell>
        </row>
        <row r="2092">
          <cell r="A2092">
            <v>230062</v>
          </cell>
          <cell r="B2092" t="str">
            <v>VALVULA KINWORKS FIXING GEL</v>
          </cell>
          <cell r="C2092" t="str">
            <v>VAKWFG</v>
          </cell>
        </row>
        <row r="2093">
          <cell r="A2093">
            <v>230062</v>
          </cell>
          <cell r="B2093" t="str">
            <v>VALVULA KINWORKS FIXING GEL</v>
          </cell>
          <cell r="C2093" t="str">
            <v>230062</v>
          </cell>
        </row>
        <row r="2094">
          <cell r="A2094">
            <v>230063</v>
          </cell>
          <cell r="B2094" t="str">
            <v>VALVULA KINWORKS FIXING LAC</v>
          </cell>
          <cell r="C2094" t="str">
            <v>VAKWFL</v>
          </cell>
        </row>
        <row r="2095">
          <cell r="A2095">
            <v>230063</v>
          </cell>
          <cell r="B2095" t="str">
            <v>VALVULA KINWORKS FIXING LAC</v>
          </cell>
          <cell r="C2095" t="str">
            <v>230063</v>
          </cell>
        </row>
        <row r="2096">
          <cell r="A2096">
            <v>230064</v>
          </cell>
          <cell r="B2096" t="str">
            <v>VALVULA KINWORK TOUCHING</v>
          </cell>
          <cell r="C2096" t="str">
            <v>VAKWTO1</v>
          </cell>
        </row>
        <row r="2097">
          <cell r="A2097">
            <v>230064</v>
          </cell>
          <cell r="B2097" t="str">
            <v>VALVULA KINWORK TOUCHING</v>
          </cell>
          <cell r="C2097" t="str">
            <v>230064</v>
          </cell>
        </row>
        <row r="2098">
          <cell r="A2098">
            <v>230065</v>
          </cell>
          <cell r="B2098" t="str">
            <v>VALVULA LACA STYLIUM 650</v>
          </cell>
          <cell r="C2098" t="str">
            <v>VALAST</v>
          </cell>
        </row>
        <row r="2099">
          <cell r="A2099">
            <v>230065</v>
          </cell>
          <cell r="B2099" t="str">
            <v>VALVULA LACA STYLIUM 650</v>
          </cell>
          <cell r="C2099" t="str">
            <v>230065</v>
          </cell>
        </row>
        <row r="2100">
          <cell r="A2100">
            <v>230066</v>
          </cell>
          <cell r="B2100" t="str">
            <v>VALVULA NEW COLOR COLOR CREAM</v>
          </cell>
          <cell r="C2100" t="str">
            <v>VANCCC</v>
          </cell>
        </row>
        <row r="2101">
          <cell r="A2101">
            <v>230066</v>
          </cell>
          <cell r="B2101" t="str">
            <v>VALVULA NEW COLOR COLOR CREAM</v>
          </cell>
          <cell r="C2101" t="str">
            <v>230066</v>
          </cell>
        </row>
        <row r="2102">
          <cell r="A2102">
            <v>230067</v>
          </cell>
          <cell r="B2102" t="str">
            <v>VALVULA SERUM REPAIR TRANSP</v>
          </cell>
          <cell r="C2102" t="str">
            <v>VASERE</v>
          </cell>
        </row>
        <row r="2103">
          <cell r="A2103">
            <v>230067</v>
          </cell>
          <cell r="B2103" t="str">
            <v>VALVULA SERUM REPAIR TRANSP</v>
          </cell>
          <cell r="C2103" t="str">
            <v>230067</v>
          </cell>
        </row>
        <row r="2104">
          <cell r="A2104">
            <v>230068</v>
          </cell>
          <cell r="B2104" t="str">
            <v>VALVULA TARRO 1000 N REPAIR</v>
          </cell>
          <cell r="C2104" t="str">
            <v>VATANR</v>
          </cell>
        </row>
        <row r="2105">
          <cell r="A2105">
            <v>230068</v>
          </cell>
          <cell r="B2105" t="str">
            <v>VALVULA TARRO 1000 N REPAIR</v>
          </cell>
          <cell r="C2105" t="str">
            <v>230068</v>
          </cell>
        </row>
        <row r="2106">
          <cell r="A2106">
            <v>230069</v>
          </cell>
          <cell r="B2106" t="str">
            <v>VALVULA TARRO 1000 VITAL COLOR</v>
          </cell>
          <cell r="C2106" t="str">
            <v>VATAVC</v>
          </cell>
        </row>
        <row r="2107">
          <cell r="A2107">
            <v>230069</v>
          </cell>
          <cell r="B2107" t="str">
            <v>VALVULA TARRO 1000 VITAL COLOR</v>
          </cell>
          <cell r="C2107" t="str">
            <v>230069</v>
          </cell>
        </row>
        <row r="2108">
          <cell r="A2108">
            <v>230070</v>
          </cell>
          <cell r="B2108" t="str">
            <v>VALVULA THERMIC/X-TREM/SETING</v>
          </cell>
          <cell r="C2108" t="str">
            <v>VATHER</v>
          </cell>
        </row>
        <row r="2109">
          <cell r="A2109">
            <v>230070</v>
          </cell>
          <cell r="B2109" t="str">
            <v>VALVULA THERMIC/X-TREM/SETING</v>
          </cell>
          <cell r="C2109" t="str">
            <v>230070</v>
          </cell>
        </row>
        <row r="2110">
          <cell r="A2110">
            <v>230071</v>
          </cell>
          <cell r="B2110" t="str">
            <v>VALVULA XPANSOR / CURLY</v>
          </cell>
          <cell r="C2110" t="str">
            <v>VAXPAN</v>
          </cell>
        </row>
        <row r="2111">
          <cell r="A2111">
            <v>230071</v>
          </cell>
          <cell r="B2111" t="str">
            <v>VALVULA XPANSOR / CURLY</v>
          </cell>
          <cell r="C2111" t="str">
            <v>230071</v>
          </cell>
        </row>
        <row r="2112">
          <cell r="A2112">
            <v>230072</v>
          </cell>
          <cell r="B2112" t="str">
            <v>DISCO TARRO STYLIUM</v>
          </cell>
          <cell r="C2112" t="str">
            <v>AVDITS</v>
          </cell>
        </row>
        <row r="2113">
          <cell r="A2113">
            <v>230072</v>
          </cell>
          <cell r="B2113" t="str">
            <v>DISCO TARRO STYLIUM</v>
          </cell>
          <cell r="C2113" t="str">
            <v>230072</v>
          </cell>
        </row>
        <row r="2114">
          <cell r="A2114">
            <v>230073</v>
          </cell>
          <cell r="B2114" t="str">
            <v>DISCO TARRO KINMEN 100 ML.</v>
          </cell>
          <cell r="C2114" t="str">
            <v>DITKM1</v>
          </cell>
        </row>
        <row r="2115">
          <cell r="A2115">
            <v>230073</v>
          </cell>
          <cell r="B2115" t="str">
            <v>DISCO TARRO KINMEN 100 ML.</v>
          </cell>
          <cell r="C2115" t="str">
            <v>230073</v>
          </cell>
        </row>
        <row r="2116">
          <cell r="A2116">
            <v>230074</v>
          </cell>
          <cell r="B2116" t="str">
            <v>DISCO TARRO KINMEN 250 ML.</v>
          </cell>
          <cell r="C2116" t="str">
            <v>DITKM2</v>
          </cell>
        </row>
        <row r="2117">
          <cell r="A2117">
            <v>230074</v>
          </cell>
          <cell r="B2117" t="str">
            <v>DISCO TARRO KINMEN 250 ML.</v>
          </cell>
          <cell r="C2117" t="str">
            <v>230074</v>
          </cell>
        </row>
        <row r="2118">
          <cell r="A2118">
            <v>230075</v>
          </cell>
          <cell r="B2118" t="str">
            <v>TAPA+DISCO CRYSTALL JELLY 75</v>
          </cell>
          <cell r="C2118" t="str">
            <v>TPDICRJE</v>
          </cell>
        </row>
        <row r="2119">
          <cell r="A2119">
            <v>230075</v>
          </cell>
          <cell r="B2119" t="str">
            <v>TAPA+DISCO CRYSTALL JELLY 75</v>
          </cell>
          <cell r="C2119" t="str">
            <v>230075</v>
          </cell>
        </row>
        <row r="2120">
          <cell r="A2120">
            <v>230076</v>
          </cell>
          <cell r="B2120" t="str">
            <v>TAPA + DISCO DEFINER 75 ML.</v>
          </cell>
          <cell r="C2120" t="str">
            <v>TPDIDEFI</v>
          </cell>
        </row>
        <row r="2121">
          <cell r="A2121">
            <v>230076</v>
          </cell>
          <cell r="B2121" t="str">
            <v>TAPA + DISCO DEFINER 75 ML.</v>
          </cell>
          <cell r="C2121" t="str">
            <v>230076</v>
          </cell>
        </row>
        <row r="2122">
          <cell r="A2122">
            <v>230077</v>
          </cell>
          <cell r="B2122" t="str">
            <v>TAPA + DISCO FIBER 75 ML.</v>
          </cell>
          <cell r="C2122" t="str">
            <v>TPDIFIBE</v>
          </cell>
        </row>
        <row r="2123">
          <cell r="A2123">
            <v>230077</v>
          </cell>
          <cell r="B2123" t="str">
            <v>TAPA + DISCO FIBER 75 ML.</v>
          </cell>
          <cell r="C2123" t="str">
            <v>230077</v>
          </cell>
        </row>
        <row r="2124">
          <cell r="A2124">
            <v>230078</v>
          </cell>
          <cell r="B2124" t="str">
            <v>TAPA + DISCO GLAZER</v>
          </cell>
          <cell r="C2124" t="str">
            <v>TPDIGLAZ</v>
          </cell>
        </row>
        <row r="2125">
          <cell r="A2125">
            <v>230078</v>
          </cell>
          <cell r="B2125" t="str">
            <v>TAPA + DISCO GLAZER</v>
          </cell>
          <cell r="C2125" t="str">
            <v>230078</v>
          </cell>
        </row>
        <row r="2126">
          <cell r="A2126">
            <v>230079</v>
          </cell>
          <cell r="B2126" t="str">
            <v>TAPA + DISCO MOULDER 75 ML.</v>
          </cell>
          <cell r="C2126" t="str">
            <v>TPDIMOUL</v>
          </cell>
        </row>
        <row r="2127">
          <cell r="A2127">
            <v>230079</v>
          </cell>
          <cell r="B2127" t="str">
            <v>TAPA + DISCO MOULDER 75 ML.</v>
          </cell>
          <cell r="C2127" t="str">
            <v>230079</v>
          </cell>
        </row>
        <row r="2128">
          <cell r="A2128">
            <v>230080</v>
          </cell>
          <cell r="B2128" t="str">
            <v>TAPA+DISCO CRYSTALL JELLY 250</v>
          </cell>
          <cell r="C2128" t="str">
            <v>TPDICJ25</v>
          </cell>
        </row>
        <row r="2129">
          <cell r="A2129">
            <v>230080</v>
          </cell>
          <cell r="B2129" t="str">
            <v>TAPA+DISCO CRYSTALL JELLY 250</v>
          </cell>
          <cell r="C2129" t="str">
            <v>230080</v>
          </cell>
        </row>
        <row r="2130">
          <cell r="A2130">
            <v>230081</v>
          </cell>
          <cell r="B2130" t="str">
            <v>VALVULA SERUM LISS 150 ML.</v>
          </cell>
          <cell r="C2130" t="str">
            <v>230081</v>
          </cell>
        </row>
        <row r="2131">
          <cell r="A2131">
            <v>230082</v>
          </cell>
          <cell r="B2131" t="str">
            <v>VALVULA Cobre 200Prod.Bifásico</v>
          </cell>
          <cell r="C2131" t="str">
            <v>230082</v>
          </cell>
        </row>
        <row r="2132">
          <cell r="A2132">
            <v>230083</v>
          </cell>
          <cell r="B2132" t="str">
            <v>TAPON 1 LITRO COBRE NACAR KIN</v>
          </cell>
          <cell r="C2132" t="str">
            <v>230083</v>
          </cell>
        </row>
        <row r="2133">
          <cell r="A2133">
            <v>230084</v>
          </cell>
          <cell r="B2133" t="str">
            <v>Tapón  COMP.TRICO-ACT."FORCE"</v>
          </cell>
          <cell r="C2133" t="str">
            <v>TA31</v>
          </cell>
        </row>
        <row r="2134">
          <cell r="A2134">
            <v>230084</v>
          </cell>
          <cell r="B2134" t="str">
            <v>Tapón  COMP.TRICO-ACT."FORCE"</v>
          </cell>
          <cell r="C2134" t="str">
            <v>230084</v>
          </cell>
        </row>
        <row r="2135">
          <cell r="A2135">
            <v>230085</v>
          </cell>
          <cell r="B2135" t="str">
            <v>TAP.BOT. AIRLESS 150 ML"EXTR."</v>
          </cell>
          <cell r="C2135" t="str">
            <v>230085</v>
          </cell>
        </row>
        <row r="2136">
          <cell r="A2136">
            <v>230086</v>
          </cell>
          <cell r="B2136" t="str">
            <v>TAPA TARRO MASK  200 ML.</v>
          </cell>
          <cell r="C2136" t="str">
            <v>230086</v>
          </cell>
        </row>
        <row r="2137">
          <cell r="A2137">
            <v>230091</v>
          </cell>
          <cell r="B2137" t="str">
            <v>VALVULA KAE LITRO COBRE NACAR</v>
          </cell>
          <cell r="C2137" t="str">
            <v>9-R-00232829</v>
          </cell>
        </row>
        <row r="2138">
          <cell r="A2138">
            <v>230091</v>
          </cell>
          <cell r="B2138" t="str">
            <v>VALVULA KAE LITRO COBRE NACAR</v>
          </cell>
          <cell r="C2138" t="str">
            <v>8435057057691</v>
          </cell>
        </row>
        <row r="2139">
          <cell r="A2139">
            <v>230092</v>
          </cell>
          <cell r="B2139" t="str">
            <v>TAPA TARRO MASK 900 ML KA</v>
          </cell>
          <cell r="C2139" t="str">
            <v>230092</v>
          </cell>
        </row>
        <row r="2140">
          <cell r="A2140">
            <v>230092</v>
          </cell>
          <cell r="B2140" t="str">
            <v>TAPA TARRO MASK 900 ML KA</v>
          </cell>
          <cell r="C2140" t="str">
            <v>230092</v>
          </cell>
        </row>
        <row r="2141">
          <cell r="A2141">
            <v>230093</v>
          </cell>
          <cell r="B2141" t="str">
            <v>TAPA VALVULA TARRO 900 ML.K.A.</v>
          </cell>
          <cell r="C2141" t="str">
            <v>230093</v>
          </cell>
        </row>
        <row r="2142">
          <cell r="A2142">
            <v>230094</v>
          </cell>
          <cell r="B2142" t="str">
            <v>TAPON FLIP TOP COBRE/MARFIL</v>
          </cell>
          <cell r="C2142" t="str">
            <v>230094</v>
          </cell>
        </row>
        <row r="2143">
          <cell r="A2143">
            <v>230095</v>
          </cell>
          <cell r="B2143" t="str">
            <v>TAPON FLIP TOP COBRE / BEIGE</v>
          </cell>
          <cell r="C2143" t="str">
            <v>230095</v>
          </cell>
        </row>
        <row r="2144">
          <cell r="A2144">
            <v>230096</v>
          </cell>
          <cell r="B2144" t="str">
            <v>TAPA+VÁLVULA TARRO 900 KINACTIF</v>
          </cell>
          <cell r="C2144" t="str">
            <v>8435057057349</v>
          </cell>
        </row>
        <row r="2145">
          <cell r="A2145">
            <v>230100</v>
          </cell>
          <cell r="B2145" t="str">
            <v>VALVULA KINLISS BLANCA</v>
          </cell>
          <cell r="C2145" t="str">
            <v>230100</v>
          </cell>
        </row>
        <row r="2146">
          <cell r="A2146">
            <v>230112</v>
          </cell>
          <cell r="B2146" t="str">
            <v>TAPON GFA. 5 LT. NATURAL</v>
          </cell>
          <cell r="C2146" t="str">
            <v>230112</v>
          </cell>
        </row>
        <row r="2147">
          <cell r="A2147">
            <v>230120</v>
          </cell>
          <cell r="B2147" t="str">
            <v>TAPON KINES.OLEO 10/30ML NEGRO</v>
          </cell>
          <cell r="C2147" t="str">
            <v>TRD51</v>
          </cell>
        </row>
        <row r="2148">
          <cell r="A2148">
            <v>240001</v>
          </cell>
          <cell r="B2148" t="str">
            <v>ALAMBRE BOLSA KINBLOND</v>
          </cell>
          <cell r="C2148" t="str">
            <v>AVABKB</v>
          </cell>
        </row>
        <row r="2149">
          <cell r="A2149">
            <v>240001</v>
          </cell>
          <cell r="B2149" t="str">
            <v>ALAMBRE BOLSA KINBLOND</v>
          </cell>
          <cell r="C2149" t="str">
            <v>240001</v>
          </cell>
        </row>
        <row r="2150">
          <cell r="A2150">
            <v>240002</v>
          </cell>
          <cell r="B2150" t="str">
            <v>BOLSA KIN BLANC</v>
          </cell>
          <cell r="C2150" t="str">
            <v>AVBOKB</v>
          </cell>
        </row>
        <row r="2151">
          <cell r="A2151">
            <v>240002</v>
          </cell>
          <cell r="B2151" t="str">
            <v>BOLSA KIN BLANC</v>
          </cell>
          <cell r="C2151" t="str">
            <v>240002</v>
          </cell>
        </row>
        <row r="2152">
          <cell r="A2152">
            <v>240003</v>
          </cell>
          <cell r="B2152" t="str">
            <v>BOLSA NEW COLOR 2000</v>
          </cell>
          <cell r="C2152" t="str">
            <v>AVBON2</v>
          </cell>
        </row>
        <row r="2153">
          <cell r="A2153">
            <v>240003</v>
          </cell>
          <cell r="B2153" t="str">
            <v>BOLSA NEW COLOR 2000</v>
          </cell>
          <cell r="C2153" t="str">
            <v>240003</v>
          </cell>
        </row>
        <row r="2154">
          <cell r="A2154">
            <v>240004</v>
          </cell>
          <cell r="B2154" t="str">
            <v>CUCHARA KIN BLANC</v>
          </cell>
          <cell r="C2154" t="str">
            <v>AVCUKB</v>
          </cell>
        </row>
        <row r="2155">
          <cell r="A2155">
            <v>240004</v>
          </cell>
          <cell r="B2155" t="str">
            <v>CUCHARA KIN BLANC</v>
          </cell>
          <cell r="C2155" t="str">
            <v>240004</v>
          </cell>
        </row>
        <row r="2156">
          <cell r="A2156">
            <v>240005</v>
          </cell>
          <cell r="B2156" t="str">
            <v>FILTRO JARABE PLEG. 45 CMS</v>
          </cell>
          <cell r="C2156" t="str">
            <v>AVDITS</v>
          </cell>
        </row>
        <row r="2157">
          <cell r="A2157">
            <v>240005</v>
          </cell>
          <cell r="B2157" t="str">
            <v>FILTRO JARABE PLEG. 45 CMS</v>
          </cell>
          <cell r="C2157" t="str">
            <v>240005</v>
          </cell>
        </row>
        <row r="2158">
          <cell r="A2158">
            <v>240006</v>
          </cell>
          <cell r="B2158" t="str">
            <v>FILM PEBD 240 40 MICRONS RETRA</v>
          </cell>
          <cell r="C2158" t="str">
            <v>AVFIKP</v>
          </cell>
        </row>
        <row r="2159">
          <cell r="A2159">
            <v>240006</v>
          </cell>
          <cell r="B2159" t="str">
            <v>FILM PEBD 240 40 MICRONS RETRA</v>
          </cell>
          <cell r="C2159" t="str">
            <v>3845</v>
          </cell>
        </row>
        <row r="2160">
          <cell r="A2160">
            <v>240007</v>
          </cell>
          <cell r="B2160" t="str">
            <v>FILTRO NORM.PLEGADO CTE 45 CM</v>
          </cell>
          <cell r="C2160" t="str">
            <v>AVFIKP</v>
          </cell>
        </row>
        <row r="2161">
          <cell r="A2161">
            <v>240007</v>
          </cell>
          <cell r="B2161" t="str">
            <v>FILTRO NORM.PLEGADO CTE 45 CM</v>
          </cell>
          <cell r="C2161" t="str">
            <v>240007</v>
          </cell>
        </row>
        <row r="2162">
          <cell r="A2162">
            <v>240008</v>
          </cell>
          <cell r="B2162" t="str">
            <v>FILM PVC RETRACTIL 350*17</v>
          </cell>
          <cell r="C2162" t="str">
            <v>AVFINO</v>
          </cell>
        </row>
        <row r="2163">
          <cell r="A2163">
            <v>240008</v>
          </cell>
          <cell r="B2163" t="str">
            <v>FILM PVC RETRACTIL 350*17</v>
          </cell>
          <cell r="C2163" t="str">
            <v>240008</v>
          </cell>
        </row>
        <row r="2164">
          <cell r="A2164">
            <v>240009</v>
          </cell>
          <cell r="B2164" t="str">
            <v>HILO KIN BLANC</v>
          </cell>
          <cell r="C2164" t="str">
            <v>AVFIRE</v>
          </cell>
        </row>
        <row r="2165">
          <cell r="A2165">
            <v>240009</v>
          </cell>
          <cell r="B2165" t="str">
            <v>HILO KIN BLANC</v>
          </cell>
          <cell r="C2165" t="str">
            <v>240009</v>
          </cell>
        </row>
        <row r="2166">
          <cell r="A2166">
            <v>240010</v>
          </cell>
          <cell r="B2166" t="str">
            <v>CARCASA SECAD 5000 AZUL 230 V</v>
          </cell>
          <cell r="C2166" t="str">
            <v>AVHIKB</v>
          </cell>
        </row>
        <row r="2167">
          <cell r="A2167">
            <v>240010</v>
          </cell>
          <cell r="B2167" t="str">
            <v>CARCASA SECAD 5000 AZUL 230 V</v>
          </cell>
          <cell r="C2167" t="str">
            <v>240010</v>
          </cell>
        </row>
        <row r="2168">
          <cell r="A2168">
            <v>240011</v>
          </cell>
          <cell r="B2168" t="str">
            <v>CUCHARA DECOLORANTE</v>
          </cell>
          <cell r="C2168" t="str">
            <v>CUDECO</v>
          </cell>
        </row>
        <row r="2169">
          <cell r="A2169">
            <v>240011</v>
          </cell>
          <cell r="B2169" t="str">
            <v>CUCHARA DECOLORANTE</v>
          </cell>
          <cell r="C2169" t="str">
            <v>T600IN</v>
          </cell>
        </row>
        <row r="2170">
          <cell r="A2170">
            <v>240011</v>
          </cell>
          <cell r="B2170" t="str">
            <v>CUCHARA DECOLORANTE</v>
          </cell>
          <cell r="C2170" t="str">
            <v>240011</v>
          </cell>
        </row>
        <row r="2171">
          <cell r="A2171">
            <v>240012</v>
          </cell>
          <cell r="B2171" t="str">
            <v>PALET ENVASES PROVEEDOR</v>
          </cell>
          <cell r="C2171" t="str">
            <v>PALEN</v>
          </cell>
        </row>
        <row r="2172">
          <cell r="A2172">
            <v>240012</v>
          </cell>
          <cell r="B2172" t="str">
            <v>PALET ENVASES PROVEEDOR</v>
          </cell>
          <cell r="C2172" t="str">
            <v>240012</v>
          </cell>
        </row>
        <row r="2173">
          <cell r="A2173">
            <v>240013</v>
          </cell>
          <cell r="B2173" t="str">
            <v>PALETS 120 x 80 MADERA</v>
          </cell>
          <cell r="C2173" t="str">
            <v>PALET</v>
          </cell>
        </row>
        <row r="2174">
          <cell r="A2174">
            <v>240013</v>
          </cell>
          <cell r="B2174" t="str">
            <v>PALETS 120 x 80 MADERA</v>
          </cell>
          <cell r="C2174" t="str">
            <v>240013</v>
          </cell>
        </row>
        <row r="2175">
          <cell r="A2175">
            <v>240014</v>
          </cell>
          <cell r="B2175" t="str">
            <v>PALETS 120 x 80 PLASTIC EXPORT</v>
          </cell>
          <cell r="C2175" t="str">
            <v>PALEX</v>
          </cell>
        </row>
        <row r="2176">
          <cell r="A2176">
            <v>240014</v>
          </cell>
          <cell r="B2176" t="str">
            <v>PALETS 120 x 80 PLASTIC EXPORT</v>
          </cell>
          <cell r="C2176" t="str">
            <v>240014</v>
          </cell>
        </row>
        <row r="2177">
          <cell r="A2177">
            <v>240015</v>
          </cell>
          <cell r="B2177" t="str">
            <v>GARRAFAS PROVEIDORS</v>
          </cell>
          <cell r="C2177" t="str">
            <v>240015</v>
          </cell>
        </row>
        <row r="2178">
          <cell r="A2178">
            <v>290001</v>
          </cell>
          <cell r="B2178" t="str">
            <v>TUBO FASHION BAÑO COLOR</v>
          </cell>
          <cell r="C2178" t="str">
            <v>TUFB</v>
          </cell>
        </row>
        <row r="2179">
          <cell r="A2179">
            <v>290001</v>
          </cell>
          <cell r="B2179" t="str">
            <v>TUBO FASHION BAÑO COLOR</v>
          </cell>
          <cell r="C2179" t="str">
            <v>290001</v>
          </cell>
        </row>
        <row r="2180">
          <cell r="A2180">
            <v>290002</v>
          </cell>
          <cell r="B2180" t="str">
            <v>TUBO KREMATIN 60 ml.</v>
          </cell>
          <cell r="C2180" t="str">
            <v>TUTF</v>
          </cell>
        </row>
        <row r="2181">
          <cell r="A2181">
            <v>290002</v>
          </cell>
          <cell r="B2181" t="str">
            <v>TUBO KREMATIN 60 ml.</v>
          </cell>
          <cell r="C2181" t="str">
            <v>290002</v>
          </cell>
        </row>
        <row r="2182">
          <cell r="A2182">
            <v>290003</v>
          </cell>
          <cell r="B2182" t="str">
            <v>TUBO KHATIONS 60 ml. (HULMA)</v>
          </cell>
          <cell r="C2182" t="str">
            <v>TUTH</v>
          </cell>
        </row>
        <row r="2183">
          <cell r="A2183">
            <v>290003</v>
          </cell>
          <cell r="B2183" t="str">
            <v>TUBO KHATIONS 60 ml. (HULMA)</v>
          </cell>
          <cell r="C2183" t="str">
            <v>290003</v>
          </cell>
        </row>
        <row r="2184">
          <cell r="A2184">
            <v>290004</v>
          </cell>
          <cell r="B2184" t="str">
            <v>BOT/ HULMA OXIG. 20 V.</v>
          </cell>
          <cell r="C2184" t="str">
            <v>BOH20</v>
          </cell>
        </row>
        <row r="2185">
          <cell r="A2185">
            <v>290004</v>
          </cell>
          <cell r="B2185" t="str">
            <v>BOT/ HULMA OXIG. 20 V.</v>
          </cell>
          <cell r="C2185" t="str">
            <v>290004</v>
          </cell>
        </row>
        <row r="2186">
          <cell r="A2186">
            <v>290005</v>
          </cell>
          <cell r="B2186" t="str">
            <v>BOT/ HULMA OXIG. 30 V.</v>
          </cell>
          <cell r="C2186" t="str">
            <v>BOH30</v>
          </cell>
        </row>
        <row r="2187">
          <cell r="A2187">
            <v>290005</v>
          </cell>
          <cell r="B2187" t="str">
            <v>BOT/ HULMA OXIG. 30 V.</v>
          </cell>
          <cell r="C2187" t="str">
            <v>290005</v>
          </cell>
        </row>
        <row r="2188">
          <cell r="A2188">
            <v>290006</v>
          </cell>
          <cell r="B2188" t="str">
            <v>BOT/ HULMA OXIG. 40 V.</v>
          </cell>
          <cell r="C2188" t="str">
            <v>BOH40</v>
          </cell>
        </row>
        <row r="2189">
          <cell r="A2189">
            <v>290006</v>
          </cell>
          <cell r="B2189" t="str">
            <v>BOT/ HULMA OXIG. 40 V.</v>
          </cell>
          <cell r="C2189" t="str">
            <v>290006</v>
          </cell>
        </row>
        <row r="2190">
          <cell r="A2190">
            <v>290007</v>
          </cell>
          <cell r="B2190" t="str">
            <v>BOT/. HULMA PERMANENTE</v>
          </cell>
          <cell r="C2190" t="str">
            <v>BOHPE</v>
          </cell>
        </row>
        <row r="2191">
          <cell r="A2191">
            <v>290007</v>
          </cell>
          <cell r="B2191" t="str">
            <v>BOT/. HULMA PERMANENTE</v>
          </cell>
          <cell r="C2191" t="str">
            <v>290007</v>
          </cell>
        </row>
        <row r="2192">
          <cell r="A2192">
            <v>290008</v>
          </cell>
          <cell r="B2192" t="str">
            <v>BOT/. HULMA LOR-MUN</v>
          </cell>
          <cell r="C2192" t="str">
            <v>BOHLM</v>
          </cell>
        </row>
        <row r="2193">
          <cell r="A2193">
            <v>290008</v>
          </cell>
          <cell r="B2193" t="str">
            <v>BOT/. HULMA LOR-MUN</v>
          </cell>
          <cell r="C2193" t="str">
            <v>290008</v>
          </cell>
        </row>
        <row r="2194">
          <cell r="A2194">
            <v>290009</v>
          </cell>
          <cell r="B2194" t="str">
            <v>BOT/. HULMA SIAN</v>
          </cell>
          <cell r="C2194" t="str">
            <v>BOHSI</v>
          </cell>
        </row>
        <row r="2195">
          <cell r="A2195">
            <v>290009</v>
          </cell>
          <cell r="B2195" t="str">
            <v>BOT/. HULMA SIAN</v>
          </cell>
          <cell r="C2195" t="str">
            <v>290009</v>
          </cell>
        </row>
        <row r="2196">
          <cell r="A2196">
            <v>290010</v>
          </cell>
          <cell r="B2196" t="str">
            <v>TUBO SPEJO'S COLOR</v>
          </cell>
          <cell r="C2196" t="str">
            <v>TUOC</v>
          </cell>
        </row>
        <row r="2197">
          <cell r="A2197">
            <v>290010</v>
          </cell>
          <cell r="B2197" t="str">
            <v>TUBO SPEJO'S COLOR</v>
          </cell>
          <cell r="C2197" t="str">
            <v>290010</v>
          </cell>
        </row>
        <row r="2198">
          <cell r="A2198">
            <v>290011</v>
          </cell>
          <cell r="B2198" t="str">
            <v>BOT/. HULMA NEUTR. LIQUID</v>
          </cell>
          <cell r="C2198" t="str">
            <v>BOHNL</v>
          </cell>
        </row>
        <row r="2199">
          <cell r="A2199">
            <v>290011</v>
          </cell>
          <cell r="B2199" t="str">
            <v>BOT/. HULMA NEUTR. LIQUID</v>
          </cell>
          <cell r="C2199" t="str">
            <v>290011</v>
          </cell>
        </row>
        <row r="2200">
          <cell r="A2200">
            <v>290012</v>
          </cell>
          <cell r="B2200" t="str">
            <v>ESTUCHE FASHION BAÑO COLOR</v>
          </cell>
          <cell r="C2200" t="str">
            <v>ESFB3</v>
          </cell>
        </row>
        <row r="2201">
          <cell r="A2201">
            <v>290012</v>
          </cell>
          <cell r="B2201" t="str">
            <v>ESTUCHE FASHION BAÑO COLOR</v>
          </cell>
          <cell r="C2201" t="str">
            <v>290012</v>
          </cell>
        </row>
        <row r="2202">
          <cell r="A2202">
            <v>290013</v>
          </cell>
          <cell r="B2202" t="str">
            <v>ESTUCHE KREMATIN 6 TUBS.</v>
          </cell>
          <cell r="C2202" t="str">
            <v>ESKRE6</v>
          </cell>
        </row>
        <row r="2203">
          <cell r="A2203">
            <v>290013</v>
          </cell>
          <cell r="B2203" t="str">
            <v>ESTUCHE KREMATIN 6 TUBS.</v>
          </cell>
          <cell r="C2203" t="str">
            <v>290013</v>
          </cell>
        </row>
        <row r="2204">
          <cell r="A2204">
            <v>290014</v>
          </cell>
          <cell r="B2204" t="str">
            <v>ESTUCHE HULMA T.CREMA II</v>
          </cell>
          <cell r="C2204" t="str">
            <v>ESHD</v>
          </cell>
        </row>
        <row r="2205">
          <cell r="A2205">
            <v>290014</v>
          </cell>
          <cell r="B2205" t="str">
            <v>ESTUCHE HULMA T.CREMA II</v>
          </cell>
          <cell r="C2205" t="str">
            <v>290014</v>
          </cell>
        </row>
        <row r="2206">
          <cell r="A2206">
            <v>290015</v>
          </cell>
          <cell r="B2206" t="str">
            <v>CAIXA ONOVO COLOR</v>
          </cell>
          <cell r="C2206" t="str">
            <v>CEOC</v>
          </cell>
        </row>
        <row r="2207">
          <cell r="A2207">
            <v>290015</v>
          </cell>
          <cell r="B2207" t="str">
            <v>CAIXA ONOVO COLOR</v>
          </cell>
          <cell r="C2207" t="str">
            <v>CEOC</v>
          </cell>
        </row>
        <row r="2208">
          <cell r="A2208">
            <v>290015</v>
          </cell>
          <cell r="B2208" t="str">
            <v>CAIXA ONOVO COLOR</v>
          </cell>
          <cell r="C2208" t="str">
            <v>290015</v>
          </cell>
        </row>
        <row r="2209">
          <cell r="A2209">
            <v>290016</v>
          </cell>
          <cell r="B2209" t="str">
            <v>ESTUCHE SPEJO'S COLOR7 3 TUBS</v>
          </cell>
          <cell r="C2209" t="str">
            <v>ESOC3</v>
          </cell>
        </row>
        <row r="2210">
          <cell r="A2210">
            <v>290016</v>
          </cell>
          <cell r="B2210" t="str">
            <v>ESTUCHE SPEJO'S COLOR7 3 TUBS</v>
          </cell>
          <cell r="C2210" t="str">
            <v>290016</v>
          </cell>
        </row>
        <row r="2211">
          <cell r="A2211">
            <v>290017</v>
          </cell>
          <cell r="B2211" t="str">
            <v>TAPON + OBT. BOT. 1 LT. HULMA</v>
          </cell>
          <cell r="C2211" t="str">
            <v>290017</v>
          </cell>
        </row>
        <row r="2212">
          <cell r="A2212">
            <v>290018</v>
          </cell>
          <cell r="B2212" t="str">
            <v>BOT. + TAPON HULMA REVELADOR</v>
          </cell>
          <cell r="C2212" t="str">
            <v>290018</v>
          </cell>
        </row>
        <row r="2213">
          <cell r="A2213">
            <v>290019</v>
          </cell>
          <cell r="B2213" t="str">
            <v>ESTUCHE HULMA REFLEJOS</v>
          </cell>
          <cell r="C2213" t="str">
            <v>290019</v>
          </cell>
        </row>
        <row r="2214">
          <cell r="A2214">
            <v>290020</v>
          </cell>
          <cell r="B2214" t="str">
            <v>FOLLETO T. CREMA HULMA</v>
          </cell>
          <cell r="C2214" t="str">
            <v>290020</v>
          </cell>
        </row>
        <row r="2215">
          <cell r="A2215">
            <v>290021</v>
          </cell>
          <cell r="B2215" t="str">
            <v>TARRO MASCARILLA HULMA</v>
          </cell>
          <cell r="C2215" t="str">
            <v>290021</v>
          </cell>
        </row>
        <row r="2216">
          <cell r="A2216">
            <v>290022</v>
          </cell>
          <cell r="B2216" t="str">
            <v>TUBO BAÑO HULMA</v>
          </cell>
          <cell r="C2216" t="str">
            <v>290022</v>
          </cell>
        </row>
        <row r="2217">
          <cell r="A2217">
            <v>290023</v>
          </cell>
          <cell r="B2217" t="str">
            <v>BOT. HERBAL ACOND. ANTI-ROTURA</v>
          </cell>
          <cell r="C2217" t="str">
            <v>BOHAAR</v>
          </cell>
        </row>
        <row r="2218">
          <cell r="A2218">
            <v>290023</v>
          </cell>
          <cell r="B2218" t="str">
            <v>BOT. HERBAL ACOND. ANTI-ROTURA</v>
          </cell>
          <cell r="C2218" t="str">
            <v>290023</v>
          </cell>
        </row>
        <row r="2219">
          <cell r="A2219">
            <v>290024</v>
          </cell>
          <cell r="B2219" t="str">
            <v>BOT. HERBAL ACOND. BRILLO INT</v>
          </cell>
          <cell r="C2219" t="str">
            <v>BOHABI</v>
          </cell>
        </row>
        <row r="2220">
          <cell r="A2220">
            <v>290024</v>
          </cell>
          <cell r="B2220" t="str">
            <v>BOT. HERBAL ACOND. BRILLO INT</v>
          </cell>
          <cell r="C2220" t="str">
            <v>290024</v>
          </cell>
        </row>
        <row r="2221">
          <cell r="A2221">
            <v>290025</v>
          </cell>
          <cell r="B2221" t="str">
            <v>BOT. HERBAL ACOND. C LUMIERE</v>
          </cell>
          <cell r="C2221" t="str">
            <v>BOHACL</v>
          </cell>
        </row>
        <row r="2222">
          <cell r="A2222">
            <v>290025</v>
          </cell>
          <cell r="B2222" t="str">
            <v>BOT. HERBAL ACOND. C LUMIERE</v>
          </cell>
          <cell r="C2222" t="str">
            <v>290025</v>
          </cell>
        </row>
        <row r="2223">
          <cell r="A2223">
            <v>290026</v>
          </cell>
          <cell r="B2223" t="str">
            <v>BOT. HERBAL ACOND.</v>
          </cell>
          <cell r="C2223" t="str">
            <v>BOHACN</v>
          </cell>
        </row>
        <row r="2224">
          <cell r="A2224">
            <v>290026</v>
          </cell>
          <cell r="B2224" t="str">
            <v>BOT. HERBAL ACOND.</v>
          </cell>
          <cell r="C2224" t="str">
            <v>290026</v>
          </cell>
        </row>
        <row r="2225">
          <cell r="A2225">
            <v>290027</v>
          </cell>
          <cell r="B2225" t="str">
            <v>BOT. HERBAL ACOND.</v>
          </cell>
          <cell r="C2225" t="str">
            <v>BOHAHR</v>
          </cell>
        </row>
        <row r="2226">
          <cell r="A2226">
            <v>290027</v>
          </cell>
          <cell r="B2226" t="str">
            <v>BOT. HERBAL ACOND.</v>
          </cell>
          <cell r="C2226" t="str">
            <v>290027</v>
          </cell>
        </row>
        <row r="2227">
          <cell r="A2227">
            <v>290028</v>
          </cell>
          <cell r="B2227" t="str">
            <v>BOT. HERBAL ACOND. LISSE</v>
          </cell>
          <cell r="C2227" t="str">
            <v>BOHALI</v>
          </cell>
        </row>
        <row r="2228">
          <cell r="A2228">
            <v>290028</v>
          </cell>
          <cell r="B2228" t="str">
            <v>BOT. HERBAL ACOND. LISSE</v>
          </cell>
          <cell r="C2228" t="str">
            <v>290028</v>
          </cell>
        </row>
        <row r="2229">
          <cell r="A2229">
            <v>290029</v>
          </cell>
          <cell r="B2229" t="str">
            <v>BOT. HERBAL ACOND.</v>
          </cell>
          <cell r="C2229" t="str">
            <v>BOHARD</v>
          </cell>
        </row>
        <row r="2230">
          <cell r="A2230">
            <v>290029</v>
          </cell>
          <cell r="B2230" t="str">
            <v>BOT. HERBAL ACOND.</v>
          </cell>
          <cell r="C2230" t="str">
            <v>290029</v>
          </cell>
        </row>
        <row r="2231">
          <cell r="A2231">
            <v>290030</v>
          </cell>
          <cell r="B2231" t="str">
            <v>BOT. HERBAL ACOND. RIZOS</v>
          </cell>
          <cell r="C2231" t="str">
            <v>BOHARI</v>
          </cell>
        </row>
        <row r="2232">
          <cell r="A2232">
            <v>290030</v>
          </cell>
          <cell r="B2232" t="str">
            <v>BOT. HERBAL ACOND. RIZOS</v>
          </cell>
          <cell r="C2232" t="str">
            <v>290030</v>
          </cell>
        </row>
        <row r="2233">
          <cell r="A2233">
            <v>290031</v>
          </cell>
          <cell r="B2233" t="str">
            <v>BOT. HERBAL SHAMPOO</v>
          </cell>
          <cell r="C2233" t="str">
            <v>BOHSAR</v>
          </cell>
        </row>
        <row r="2234">
          <cell r="A2234">
            <v>290031</v>
          </cell>
          <cell r="B2234" t="str">
            <v>BOT. HERBAL SHAMPOO</v>
          </cell>
          <cell r="C2234" t="str">
            <v>290031</v>
          </cell>
        </row>
        <row r="2235">
          <cell r="A2235">
            <v>290032</v>
          </cell>
          <cell r="B2235" t="str">
            <v>BOT. HERBAL SHAMPOO</v>
          </cell>
          <cell r="C2235" t="str">
            <v>BOHSBI</v>
          </cell>
        </row>
        <row r="2236">
          <cell r="A2236">
            <v>290032</v>
          </cell>
          <cell r="B2236" t="str">
            <v>BOT. HERBAL SHAMPOO</v>
          </cell>
          <cell r="C2236" t="str">
            <v>290032</v>
          </cell>
        </row>
        <row r="2237">
          <cell r="A2237">
            <v>290033</v>
          </cell>
          <cell r="B2237" t="str">
            <v>BOT. HERBAL SHAMPOO</v>
          </cell>
          <cell r="C2237" t="str">
            <v>BOHSCL</v>
          </cell>
        </row>
        <row r="2238">
          <cell r="A2238">
            <v>290033</v>
          </cell>
          <cell r="B2238" t="str">
            <v>BOT. HERBAL SHAMPOO</v>
          </cell>
          <cell r="C2238" t="str">
            <v>290033</v>
          </cell>
        </row>
        <row r="2239">
          <cell r="A2239">
            <v>290034</v>
          </cell>
          <cell r="B2239" t="str">
            <v>BOT. HERBAL SHAMPOO</v>
          </cell>
          <cell r="C2239" t="str">
            <v>BOHSCN</v>
          </cell>
        </row>
        <row r="2240">
          <cell r="A2240">
            <v>290034</v>
          </cell>
          <cell r="B2240" t="str">
            <v>BOT. HERBAL SHAMPOO</v>
          </cell>
          <cell r="C2240" t="str">
            <v>290034</v>
          </cell>
        </row>
        <row r="2241">
          <cell r="A2241">
            <v>290035</v>
          </cell>
          <cell r="B2241" t="str">
            <v>BOT. HERBAL SHAMPOO</v>
          </cell>
          <cell r="C2241" t="str">
            <v>BOHSHR</v>
          </cell>
        </row>
        <row r="2242">
          <cell r="A2242">
            <v>290035</v>
          </cell>
          <cell r="B2242" t="str">
            <v>BOT. HERBAL SHAMPOO</v>
          </cell>
          <cell r="C2242" t="str">
            <v>290035</v>
          </cell>
        </row>
        <row r="2243">
          <cell r="A2243">
            <v>290036</v>
          </cell>
          <cell r="B2243" t="str">
            <v>BOT. HERBAL SHAMPOO LISSE</v>
          </cell>
          <cell r="C2243" t="str">
            <v>BOHSLI</v>
          </cell>
        </row>
        <row r="2244">
          <cell r="A2244">
            <v>290036</v>
          </cell>
          <cell r="B2244" t="str">
            <v>BOT. HERBAL SHAMPOO LISSE</v>
          </cell>
          <cell r="C2244" t="str">
            <v>290036</v>
          </cell>
        </row>
        <row r="2245">
          <cell r="A2245">
            <v>290037</v>
          </cell>
          <cell r="B2245" t="str">
            <v>BOT. HERBAL SHAMPOO</v>
          </cell>
          <cell r="C2245" t="str">
            <v>BOHSPU</v>
          </cell>
        </row>
        <row r="2246">
          <cell r="A2246">
            <v>290037</v>
          </cell>
          <cell r="B2246" t="str">
            <v>BOT. HERBAL SHAMPOO</v>
          </cell>
          <cell r="C2246" t="str">
            <v>290037</v>
          </cell>
        </row>
        <row r="2247">
          <cell r="A2247">
            <v>290038</v>
          </cell>
          <cell r="B2247" t="str">
            <v>BOT. HERBAL SHAMPOO</v>
          </cell>
          <cell r="C2247" t="str">
            <v>BOHSRD</v>
          </cell>
        </row>
        <row r="2248">
          <cell r="A2248">
            <v>290038</v>
          </cell>
          <cell r="B2248" t="str">
            <v>BOT. HERBAL SHAMPOO</v>
          </cell>
          <cell r="C2248" t="str">
            <v>290038</v>
          </cell>
        </row>
        <row r="2249">
          <cell r="A2249">
            <v>290039</v>
          </cell>
          <cell r="B2249" t="str">
            <v>BOT. HERBAL SHAMPOO</v>
          </cell>
          <cell r="C2249" t="str">
            <v>BOHSRE</v>
          </cell>
        </row>
        <row r="2250">
          <cell r="A2250">
            <v>290039</v>
          </cell>
          <cell r="B2250" t="str">
            <v>BOT. HERBAL SHAMPOO</v>
          </cell>
          <cell r="C2250" t="str">
            <v>290039</v>
          </cell>
        </row>
        <row r="2251">
          <cell r="A2251">
            <v>290040</v>
          </cell>
          <cell r="B2251" t="str">
            <v>BOT. HERBAL SHAMPOO RIZOS</v>
          </cell>
          <cell r="C2251" t="str">
            <v>BOHSRI</v>
          </cell>
        </row>
        <row r="2252">
          <cell r="A2252">
            <v>290040</v>
          </cell>
          <cell r="B2252" t="str">
            <v>BOT. HERBAL SHAMPOO RIZOS</v>
          </cell>
          <cell r="C2252" t="str">
            <v>290040</v>
          </cell>
        </row>
        <row r="2253">
          <cell r="A2253">
            <v>290041</v>
          </cell>
          <cell r="B2253" t="str">
            <v>BOT. HERBAL SHAMPOO</v>
          </cell>
          <cell r="C2253" t="str">
            <v>BOHSTO</v>
          </cell>
        </row>
        <row r="2254">
          <cell r="A2254">
            <v>290041</v>
          </cell>
          <cell r="B2254" t="str">
            <v>BOT. HERBAL SHAMPOO</v>
          </cell>
          <cell r="C2254" t="str">
            <v>290041</v>
          </cell>
        </row>
        <row r="2255">
          <cell r="A2255">
            <v>290042</v>
          </cell>
          <cell r="B2255" t="str">
            <v>CAIXA HERBAL ACOND.</v>
          </cell>
          <cell r="C2255" t="str">
            <v>CEHAAR</v>
          </cell>
        </row>
        <row r="2256">
          <cell r="A2256">
            <v>290042</v>
          </cell>
          <cell r="B2256" t="str">
            <v>CAIXA HERBAL ACOND.</v>
          </cell>
          <cell r="C2256" t="str">
            <v>290042</v>
          </cell>
        </row>
        <row r="2257">
          <cell r="A2257">
            <v>290043</v>
          </cell>
          <cell r="B2257" t="str">
            <v>CAIXA HERBAL ACOND.</v>
          </cell>
          <cell r="C2257" t="str">
            <v>CEHABI</v>
          </cell>
        </row>
        <row r="2258">
          <cell r="A2258">
            <v>290043</v>
          </cell>
          <cell r="B2258" t="str">
            <v>CAIXA HERBAL ACOND.</v>
          </cell>
          <cell r="C2258" t="str">
            <v>290043</v>
          </cell>
        </row>
        <row r="2259">
          <cell r="A2259">
            <v>290044</v>
          </cell>
          <cell r="B2259" t="str">
            <v>CAIXA HERBAL ACOND.</v>
          </cell>
          <cell r="C2259" t="str">
            <v>CEHACL</v>
          </cell>
        </row>
        <row r="2260">
          <cell r="A2260">
            <v>290044</v>
          </cell>
          <cell r="B2260" t="str">
            <v>CAIXA HERBAL ACOND.</v>
          </cell>
          <cell r="C2260" t="str">
            <v>290044</v>
          </cell>
        </row>
        <row r="2261">
          <cell r="A2261">
            <v>290045</v>
          </cell>
          <cell r="B2261" t="str">
            <v>CAIXA HERBAL ACOND.</v>
          </cell>
          <cell r="C2261" t="str">
            <v>CEHAHR</v>
          </cell>
        </row>
        <row r="2262">
          <cell r="A2262">
            <v>290045</v>
          </cell>
          <cell r="B2262" t="str">
            <v>CAIXA HERBAL ACOND.</v>
          </cell>
          <cell r="C2262" t="str">
            <v>290045</v>
          </cell>
        </row>
        <row r="2263">
          <cell r="A2263">
            <v>290046</v>
          </cell>
          <cell r="B2263" t="str">
            <v>CAIXA HERBAL ACOND.</v>
          </cell>
          <cell r="C2263" t="str">
            <v>CEHALA</v>
          </cell>
        </row>
        <row r="2264">
          <cell r="A2264">
            <v>290046</v>
          </cell>
          <cell r="B2264" t="str">
            <v>CAIXA HERBAL ACOND.</v>
          </cell>
          <cell r="C2264" t="str">
            <v>290046</v>
          </cell>
        </row>
        <row r="2265">
          <cell r="A2265">
            <v>290047</v>
          </cell>
          <cell r="B2265" t="str">
            <v>CAIXA HERBAL ACOND. NATURAL</v>
          </cell>
          <cell r="C2265" t="str">
            <v>CEHANA</v>
          </cell>
        </row>
        <row r="2266">
          <cell r="A2266">
            <v>290047</v>
          </cell>
          <cell r="B2266" t="str">
            <v>CAIXA HERBAL ACOND. NATURAL</v>
          </cell>
          <cell r="C2266" t="str">
            <v>290047</v>
          </cell>
        </row>
        <row r="2267">
          <cell r="A2267">
            <v>290048</v>
          </cell>
          <cell r="B2267" t="str">
            <v>CAIXA HERBAL ACOND.</v>
          </cell>
          <cell r="C2267" t="str">
            <v>CEHARD</v>
          </cell>
        </row>
        <row r="2268">
          <cell r="A2268">
            <v>290048</v>
          </cell>
          <cell r="B2268" t="str">
            <v>CAIXA HERBAL ACOND.</v>
          </cell>
          <cell r="C2268" t="str">
            <v>290048</v>
          </cell>
        </row>
        <row r="2269">
          <cell r="A2269">
            <v>290049</v>
          </cell>
          <cell r="B2269" t="str">
            <v>CAIXA HERBAL ACOND. RIZOS</v>
          </cell>
          <cell r="C2269" t="str">
            <v>CEHARI</v>
          </cell>
        </row>
        <row r="2270">
          <cell r="A2270">
            <v>290049</v>
          </cell>
          <cell r="B2270" t="str">
            <v>CAIXA HERBAL ACOND. RIZOS</v>
          </cell>
          <cell r="C2270" t="str">
            <v>290049</v>
          </cell>
        </row>
        <row r="2271">
          <cell r="A2271">
            <v>290050</v>
          </cell>
          <cell r="B2271" t="str">
            <v>CAIXA HERBAL MASC. SOLAR</v>
          </cell>
          <cell r="C2271" t="str">
            <v>CEHMSO</v>
          </cell>
        </row>
        <row r="2272">
          <cell r="A2272">
            <v>290050</v>
          </cell>
          <cell r="B2272" t="str">
            <v>CAIXA HERBAL MASC. SOLAR</v>
          </cell>
          <cell r="C2272" t="str">
            <v>290050</v>
          </cell>
        </row>
        <row r="2273">
          <cell r="A2273">
            <v>290051</v>
          </cell>
          <cell r="B2273" t="str">
            <v>CAIXA HERBAL N. MASC. CASTAÑOS</v>
          </cell>
          <cell r="C2273" t="str">
            <v>CEHNCA</v>
          </cell>
        </row>
        <row r="2274">
          <cell r="A2274">
            <v>290051</v>
          </cell>
          <cell r="B2274" t="str">
            <v>CAIXA HERBAL N. MASC. CASTAÑOS</v>
          </cell>
          <cell r="C2274" t="str">
            <v>290051</v>
          </cell>
        </row>
        <row r="2275">
          <cell r="A2275">
            <v>290052</v>
          </cell>
          <cell r="B2275" t="str">
            <v>CAIXA HERBAL N. MASC. DORADOS</v>
          </cell>
          <cell r="C2275" t="str">
            <v>CEHNDO</v>
          </cell>
        </row>
        <row r="2276">
          <cell r="A2276">
            <v>290052</v>
          </cell>
          <cell r="B2276" t="str">
            <v>CAIXA HERBAL N. MASC. DORADOS</v>
          </cell>
          <cell r="C2276" t="str">
            <v>290052</v>
          </cell>
        </row>
        <row r="2277">
          <cell r="A2277">
            <v>290053</v>
          </cell>
          <cell r="B2277" t="str">
            <v>CAIXA HERBAL N. MASC. NEGROS</v>
          </cell>
          <cell r="C2277" t="str">
            <v>CEHNNE</v>
          </cell>
        </row>
        <row r="2278">
          <cell r="A2278">
            <v>290053</v>
          </cell>
          <cell r="B2278" t="str">
            <v>CAIXA HERBAL N. MASC. NEGROS</v>
          </cell>
          <cell r="C2278" t="str">
            <v>290053</v>
          </cell>
        </row>
        <row r="2279">
          <cell r="A2279">
            <v>290054</v>
          </cell>
          <cell r="B2279" t="str">
            <v>CAIXA HERBAL N. MASC. PLATINOS</v>
          </cell>
          <cell r="C2279" t="str">
            <v>CEHNPL</v>
          </cell>
        </row>
        <row r="2280">
          <cell r="A2280">
            <v>290054</v>
          </cell>
          <cell r="B2280" t="str">
            <v>CAIXA HERBAL N. MASC. PLATINOS</v>
          </cell>
          <cell r="C2280" t="str">
            <v>290054</v>
          </cell>
        </row>
        <row r="2281">
          <cell r="A2281">
            <v>290055</v>
          </cell>
          <cell r="B2281" t="str">
            <v>CAIXA HERBAL SHAMPOO</v>
          </cell>
          <cell r="C2281" t="str">
            <v>CEHSAR</v>
          </cell>
        </row>
        <row r="2282">
          <cell r="A2282">
            <v>290055</v>
          </cell>
          <cell r="B2282" t="str">
            <v>CAIXA HERBAL SHAMPOO</v>
          </cell>
          <cell r="C2282" t="str">
            <v>290055</v>
          </cell>
        </row>
        <row r="2283">
          <cell r="A2283">
            <v>290056</v>
          </cell>
          <cell r="B2283" t="str">
            <v>CAIXA HERBAL SHAMPOO</v>
          </cell>
          <cell r="C2283" t="str">
            <v>CEHSBI</v>
          </cell>
        </row>
        <row r="2284">
          <cell r="A2284">
            <v>290056</v>
          </cell>
          <cell r="B2284" t="str">
            <v>CAIXA HERBAL SHAMPOO</v>
          </cell>
          <cell r="C2284" t="str">
            <v>290056</v>
          </cell>
        </row>
        <row r="2285">
          <cell r="A2285">
            <v>290057</v>
          </cell>
          <cell r="B2285" t="str">
            <v>CAIXA HERBAL SHAMPOO</v>
          </cell>
          <cell r="C2285" t="str">
            <v>CEHSCL</v>
          </cell>
        </row>
        <row r="2286">
          <cell r="A2286">
            <v>290057</v>
          </cell>
          <cell r="B2286" t="str">
            <v>CAIXA HERBAL SHAMPOO</v>
          </cell>
          <cell r="C2286" t="str">
            <v>290057</v>
          </cell>
        </row>
        <row r="2287">
          <cell r="A2287">
            <v>290058</v>
          </cell>
          <cell r="B2287" t="str">
            <v>CAIXA HERBAL SHAMPOO</v>
          </cell>
          <cell r="C2287" t="str">
            <v>CEHSHR</v>
          </cell>
        </row>
        <row r="2288">
          <cell r="A2288">
            <v>290058</v>
          </cell>
          <cell r="B2288" t="str">
            <v>CAIXA HERBAL SHAMPOO</v>
          </cell>
          <cell r="C2288" t="str">
            <v>290058</v>
          </cell>
        </row>
        <row r="2289">
          <cell r="A2289">
            <v>290059</v>
          </cell>
          <cell r="B2289" t="str">
            <v>CAIXA HERBAL SHAMPOO</v>
          </cell>
          <cell r="C2289" t="str">
            <v>CEHSLA</v>
          </cell>
        </row>
        <row r="2290">
          <cell r="A2290">
            <v>290059</v>
          </cell>
          <cell r="B2290" t="str">
            <v>CAIXA HERBAL SHAMPOO</v>
          </cell>
          <cell r="C2290" t="str">
            <v>290059</v>
          </cell>
        </row>
        <row r="2291">
          <cell r="A2291">
            <v>290060</v>
          </cell>
          <cell r="B2291" t="str">
            <v>CAIXA HERBAL SHAMPOO NATURAL</v>
          </cell>
          <cell r="C2291" t="str">
            <v>CEHSNA</v>
          </cell>
        </row>
        <row r="2292">
          <cell r="A2292">
            <v>290060</v>
          </cell>
          <cell r="B2292" t="str">
            <v>CAIXA HERBAL SHAMPOO NATURAL</v>
          </cell>
          <cell r="C2292" t="str">
            <v>290060</v>
          </cell>
        </row>
        <row r="2293">
          <cell r="A2293">
            <v>290061</v>
          </cell>
          <cell r="B2293" t="str">
            <v>CAIXA HERBAL SHAMPOO</v>
          </cell>
          <cell r="C2293" t="str">
            <v>CEHSPU</v>
          </cell>
        </row>
        <row r="2294">
          <cell r="A2294">
            <v>290061</v>
          </cell>
          <cell r="B2294" t="str">
            <v>CAIXA HERBAL SHAMPOO</v>
          </cell>
          <cell r="C2294" t="str">
            <v>290061</v>
          </cell>
        </row>
        <row r="2295">
          <cell r="A2295">
            <v>290062</v>
          </cell>
          <cell r="B2295" t="str">
            <v>CAIXA HERBAL SHAMPOO</v>
          </cell>
          <cell r="C2295" t="str">
            <v>CEHSRD</v>
          </cell>
        </row>
        <row r="2296">
          <cell r="A2296">
            <v>290062</v>
          </cell>
          <cell r="B2296" t="str">
            <v>CAIXA HERBAL SHAMPOO</v>
          </cell>
          <cell r="C2296" t="str">
            <v>290062</v>
          </cell>
        </row>
        <row r="2297">
          <cell r="A2297">
            <v>290063</v>
          </cell>
          <cell r="B2297" t="str">
            <v>CAIXA HERBAL SHAMPOO</v>
          </cell>
          <cell r="C2297" t="str">
            <v>CEHSRE</v>
          </cell>
        </row>
        <row r="2298">
          <cell r="A2298">
            <v>290063</v>
          </cell>
          <cell r="B2298" t="str">
            <v>CAIXA HERBAL SHAMPOO</v>
          </cell>
          <cell r="C2298" t="str">
            <v>290063</v>
          </cell>
        </row>
        <row r="2299">
          <cell r="A2299">
            <v>290064</v>
          </cell>
          <cell r="B2299" t="str">
            <v>CAIXA HERBAL SHAMPOO RIZOS</v>
          </cell>
          <cell r="C2299" t="str">
            <v>CEHSRI</v>
          </cell>
        </row>
        <row r="2300">
          <cell r="A2300">
            <v>290064</v>
          </cell>
          <cell r="B2300" t="str">
            <v>CAIXA HERBAL SHAMPOO RIZOS</v>
          </cell>
          <cell r="C2300" t="str">
            <v>290064</v>
          </cell>
        </row>
        <row r="2301">
          <cell r="A2301">
            <v>290065</v>
          </cell>
          <cell r="B2301" t="str">
            <v>CAIXA HERBAL SHAMPOO</v>
          </cell>
          <cell r="C2301" t="str">
            <v>CEHSTO</v>
          </cell>
        </row>
        <row r="2302">
          <cell r="A2302">
            <v>290065</v>
          </cell>
          <cell r="B2302" t="str">
            <v>CAIXA HERBAL SHAMPOO</v>
          </cell>
          <cell r="C2302" t="str">
            <v>290065</v>
          </cell>
        </row>
        <row r="2303">
          <cell r="A2303">
            <v>290066</v>
          </cell>
          <cell r="B2303" t="str">
            <v>CAIXA HERBAL MASCARILLA</v>
          </cell>
          <cell r="C2303" t="str">
            <v>CEMAAR</v>
          </cell>
        </row>
        <row r="2304">
          <cell r="A2304">
            <v>290066</v>
          </cell>
          <cell r="B2304" t="str">
            <v>CAIXA HERBAL MASCARILLA</v>
          </cell>
          <cell r="C2304" t="str">
            <v>290066</v>
          </cell>
        </row>
        <row r="2305">
          <cell r="A2305">
            <v>290067</v>
          </cell>
          <cell r="B2305" t="str">
            <v>CAIXA HERBAL MASCARILLA</v>
          </cell>
          <cell r="C2305" t="str">
            <v>CEMACL</v>
          </cell>
        </row>
        <row r="2306">
          <cell r="A2306">
            <v>290067</v>
          </cell>
          <cell r="B2306" t="str">
            <v>CAIXA HERBAL MASCARILLA</v>
          </cell>
          <cell r="C2306" t="str">
            <v>290067</v>
          </cell>
        </row>
        <row r="2307">
          <cell r="A2307">
            <v>290068</v>
          </cell>
          <cell r="B2307" t="str">
            <v>CAIXA HERBAL MASCARILLA</v>
          </cell>
          <cell r="C2307" t="str">
            <v>CEMALA</v>
          </cell>
        </row>
        <row r="2308">
          <cell r="A2308">
            <v>290068</v>
          </cell>
          <cell r="B2308" t="str">
            <v>CAIXA HERBAL MASCARILLA</v>
          </cell>
          <cell r="C2308" t="str">
            <v>290068</v>
          </cell>
        </row>
        <row r="2309">
          <cell r="A2309">
            <v>290069</v>
          </cell>
          <cell r="B2309" t="str">
            <v>CAIXA HERBAL MASCARILLA</v>
          </cell>
          <cell r="C2309" t="str">
            <v>CEMARC</v>
          </cell>
        </row>
        <row r="2310">
          <cell r="A2310">
            <v>290069</v>
          </cell>
          <cell r="B2310" t="str">
            <v>CAIXA HERBAL MASCARILLA</v>
          </cell>
          <cell r="C2310" t="str">
            <v>290069</v>
          </cell>
        </row>
        <row r="2311">
          <cell r="A2311">
            <v>290070</v>
          </cell>
          <cell r="B2311" t="str">
            <v>CAIXA HERBAL MASCARILLA</v>
          </cell>
          <cell r="C2311" t="str">
            <v>CEMARI</v>
          </cell>
        </row>
        <row r="2312">
          <cell r="A2312">
            <v>290070</v>
          </cell>
          <cell r="B2312" t="str">
            <v>CAIXA HERBAL MASCARILLA</v>
          </cell>
          <cell r="C2312" t="str">
            <v>290070</v>
          </cell>
        </row>
        <row r="2313">
          <cell r="A2313">
            <v>290071</v>
          </cell>
          <cell r="B2313" t="str">
            <v>ETIQ. HERBAL ACONDIC.</v>
          </cell>
          <cell r="C2313" t="str">
            <v>ETHAAR</v>
          </cell>
        </row>
        <row r="2314">
          <cell r="A2314">
            <v>290071</v>
          </cell>
          <cell r="B2314" t="str">
            <v>ETIQ. HERBAL ACONDIC.</v>
          </cell>
          <cell r="C2314" t="str">
            <v>290071</v>
          </cell>
        </row>
        <row r="2315">
          <cell r="A2315">
            <v>290072</v>
          </cell>
          <cell r="B2315" t="str">
            <v>ETIQ. HERBAL ACONDIC.</v>
          </cell>
          <cell r="C2315" t="str">
            <v>ETHAARD</v>
          </cell>
        </row>
        <row r="2316">
          <cell r="A2316">
            <v>290072</v>
          </cell>
          <cell r="B2316" t="str">
            <v>ETIQ. HERBAL ACONDIC.</v>
          </cell>
          <cell r="C2316" t="str">
            <v>290072</v>
          </cell>
        </row>
        <row r="2317">
          <cell r="A2317">
            <v>290073</v>
          </cell>
          <cell r="B2317" t="str">
            <v>ETIQ. HERBAL ACONDIC.</v>
          </cell>
          <cell r="C2317" t="str">
            <v>ETHABI</v>
          </cell>
        </row>
        <row r="2318">
          <cell r="A2318">
            <v>290073</v>
          </cell>
          <cell r="B2318" t="str">
            <v>ETIQ. HERBAL ACONDIC.</v>
          </cell>
          <cell r="C2318" t="str">
            <v>290073</v>
          </cell>
        </row>
        <row r="2319">
          <cell r="A2319">
            <v>290074</v>
          </cell>
          <cell r="B2319" t="str">
            <v>ETIQ. HERBAL ACONDIC.</v>
          </cell>
          <cell r="C2319" t="str">
            <v>ETHABID</v>
          </cell>
        </row>
        <row r="2320">
          <cell r="A2320">
            <v>290074</v>
          </cell>
          <cell r="B2320" t="str">
            <v>ETIQ. HERBAL ACONDIC.</v>
          </cell>
          <cell r="C2320" t="str">
            <v>290074</v>
          </cell>
        </row>
        <row r="2321">
          <cell r="A2321">
            <v>290075</v>
          </cell>
          <cell r="B2321" t="str">
            <v>ETIQ. HERBAL ACONDIC.</v>
          </cell>
          <cell r="C2321" t="str">
            <v>ETHACL</v>
          </cell>
        </row>
        <row r="2322">
          <cell r="A2322">
            <v>290075</v>
          </cell>
          <cell r="B2322" t="str">
            <v>ETIQ. HERBAL ACONDIC.</v>
          </cell>
          <cell r="C2322" t="str">
            <v>290075</v>
          </cell>
        </row>
        <row r="2323">
          <cell r="A2323">
            <v>290076</v>
          </cell>
          <cell r="B2323" t="str">
            <v>ETIQ. HERBAL ACONDIC.</v>
          </cell>
          <cell r="C2323" t="str">
            <v>ETHACLD</v>
          </cell>
        </row>
        <row r="2324">
          <cell r="A2324">
            <v>290076</v>
          </cell>
          <cell r="B2324" t="str">
            <v>ETIQ. HERBAL ACONDIC.</v>
          </cell>
          <cell r="C2324" t="str">
            <v>290076</v>
          </cell>
        </row>
        <row r="2325">
          <cell r="A2325">
            <v>290077</v>
          </cell>
          <cell r="B2325" t="str">
            <v>ETIQ. HERBAL ACONDIC.</v>
          </cell>
          <cell r="C2325" t="str">
            <v>ETHAHR</v>
          </cell>
        </row>
        <row r="2326">
          <cell r="A2326">
            <v>290077</v>
          </cell>
          <cell r="B2326" t="str">
            <v>ETIQ. HERBAL ACONDIC.</v>
          </cell>
          <cell r="C2326" t="str">
            <v>290077</v>
          </cell>
        </row>
        <row r="2327">
          <cell r="A2327">
            <v>290078</v>
          </cell>
          <cell r="B2327" t="str">
            <v>ETIQ. HERBAL ACONDIC.</v>
          </cell>
          <cell r="C2327" t="str">
            <v>ETHAHRD</v>
          </cell>
        </row>
        <row r="2328">
          <cell r="A2328">
            <v>290078</v>
          </cell>
          <cell r="B2328" t="str">
            <v>ETIQ. HERBAL ACONDIC.</v>
          </cell>
          <cell r="C2328" t="str">
            <v>290078</v>
          </cell>
        </row>
        <row r="2329">
          <cell r="A2329">
            <v>290079</v>
          </cell>
          <cell r="B2329" t="str">
            <v>ETIQ. HERBAL ACONDIC.</v>
          </cell>
          <cell r="C2329" t="str">
            <v>ETHALA</v>
          </cell>
        </row>
        <row r="2330">
          <cell r="A2330">
            <v>290079</v>
          </cell>
          <cell r="B2330" t="str">
            <v>ETIQ. HERBAL ACONDIC.</v>
          </cell>
          <cell r="C2330" t="str">
            <v>290079</v>
          </cell>
        </row>
        <row r="2331">
          <cell r="A2331">
            <v>290080</v>
          </cell>
          <cell r="B2331" t="str">
            <v>ETIQ. HERBAL ACONDIC.</v>
          </cell>
          <cell r="C2331" t="str">
            <v>ETHALAD</v>
          </cell>
        </row>
        <row r="2332">
          <cell r="A2332">
            <v>290080</v>
          </cell>
          <cell r="B2332" t="str">
            <v>ETIQ. HERBAL ACONDIC.</v>
          </cell>
          <cell r="C2332" t="str">
            <v>290080</v>
          </cell>
        </row>
        <row r="2333">
          <cell r="A2333">
            <v>290081</v>
          </cell>
          <cell r="B2333" t="str">
            <v>ETIQ. HERBAL ACOND. NATURAL</v>
          </cell>
          <cell r="C2333" t="str">
            <v>ETHANA</v>
          </cell>
        </row>
        <row r="2334">
          <cell r="A2334">
            <v>290081</v>
          </cell>
          <cell r="B2334" t="str">
            <v>ETIQ. HERBAL ACOND. NATURAL</v>
          </cell>
          <cell r="C2334" t="str">
            <v>290081</v>
          </cell>
        </row>
        <row r="2335">
          <cell r="A2335">
            <v>290082</v>
          </cell>
          <cell r="B2335" t="str">
            <v>ETIQ. HERBAL ACOND. NATURAL</v>
          </cell>
          <cell r="C2335" t="str">
            <v>ETHANAD</v>
          </cell>
        </row>
        <row r="2336">
          <cell r="A2336">
            <v>290082</v>
          </cell>
          <cell r="B2336" t="str">
            <v>ETIQ. HERBAL ACOND. NATURAL</v>
          </cell>
          <cell r="C2336" t="str">
            <v>290082</v>
          </cell>
        </row>
        <row r="2337">
          <cell r="A2337">
            <v>290083</v>
          </cell>
          <cell r="B2337" t="str">
            <v>ETIQ. HERBAL ACOND. R. DORADOS</v>
          </cell>
          <cell r="C2337" t="str">
            <v>ETHARD</v>
          </cell>
        </row>
        <row r="2338">
          <cell r="A2338">
            <v>290083</v>
          </cell>
          <cell r="B2338" t="str">
            <v>ETIQ. HERBAL ACOND. R. DORADOS</v>
          </cell>
          <cell r="C2338" t="str">
            <v>290083</v>
          </cell>
        </row>
        <row r="2339">
          <cell r="A2339">
            <v>290084</v>
          </cell>
          <cell r="B2339" t="str">
            <v>ETIQ. HERBAL ACOND. R. DORADOS</v>
          </cell>
          <cell r="C2339" t="str">
            <v>ETHARDD</v>
          </cell>
        </row>
        <row r="2340">
          <cell r="A2340">
            <v>290084</v>
          </cell>
          <cell r="B2340" t="str">
            <v>ETIQ. HERBAL ACOND. R. DORADOS</v>
          </cell>
          <cell r="C2340" t="str">
            <v>290084</v>
          </cell>
        </row>
        <row r="2341">
          <cell r="A2341">
            <v>290085</v>
          </cell>
          <cell r="B2341" t="str">
            <v>ETIQ. HERBAL ACOND. RIZOS</v>
          </cell>
          <cell r="C2341" t="str">
            <v>ETHARI</v>
          </cell>
        </row>
        <row r="2342">
          <cell r="A2342">
            <v>290085</v>
          </cell>
          <cell r="B2342" t="str">
            <v>ETIQ. HERBAL ACOND. RIZOS</v>
          </cell>
          <cell r="C2342" t="str">
            <v>290085</v>
          </cell>
        </row>
        <row r="2343">
          <cell r="A2343">
            <v>290086</v>
          </cell>
          <cell r="B2343" t="str">
            <v>ETIQ. HERBAL ACOND. RIZOS</v>
          </cell>
          <cell r="C2343" t="str">
            <v>ETHARID</v>
          </cell>
        </row>
        <row r="2344">
          <cell r="A2344">
            <v>290086</v>
          </cell>
          <cell r="B2344" t="str">
            <v>ETIQ. HERBAL ACOND. RIZOS</v>
          </cell>
          <cell r="C2344" t="str">
            <v>290086</v>
          </cell>
        </row>
        <row r="2345">
          <cell r="A2345">
            <v>290087</v>
          </cell>
          <cell r="B2345" t="str">
            <v>ETIQ. HERBAL MASC. SOLAR</v>
          </cell>
          <cell r="C2345" t="str">
            <v>ETHMSO</v>
          </cell>
        </row>
        <row r="2346">
          <cell r="A2346">
            <v>290087</v>
          </cell>
          <cell r="B2346" t="str">
            <v>ETIQ. HERBAL MASC. SOLAR</v>
          </cell>
          <cell r="C2346" t="str">
            <v>290087</v>
          </cell>
        </row>
        <row r="2347">
          <cell r="A2347">
            <v>290088</v>
          </cell>
          <cell r="B2347" t="str">
            <v>ETIQ. HERBAL NUTRI MASC.</v>
          </cell>
          <cell r="C2347" t="str">
            <v>ETHNCA</v>
          </cell>
        </row>
        <row r="2348">
          <cell r="A2348">
            <v>290088</v>
          </cell>
          <cell r="B2348" t="str">
            <v>ETIQ. HERBAL NUTRI MASC.</v>
          </cell>
          <cell r="C2348" t="str">
            <v>290088</v>
          </cell>
        </row>
        <row r="2349">
          <cell r="A2349">
            <v>290089</v>
          </cell>
          <cell r="B2349" t="str">
            <v>ETIQ. HERBAL NUTRI MASC.</v>
          </cell>
          <cell r="C2349" t="str">
            <v>ETHNDO</v>
          </cell>
        </row>
        <row r="2350">
          <cell r="A2350">
            <v>290089</v>
          </cell>
          <cell r="B2350" t="str">
            <v>ETIQ. HERBAL NUTRI MASC.</v>
          </cell>
          <cell r="C2350" t="str">
            <v>290089</v>
          </cell>
        </row>
        <row r="2351">
          <cell r="A2351">
            <v>290090</v>
          </cell>
          <cell r="B2351" t="str">
            <v>ETIQ. HERBAL NUTRI MASC.</v>
          </cell>
          <cell r="C2351" t="str">
            <v>ETHNNE</v>
          </cell>
        </row>
        <row r="2352">
          <cell r="A2352">
            <v>290090</v>
          </cell>
          <cell r="B2352" t="str">
            <v>ETIQ. HERBAL NUTRI MASC.</v>
          </cell>
          <cell r="C2352" t="str">
            <v>290090</v>
          </cell>
        </row>
        <row r="2353">
          <cell r="A2353">
            <v>290091</v>
          </cell>
          <cell r="B2353" t="str">
            <v>ETIQ. HERBAL NUTRI MASC.</v>
          </cell>
          <cell r="C2353" t="str">
            <v>ETHNPL</v>
          </cell>
        </row>
        <row r="2354">
          <cell r="A2354">
            <v>290091</v>
          </cell>
          <cell r="B2354" t="str">
            <v>ETIQ. HERBAL NUTRI MASC.</v>
          </cell>
          <cell r="C2354" t="str">
            <v>290091</v>
          </cell>
        </row>
        <row r="2355">
          <cell r="A2355">
            <v>290092</v>
          </cell>
          <cell r="B2355" t="str">
            <v>ETIQ. HERBAL SHAMPOO</v>
          </cell>
          <cell r="C2355" t="str">
            <v>ETHSAR</v>
          </cell>
        </row>
        <row r="2356">
          <cell r="A2356">
            <v>290092</v>
          </cell>
          <cell r="B2356" t="str">
            <v>ETIQ. HERBAL SHAMPOO</v>
          </cell>
          <cell r="C2356" t="str">
            <v>290092</v>
          </cell>
        </row>
        <row r="2357">
          <cell r="A2357">
            <v>290093</v>
          </cell>
          <cell r="B2357" t="str">
            <v>ETIQ. HERBAL SHAMPOO</v>
          </cell>
          <cell r="C2357" t="str">
            <v>ETHSARD</v>
          </cell>
        </row>
        <row r="2358">
          <cell r="A2358">
            <v>290093</v>
          </cell>
          <cell r="B2358" t="str">
            <v>ETIQ. HERBAL SHAMPOO</v>
          </cell>
          <cell r="C2358" t="str">
            <v>290093</v>
          </cell>
        </row>
        <row r="2359">
          <cell r="A2359">
            <v>290094</v>
          </cell>
          <cell r="B2359" t="str">
            <v>ETIQ. HERBAL SHAMPOO</v>
          </cell>
          <cell r="C2359" t="str">
            <v>ETHSBI</v>
          </cell>
        </row>
        <row r="2360">
          <cell r="A2360">
            <v>290094</v>
          </cell>
          <cell r="B2360" t="str">
            <v>ETIQ. HERBAL SHAMPOO</v>
          </cell>
          <cell r="C2360" t="str">
            <v>290094</v>
          </cell>
        </row>
        <row r="2361">
          <cell r="A2361">
            <v>290095</v>
          </cell>
          <cell r="B2361" t="str">
            <v>ETIQ. HERBAL SHAMPOO</v>
          </cell>
          <cell r="C2361" t="str">
            <v>ETHSBID</v>
          </cell>
        </row>
        <row r="2362">
          <cell r="A2362">
            <v>290095</v>
          </cell>
          <cell r="B2362" t="str">
            <v>ETIQ. HERBAL SHAMPOO</v>
          </cell>
          <cell r="C2362" t="str">
            <v>290095</v>
          </cell>
        </row>
        <row r="2363">
          <cell r="A2363">
            <v>290096</v>
          </cell>
          <cell r="B2363" t="str">
            <v>ETIQ. HERBAL SHAMPOO</v>
          </cell>
          <cell r="C2363" t="str">
            <v>ETHSCL</v>
          </cell>
        </row>
        <row r="2364">
          <cell r="A2364">
            <v>290096</v>
          </cell>
          <cell r="B2364" t="str">
            <v>ETIQ. HERBAL SHAMPOO</v>
          </cell>
          <cell r="C2364" t="str">
            <v>290096</v>
          </cell>
        </row>
        <row r="2365">
          <cell r="A2365">
            <v>290097</v>
          </cell>
          <cell r="B2365" t="str">
            <v>ETIQ. HERBAL SHAMPOO</v>
          </cell>
          <cell r="C2365" t="str">
            <v>ETHSCLD</v>
          </cell>
        </row>
        <row r="2366">
          <cell r="A2366">
            <v>290097</v>
          </cell>
          <cell r="B2366" t="str">
            <v>ETIQ. HERBAL SHAMPOO</v>
          </cell>
          <cell r="C2366" t="str">
            <v>290097</v>
          </cell>
        </row>
        <row r="2367">
          <cell r="A2367">
            <v>290098</v>
          </cell>
          <cell r="B2367" t="str">
            <v>ETIQ. HERBAL SHAMPOO</v>
          </cell>
          <cell r="C2367" t="str">
            <v>ETHSHR</v>
          </cell>
        </row>
        <row r="2368">
          <cell r="A2368">
            <v>290098</v>
          </cell>
          <cell r="B2368" t="str">
            <v>ETIQ. HERBAL SHAMPOO</v>
          </cell>
          <cell r="C2368" t="str">
            <v>290098</v>
          </cell>
        </row>
        <row r="2369">
          <cell r="A2369">
            <v>290099</v>
          </cell>
          <cell r="B2369" t="str">
            <v>ETIQ. HERBAL SHAMPOO</v>
          </cell>
          <cell r="C2369" t="str">
            <v>ETHSHRD</v>
          </cell>
        </row>
        <row r="2370">
          <cell r="A2370">
            <v>290099</v>
          </cell>
          <cell r="B2370" t="str">
            <v>ETIQ. HERBAL SHAMPOO</v>
          </cell>
          <cell r="C2370" t="str">
            <v>290099</v>
          </cell>
        </row>
        <row r="2371">
          <cell r="A2371">
            <v>290100</v>
          </cell>
          <cell r="B2371" t="str">
            <v>ETIQ. HERBAL SHAMPOO</v>
          </cell>
          <cell r="C2371" t="str">
            <v>ETHSLA</v>
          </cell>
        </row>
        <row r="2372">
          <cell r="A2372">
            <v>290100</v>
          </cell>
          <cell r="B2372" t="str">
            <v>ETIQ. HERBAL SHAMPOO</v>
          </cell>
          <cell r="C2372" t="str">
            <v>290100</v>
          </cell>
        </row>
        <row r="2373">
          <cell r="A2373">
            <v>290101</v>
          </cell>
          <cell r="B2373" t="str">
            <v>ETIQ. HERBAL SHAMPOO</v>
          </cell>
          <cell r="C2373" t="str">
            <v>ETHSLAD</v>
          </cell>
        </row>
        <row r="2374">
          <cell r="A2374">
            <v>290101</v>
          </cell>
          <cell r="B2374" t="str">
            <v>ETIQ. HERBAL SHAMPOO</v>
          </cell>
          <cell r="C2374" t="str">
            <v>290101</v>
          </cell>
        </row>
        <row r="2375">
          <cell r="A2375">
            <v>290102</v>
          </cell>
          <cell r="B2375" t="str">
            <v>ETIQ. HERBAL SHAMPOO NATURAL</v>
          </cell>
          <cell r="C2375" t="str">
            <v>ETHSNA</v>
          </cell>
        </row>
        <row r="2376">
          <cell r="A2376">
            <v>290102</v>
          </cell>
          <cell r="B2376" t="str">
            <v>ETIQ. HERBAL SHAMPOO NATURAL</v>
          </cell>
          <cell r="C2376" t="str">
            <v>290102</v>
          </cell>
        </row>
        <row r="2377">
          <cell r="A2377">
            <v>290103</v>
          </cell>
          <cell r="B2377" t="str">
            <v>ETIQ. HERBAL SHAMPOO NATURAL</v>
          </cell>
          <cell r="C2377" t="str">
            <v>ETHSNAD</v>
          </cell>
        </row>
        <row r="2378">
          <cell r="A2378">
            <v>290103</v>
          </cell>
          <cell r="B2378" t="str">
            <v>ETIQ. HERBAL SHAMPOO NATURAL</v>
          </cell>
          <cell r="C2378" t="str">
            <v>290103</v>
          </cell>
        </row>
        <row r="2379">
          <cell r="A2379">
            <v>290104</v>
          </cell>
          <cell r="B2379" t="str">
            <v>ETIQ. HERBAL SHAMPOO</v>
          </cell>
          <cell r="C2379" t="str">
            <v>ETHSPU</v>
          </cell>
        </row>
        <row r="2380">
          <cell r="A2380">
            <v>290104</v>
          </cell>
          <cell r="B2380" t="str">
            <v>ETIQ. HERBAL SHAMPOO</v>
          </cell>
          <cell r="C2380" t="str">
            <v>290104</v>
          </cell>
        </row>
        <row r="2381">
          <cell r="A2381">
            <v>290105</v>
          </cell>
          <cell r="B2381" t="str">
            <v>ETIQ. HERBAL SHAMPOO</v>
          </cell>
          <cell r="C2381" t="str">
            <v>ETHSPUD</v>
          </cell>
        </row>
        <row r="2382">
          <cell r="A2382">
            <v>290105</v>
          </cell>
          <cell r="B2382" t="str">
            <v>ETIQ. HERBAL SHAMPOO</v>
          </cell>
          <cell r="C2382" t="str">
            <v>290105</v>
          </cell>
        </row>
        <row r="2383">
          <cell r="A2383">
            <v>290106</v>
          </cell>
          <cell r="B2383" t="str">
            <v>ETIQ. HERBAL SHAMPOO</v>
          </cell>
          <cell r="C2383" t="str">
            <v>ETHSRD</v>
          </cell>
        </row>
        <row r="2384">
          <cell r="A2384">
            <v>290106</v>
          </cell>
          <cell r="B2384" t="str">
            <v>ETIQ. HERBAL SHAMPOO</v>
          </cell>
          <cell r="C2384" t="str">
            <v>290106</v>
          </cell>
        </row>
        <row r="2385">
          <cell r="A2385">
            <v>290107</v>
          </cell>
          <cell r="B2385" t="str">
            <v>ETIQ. HERBAL SHAMPOO</v>
          </cell>
          <cell r="C2385" t="str">
            <v>ETHSRDD</v>
          </cell>
        </row>
        <row r="2386">
          <cell r="A2386">
            <v>290107</v>
          </cell>
          <cell r="B2386" t="str">
            <v>ETIQ. HERBAL SHAMPOO</v>
          </cell>
          <cell r="C2386" t="str">
            <v>290107</v>
          </cell>
        </row>
        <row r="2387">
          <cell r="A2387">
            <v>290108</v>
          </cell>
          <cell r="B2387" t="str">
            <v>ETIQ. HERBAL SHAMPOO</v>
          </cell>
          <cell r="C2387" t="str">
            <v>ETHSRE</v>
          </cell>
        </row>
        <row r="2388">
          <cell r="A2388">
            <v>290108</v>
          </cell>
          <cell r="B2388" t="str">
            <v>ETIQ. HERBAL SHAMPOO</v>
          </cell>
          <cell r="C2388" t="str">
            <v>290108</v>
          </cell>
        </row>
        <row r="2389">
          <cell r="A2389">
            <v>290109</v>
          </cell>
          <cell r="B2389" t="str">
            <v>ETIQ. HERBAL SHAMPOO</v>
          </cell>
          <cell r="C2389" t="str">
            <v>ETHSRED</v>
          </cell>
        </row>
        <row r="2390">
          <cell r="A2390">
            <v>290109</v>
          </cell>
          <cell r="B2390" t="str">
            <v>ETIQ. HERBAL SHAMPOO</v>
          </cell>
          <cell r="C2390" t="str">
            <v>290109</v>
          </cell>
        </row>
        <row r="2391">
          <cell r="A2391">
            <v>290110</v>
          </cell>
          <cell r="B2391" t="str">
            <v>ETIQ. HERBAL SHAMPOO RIZOS</v>
          </cell>
          <cell r="C2391" t="str">
            <v>ETHSRI</v>
          </cell>
        </row>
        <row r="2392">
          <cell r="A2392">
            <v>290110</v>
          </cell>
          <cell r="B2392" t="str">
            <v>ETIQ. HERBAL SHAMPOO RIZOS</v>
          </cell>
          <cell r="C2392" t="str">
            <v>290110</v>
          </cell>
        </row>
        <row r="2393">
          <cell r="A2393">
            <v>290111</v>
          </cell>
          <cell r="B2393" t="str">
            <v>ETIQ. HERBAL SHAMPOO RIZOS</v>
          </cell>
          <cell r="C2393" t="str">
            <v>ETHSRID</v>
          </cell>
        </row>
        <row r="2394">
          <cell r="A2394">
            <v>290111</v>
          </cell>
          <cell r="B2394" t="str">
            <v>ETIQ. HERBAL SHAMPOO RIZOS</v>
          </cell>
          <cell r="C2394" t="str">
            <v>290111</v>
          </cell>
        </row>
        <row r="2395">
          <cell r="A2395">
            <v>290112</v>
          </cell>
          <cell r="B2395" t="str">
            <v>ETIQ. HERBAL SHAMPOO</v>
          </cell>
          <cell r="C2395" t="str">
            <v>ETHSTO</v>
          </cell>
        </row>
        <row r="2396">
          <cell r="A2396">
            <v>290112</v>
          </cell>
          <cell r="B2396" t="str">
            <v>ETIQ. HERBAL SHAMPOO</v>
          </cell>
          <cell r="C2396" t="str">
            <v>290112</v>
          </cell>
        </row>
        <row r="2397">
          <cell r="A2397">
            <v>290113</v>
          </cell>
          <cell r="B2397" t="str">
            <v>ETIQ. HERBAL SHAMPOO</v>
          </cell>
          <cell r="C2397" t="str">
            <v>ETHSTOD</v>
          </cell>
        </row>
        <row r="2398">
          <cell r="A2398">
            <v>290113</v>
          </cell>
          <cell r="B2398" t="str">
            <v>ETIQ. HERBAL SHAMPOO</v>
          </cell>
          <cell r="C2398" t="str">
            <v>290113</v>
          </cell>
        </row>
        <row r="2399">
          <cell r="A2399">
            <v>290114</v>
          </cell>
          <cell r="B2399" t="str">
            <v>ETIQ. HERBAL MASCARILLA</v>
          </cell>
          <cell r="C2399" t="str">
            <v>ETMAAR</v>
          </cell>
        </row>
        <row r="2400">
          <cell r="A2400">
            <v>290114</v>
          </cell>
          <cell r="B2400" t="str">
            <v>ETIQ. HERBAL MASCARILLA</v>
          </cell>
          <cell r="C2400" t="str">
            <v>290114</v>
          </cell>
        </row>
        <row r="2401">
          <cell r="A2401">
            <v>290115</v>
          </cell>
          <cell r="B2401" t="str">
            <v>ETIQ. HERBAL MASCARILLA</v>
          </cell>
          <cell r="C2401" t="str">
            <v>ETMACL</v>
          </cell>
        </row>
        <row r="2402">
          <cell r="A2402">
            <v>290115</v>
          </cell>
          <cell r="B2402" t="str">
            <v>ETIQ. HERBAL MASCARILLA</v>
          </cell>
          <cell r="C2402" t="str">
            <v>290115</v>
          </cell>
        </row>
        <row r="2403">
          <cell r="A2403">
            <v>290116</v>
          </cell>
          <cell r="B2403" t="str">
            <v>ETIQ. HERBAL MASCARILLA</v>
          </cell>
          <cell r="C2403" t="str">
            <v>ETMALA</v>
          </cell>
        </row>
        <row r="2404">
          <cell r="A2404">
            <v>290116</v>
          </cell>
          <cell r="B2404" t="str">
            <v>ETIQ. HERBAL MASCARILLA</v>
          </cell>
          <cell r="C2404" t="str">
            <v>290116</v>
          </cell>
        </row>
        <row r="2405">
          <cell r="A2405">
            <v>290117</v>
          </cell>
          <cell r="B2405" t="str">
            <v>ETIQ. HERBAL MASCARILLA</v>
          </cell>
          <cell r="C2405" t="str">
            <v>ETMARC</v>
          </cell>
        </row>
        <row r="2406">
          <cell r="A2406">
            <v>290117</v>
          </cell>
          <cell r="B2406" t="str">
            <v>ETIQ. HERBAL MASCARILLA</v>
          </cell>
          <cell r="C2406" t="str">
            <v>290117</v>
          </cell>
        </row>
        <row r="2407">
          <cell r="A2407">
            <v>290118</v>
          </cell>
          <cell r="B2407" t="str">
            <v>ETIQ. HERBAL MASCARILLA</v>
          </cell>
          <cell r="C2407" t="str">
            <v>ETMARI</v>
          </cell>
        </row>
        <row r="2408">
          <cell r="A2408">
            <v>290118</v>
          </cell>
          <cell r="B2408" t="str">
            <v>ETIQ. HERBAL MASCARILLA</v>
          </cell>
          <cell r="C2408" t="str">
            <v>290118</v>
          </cell>
        </row>
        <row r="2409">
          <cell r="A2409">
            <v>290119</v>
          </cell>
          <cell r="B2409" t="str">
            <v>OBTURADOR HERBAL MASC. SOLAR</v>
          </cell>
          <cell r="C2409" t="str">
            <v>OBHMSO</v>
          </cell>
        </row>
        <row r="2410">
          <cell r="A2410">
            <v>290119</v>
          </cell>
          <cell r="B2410" t="str">
            <v>OBTURADOR HERBAL MASC. SOLAR</v>
          </cell>
          <cell r="C2410" t="str">
            <v>290119</v>
          </cell>
        </row>
        <row r="2411">
          <cell r="A2411">
            <v>290120</v>
          </cell>
          <cell r="B2411" t="str">
            <v>OBTURADOR TARRO MASC. HERBAL</v>
          </cell>
          <cell r="C2411" t="str">
            <v>OBTAHN</v>
          </cell>
        </row>
        <row r="2412">
          <cell r="A2412">
            <v>290120</v>
          </cell>
          <cell r="B2412" t="str">
            <v>OBTURADOR TARRO MASC. HERBAL</v>
          </cell>
          <cell r="C2412" t="str">
            <v>290120</v>
          </cell>
        </row>
        <row r="2413">
          <cell r="A2413">
            <v>290121</v>
          </cell>
          <cell r="B2413" t="str">
            <v>REFUERZO CAJA HERBAL SHAMPOO</v>
          </cell>
          <cell r="C2413" t="str">
            <v>RECAHE</v>
          </cell>
        </row>
        <row r="2414">
          <cell r="A2414">
            <v>290121</v>
          </cell>
          <cell r="B2414" t="str">
            <v>REFUERZO CAJA HERBAL SHAMPOO</v>
          </cell>
          <cell r="C2414" t="str">
            <v>290121</v>
          </cell>
        </row>
        <row r="2415">
          <cell r="A2415">
            <v>290122</v>
          </cell>
          <cell r="B2415" t="str">
            <v>TARRO HERBAL MASC. SOLAR</v>
          </cell>
          <cell r="C2415" t="str">
            <v>TAHMSO</v>
          </cell>
        </row>
        <row r="2416">
          <cell r="A2416">
            <v>290122</v>
          </cell>
          <cell r="B2416" t="str">
            <v>TARRO HERBAL MASC. SOLAR</v>
          </cell>
          <cell r="C2416" t="str">
            <v>290122</v>
          </cell>
        </row>
        <row r="2417">
          <cell r="A2417">
            <v>290123</v>
          </cell>
          <cell r="B2417" t="str">
            <v>TARRO HERBAL NATURE MASC.</v>
          </cell>
          <cell r="C2417" t="str">
            <v>TAHNAR</v>
          </cell>
        </row>
        <row r="2418">
          <cell r="A2418">
            <v>290123</v>
          </cell>
          <cell r="B2418" t="str">
            <v>TARRO HERBAL NATURE MASC.</v>
          </cell>
          <cell r="C2418" t="str">
            <v>290123</v>
          </cell>
        </row>
        <row r="2419">
          <cell r="A2419">
            <v>290124</v>
          </cell>
          <cell r="B2419" t="str">
            <v>TARRO HERBAL NATURE MASC.</v>
          </cell>
          <cell r="C2419" t="str">
            <v>TAHNCA</v>
          </cell>
        </row>
        <row r="2420">
          <cell r="A2420">
            <v>290124</v>
          </cell>
          <cell r="B2420" t="str">
            <v>TARRO HERBAL NATURE MASC.</v>
          </cell>
          <cell r="C2420" t="str">
            <v>290124</v>
          </cell>
        </row>
        <row r="2421">
          <cell r="A2421">
            <v>290125</v>
          </cell>
          <cell r="B2421" t="str">
            <v>TARRO HERBAL NATURE MASC.</v>
          </cell>
          <cell r="C2421" t="str">
            <v>TAHNCL</v>
          </cell>
        </row>
        <row r="2422">
          <cell r="A2422">
            <v>290125</v>
          </cell>
          <cell r="B2422" t="str">
            <v>TARRO HERBAL NATURE MASC.</v>
          </cell>
          <cell r="C2422" t="str">
            <v>290125</v>
          </cell>
        </row>
        <row r="2423">
          <cell r="A2423">
            <v>290126</v>
          </cell>
          <cell r="B2423" t="str">
            <v>TARRO HERBAL NATURE MASC.</v>
          </cell>
          <cell r="C2423" t="str">
            <v>TAHNDO</v>
          </cell>
        </row>
        <row r="2424">
          <cell r="A2424">
            <v>290126</v>
          </cell>
          <cell r="B2424" t="str">
            <v>TARRO HERBAL NATURE MASC.</v>
          </cell>
          <cell r="C2424" t="str">
            <v>290126</v>
          </cell>
        </row>
        <row r="2425">
          <cell r="A2425">
            <v>290127</v>
          </cell>
          <cell r="B2425" t="str">
            <v>TARRO HERBAL NATURE MASC.</v>
          </cell>
          <cell r="C2425" t="str">
            <v>TAHNLA</v>
          </cell>
        </row>
        <row r="2426">
          <cell r="A2426">
            <v>290127</v>
          </cell>
          <cell r="B2426" t="str">
            <v>TARRO HERBAL NATURE MASC.</v>
          </cell>
          <cell r="C2426" t="str">
            <v>290127</v>
          </cell>
        </row>
        <row r="2427">
          <cell r="A2427">
            <v>290128</v>
          </cell>
          <cell r="B2427" t="str">
            <v>TARRO HERBAL NATURE MASC.</v>
          </cell>
          <cell r="C2427" t="str">
            <v>TAHNNE</v>
          </cell>
        </row>
        <row r="2428">
          <cell r="A2428">
            <v>290128</v>
          </cell>
          <cell r="B2428" t="str">
            <v>TARRO HERBAL NATURE MASC.</v>
          </cell>
          <cell r="C2428" t="str">
            <v>290128</v>
          </cell>
        </row>
        <row r="2429">
          <cell r="A2429">
            <v>290129</v>
          </cell>
          <cell r="B2429" t="str">
            <v>TARRO HERBAL NATURE MASC.</v>
          </cell>
          <cell r="C2429" t="str">
            <v>TAHNPL</v>
          </cell>
        </row>
        <row r="2430">
          <cell r="A2430">
            <v>290129</v>
          </cell>
          <cell r="B2430" t="str">
            <v>TARRO HERBAL NATURE MASC.</v>
          </cell>
          <cell r="C2430" t="str">
            <v>290129</v>
          </cell>
        </row>
        <row r="2431">
          <cell r="A2431">
            <v>290130</v>
          </cell>
          <cell r="B2431" t="str">
            <v>TARRO HERBAL NATURE MASC.</v>
          </cell>
          <cell r="C2431" t="str">
            <v>TAHNRC</v>
          </cell>
        </row>
        <row r="2432">
          <cell r="A2432">
            <v>290130</v>
          </cell>
          <cell r="B2432" t="str">
            <v>TARRO HERBAL NATURE MASC.</v>
          </cell>
          <cell r="C2432" t="str">
            <v>290130</v>
          </cell>
        </row>
        <row r="2433">
          <cell r="A2433">
            <v>290131</v>
          </cell>
          <cell r="B2433" t="str">
            <v>TARRO HERBAL NATURE MASC.</v>
          </cell>
          <cell r="C2433" t="str">
            <v>TAHNRI</v>
          </cell>
        </row>
        <row r="2434">
          <cell r="A2434">
            <v>290131</v>
          </cell>
          <cell r="B2434" t="str">
            <v>TARRO HERBAL NATURE MASC.</v>
          </cell>
          <cell r="C2434" t="str">
            <v>290131</v>
          </cell>
        </row>
        <row r="2435">
          <cell r="A2435">
            <v>290132</v>
          </cell>
          <cell r="B2435" t="str">
            <v>TAPA HERBAL MASC. SOLAR</v>
          </cell>
          <cell r="C2435" t="str">
            <v>TPHMSO</v>
          </cell>
        </row>
        <row r="2436">
          <cell r="A2436">
            <v>290132</v>
          </cell>
          <cell r="B2436" t="str">
            <v>TAPA HERBAL MASC. SOLAR</v>
          </cell>
          <cell r="C2436" t="str">
            <v>290132</v>
          </cell>
        </row>
        <row r="2437">
          <cell r="A2437">
            <v>290133</v>
          </cell>
          <cell r="B2437" t="str">
            <v>TAPA TARRO HERBAL N.</v>
          </cell>
          <cell r="C2437" t="str">
            <v>TPHNCA</v>
          </cell>
        </row>
        <row r="2438">
          <cell r="A2438">
            <v>290133</v>
          </cell>
          <cell r="B2438" t="str">
            <v>TAPA TARRO HERBAL N.</v>
          </cell>
          <cell r="C2438" t="str">
            <v>290133</v>
          </cell>
        </row>
        <row r="2439">
          <cell r="A2439">
            <v>290134</v>
          </cell>
          <cell r="B2439" t="str">
            <v>TAPA TARRO HERBAL N.</v>
          </cell>
          <cell r="C2439" t="str">
            <v>TPHNDO</v>
          </cell>
        </row>
        <row r="2440">
          <cell r="A2440">
            <v>290134</v>
          </cell>
          <cell r="B2440" t="str">
            <v>TAPA TARRO HERBAL N.</v>
          </cell>
          <cell r="C2440" t="str">
            <v>290134</v>
          </cell>
        </row>
        <row r="2441">
          <cell r="A2441">
            <v>290135</v>
          </cell>
          <cell r="B2441" t="str">
            <v>TAPA TARRO HERBAL N.</v>
          </cell>
          <cell r="C2441" t="str">
            <v>TPHNNE</v>
          </cell>
        </row>
        <row r="2442">
          <cell r="A2442">
            <v>290135</v>
          </cell>
          <cell r="B2442" t="str">
            <v>TAPA TARRO HERBAL N.</v>
          </cell>
          <cell r="C2442" t="str">
            <v>290135</v>
          </cell>
        </row>
        <row r="2443">
          <cell r="A2443">
            <v>290136</v>
          </cell>
          <cell r="B2443" t="str">
            <v>TAPA TARRO HERBAL N.</v>
          </cell>
          <cell r="C2443" t="str">
            <v>TPHNPL</v>
          </cell>
        </row>
        <row r="2444">
          <cell r="A2444">
            <v>290136</v>
          </cell>
          <cell r="B2444" t="str">
            <v>TAPA TARRO HERBAL N.</v>
          </cell>
          <cell r="C2444" t="str">
            <v>290136</v>
          </cell>
        </row>
        <row r="2445">
          <cell r="A2445">
            <v>290137</v>
          </cell>
          <cell r="B2445" t="str">
            <v>TAPON HERBAL SHAMPOOS</v>
          </cell>
          <cell r="C2445" t="str">
            <v>TPHSHA</v>
          </cell>
        </row>
        <row r="2446">
          <cell r="A2446">
            <v>290137</v>
          </cell>
          <cell r="B2446" t="str">
            <v>TAPON HERBAL SHAMPOOS</v>
          </cell>
          <cell r="C2446" t="str">
            <v>290137</v>
          </cell>
        </row>
        <row r="2447">
          <cell r="A2447">
            <v>290138</v>
          </cell>
          <cell r="B2447" t="str">
            <v>TAPA TARRO HERBAL NAT. MASC.</v>
          </cell>
          <cell r="C2447" t="str">
            <v>TPTAHN</v>
          </cell>
        </row>
        <row r="2448">
          <cell r="A2448">
            <v>290138</v>
          </cell>
          <cell r="B2448" t="str">
            <v>TAPA TARRO HERBAL NAT. MASC.</v>
          </cell>
          <cell r="C2448" t="str">
            <v>290138</v>
          </cell>
        </row>
        <row r="2449">
          <cell r="A2449">
            <v>290139</v>
          </cell>
          <cell r="B2449" t="str">
            <v>BOT. SPEJO'S OXIG.12 VOL.1 LT.</v>
          </cell>
          <cell r="C2449" t="str">
            <v>BOOC12</v>
          </cell>
        </row>
        <row r="2450">
          <cell r="A2450">
            <v>290139</v>
          </cell>
          <cell r="B2450" t="str">
            <v>BOT. SPEJO'S OXIG.12 VOL.1 LT.</v>
          </cell>
          <cell r="C2450" t="str">
            <v>290139</v>
          </cell>
        </row>
        <row r="2451">
          <cell r="A2451">
            <v>290140</v>
          </cell>
          <cell r="B2451" t="str">
            <v>BOT. SPEJO'S OXIG.20 VOL.1 LT.</v>
          </cell>
          <cell r="C2451" t="str">
            <v>BOOC20</v>
          </cell>
        </row>
        <row r="2452">
          <cell r="A2452">
            <v>290140</v>
          </cell>
          <cell r="B2452" t="str">
            <v>BOT. SPEJO'S OXIG.20 VOL.1 LT.</v>
          </cell>
          <cell r="C2452" t="str">
            <v>290140</v>
          </cell>
        </row>
        <row r="2453">
          <cell r="A2453">
            <v>290141</v>
          </cell>
          <cell r="B2453" t="str">
            <v>BOT. SPEJO'S OXIG.30 VOL.1 LT.</v>
          </cell>
          <cell r="C2453" t="str">
            <v>BOOC30</v>
          </cell>
        </row>
        <row r="2454">
          <cell r="A2454">
            <v>290141</v>
          </cell>
          <cell r="B2454" t="str">
            <v>BOT. SPEJO'S OXIG.30 VOL.1 LT.</v>
          </cell>
          <cell r="C2454" t="str">
            <v>290141</v>
          </cell>
        </row>
        <row r="2455">
          <cell r="A2455">
            <v>290142</v>
          </cell>
          <cell r="B2455" t="str">
            <v>BOT. SPEJO'S OXIG.40 VOL.1 LT.</v>
          </cell>
          <cell r="C2455" t="str">
            <v>BOOC40</v>
          </cell>
        </row>
        <row r="2456">
          <cell r="A2456">
            <v>290142</v>
          </cell>
          <cell r="B2456" t="str">
            <v>BOT. SPEJO'S OXIG.40 VOL.1 LT.</v>
          </cell>
          <cell r="C2456" t="str">
            <v>290142</v>
          </cell>
        </row>
        <row r="2457">
          <cell r="A2457">
            <v>290143</v>
          </cell>
          <cell r="B2457" t="str">
            <v>BOT. SPEJO'S 200 ML CR. COLOR</v>
          </cell>
          <cell r="C2457" t="str">
            <v>BOOCCA</v>
          </cell>
        </row>
        <row r="2458">
          <cell r="A2458">
            <v>290143</v>
          </cell>
          <cell r="B2458" t="str">
            <v>BOT. SPEJO'S 200 ML CR. COLOR</v>
          </cell>
          <cell r="C2458" t="str">
            <v>290143</v>
          </cell>
        </row>
        <row r="2459">
          <cell r="A2459">
            <v>290144</v>
          </cell>
          <cell r="B2459" t="str">
            <v>BOT. SPEJO'S 200 ML CR. NUTRI</v>
          </cell>
          <cell r="C2459" t="str">
            <v>BOOCCN</v>
          </cell>
        </row>
        <row r="2460">
          <cell r="A2460">
            <v>290144</v>
          </cell>
          <cell r="B2460" t="str">
            <v>BOT. SPEJO'S 200 ML CR. NUTRI</v>
          </cell>
          <cell r="C2460" t="str">
            <v>290144</v>
          </cell>
        </row>
        <row r="2461">
          <cell r="A2461">
            <v>290145</v>
          </cell>
          <cell r="B2461" t="str">
            <v>BOT. SPEJO'S 200 ML FLU. ALIS.</v>
          </cell>
          <cell r="C2461" t="str">
            <v>BOOCFA</v>
          </cell>
        </row>
        <row r="2462">
          <cell r="A2462">
            <v>290145</v>
          </cell>
          <cell r="B2462" t="str">
            <v>BOT. SPEJO'S 200 ML FLU. ALIS.</v>
          </cell>
          <cell r="C2462" t="str">
            <v>290145</v>
          </cell>
        </row>
        <row r="2463">
          <cell r="A2463">
            <v>290146</v>
          </cell>
          <cell r="B2463" t="str">
            <v>BOT. SPEJO'S 200 ML FLU. RIZOS</v>
          </cell>
          <cell r="C2463" t="str">
            <v>BOOCFR</v>
          </cell>
        </row>
        <row r="2464">
          <cell r="A2464">
            <v>290146</v>
          </cell>
          <cell r="B2464" t="str">
            <v>BOT. SPEJO'S 200 ML FLU. RIZOS</v>
          </cell>
          <cell r="C2464" t="str">
            <v>290146</v>
          </cell>
        </row>
        <row r="2465">
          <cell r="A2465">
            <v>290147</v>
          </cell>
          <cell r="B2465" t="str">
            <v>BOT. SPEJO'S 250 ML SH. ALISAN</v>
          </cell>
          <cell r="C2465" t="str">
            <v>BOOCSA</v>
          </cell>
        </row>
        <row r="2466">
          <cell r="A2466">
            <v>290147</v>
          </cell>
          <cell r="B2466" t="str">
            <v>BOT. SPEJO'S 250 ML SH. ALISAN</v>
          </cell>
          <cell r="C2466" t="str">
            <v>290147</v>
          </cell>
        </row>
        <row r="2467">
          <cell r="A2467">
            <v>290148</v>
          </cell>
          <cell r="B2467" t="str">
            <v>BOT. SPEJO'S 250 ML SH. COLOR</v>
          </cell>
          <cell r="C2467" t="str">
            <v>BOOCSC</v>
          </cell>
        </row>
        <row r="2468">
          <cell r="A2468">
            <v>290148</v>
          </cell>
          <cell r="B2468" t="str">
            <v>BOT. SPEJO'S 250 ML SH. COLOR</v>
          </cell>
          <cell r="C2468" t="str">
            <v>290148</v>
          </cell>
        </row>
        <row r="2469">
          <cell r="A2469">
            <v>290149</v>
          </cell>
          <cell r="B2469" t="str">
            <v>BOT. SPEJO'S 250 ML SH.ESCAMAC</v>
          </cell>
          <cell r="C2469" t="str">
            <v>BOOCSD</v>
          </cell>
        </row>
        <row r="2470">
          <cell r="A2470">
            <v>290149</v>
          </cell>
          <cell r="B2470" t="str">
            <v>BOT. SPEJO'S 250 ML SH.ESCAMAC</v>
          </cell>
          <cell r="C2470" t="str">
            <v>290149</v>
          </cell>
        </row>
        <row r="2471">
          <cell r="A2471">
            <v>290150</v>
          </cell>
          <cell r="B2471" t="str">
            <v>BOT. SPEJO'S 250 ML SH. GRASA</v>
          </cell>
          <cell r="C2471" t="str">
            <v>BOOCSG</v>
          </cell>
        </row>
        <row r="2472">
          <cell r="A2472">
            <v>290150</v>
          </cell>
          <cell r="B2472" t="str">
            <v>BOT. SPEJO'S 250 ML SH. GRASA</v>
          </cell>
          <cell r="C2472" t="str">
            <v>290150</v>
          </cell>
        </row>
        <row r="2473">
          <cell r="A2473">
            <v>290151</v>
          </cell>
          <cell r="B2473" t="str">
            <v>BOT. SPEJO'S 250 ML SH. NUTRIC</v>
          </cell>
          <cell r="C2473" t="str">
            <v>BOOCSN</v>
          </cell>
        </row>
        <row r="2474">
          <cell r="A2474">
            <v>290151</v>
          </cell>
          <cell r="B2474" t="str">
            <v>BOT. SPEJO'S 250 ML SH. NUTRIC</v>
          </cell>
          <cell r="C2474" t="str">
            <v>290151</v>
          </cell>
        </row>
        <row r="2475">
          <cell r="A2475">
            <v>290152</v>
          </cell>
          <cell r="B2475" t="str">
            <v>BOT. SPEJO'S 250 ML SH. VOLUME</v>
          </cell>
          <cell r="C2475" t="str">
            <v>BOOCSV</v>
          </cell>
        </row>
        <row r="2476">
          <cell r="A2476">
            <v>290152</v>
          </cell>
          <cell r="B2476" t="str">
            <v>BOT. SPEJO'S 250 ML SH. VOLUME</v>
          </cell>
          <cell r="C2476" t="str">
            <v>290152</v>
          </cell>
        </row>
        <row r="2477">
          <cell r="A2477">
            <v>290153</v>
          </cell>
          <cell r="B2477" t="str">
            <v>CAIXA SPEJOS CERAS</v>
          </cell>
          <cell r="C2477" t="str">
            <v>CECERA</v>
          </cell>
        </row>
        <row r="2478">
          <cell r="A2478">
            <v>290153</v>
          </cell>
          <cell r="B2478" t="str">
            <v>CAIXA SPEJOS CERAS</v>
          </cell>
          <cell r="C2478" t="str">
            <v>290153</v>
          </cell>
        </row>
        <row r="2479">
          <cell r="A2479">
            <v>290154</v>
          </cell>
          <cell r="B2479" t="str">
            <v>CAIXA SPEJOS TRACTAMENTS</v>
          </cell>
          <cell r="C2479" t="str">
            <v>290154</v>
          </cell>
        </row>
        <row r="2480">
          <cell r="A2480">
            <v>290155</v>
          </cell>
          <cell r="B2480" t="str">
            <v>CAIXA SPEJOS DECO</v>
          </cell>
          <cell r="C2480" t="str">
            <v>CEDC</v>
          </cell>
        </row>
        <row r="2481">
          <cell r="A2481">
            <v>290155</v>
          </cell>
          <cell r="B2481" t="str">
            <v>CAIXA SPEJOS DECO</v>
          </cell>
          <cell r="C2481" t="str">
            <v>290155</v>
          </cell>
        </row>
        <row r="2482">
          <cell r="A2482">
            <v>290156</v>
          </cell>
          <cell r="B2482" t="str">
            <v>CAIXA SPEJOS OXIGENADA</v>
          </cell>
          <cell r="C2482" t="str">
            <v>CEOCOX</v>
          </cell>
        </row>
        <row r="2483">
          <cell r="A2483">
            <v>290156</v>
          </cell>
          <cell r="B2483" t="str">
            <v>CAIXA SPEJOS OXIGENADA</v>
          </cell>
          <cell r="C2483" t="str">
            <v>290156</v>
          </cell>
        </row>
        <row r="2484">
          <cell r="A2484">
            <v>290159</v>
          </cell>
          <cell r="B2484" t="str">
            <v>EST. SPEJOS DECOLORANTE 1 KG.</v>
          </cell>
          <cell r="C2484" t="str">
            <v>ESSPDECO</v>
          </cell>
        </row>
        <row r="2485">
          <cell r="A2485">
            <v>290159</v>
          </cell>
          <cell r="B2485" t="str">
            <v>EST. SPEJOS DECOLORANTE 1 KG.</v>
          </cell>
          <cell r="C2485" t="str">
            <v>290159</v>
          </cell>
        </row>
        <row r="2486">
          <cell r="A2486">
            <v>290160</v>
          </cell>
          <cell r="B2486" t="str">
            <v>OBTURADOR SPEJOS 50 ML.</v>
          </cell>
          <cell r="C2486" t="str">
            <v>OBOCCB</v>
          </cell>
        </row>
        <row r="2487">
          <cell r="A2487">
            <v>290160</v>
          </cell>
          <cell r="B2487" t="str">
            <v>OBTURADOR SPEJOS 50 ML.</v>
          </cell>
          <cell r="C2487" t="str">
            <v>290160</v>
          </cell>
        </row>
        <row r="2488">
          <cell r="A2488">
            <v>290161</v>
          </cell>
          <cell r="B2488" t="str">
            <v>TARRO SPEJOS 50 ML.</v>
          </cell>
          <cell r="C2488" t="str">
            <v>TAOCCB</v>
          </cell>
        </row>
        <row r="2489">
          <cell r="A2489">
            <v>290161</v>
          </cell>
          <cell r="B2489" t="str">
            <v>TARRO SPEJOS 50 ML.</v>
          </cell>
          <cell r="C2489" t="str">
            <v>290161</v>
          </cell>
        </row>
        <row r="2490">
          <cell r="A2490">
            <v>290162</v>
          </cell>
          <cell r="B2490" t="str">
            <v>TAPON 1 LIT. OXIGENADA SPEJO'S</v>
          </cell>
          <cell r="C2490" t="str">
            <v>TPOC10</v>
          </cell>
        </row>
        <row r="2491">
          <cell r="A2491">
            <v>290162</v>
          </cell>
          <cell r="B2491" t="str">
            <v>TAPON 1 LIT. OXIGENADA SPEJO'S</v>
          </cell>
          <cell r="C2491" t="str">
            <v>290162</v>
          </cell>
        </row>
        <row r="2492">
          <cell r="A2492">
            <v>290163</v>
          </cell>
          <cell r="B2492" t="str">
            <v>TAPA TARRO SPEJO'S 50 ML.</v>
          </cell>
          <cell r="C2492" t="str">
            <v>TPOCCB</v>
          </cell>
        </row>
        <row r="2493">
          <cell r="A2493">
            <v>290163</v>
          </cell>
          <cell r="B2493" t="str">
            <v>TAPA TARRO SPEJO'S 50 ML.</v>
          </cell>
          <cell r="C2493" t="str">
            <v>290163</v>
          </cell>
        </row>
        <row r="2494">
          <cell r="A2494">
            <v>290164</v>
          </cell>
          <cell r="B2494" t="str">
            <v>TAPON BISAGRA SPEJOS SH. 250</v>
          </cell>
          <cell r="C2494" t="str">
            <v>TPOCSH</v>
          </cell>
        </row>
        <row r="2495">
          <cell r="A2495">
            <v>290164</v>
          </cell>
          <cell r="B2495" t="str">
            <v>TAPON BISAGRA SPEJOS SH. 250</v>
          </cell>
          <cell r="C2495" t="str">
            <v>290164</v>
          </cell>
        </row>
        <row r="2496">
          <cell r="A2496">
            <v>290165</v>
          </cell>
          <cell r="B2496" t="str">
            <v>TUBO SPEJOS MASC. ALIS.200</v>
          </cell>
          <cell r="C2496" t="str">
            <v>TUSPMAL</v>
          </cell>
        </row>
        <row r="2497">
          <cell r="A2497">
            <v>290165</v>
          </cell>
          <cell r="B2497" t="str">
            <v>TUBO SPEJOS MASC. ALIS.200</v>
          </cell>
          <cell r="C2497" t="str">
            <v>290165</v>
          </cell>
        </row>
        <row r="2498">
          <cell r="A2498">
            <v>290166</v>
          </cell>
          <cell r="B2498" t="str">
            <v>TUBO SPEJOS MASC. COLOR 200</v>
          </cell>
          <cell r="C2498" t="str">
            <v>TUSPMCO</v>
          </cell>
        </row>
        <row r="2499">
          <cell r="A2499">
            <v>290166</v>
          </cell>
          <cell r="B2499" t="str">
            <v>TUBO SPEJOS MASC. COLOR 200</v>
          </cell>
          <cell r="C2499" t="str">
            <v>290166</v>
          </cell>
        </row>
        <row r="2500">
          <cell r="A2500">
            <v>290167</v>
          </cell>
          <cell r="B2500" t="str">
            <v>TUBO SPEJOS MASC. NUTRI 200</v>
          </cell>
          <cell r="C2500" t="str">
            <v>TUSPMNI</v>
          </cell>
        </row>
        <row r="2501">
          <cell r="A2501">
            <v>290167</v>
          </cell>
          <cell r="B2501" t="str">
            <v>TUBO SPEJOS MASC. NUTRI 200</v>
          </cell>
          <cell r="C2501" t="str">
            <v>290167</v>
          </cell>
        </row>
        <row r="2502">
          <cell r="A2502">
            <v>290168</v>
          </cell>
          <cell r="B2502" t="str">
            <v>VALVULA NATURAL CREMA 200 ML.</v>
          </cell>
          <cell r="C2502" t="str">
            <v>VAOCCR</v>
          </cell>
        </row>
        <row r="2503">
          <cell r="A2503">
            <v>290168</v>
          </cell>
          <cell r="B2503" t="str">
            <v>VALVULA NATURAL CREMA 200 ML.</v>
          </cell>
          <cell r="C2503" t="str">
            <v>290168</v>
          </cell>
        </row>
        <row r="2504">
          <cell r="A2504">
            <v>290169</v>
          </cell>
          <cell r="B2504" t="str">
            <v>VALVULA VAPORIZADOR 200 ML.</v>
          </cell>
          <cell r="C2504" t="str">
            <v>VAPO20</v>
          </cell>
        </row>
        <row r="2505">
          <cell r="A2505">
            <v>290169</v>
          </cell>
          <cell r="B2505" t="str">
            <v>VALVULA VAPORIZADOR 200 ML.</v>
          </cell>
          <cell r="C2505" t="str">
            <v>290169</v>
          </cell>
        </row>
        <row r="2506">
          <cell r="A2506">
            <v>290170</v>
          </cell>
          <cell r="B2506" t="str">
            <v>CAIXA FLORAL 250 ML.Ref.290170</v>
          </cell>
          <cell r="C2506" t="str">
            <v>CEFL25</v>
          </cell>
        </row>
        <row r="2507">
          <cell r="A2507">
            <v>290170</v>
          </cell>
          <cell r="B2507" t="str">
            <v>CAIXA FLORAL 250 ML.Ref.290170</v>
          </cell>
          <cell r="C2507" t="str">
            <v>290170</v>
          </cell>
        </row>
        <row r="2508">
          <cell r="A2508">
            <v>290171</v>
          </cell>
          <cell r="B2508" t="str">
            <v>CAIXA FLORAL 1000 ML.</v>
          </cell>
          <cell r="C2508" t="str">
            <v>CEFL10</v>
          </cell>
        </row>
        <row r="2509">
          <cell r="A2509">
            <v>290171</v>
          </cell>
          <cell r="B2509" t="str">
            <v>CAIXA FLORAL 1000 ML.</v>
          </cell>
          <cell r="C2509" t="str">
            <v>290171</v>
          </cell>
        </row>
        <row r="2510">
          <cell r="A2510">
            <v>290172</v>
          </cell>
          <cell r="B2510" t="str">
            <v>CAIXA FLORAL 150 ML.</v>
          </cell>
          <cell r="C2510" t="str">
            <v>CEFL15</v>
          </cell>
        </row>
        <row r="2511">
          <cell r="A2511">
            <v>290172</v>
          </cell>
          <cell r="B2511" t="str">
            <v>CAIXA FLORAL 150 ML.</v>
          </cell>
          <cell r="C2511" t="str">
            <v>290172</v>
          </cell>
        </row>
        <row r="2512">
          <cell r="A2512">
            <v>290173</v>
          </cell>
          <cell r="B2512" t="str">
            <v>Interior Caixa TRACT. SPEJOS</v>
          </cell>
          <cell r="C2512" t="str">
            <v>INTRSP</v>
          </cell>
        </row>
        <row r="2513">
          <cell r="A2513">
            <v>290173</v>
          </cell>
          <cell r="B2513" t="str">
            <v>Interior Caixa TRACT. SPEJOS</v>
          </cell>
          <cell r="C2513" t="str">
            <v>290173</v>
          </cell>
        </row>
        <row r="2514">
          <cell r="A2514">
            <v>290174</v>
          </cell>
          <cell r="B2514" t="str">
            <v>ETIQ. FLORAL N.REPAIR 1000 SH.</v>
          </cell>
          <cell r="C2514" t="str">
            <v>ETFLNR10</v>
          </cell>
        </row>
        <row r="2515">
          <cell r="A2515">
            <v>290174</v>
          </cell>
          <cell r="B2515" t="str">
            <v>ETIQ. FLORAL N.REPAIR 1000 SH.</v>
          </cell>
          <cell r="C2515" t="str">
            <v>76074</v>
          </cell>
        </row>
        <row r="2516">
          <cell r="A2516">
            <v>290174</v>
          </cell>
          <cell r="B2516" t="str">
            <v>ETIQ. FLORAL N.REPAIR 1000 SH.</v>
          </cell>
          <cell r="C2516" t="str">
            <v>290174</v>
          </cell>
        </row>
        <row r="2517">
          <cell r="A2517">
            <v>290175</v>
          </cell>
          <cell r="B2517" t="str">
            <v>ETIQ. FLORAL V.COLOR 1000 SH.</v>
          </cell>
          <cell r="C2517" t="str">
            <v>ETFLVC10</v>
          </cell>
        </row>
        <row r="2518">
          <cell r="A2518">
            <v>290175</v>
          </cell>
          <cell r="B2518" t="str">
            <v>ETIQ. FLORAL V.COLOR 1000 SH.</v>
          </cell>
          <cell r="C2518" t="str">
            <v>76075</v>
          </cell>
        </row>
        <row r="2519">
          <cell r="A2519">
            <v>290175</v>
          </cell>
          <cell r="B2519" t="str">
            <v>ETIQ. FLORAL V.COLOR 1000 SH.</v>
          </cell>
          <cell r="C2519" t="str">
            <v>290175</v>
          </cell>
        </row>
        <row r="2520">
          <cell r="A2520">
            <v>290176</v>
          </cell>
          <cell r="B2520" t="str">
            <v>ETIQ. FLORAL REG.COND.1000 ML.</v>
          </cell>
          <cell r="C2520" t="str">
            <v>ETFLRE10</v>
          </cell>
        </row>
        <row r="2521">
          <cell r="A2521">
            <v>290176</v>
          </cell>
          <cell r="B2521" t="str">
            <v>ETIQ. FLORAL REG.COND.1000 ML.</v>
          </cell>
          <cell r="C2521" t="str">
            <v>76076</v>
          </cell>
        </row>
        <row r="2522">
          <cell r="A2522">
            <v>290176</v>
          </cell>
          <cell r="B2522" t="str">
            <v>ETIQ. FLORAL REG.COND.1000 ML.</v>
          </cell>
          <cell r="C2522" t="str">
            <v>290176</v>
          </cell>
        </row>
        <row r="2523">
          <cell r="A2523">
            <v>290177</v>
          </cell>
          <cell r="B2523" t="str">
            <v>ETIQ. FLORAL REG.COND. 250 ML.</v>
          </cell>
          <cell r="C2523" t="str">
            <v>ETFLRE25</v>
          </cell>
        </row>
        <row r="2524">
          <cell r="A2524">
            <v>290177</v>
          </cell>
          <cell r="B2524" t="str">
            <v>ETIQ. FLORAL REG.COND. 250 ML.</v>
          </cell>
          <cell r="C2524" t="str">
            <v>76079</v>
          </cell>
        </row>
        <row r="2525">
          <cell r="A2525">
            <v>290177</v>
          </cell>
          <cell r="B2525" t="str">
            <v>ETIQ. FLORAL REG.COND. 250 ML.</v>
          </cell>
          <cell r="C2525" t="str">
            <v>290177</v>
          </cell>
        </row>
        <row r="2526">
          <cell r="A2526">
            <v>290178</v>
          </cell>
          <cell r="B2526" t="str">
            <v>ETIQ. FLORAL N.REPAIR 250 SH.</v>
          </cell>
          <cell r="C2526" t="str">
            <v>ETFLNR25</v>
          </cell>
        </row>
        <row r="2527">
          <cell r="A2527">
            <v>290178</v>
          </cell>
          <cell r="B2527" t="str">
            <v>ETIQ. FLORAL N.REPAIR 250 SH.</v>
          </cell>
          <cell r="C2527" t="str">
            <v>76080</v>
          </cell>
        </row>
        <row r="2528">
          <cell r="A2528">
            <v>290178</v>
          </cell>
          <cell r="B2528" t="str">
            <v>ETIQ. FLORAL N.REPAIR 250 SH.</v>
          </cell>
          <cell r="C2528" t="str">
            <v>290178</v>
          </cell>
        </row>
        <row r="2529">
          <cell r="A2529">
            <v>290179</v>
          </cell>
          <cell r="B2529" t="str">
            <v>ETIQ. FLORAL SENSITIVE 250 SH.</v>
          </cell>
          <cell r="C2529" t="str">
            <v>ETFLSE25</v>
          </cell>
        </row>
        <row r="2530">
          <cell r="A2530">
            <v>290179</v>
          </cell>
          <cell r="B2530" t="str">
            <v>ETIQ. FLORAL SENSITIVE 250 SH.</v>
          </cell>
          <cell r="C2530" t="str">
            <v>76081</v>
          </cell>
        </row>
        <row r="2531">
          <cell r="A2531">
            <v>290179</v>
          </cell>
          <cell r="B2531" t="str">
            <v>ETIQ. FLORAL SENSITIVE 250 SH.</v>
          </cell>
          <cell r="C2531" t="str">
            <v>290179</v>
          </cell>
        </row>
        <row r="2532">
          <cell r="A2532">
            <v>290180</v>
          </cell>
          <cell r="B2532" t="str">
            <v>ETIQ. FLORAL V.COLOR 250 SH.</v>
          </cell>
          <cell r="C2532" t="str">
            <v>ETFLVC25</v>
          </cell>
        </row>
        <row r="2533">
          <cell r="A2533">
            <v>290180</v>
          </cell>
          <cell r="B2533" t="str">
            <v>ETIQ. FLORAL V.COLOR 250 SH.</v>
          </cell>
          <cell r="C2533" t="str">
            <v>76082</v>
          </cell>
        </row>
        <row r="2534">
          <cell r="A2534">
            <v>290180</v>
          </cell>
          <cell r="B2534" t="str">
            <v>ETIQ. FLORAL V.COLOR 250 SH.</v>
          </cell>
          <cell r="C2534" t="str">
            <v>290180</v>
          </cell>
        </row>
        <row r="2535">
          <cell r="A2535">
            <v>290181</v>
          </cell>
          <cell r="B2535" t="str">
            <v>ETIQ. FLORAL ENERGY L. 250 ML.</v>
          </cell>
          <cell r="C2535" t="str">
            <v>ETFLEN25</v>
          </cell>
        </row>
        <row r="2536">
          <cell r="A2536">
            <v>290181</v>
          </cell>
          <cell r="B2536" t="str">
            <v>ETIQ. FLORAL ENERGY L. 250 ML.</v>
          </cell>
          <cell r="C2536" t="str">
            <v>76083</v>
          </cell>
        </row>
        <row r="2537">
          <cell r="A2537">
            <v>290181</v>
          </cell>
          <cell r="B2537" t="str">
            <v>ETIQ. FLORAL ENERGY L. 250 ML.</v>
          </cell>
          <cell r="C2537" t="str">
            <v>290181</v>
          </cell>
        </row>
        <row r="2538">
          <cell r="A2538">
            <v>290182</v>
          </cell>
          <cell r="B2538" t="str">
            <v>ETIQ. FLORAL C. SILVER  250 SH</v>
          </cell>
          <cell r="C2538" t="str">
            <v>ETFLSC25</v>
          </cell>
        </row>
        <row r="2539">
          <cell r="A2539">
            <v>290182</v>
          </cell>
          <cell r="B2539" t="str">
            <v>ETIQ. FLORAL C. SILVER  250 SH</v>
          </cell>
          <cell r="C2539" t="str">
            <v>76084</v>
          </cell>
        </row>
        <row r="2540">
          <cell r="A2540">
            <v>290182</v>
          </cell>
          <cell r="B2540" t="str">
            <v>ETIQ. FLORAL C. SILVER  250 SH</v>
          </cell>
          <cell r="C2540" t="str">
            <v>290182</v>
          </cell>
        </row>
        <row r="2541">
          <cell r="A2541">
            <v>290183</v>
          </cell>
          <cell r="B2541" t="str">
            <v>ETIQ. FLORAL C. FORTE 250 SH.</v>
          </cell>
          <cell r="C2541" t="str">
            <v>ETFLCF25</v>
          </cell>
        </row>
        <row r="2542">
          <cell r="A2542">
            <v>290183</v>
          </cell>
          <cell r="B2542" t="str">
            <v>ETIQ. FLORAL C. FORTE 250 SH.</v>
          </cell>
          <cell r="C2542" t="str">
            <v>76085</v>
          </cell>
        </row>
        <row r="2543">
          <cell r="A2543">
            <v>290183</v>
          </cell>
          <cell r="B2543" t="str">
            <v>ETIQ. FLORAL C. FORTE 250 SH.</v>
          </cell>
          <cell r="C2543" t="str">
            <v>290183</v>
          </cell>
        </row>
        <row r="2544">
          <cell r="A2544">
            <v>290184</v>
          </cell>
          <cell r="B2544" t="str">
            <v>BOT. FLORAL/ARGANIA  250 ML. HDPE Blanc</v>
          </cell>
          <cell r="C2544" t="str">
            <v>BOFL25</v>
          </cell>
        </row>
        <row r="2545">
          <cell r="A2545">
            <v>290184</v>
          </cell>
          <cell r="B2545" t="str">
            <v>BOT. FLORAL/ARGANIA  250 ML. HDPE Blanc</v>
          </cell>
          <cell r="C2545" t="str">
            <v>02531B00</v>
          </cell>
        </row>
        <row r="2546">
          <cell r="A2546">
            <v>290184</v>
          </cell>
          <cell r="B2546" t="str">
            <v>BOT. FLORAL/ARGANIA  250 ML. HDPE Blanc</v>
          </cell>
          <cell r="C2546" t="str">
            <v>290184</v>
          </cell>
        </row>
        <row r="2547">
          <cell r="A2547">
            <v>290185</v>
          </cell>
          <cell r="B2547" t="str">
            <v>BOT. FLORAL 1000 ML.HDPE Blanc</v>
          </cell>
          <cell r="C2547" t="str">
            <v>BOFL10</v>
          </cell>
        </row>
        <row r="2548">
          <cell r="A2548">
            <v>290185</v>
          </cell>
          <cell r="B2548" t="str">
            <v>BOT. FLORAL 1000 ML.HDPE Blanc</v>
          </cell>
          <cell r="C2548" t="str">
            <v>10031B00</v>
          </cell>
        </row>
        <row r="2549">
          <cell r="A2549">
            <v>290185</v>
          </cell>
          <cell r="B2549" t="str">
            <v>BOT. FLORAL 1000 ML.HDPE Blanc</v>
          </cell>
          <cell r="C2549" t="str">
            <v>290185</v>
          </cell>
        </row>
        <row r="2550">
          <cell r="A2550">
            <v>290186</v>
          </cell>
          <cell r="B2550" t="str">
            <v>TAPON FLORAL Disc-Top 250 ml.</v>
          </cell>
          <cell r="C2550" t="str">
            <v>TPFL25</v>
          </cell>
        </row>
        <row r="2551">
          <cell r="A2551">
            <v>290186</v>
          </cell>
          <cell r="B2551" t="str">
            <v>TAPON FLORAL Disc-Top 250 ml.</v>
          </cell>
          <cell r="C2551" t="str">
            <v>T433IN</v>
          </cell>
        </row>
        <row r="2552">
          <cell r="A2552">
            <v>290186</v>
          </cell>
          <cell r="B2552" t="str">
            <v>TAPON FLORAL Disc-Top 250 ml.</v>
          </cell>
          <cell r="C2552" t="str">
            <v>290186</v>
          </cell>
        </row>
        <row r="2553">
          <cell r="A2553">
            <v>290187</v>
          </cell>
          <cell r="B2553" t="str">
            <v>TUB FLORAL V.COLO MASK 150 ML.</v>
          </cell>
          <cell r="C2553" t="str">
            <v>TUFLVC15</v>
          </cell>
        </row>
        <row r="2554">
          <cell r="A2554">
            <v>290187</v>
          </cell>
          <cell r="B2554" t="str">
            <v>TUB FLORAL V.COLO MASK 150 ML.</v>
          </cell>
          <cell r="C2554" t="str">
            <v>TUB15050BL006</v>
          </cell>
        </row>
        <row r="2555">
          <cell r="A2555">
            <v>290187</v>
          </cell>
          <cell r="B2555" t="str">
            <v>TUB FLORAL V.COLO MASK 150 ML.</v>
          </cell>
          <cell r="C2555" t="str">
            <v>290187</v>
          </cell>
        </row>
        <row r="2556">
          <cell r="A2556">
            <v>290188</v>
          </cell>
          <cell r="B2556" t="str">
            <v>TAPON FLORAL 1000 ML."BISAGRA"</v>
          </cell>
          <cell r="C2556" t="str">
            <v>TPFL10</v>
          </cell>
        </row>
        <row r="2557">
          <cell r="A2557">
            <v>290188</v>
          </cell>
          <cell r="B2557" t="str">
            <v>TAPON FLORAL 1000 ML."BISAGRA"</v>
          </cell>
          <cell r="C2557" t="str">
            <v>T408IN</v>
          </cell>
        </row>
        <row r="2558">
          <cell r="A2558">
            <v>290188</v>
          </cell>
          <cell r="B2558" t="str">
            <v>TAPON FLORAL 1000 ML."BISAGRA"</v>
          </cell>
          <cell r="C2558" t="str">
            <v>290188</v>
          </cell>
        </row>
        <row r="2559">
          <cell r="A2559">
            <v>290190</v>
          </cell>
          <cell r="B2559" t="str">
            <v>TUB FLORAL REGULAR MASK 150</v>
          </cell>
          <cell r="C2559" t="str">
            <v>TUFLRM15</v>
          </cell>
        </row>
        <row r="2560">
          <cell r="A2560">
            <v>290190</v>
          </cell>
          <cell r="B2560" t="str">
            <v>TUB FLORAL REGULAR MASK 150</v>
          </cell>
          <cell r="C2560" t="str">
            <v>TUB15050BL007</v>
          </cell>
        </row>
        <row r="2561">
          <cell r="A2561">
            <v>290190</v>
          </cell>
          <cell r="B2561" t="str">
            <v>TUB FLORAL REGULAR MASK 150</v>
          </cell>
          <cell r="C2561" t="str">
            <v>290190</v>
          </cell>
        </row>
        <row r="2562">
          <cell r="A2562">
            <v>290203</v>
          </cell>
          <cell r="B2562" t="str">
            <v>VALVULA FLORAL ENERGY L-IN 250</v>
          </cell>
          <cell r="C2562" t="str">
            <v>9-R-00232440</v>
          </cell>
        </row>
        <row r="2563">
          <cell r="A2563">
            <v>300001</v>
          </cell>
          <cell r="B2563" t="str">
            <v>DISPLAY CD/CAMISETA STYLIUM</v>
          </cell>
          <cell r="C2563" t="str">
            <v>DICDST</v>
          </cell>
        </row>
        <row r="2564">
          <cell r="A2564">
            <v>300001</v>
          </cell>
          <cell r="B2564" t="str">
            <v>DISPLAY CD/CAMISETA STYLIUM</v>
          </cell>
          <cell r="C2564" t="str">
            <v>8435057050296</v>
          </cell>
        </row>
        <row r="2565">
          <cell r="A2565">
            <v>300002</v>
          </cell>
          <cell r="B2565" t="str">
            <v>DISPLAY LANYARD STYLIUM Mini</v>
          </cell>
          <cell r="C2565" t="str">
            <v>DILAST</v>
          </cell>
        </row>
        <row r="2566">
          <cell r="A2566">
            <v>300002</v>
          </cell>
          <cell r="B2566" t="str">
            <v>DISPLAY LANYARD STYLIUM Mini</v>
          </cell>
          <cell r="C2566" t="str">
            <v>8435057050302</v>
          </cell>
        </row>
        <row r="2567">
          <cell r="A2567">
            <v>300003</v>
          </cell>
          <cell r="B2567" t="str">
            <v>DISPLAY SUNCARE 2006</v>
          </cell>
          <cell r="C2567" t="str">
            <v>DISU06</v>
          </cell>
        </row>
        <row r="2568">
          <cell r="A2568">
            <v>300003</v>
          </cell>
          <cell r="B2568" t="str">
            <v>DISPLAY SUNCARE 2006</v>
          </cell>
          <cell r="C2568" t="str">
            <v>8435057050319</v>
          </cell>
        </row>
        <row r="2569">
          <cell r="A2569">
            <v>300004</v>
          </cell>
          <cell r="B2569" t="str">
            <v>DISPLAY TOTEM KINCREM 'KF'</v>
          </cell>
          <cell r="C2569" t="str">
            <v>DITOKF</v>
          </cell>
        </row>
        <row r="2570">
          <cell r="A2570">
            <v>300004</v>
          </cell>
          <cell r="B2570" t="str">
            <v>DISPLAY TOTEM KINCREM 'KF'</v>
          </cell>
          <cell r="C2570" t="str">
            <v>8435057051798</v>
          </cell>
        </row>
        <row r="2571">
          <cell r="A2571">
            <v>300005</v>
          </cell>
          <cell r="B2571" t="str">
            <v>CARTA KINCREM 'KF' DIVULGACIÓN</v>
          </cell>
          <cell r="C2571" t="str">
            <v>CAKFDI</v>
          </cell>
        </row>
        <row r="2572">
          <cell r="A2572">
            <v>300005</v>
          </cell>
          <cell r="B2572" t="str">
            <v>CARTA KINCREM 'KF' DIVULGACIÓN</v>
          </cell>
          <cell r="C2572" t="str">
            <v>8435057050241</v>
          </cell>
        </row>
        <row r="2573">
          <cell r="A2573">
            <v>300006</v>
          </cell>
          <cell r="B2573" t="str">
            <v>CARTA 'KF' MARRONES NAT. ELEG.</v>
          </cell>
          <cell r="C2573" t="str">
            <v>CAKFMA</v>
          </cell>
        </row>
        <row r="2574">
          <cell r="A2574">
            <v>300006</v>
          </cell>
          <cell r="B2574" t="str">
            <v>CARTA 'KF' MARRONES NAT. ELEG.</v>
          </cell>
          <cell r="C2574" t="str">
            <v>8435057054171</v>
          </cell>
        </row>
        <row r="2575">
          <cell r="A2575">
            <v>300007</v>
          </cell>
          <cell r="B2575" t="str">
            <v>CARTA KINCREM 'KF' VIP</v>
          </cell>
          <cell r="C2575" t="str">
            <v>CAKFVI</v>
          </cell>
        </row>
        <row r="2576">
          <cell r="A2576">
            <v>300007</v>
          </cell>
          <cell r="B2576" t="str">
            <v>CARTA KINCREM 'KF' VIP</v>
          </cell>
          <cell r="C2576" t="str">
            <v>8435057051804</v>
          </cell>
        </row>
        <row r="2577">
          <cell r="A2577">
            <v>300008</v>
          </cell>
          <cell r="B2577" t="str">
            <v>CARTA KINCREM CONTRAST</v>
          </cell>
          <cell r="C2577" t="str">
            <v>SCCCO</v>
          </cell>
        </row>
        <row r="2578">
          <cell r="A2578">
            <v>300008</v>
          </cell>
          <cell r="B2578" t="str">
            <v>CARTA KINCREM CONTRAST</v>
          </cell>
          <cell r="C2578" t="str">
            <v>8435057051477</v>
          </cell>
        </row>
        <row r="2579">
          <cell r="A2579">
            <v>300009</v>
          </cell>
          <cell r="B2579" t="str">
            <v>CARTA KINCREM PRESTIGE</v>
          </cell>
          <cell r="C2579" t="str">
            <v>SCCKP</v>
          </cell>
        </row>
        <row r="2580">
          <cell r="A2580">
            <v>300009</v>
          </cell>
          <cell r="B2580" t="str">
            <v>CARTA KINCREM PRESTIGE</v>
          </cell>
          <cell r="C2580" t="str">
            <v>8435057051484</v>
          </cell>
        </row>
        <row r="2581">
          <cell r="A2581">
            <v>300010</v>
          </cell>
          <cell r="B2581" t="str">
            <v>CARTA KINCREM PRESTIGE</v>
          </cell>
          <cell r="C2581" t="str">
            <v>SCCKPE</v>
          </cell>
        </row>
        <row r="2582">
          <cell r="A2582">
            <v>300010</v>
          </cell>
          <cell r="B2582" t="str">
            <v>CARTA KINCREM PRESTIGE</v>
          </cell>
          <cell r="C2582" t="str">
            <v>8435057051491</v>
          </cell>
        </row>
        <row r="2583">
          <cell r="A2583">
            <v>300011</v>
          </cell>
          <cell r="B2583" t="str">
            <v>CARTA MECHAS N.C. 2000</v>
          </cell>
          <cell r="C2583" t="str">
            <v>SCCME</v>
          </cell>
        </row>
        <row r="2584">
          <cell r="A2584">
            <v>300011</v>
          </cell>
          <cell r="B2584" t="str">
            <v>CARTA MECHAS N.C. 2000</v>
          </cell>
          <cell r="C2584" t="str">
            <v>8435057051507</v>
          </cell>
        </row>
        <row r="2585">
          <cell r="A2585">
            <v>300012</v>
          </cell>
          <cell r="B2585" t="str">
            <v>CARTA NEW COLOR GLAMOUR</v>
          </cell>
          <cell r="C2585" t="str">
            <v>SCCNCG</v>
          </cell>
        </row>
        <row r="2586">
          <cell r="A2586">
            <v>300012</v>
          </cell>
          <cell r="B2586" t="str">
            <v>CARTA NEW COLOR GLAMOUR</v>
          </cell>
          <cell r="C2586" t="str">
            <v>8435057051514</v>
          </cell>
        </row>
        <row r="2587">
          <cell r="A2587">
            <v>300013</v>
          </cell>
          <cell r="B2587" t="str">
            <v>DIPLOMA KIN/SOCAP</v>
          </cell>
          <cell r="C2587" t="str">
            <v>AVDIKS</v>
          </cell>
        </row>
        <row r="2588">
          <cell r="A2588">
            <v>300013</v>
          </cell>
          <cell r="B2588" t="str">
            <v>DIPLOMA KIN/SOCAP</v>
          </cell>
          <cell r="C2588" t="str">
            <v>8435057050029</v>
          </cell>
        </row>
        <row r="2589">
          <cell r="A2589">
            <v>300014</v>
          </cell>
          <cell r="B2589" t="str">
            <v>DIPLOMA FORMACIÓN</v>
          </cell>
          <cell r="C2589" t="str">
            <v>AVDIP</v>
          </cell>
        </row>
        <row r="2590">
          <cell r="A2590">
            <v>300014</v>
          </cell>
          <cell r="B2590" t="str">
            <v>DIPLOMA FORMACIÓN</v>
          </cell>
          <cell r="C2590" t="str">
            <v>8435057050036</v>
          </cell>
        </row>
        <row r="2591">
          <cell r="A2591">
            <v>300015</v>
          </cell>
          <cell r="B2591" t="str">
            <v>INVITACION TALLER KIN SOCAP</v>
          </cell>
          <cell r="C2591" t="str">
            <v>AVINKS</v>
          </cell>
        </row>
        <row r="2592">
          <cell r="A2592">
            <v>300015</v>
          </cell>
          <cell r="B2592" t="str">
            <v>INVITACION TALLER KIN SOCAP</v>
          </cell>
          <cell r="C2592" t="str">
            <v>8435057050043</v>
          </cell>
        </row>
        <row r="2593">
          <cell r="A2593">
            <v>300016</v>
          </cell>
          <cell r="B2593" t="str">
            <v>INVITACION SEMINARIOS KIN</v>
          </cell>
          <cell r="C2593" t="str">
            <v>AVINV</v>
          </cell>
        </row>
        <row r="2594">
          <cell r="A2594">
            <v>300016</v>
          </cell>
          <cell r="B2594" t="str">
            <v>INVITACION SEMINARIOS KIN</v>
          </cell>
          <cell r="C2594" t="str">
            <v>8435057050050</v>
          </cell>
        </row>
        <row r="2595">
          <cell r="A2595">
            <v>300017</v>
          </cell>
          <cell r="B2595" t="str">
            <v>CATALOGO ACCESORIOS 2009</v>
          </cell>
          <cell r="C2595" t="str">
            <v>CAAC09</v>
          </cell>
        </row>
        <row r="2596">
          <cell r="A2596">
            <v>300017</v>
          </cell>
          <cell r="B2596" t="str">
            <v>CATALOGO ACCESORIOS 2009</v>
          </cell>
          <cell r="C2596" t="str">
            <v>8435057053945</v>
          </cell>
        </row>
        <row r="2597">
          <cell r="A2597">
            <v>300018</v>
          </cell>
          <cell r="B2597" t="str">
            <v>CATALOGO GRAL. PRODUCTOS 2008</v>
          </cell>
          <cell r="C2597" t="str">
            <v>CAGE08</v>
          </cell>
        </row>
        <row r="2598">
          <cell r="A2598">
            <v>300018</v>
          </cell>
          <cell r="B2598" t="str">
            <v>CATALOGO GRAL. PRODUCTOS 2008</v>
          </cell>
          <cell r="C2598" t="str">
            <v>8435057052863</v>
          </cell>
        </row>
        <row r="2599">
          <cell r="A2599">
            <v>300019</v>
          </cell>
          <cell r="B2599" t="str">
            <v>CATALOGO GRAL. PRODUCTOS 2008</v>
          </cell>
          <cell r="C2599" t="str">
            <v>CAGE08I</v>
          </cell>
        </row>
        <row r="2600">
          <cell r="A2600">
            <v>300019</v>
          </cell>
          <cell r="B2600" t="str">
            <v>CATALOGO GRAL. PRODUCTOS 2008</v>
          </cell>
          <cell r="C2600" t="str">
            <v>8435057054140</v>
          </cell>
        </row>
        <row r="2601">
          <cell r="A2601">
            <v>300020</v>
          </cell>
          <cell r="B2601" t="str">
            <v>CATALOGO MATERIAL PROM. 2008</v>
          </cell>
          <cell r="C2601" t="str">
            <v>CAMA08</v>
          </cell>
        </row>
        <row r="2602">
          <cell r="A2602">
            <v>300020</v>
          </cell>
          <cell r="B2602" t="str">
            <v>CATALOGO MATERIAL PROM. 2008</v>
          </cell>
          <cell r="C2602" t="str">
            <v>8435057052900</v>
          </cell>
        </row>
        <row r="2603">
          <cell r="A2603">
            <v>300021</v>
          </cell>
          <cell r="B2603" t="str">
            <v>CATALOGO MATERIAL PROM. 2009</v>
          </cell>
          <cell r="C2603" t="str">
            <v>CAMA09</v>
          </cell>
        </row>
        <row r="2604">
          <cell r="A2604">
            <v>300021</v>
          </cell>
          <cell r="B2604" t="str">
            <v>CATALOGO MATERIAL PROM. 2009</v>
          </cell>
          <cell r="C2604" t="str">
            <v>8435057053938</v>
          </cell>
        </row>
        <row r="2605">
          <cell r="A2605">
            <v>300022</v>
          </cell>
          <cell r="B2605" t="str">
            <v>CATALOGO PRODUCTOS 2007</v>
          </cell>
          <cell r="C2605" t="str">
            <v>CAPR07</v>
          </cell>
        </row>
        <row r="2606">
          <cell r="A2606">
            <v>300022</v>
          </cell>
          <cell r="B2606" t="str">
            <v>CATALOGO PRODUCTOS 2007</v>
          </cell>
          <cell r="C2606" t="str">
            <v>8435057051927</v>
          </cell>
        </row>
        <row r="2607">
          <cell r="A2607">
            <v>300023</v>
          </cell>
          <cell r="B2607" t="str">
            <v>CATALOGO RESUMEN PROD. 2009</v>
          </cell>
          <cell r="C2607" t="str">
            <v>CAPR09</v>
          </cell>
        </row>
        <row r="2608">
          <cell r="A2608">
            <v>300023</v>
          </cell>
          <cell r="B2608" t="str">
            <v>CATALOGO RESUMEN PROD. 2009</v>
          </cell>
          <cell r="C2608" t="str">
            <v>8435057054133</v>
          </cell>
        </row>
        <row r="2609">
          <cell r="A2609">
            <v>300024</v>
          </cell>
          <cell r="B2609" t="str">
            <v>CATALOGO STYLIUM 2008 Español</v>
          </cell>
          <cell r="C2609" t="str">
            <v>CAST08</v>
          </cell>
        </row>
        <row r="2610">
          <cell r="A2610">
            <v>300024</v>
          </cell>
          <cell r="B2610" t="str">
            <v>CATALOGO STYLIUM 2008 Español</v>
          </cell>
          <cell r="C2610" t="str">
            <v>8435057052801</v>
          </cell>
        </row>
        <row r="2611">
          <cell r="A2611">
            <v>300025</v>
          </cell>
          <cell r="B2611" t="str">
            <v>CATALOGO VENDEDOR 2007</v>
          </cell>
          <cell r="C2611" t="str">
            <v>CATAVE</v>
          </cell>
        </row>
        <row r="2612">
          <cell r="A2612">
            <v>300025</v>
          </cell>
          <cell r="B2612" t="str">
            <v>CATALOGO VENDEDOR 2007</v>
          </cell>
          <cell r="C2612" t="str">
            <v>8435057099905</v>
          </cell>
        </row>
        <row r="2613">
          <cell r="A2613">
            <v>300026</v>
          </cell>
          <cell r="B2613" t="str">
            <v>DIPTICO VIAJE BERLIN</v>
          </cell>
          <cell r="C2613" t="str">
            <v>DIVIBE</v>
          </cell>
        </row>
        <row r="2614">
          <cell r="A2614">
            <v>300026</v>
          </cell>
          <cell r="B2614" t="str">
            <v>DIPTICO VIAJE BERLIN</v>
          </cell>
          <cell r="C2614" t="str">
            <v>8435057053648</v>
          </cell>
        </row>
        <row r="2615">
          <cell r="A2615">
            <v>300027</v>
          </cell>
          <cell r="B2615" t="str">
            <v>DIPTICO VIAJE FINLANDIA</v>
          </cell>
          <cell r="C2615" t="str">
            <v>DIVIFI</v>
          </cell>
        </row>
        <row r="2616">
          <cell r="A2616">
            <v>300027</v>
          </cell>
          <cell r="B2616" t="str">
            <v>DIPTICO VIAJE FINLANDIA</v>
          </cell>
          <cell r="C2616" t="str">
            <v>8435057053631</v>
          </cell>
        </row>
        <row r="2617">
          <cell r="A2617">
            <v>300028</v>
          </cell>
          <cell r="B2617" t="str">
            <v>DIPTICO VIAJE PRAGA</v>
          </cell>
          <cell r="C2617" t="str">
            <v>DIVIPR</v>
          </cell>
        </row>
        <row r="2618">
          <cell r="A2618">
            <v>300028</v>
          </cell>
          <cell r="B2618" t="str">
            <v>DIPTICO VIAJE PRAGA</v>
          </cell>
          <cell r="C2618" t="str">
            <v>8435057054560</v>
          </cell>
        </row>
        <row r="2619">
          <cell r="A2619">
            <v>300029</v>
          </cell>
          <cell r="B2619" t="str">
            <v>FOLLETO FLYER STYLIUM</v>
          </cell>
          <cell r="C2619" t="str">
            <v>FLST07</v>
          </cell>
        </row>
        <row r="2620">
          <cell r="A2620">
            <v>300029</v>
          </cell>
          <cell r="B2620" t="str">
            <v>FOLLETO FLYER STYLIUM</v>
          </cell>
          <cell r="C2620" t="str">
            <v>8435057050388</v>
          </cell>
        </row>
        <row r="2621">
          <cell r="A2621">
            <v>300030</v>
          </cell>
          <cell r="B2621" t="str">
            <v>FOLLETO OFER ANTICAIDA (Manta)</v>
          </cell>
          <cell r="C2621" t="str">
            <v>FOACMA</v>
          </cell>
        </row>
        <row r="2622">
          <cell r="A2622">
            <v>300030</v>
          </cell>
          <cell r="B2622" t="str">
            <v>FOLLETO OFER ANTICAIDA (Manta)</v>
          </cell>
          <cell r="C2622" t="str">
            <v>300030</v>
          </cell>
        </row>
        <row r="2623">
          <cell r="A2623">
            <v>300031</v>
          </cell>
          <cell r="B2623" t="str">
            <v>FOLLETO DEEP Alemán</v>
          </cell>
          <cell r="C2623" t="str">
            <v>FODEAL</v>
          </cell>
        </row>
        <row r="2624">
          <cell r="A2624">
            <v>300031</v>
          </cell>
          <cell r="B2624" t="str">
            <v>FOLLETO DEEP Alemán</v>
          </cell>
          <cell r="C2624" t="str">
            <v>8435057050395</v>
          </cell>
        </row>
        <row r="2625">
          <cell r="A2625">
            <v>300032</v>
          </cell>
          <cell r="B2625" t="str">
            <v>FOLLETO DEEP 'Español'</v>
          </cell>
          <cell r="C2625" t="str">
            <v>FODEES</v>
          </cell>
        </row>
        <row r="2626">
          <cell r="A2626">
            <v>300032</v>
          </cell>
          <cell r="B2626" t="str">
            <v>FOLLETO DEEP 'Español'</v>
          </cell>
          <cell r="C2626" t="str">
            <v>8435057050401</v>
          </cell>
        </row>
        <row r="2627">
          <cell r="A2627">
            <v>300033</v>
          </cell>
          <cell r="B2627" t="str">
            <v>FOLLETO DEEP Francés</v>
          </cell>
          <cell r="C2627" t="str">
            <v>FODEFR</v>
          </cell>
        </row>
        <row r="2628">
          <cell r="A2628">
            <v>300033</v>
          </cell>
          <cell r="B2628" t="str">
            <v>FOLLETO DEEP Francés</v>
          </cell>
          <cell r="C2628" t="str">
            <v>8435057050418</v>
          </cell>
        </row>
        <row r="2629">
          <cell r="A2629">
            <v>300034</v>
          </cell>
          <cell r="B2629" t="str">
            <v>FOLLETO DEEP Holandés</v>
          </cell>
          <cell r="C2629" t="str">
            <v>FODEHO</v>
          </cell>
        </row>
        <row r="2630">
          <cell r="A2630">
            <v>300034</v>
          </cell>
          <cell r="B2630" t="str">
            <v>FOLLETO DEEP Holandés</v>
          </cell>
          <cell r="C2630" t="str">
            <v>8435057050425</v>
          </cell>
        </row>
        <row r="2631">
          <cell r="A2631">
            <v>300035</v>
          </cell>
          <cell r="B2631" t="str">
            <v>FOLLETO DEEP Inglés</v>
          </cell>
          <cell r="C2631" t="str">
            <v>FODEIN</v>
          </cell>
        </row>
        <row r="2632">
          <cell r="A2632">
            <v>300035</v>
          </cell>
          <cell r="B2632" t="str">
            <v>FOLLETO DEEP Inglés</v>
          </cell>
          <cell r="C2632" t="str">
            <v>8435057050432</v>
          </cell>
        </row>
        <row r="2633">
          <cell r="A2633">
            <v>300036</v>
          </cell>
          <cell r="B2633" t="str">
            <v>FOLLETO DEEP Portugués</v>
          </cell>
          <cell r="C2633" t="str">
            <v>FODEPO</v>
          </cell>
        </row>
        <row r="2634">
          <cell r="A2634">
            <v>300036</v>
          </cell>
          <cell r="B2634" t="str">
            <v>FOLLETO DEEP Portugués</v>
          </cell>
          <cell r="C2634" t="str">
            <v>8435057050449</v>
          </cell>
        </row>
        <row r="2635">
          <cell r="A2635">
            <v>300037</v>
          </cell>
          <cell r="B2635" t="str">
            <v>FOLLETO K.A. TRIPTIC 'Aleman'</v>
          </cell>
          <cell r="C2635" t="str">
            <v>FOKATA</v>
          </cell>
        </row>
        <row r="2636">
          <cell r="A2636">
            <v>300037</v>
          </cell>
          <cell r="B2636" t="str">
            <v>FOLLETO K.A. TRIPTIC 'Aleman'</v>
          </cell>
          <cell r="C2636" t="str">
            <v>8435057051859</v>
          </cell>
        </row>
        <row r="2637">
          <cell r="A2637">
            <v>300038</v>
          </cell>
          <cell r="B2637" t="str">
            <v>FOLLETO K.A. TRIPTIC 'Español'</v>
          </cell>
          <cell r="C2637" t="str">
            <v>FOKATE</v>
          </cell>
        </row>
        <row r="2638">
          <cell r="A2638">
            <v>300038</v>
          </cell>
          <cell r="B2638" t="str">
            <v>FOLLETO K.A. TRIPTIC 'Español'</v>
          </cell>
          <cell r="C2638" t="str">
            <v>8435057050456</v>
          </cell>
        </row>
        <row r="2639">
          <cell r="A2639">
            <v>300039</v>
          </cell>
          <cell r="B2639" t="str">
            <v>FOLLETO K.A. TRIPTIC 'Francés'</v>
          </cell>
          <cell r="C2639" t="str">
            <v>FOKATF</v>
          </cell>
        </row>
        <row r="2640">
          <cell r="A2640">
            <v>300039</v>
          </cell>
          <cell r="B2640" t="str">
            <v>FOLLETO K.A. TRIPTIC 'Francés'</v>
          </cell>
          <cell r="C2640" t="str">
            <v>8435057050463</v>
          </cell>
        </row>
        <row r="2641">
          <cell r="A2641">
            <v>300040</v>
          </cell>
          <cell r="B2641" t="str">
            <v>FOLLETO K.A. TRIPTIC 'Holland'</v>
          </cell>
          <cell r="C2641" t="str">
            <v>FOKATH</v>
          </cell>
        </row>
        <row r="2642">
          <cell r="A2642">
            <v>300040</v>
          </cell>
          <cell r="B2642" t="str">
            <v>FOLLETO K.A. TRIPTIC 'Holland'</v>
          </cell>
          <cell r="C2642" t="str">
            <v>8435057050470</v>
          </cell>
        </row>
        <row r="2643">
          <cell r="A2643">
            <v>300041</v>
          </cell>
          <cell r="B2643" t="str">
            <v>FOLLETO K.A. TRIPTIC 'Ingles'</v>
          </cell>
          <cell r="C2643" t="str">
            <v>FOKATI</v>
          </cell>
        </row>
        <row r="2644">
          <cell r="A2644">
            <v>300041</v>
          </cell>
          <cell r="B2644" t="str">
            <v>FOLLETO K.A. TRIPTIC 'Ingles'</v>
          </cell>
          <cell r="C2644" t="str">
            <v>8435057050487</v>
          </cell>
        </row>
        <row r="2645">
          <cell r="A2645">
            <v>300042</v>
          </cell>
          <cell r="B2645" t="str">
            <v>FOLLETO K.A. TRIPTIC 'Portug'</v>
          </cell>
          <cell r="C2645" t="str">
            <v>FOKATP</v>
          </cell>
        </row>
        <row r="2646">
          <cell r="A2646">
            <v>300042</v>
          </cell>
          <cell r="B2646" t="str">
            <v>FOLLETO K.A. TRIPTIC 'Portug'</v>
          </cell>
          <cell r="C2646" t="str">
            <v>8435057050494</v>
          </cell>
        </row>
        <row r="2647">
          <cell r="A2647">
            <v>300043</v>
          </cell>
          <cell r="B2647" t="str">
            <v>FOLLETO K. CONTRAST ESP.</v>
          </cell>
          <cell r="C2647" t="str">
            <v>FOKCES</v>
          </cell>
        </row>
        <row r="2648">
          <cell r="A2648">
            <v>300043</v>
          </cell>
          <cell r="B2648" t="str">
            <v>FOLLETO K. CONTRAST ESP.</v>
          </cell>
          <cell r="C2648" t="str">
            <v>8435057050500</v>
          </cell>
        </row>
        <row r="2649">
          <cell r="A2649">
            <v>300044</v>
          </cell>
          <cell r="B2649" t="str">
            <v>FOLLETO K. CONTRAST FRANCES</v>
          </cell>
          <cell r="C2649" t="str">
            <v>FOKCFR</v>
          </cell>
        </row>
        <row r="2650">
          <cell r="A2650">
            <v>300044</v>
          </cell>
          <cell r="B2650" t="str">
            <v>FOLLETO K. CONTRAST FRANCES</v>
          </cell>
          <cell r="C2650" t="str">
            <v>8435057050517</v>
          </cell>
        </row>
        <row r="2651">
          <cell r="A2651">
            <v>300045</v>
          </cell>
          <cell r="B2651" t="str">
            <v>FOLLETO K. CONTRAST HOLANDES</v>
          </cell>
          <cell r="C2651" t="str">
            <v>FOKCHO</v>
          </cell>
        </row>
        <row r="2652">
          <cell r="A2652">
            <v>300045</v>
          </cell>
          <cell r="B2652" t="str">
            <v>FOLLETO K. CONTRAST HOLANDES</v>
          </cell>
          <cell r="C2652" t="str">
            <v>8435057050524</v>
          </cell>
        </row>
        <row r="2653">
          <cell r="A2653">
            <v>300046</v>
          </cell>
          <cell r="B2653" t="str">
            <v>FOLLETO K. CONTRAST Ingles</v>
          </cell>
          <cell r="C2653" t="str">
            <v>FOKCIN</v>
          </cell>
        </row>
        <row r="2654">
          <cell r="A2654">
            <v>300046</v>
          </cell>
          <cell r="B2654" t="str">
            <v>FOLLETO K. CONTRAST Ingles</v>
          </cell>
          <cell r="C2654" t="str">
            <v>8435057050531</v>
          </cell>
        </row>
        <row r="2655">
          <cell r="A2655">
            <v>300047</v>
          </cell>
          <cell r="B2655" t="str">
            <v>FOLLETO K. CONTRAST PORTUGUES</v>
          </cell>
          <cell r="C2655" t="str">
            <v>FOKCPO</v>
          </cell>
        </row>
        <row r="2656">
          <cell r="A2656">
            <v>300047</v>
          </cell>
          <cell r="B2656" t="str">
            <v>FOLLETO K. CONTRAST PORTUGUES</v>
          </cell>
          <cell r="C2656" t="str">
            <v>8435057050548</v>
          </cell>
        </row>
        <row r="2657">
          <cell r="A2657">
            <v>300048</v>
          </cell>
          <cell r="B2657" t="str">
            <v>FOLLETO KINCREM 'KF' Alemán</v>
          </cell>
          <cell r="C2657" t="str">
            <v>FOKFAL</v>
          </cell>
        </row>
        <row r="2658">
          <cell r="A2658">
            <v>300048</v>
          </cell>
          <cell r="B2658" t="str">
            <v>FOLLETO KINCREM 'KF' Alemán</v>
          </cell>
          <cell r="C2658" t="str">
            <v>8435057051910</v>
          </cell>
        </row>
        <row r="2659">
          <cell r="A2659">
            <v>300049</v>
          </cell>
          <cell r="B2659" t="str">
            <v>FOLLETO KINCREM 'KF' Español</v>
          </cell>
          <cell r="C2659" t="str">
            <v>FOKFES</v>
          </cell>
        </row>
        <row r="2660">
          <cell r="A2660">
            <v>300049</v>
          </cell>
          <cell r="B2660" t="str">
            <v>FOLLETO KINCREM 'KF' Español</v>
          </cell>
          <cell r="C2660" t="str">
            <v>8435057051866</v>
          </cell>
        </row>
        <row r="2661">
          <cell r="A2661">
            <v>300050</v>
          </cell>
          <cell r="B2661" t="str">
            <v>FOLLETO KINCREM 'KF' Francés</v>
          </cell>
          <cell r="C2661" t="str">
            <v>FOKFFR</v>
          </cell>
        </row>
        <row r="2662">
          <cell r="A2662">
            <v>300050</v>
          </cell>
          <cell r="B2662" t="str">
            <v>FOLLETO KINCREM 'KF' Francés</v>
          </cell>
          <cell r="C2662" t="str">
            <v>8435057051873</v>
          </cell>
        </row>
        <row r="2663">
          <cell r="A2663">
            <v>300051</v>
          </cell>
          <cell r="B2663" t="str">
            <v>FOLLETO KINCREM 'KF' Holandés</v>
          </cell>
          <cell r="C2663" t="str">
            <v>FOKFHO</v>
          </cell>
        </row>
        <row r="2664">
          <cell r="A2664">
            <v>300051</v>
          </cell>
          <cell r="B2664" t="str">
            <v>FOLLETO KINCREM 'KF' Holandés</v>
          </cell>
          <cell r="C2664" t="str">
            <v>8435057051903</v>
          </cell>
        </row>
        <row r="2665">
          <cell r="A2665">
            <v>300052</v>
          </cell>
          <cell r="B2665" t="str">
            <v>FOLLETO KINCREM 'KF' Ingles</v>
          </cell>
          <cell r="C2665" t="str">
            <v>FOKFIN</v>
          </cell>
        </row>
        <row r="2666">
          <cell r="A2666">
            <v>300052</v>
          </cell>
          <cell r="B2666" t="str">
            <v>FOLLETO KINCREM 'KF' Ingles</v>
          </cell>
          <cell r="C2666" t="str">
            <v>8435057051880</v>
          </cell>
        </row>
        <row r="2667">
          <cell r="A2667">
            <v>300053</v>
          </cell>
          <cell r="B2667" t="str">
            <v>FOLLETO KINCREM 'KF' Portugués</v>
          </cell>
          <cell r="C2667" t="str">
            <v>FOKFPO</v>
          </cell>
        </row>
        <row r="2668">
          <cell r="A2668">
            <v>300053</v>
          </cell>
          <cell r="B2668" t="str">
            <v>FOLLETO KINCREM 'KF' Portugués</v>
          </cell>
          <cell r="C2668" t="str">
            <v>8435057051897</v>
          </cell>
        </row>
        <row r="2669">
          <cell r="A2669">
            <v>300054</v>
          </cell>
          <cell r="B2669" t="str">
            <v>FOLLETO K.PRESTIGE ESP.</v>
          </cell>
          <cell r="C2669" t="str">
            <v>FOKPES</v>
          </cell>
        </row>
        <row r="2670">
          <cell r="A2670">
            <v>300054</v>
          </cell>
          <cell r="B2670" t="str">
            <v>FOLLETO K.PRESTIGE ESP.</v>
          </cell>
          <cell r="C2670" t="str">
            <v>8435057050555</v>
          </cell>
        </row>
        <row r="2671">
          <cell r="A2671">
            <v>300055</v>
          </cell>
          <cell r="B2671" t="str">
            <v>FOLLETO K.PRESTIGE FRANCES</v>
          </cell>
          <cell r="C2671" t="str">
            <v>FOKPFR</v>
          </cell>
        </row>
        <row r="2672">
          <cell r="A2672">
            <v>300055</v>
          </cell>
          <cell r="B2672" t="str">
            <v>FOLLETO K.PRESTIGE FRANCES</v>
          </cell>
          <cell r="C2672" t="str">
            <v>8435057050562</v>
          </cell>
        </row>
        <row r="2673">
          <cell r="A2673">
            <v>300056</v>
          </cell>
          <cell r="B2673" t="str">
            <v>FOLLETO K.PRESTIGE HOLANDES</v>
          </cell>
          <cell r="C2673" t="str">
            <v>FOKPHO</v>
          </cell>
        </row>
        <row r="2674">
          <cell r="A2674">
            <v>300056</v>
          </cell>
          <cell r="B2674" t="str">
            <v>FOLLETO K.PRESTIGE HOLANDES</v>
          </cell>
          <cell r="C2674" t="str">
            <v>8435057050579</v>
          </cell>
        </row>
        <row r="2675">
          <cell r="A2675">
            <v>300057</v>
          </cell>
          <cell r="B2675" t="str">
            <v>FOLLETO K.PRESTIGE INGLES</v>
          </cell>
          <cell r="C2675" t="str">
            <v>FOKPIN</v>
          </cell>
        </row>
        <row r="2676">
          <cell r="A2676">
            <v>300057</v>
          </cell>
          <cell r="B2676" t="str">
            <v>FOLLETO K.PRESTIGE INGLES</v>
          </cell>
          <cell r="C2676" t="str">
            <v>8435057050586</v>
          </cell>
        </row>
        <row r="2677">
          <cell r="A2677">
            <v>300058</v>
          </cell>
          <cell r="B2677" t="str">
            <v>FOLLETO K.PRESTIGE PORTUGUES</v>
          </cell>
          <cell r="C2677" t="str">
            <v>FOKPPO</v>
          </cell>
        </row>
        <row r="2678">
          <cell r="A2678">
            <v>300058</v>
          </cell>
          <cell r="B2678" t="str">
            <v>FOLLETO K.PRESTIGE PORTUGUES</v>
          </cell>
          <cell r="C2678" t="str">
            <v>8435057050593</v>
          </cell>
        </row>
        <row r="2679">
          <cell r="A2679">
            <v>300059</v>
          </cell>
          <cell r="B2679" t="str">
            <v>FOLLETO K.W. TRIPTICO Español</v>
          </cell>
          <cell r="C2679" t="str">
            <v>FOKWTE</v>
          </cell>
        </row>
        <row r="2680">
          <cell r="A2680">
            <v>300059</v>
          </cell>
          <cell r="B2680" t="str">
            <v>FOLLETO K.W. TRIPTICO Español</v>
          </cell>
          <cell r="C2680" t="str">
            <v>8435057050609</v>
          </cell>
        </row>
        <row r="2681">
          <cell r="A2681">
            <v>300060</v>
          </cell>
          <cell r="B2681" t="str">
            <v>FOLLETO K.W. TRIPTIC 'Francés'</v>
          </cell>
          <cell r="C2681" t="str">
            <v>FOKWTF</v>
          </cell>
        </row>
        <row r="2682">
          <cell r="A2682">
            <v>300060</v>
          </cell>
          <cell r="B2682" t="str">
            <v>FOLLETO K.W. TRIPTIC 'Francés'</v>
          </cell>
          <cell r="C2682" t="str">
            <v>8435057050616</v>
          </cell>
        </row>
        <row r="2683">
          <cell r="A2683">
            <v>300061</v>
          </cell>
          <cell r="B2683" t="str">
            <v>FOLLETO K.W. TRIPT 'Holandés'</v>
          </cell>
          <cell r="C2683" t="str">
            <v>FOKWTH</v>
          </cell>
        </row>
        <row r="2684">
          <cell r="A2684">
            <v>300061</v>
          </cell>
          <cell r="B2684" t="str">
            <v>FOLLETO K.W. TRIPT 'Holandés'</v>
          </cell>
          <cell r="C2684" t="str">
            <v>8435057050623</v>
          </cell>
        </row>
        <row r="2685">
          <cell r="A2685">
            <v>300062</v>
          </cell>
          <cell r="B2685" t="str">
            <v>FOLLETO K.W. TRIPT 'Inglés'</v>
          </cell>
          <cell r="C2685" t="str">
            <v>FOKWTI</v>
          </cell>
        </row>
        <row r="2686">
          <cell r="A2686">
            <v>300062</v>
          </cell>
          <cell r="B2686" t="str">
            <v>FOLLETO K.W. TRIPT 'Inglés'</v>
          </cell>
          <cell r="C2686" t="str">
            <v>8435057050630</v>
          </cell>
        </row>
        <row r="2687">
          <cell r="A2687">
            <v>300063</v>
          </cell>
          <cell r="B2687" t="str">
            <v>FOLLETO K.W. TRIPT 'Portugués'</v>
          </cell>
          <cell r="C2687" t="str">
            <v>FOKWTP</v>
          </cell>
        </row>
        <row r="2688">
          <cell r="A2688">
            <v>300063</v>
          </cell>
          <cell r="B2688" t="str">
            <v>FOLLETO K.W. TRIPT 'Portugués'</v>
          </cell>
          <cell r="C2688" t="str">
            <v>8435057050647</v>
          </cell>
        </row>
        <row r="2689">
          <cell r="A2689">
            <v>300064</v>
          </cell>
          <cell r="B2689" t="str">
            <v>FOLLETO LISSAGE INT. Español</v>
          </cell>
          <cell r="C2689" t="str">
            <v>FOLIES</v>
          </cell>
        </row>
        <row r="2690">
          <cell r="A2690">
            <v>300064</v>
          </cell>
          <cell r="B2690" t="str">
            <v>FOLLETO LISSAGE INT. Español</v>
          </cell>
          <cell r="C2690" t="str">
            <v>8435057050654</v>
          </cell>
        </row>
        <row r="2691">
          <cell r="A2691">
            <v>300065</v>
          </cell>
          <cell r="B2691" t="str">
            <v>FOLLETO LISSAGE INT. FRANCES</v>
          </cell>
          <cell r="C2691" t="str">
            <v>FOLIFR</v>
          </cell>
        </row>
        <row r="2692">
          <cell r="A2692">
            <v>300065</v>
          </cell>
          <cell r="B2692" t="str">
            <v>FOLLETO LISSAGE INT. FRANCES</v>
          </cell>
          <cell r="C2692" t="str">
            <v>8435057050661</v>
          </cell>
        </row>
        <row r="2693">
          <cell r="A2693">
            <v>300066</v>
          </cell>
          <cell r="B2693" t="str">
            <v>FOLLETO LISSAGE INT. HOLANDES</v>
          </cell>
          <cell r="C2693" t="str">
            <v>FOLIHO</v>
          </cell>
        </row>
        <row r="2694">
          <cell r="A2694">
            <v>300066</v>
          </cell>
          <cell r="B2694" t="str">
            <v>FOLLETO LISSAGE INT. HOLANDES</v>
          </cell>
          <cell r="C2694" t="str">
            <v>8435057050678</v>
          </cell>
        </row>
        <row r="2695">
          <cell r="A2695">
            <v>300067</v>
          </cell>
          <cell r="B2695" t="str">
            <v>FOLLETO LISSAGE INT. Ingles</v>
          </cell>
          <cell r="C2695" t="str">
            <v>FOLIIN</v>
          </cell>
        </row>
        <row r="2696">
          <cell r="A2696">
            <v>300067</v>
          </cell>
          <cell r="B2696" t="str">
            <v>FOLLETO LISSAGE INT. Ingles</v>
          </cell>
          <cell r="C2696" t="str">
            <v>8435057050685</v>
          </cell>
        </row>
        <row r="2697">
          <cell r="A2697">
            <v>300068</v>
          </cell>
          <cell r="B2697" t="str">
            <v>MINI FOLLETO LISSAGE INT.</v>
          </cell>
          <cell r="C2697" t="str">
            <v>FOLIME</v>
          </cell>
        </row>
        <row r="2698">
          <cell r="A2698">
            <v>300068</v>
          </cell>
          <cell r="B2698" t="str">
            <v>MINI FOLLETO LISSAGE INT.</v>
          </cell>
          <cell r="C2698" t="str">
            <v>8435057050592</v>
          </cell>
        </row>
        <row r="2699">
          <cell r="A2699">
            <v>300069</v>
          </cell>
          <cell r="B2699" t="str">
            <v>FOLLETO LISSAGE INT. Portugués</v>
          </cell>
          <cell r="C2699" t="str">
            <v>FOLIPO</v>
          </cell>
        </row>
        <row r="2700">
          <cell r="A2700">
            <v>300069</v>
          </cell>
          <cell r="B2700" t="str">
            <v>FOLLETO LISSAGE INT. Portugués</v>
          </cell>
          <cell r="C2700" t="str">
            <v>8435057050708</v>
          </cell>
        </row>
        <row r="2701">
          <cell r="A2701">
            <v>300070</v>
          </cell>
          <cell r="B2701" t="str">
            <v>FOLLETO NEW C GLAMOUR Español</v>
          </cell>
          <cell r="C2701" t="str">
            <v>FONGES</v>
          </cell>
        </row>
        <row r="2702">
          <cell r="A2702">
            <v>300070</v>
          </cell>
          <cell r="B2702" t="str">
            <v>FOLLETO NEW C GLAMOUR Español</v>
          </cell>
          <cell r="C2702" t="str">
            <v>8435057050715</v>
          </cell>
        </row>
        <row r="2703">
          <cell r="A2703">
            <v>300071</v>
          </cell>
          <cell r="B2703" t="str">
            <v>FOLLETO NEW GLAMOUR Francés</v>
          </cell>
          <cell r="C2703" t="str">
            <v>FONGFR</v>
          </cell>
        </row>
        <row r="2704">
          <cell r="A2704">
            <v>300071</v>
          </cell>
          <cell r="B2704" t="str">
            <v>FOLLETO NEW GLAMOUR Francés</v>
          </cell>
          <cell r="C2704" t="str">
            <v>8435057050722</v>
          </cell>
        </row>
        <row r="2705">
          <cell r="A2705">
            <v>300072</v>
          </cell>
          <cell r="B2705" t="str">
            <v>FOLLETO NEW GLAMOUR Holandes</v>
          </cell>
          <cell r="C2705" t="str">
            <v>FONGHO</v>
          </cell>
        </row>
        <row r="2706">
          <cell r="A2706">
            <v>300072</v>
          </cell>
          <cell r="B2706" t="str">
            <v>FOLLETO NEW GLAMOUR Holandes</v>
          </cell>
          <cell r="C2706" t="str">
            <v>8435057050739</v>
          </cell>
        </row>
        <row r="2707">
          <cell r="A2707">
            <v>300073</v>
          </cell>
          <cell r="B2707" t="str">
            <v>FOLLETO NEW C. GLAMOUR Inglés</v>
          </cell>
          <cell r="C2707" t="str">
            <v>FONGIN</v>
          </cell>
        </row>
        <row r="2708">
          <cell r="A2708">
            <v>300073</v>
          </cell>
          <cell r="B2708" t="str">
            <v>FOLLETO NEW C. GLAMOUR Inglés</v>
          </cell>
          <cell r="C2708" t="str">
            <v>8435057050746</v>
          </cell>
        </row>
        <row r="2709">
          <cell r="A2709">
            <v>300074</v>
          </cell>
          <cell r="B2709" t="str">
            <v>FOLLETO NEW GLAMOUR Portugués</v>
          </cell>
          <cell r="C2709" t="str">
            <v>FONGPO</v>
          </cell>
        </row>
        <row r="2710">
          <cell r="A2710">
            <v>300074</v>
          </cell>
          <cell r="B2710" t="str">
            <v>FOLLETO NEW GLAMOUR Portugués</v>
          </cell>
          <cell r="C2710" t="str">
            <v>8435057050753</v>
          </cell>
        </row>
        <row r="2711">
          <cell r="A2711">
            <v>300075</v>
          </cell>
          <cell r="B2711" t="str">
            <v>FOLLETO KINPERM ESPAÑOL</v>
          </cell>
          <cell r="C2711" t="str">
            <v>FOPMES</v>
          </cell>
        </row>
        <row r="2712">
          <cell r="A2712">
            <v>300075</v>
          </cell>
          <cell r="B2712" t="str">
            <v>FOLLETO KINPERM ESPAÑOL</v>
          </cell>
          <cell r="C2712" t="str">
            <v>8435057050760</v>
          </cell>
        </row>
        <row r="2713">
          <cell r="A2713">
            <v>300076</v>
          </cell>
          <cell r="B2713" t="str">
            <v>FOLLETO KINPERM FRANCES</v>
          </cell>
          <cell r="C2713" t="str">
            <v>FOPMFR</v>
          </cell>
        </row>
        <row r="2714">
          <cell r="A2714">
            <v>300076</v>
          </cell>
          <cell r="B2714" t="str">
            <v>FOLLETO KINPERM FRANCES</v>
          </cell>
          <cell r="C2714" t="str">
            <v>8435057050777</v>
          </cell>
        </row>
        <row r="2715">
          <cell r="A2715">
            <v>300077</v>
          </cell>
          <cell r="B2715" t="str">
            <v>FOLLETO KINPERM HOLANDES</v>
          </cell>
          <cell r="C2715" t="str">
            <v>FOPMHO</v>
          </cell>
        </row>
        <row r="2716">
          <cell r="A2716">
            <v>300077</v>
          </cell>
          <cell r="B2716" t="str">
            <v>FOLLETO KINPERM HOLANDES</v>
          </cell>
          <cell r="C2716" t="str">
            <v>8435057050784</v>
          </cell>
        </row>
        <row r="2717">
          <cell r="A2717">
            <v>300078</v>
          </cell>
          <cell r="B2717" t="str">
            <v>FOLLETO KINPERM Ingles</v>
          </cell>
          <cell r="C2717" t="str">
            <v>FOPMIN</v>
          </cell>
        </row>
        <row r="2718">
          <cell r="A2718">
            <v>300078</v>
          </cell>
          <cell r="B2718" t="str">
            <v>FOLLETO KINPERM Ingles</v>
          </cell>
          <cell r="C2718" t="str">
            <v>8435057050791</v>
          </cell>
        </row>
        <row r="2719">
          <cell r="A2719">
            <v>300079</v>
          </cell>
          <cell r="B2719" t="str">
            <v>FOLLETO KINPERM PORTUGUES</v>
          </cell>
          <cell r="C2719" t="str">
            <v>FOPMPO</v>
          </cell>
        </row>
        <row r="2720">
          <cell r="A2720">
            <v>300079</v>
          </cell>
          <cell r="B2720" t="str">
            <v>FOLLETO KINPERM PORTUGUES</v>
          </cell>
          <cell r="C2720" t="str">
            <v>8435057050807</v>
          </cell>
        </row>
        <row r="2721">
          <cell r="A2721">
            <v>300080</v>
          </cell>
          <cell r="B2721" t="str">
            <v>FOLLETO N.C.REFLECTS 'Aleman'</v>
          </cell>
          <cell r="C2721" t="str">
            <v>FOREAL</v>
          </cell>
        </row>
        <row r="2722">
          <cell r="A2722">
            <v>300080</v>
          </cell>
          <cell r="B2722" t="str">
            <v>FOLLETO N.C.REFLECTS 'Aleman'</v>
          </cell>
          <cell r="C2722" t="str">
            <v>8435057050814</v>
          </cell>
        </row>
        <row r="2723">
          <cell r="A2723">
            <v>300081</v>
          </cell>
          <cell r="B2723" t="str">
            <v>FOLLETO N.C.REFLECTS Español</v>
          </cell>
          <cell r="C2723" t="str">
            <v>FOREES</v>
          </cell>
        </row>
        <row r="2724">
          <cell r="A2724">
            <v>300081</v>
          </cell>
          <cell r="B2724" t="str">
            <v>FOLLETO N.C.REFLECTS Español</v>
          </cell>
          <cell r="C2724" t="str">
            <v>8435057050821</v>
          </cell>
        </row>
        <row r="2725">
          <cell r="A2725">
            <v>300082</v>
          </cell>
          <cell r="B2725" t="str">
            <v>FOLLETO N.C.REFLECTS 'Francés'</v>
          </cell>
          <cell r="C2725" t="str">
            <v>FOREFR</v>
          </cell>
        </row>
        <row r="2726">
          <cell r="A2726">
            <v>300082</v>
          </cell>
          <cell r="B2726" t="str">
            <v>FOLLETO N.C.REFLECTS 'Francés'</v>
          </cell>
          <cell r="C2726" t="str">
            <v>8435057050838</v>
          </cell>
        </row>
        <row r="2727">
          <cell r="A2727">
            <v>300083</v>
          </cell>
          <cell r="B2727" t="str">
            <v>FOLLETO N.C.REFLECTS 'Holandés</v>
          </cell>
          <cell r="C2727" t="str">
            <v>FOREHO</v>
          </cell>
        </row>
        <row r="2728">
          <cell r="A2728">
            <v>300083</v>
          </cell>
          <cell r="B2728" t="str">
            <v>FOLLETO N.C.REFLECTS 'Holandés</v>
          </cell>
          <cell r="C2728" t="str">
            <v>8435057050845</v>
          </cell>
        </row>
        <row r="2729">
          <cell r="A2729">
            <v>300084</v>
          </cell>
          <cell r="B2729" t="str">
            <v>FOLLETO N.C.REFLECTS 'Ingles'</v>
          </cell>
          <cell r="C2729" t="str">
            <v>FOREIN</v>
          </cell>
        </row>
        <row r="2730">
          <cell r="A2730">
            <v>300084</v>
          </cell>
          <cell r="B2730" t="str">
            <v>FOLLETO N.C.REFLECTS 'Ingles'</v>
          </cell>
          <cell r="C2730" t="str">
            <v>8435057050852</v>
          </cell>
        </row>
        <row r="2731">
          <cell r="A2731">
            <v>300085</v>
          </cell>
          <cell r="B2731" t="str">
            <v>FOLLETO N.C.REFLECTS Portugués</v>
          </cell>
          <cell r="C2731" t="str">
            <v>FOREPO</v>
          </cell>
        </row>
        <row r="2732">
          <cell r="A2732">
            <v>300085</v>
          </cell>
          <cell r="B2732" t="str">
            <v>FOLLETO N.C.REFLECTS Portugués</v>
          </cell>
          <cell r="C2732" t="str">
            <v>8435057050869</v>
          </cell>
        </row>
        <row r="2733">
          <cell r="A2733">
            <v>300086</v>
          </cell>
          <cell r="B2733" t="str">
            <v>FOLLETO STYLIUM ESP. 1ª parte</v>
          </cell>
          <cell r="C2733" t="str">
            <v>FOSTES</v>
          </cell>
        </row>
        <row r="2734">
          <cell r="A2734">
            <v>300086</v>
          </cell>
          <cell r="B2734" t="str">
            <v>FOLLETO STYLIUM ESP. 1ª parte</v>
          </cell>
          <cell r="C2734" t="str">
            <v>8435057050913</v>
          </cell>
        </row>
        <row r="2735">
          <cell r="A2735">
            <v>300087</v>
          </cell>
          <cell r="B2735" t="str">
            <v>FOLLETO STYLIUM ESP. 2ª parte</v>
          </cell>
          <cell r="C2735" t="str">
            <v>FOSTES2</v>
          </cell>
        </row>
        <row r="2736">
          <cell r="A2736">
            <v>300087</v>
          </cell>
          <cell r="B2736" t="str">
            <v>FOLLETO STYLIUM ESP. 2ª parte</v>
          </cell>
          <cell r="C2736" t="str">
            <v>8435057050920</v>
          </cell>
        </row>
        <row r="2737">
          <cell r="A2737">
            <v>300088</v>
          </cell>
          <cell r="B2737" t="str">
            <v>CATALOGO STYLIUM Español</v>
          </cell>
          <cell r="C2737" t="str">
            <v>FOSTESG</v>
          </cell>
        </row>
        <row r="2738">
          <cell r="A2738">
            <v>300088</v>
          </cell>
          <cell r="B2738" t="str">
            <v>CATALOGO STYLIUM Español</v>
          </cell>
          <cell r="C2738" t="str">
            <v>8435057050937</v>
          </cell>
        </row>
        <row r="2739">
          <cell r="A2739">
            <v>300089</v>
          </cell>
          <cell r="B2739" t="str">
            <v>FOLLETO STYLIUM FRANCES 1ª p.</v>
          </cell>
          <cell r="C2739" t="str">
            <v>FOSTFR</v>
          </cell>
        </row>
        <row r="2740">
          <cell r="A2740">
            <v>300089</v>
          </cell>
          <cell r="B2740" t="str">
            <v>FOLLETO STYLIUM FRANCES 1ª p.</v>
          </cell>
          <cell r="C2740" t="str">
            <v>8435057050944</v>
          </cell>
        </row>
        <row r="2741">
          <cell r="A2741">
            <v>300090</v>
          </cell>
          <cell r="B2741" t="str">
            <v>FOLLETO STYLIUM FRANCES 2ª p.</v>
          </cell>
          <cell r="C2741" t="str">
            <v>FOSTFR2</v>
          </cell>
        </row>
        <row r="2742">
          <cell r="A2742">
            <v>300090</v>
          </cell>
          <cell r="B2742" t="str">
            <v>FOLLETO STYLIUM FRANCES 2ª p.</v>
          </cell>
          <cell r="C2742" t="str">
            <v>8435057050951</v>
          </cell>
        </row>
        <row r="2743">
          <cell r="A2743">
            <v>300091</v>
          </cell>
          <cell r="B2743" t="str">
            <v>CATALOGO STYLIUM Français</v>
          </cell>
          <cell r="C2743" t="str">
            <v>FOSTFRG</v>
          </cell>
        </row>
        <row r="2744">
          <cell r="A2744">
            <v>300091</v>
          </cell>
          <cell r="B2744" t="str">
            <v>CATALOGO STYLIUM Français</v>
          </cell>
          <cell r="C2744" t="str">
            <v>8435057050968</v>
          </cell>
        </row>
        <row r="2745">
          <cell r="A2745">
            <v>300092</v>
          </cell>
          <cell r="B2745" t="str">
            <v>FOLLETO STYLIUM HOLAND 1ª p.</v>
          </cell>
          <cell r="C2745" t="str">
            <v>FOSTHO</v>
          </cell>
        </row>
        <row r="2746">
          <cell r="A2746">
            <v>300092</v>
          </cell>
          <cell r="B2746" t="str">
            <v>FOLLETO STYLIUM HOLAND 1ª p.</v>
          </cell>
          <cell r="C2746" t="str">
            <v>8435057050975</v>
          </cell>
        </row>
        <row r="2747">
          <cell r="A2747">
            <v>300093</v>
          </cell>
          <cell r="B2747" t="str">
            <v>FOLLETO STYLIUM HOLAND 2ª p.</v>
          </cell>
          <cell r="C2747" t="str">
            <v>FOSTHO2</v>
          </cell>
        </row>
        <row r="2748">
          <cell r="A2748">
            <v>300093</v>
          </cell>
          <cell r="B2748" t="str">
            <v>FOLLETO STYLIUM HOLAND 2ª p.</v>
          </cell>
          <cell r="C2748" t="str">
            <v>8435057050982</v>
          </cell>
        </row>
        <row r="2749">
          <cell r="A2749">
            <v>300094</v>
          </cell>
          <cell r="B2749" t="str">
            <v>CATALOGO STYLIUM Holandés</v>
          </cell>
          <cell r="C2749" t="str">
            <v>FOSTHOG</v>
          </cell>
        </row>
        <row r="2750">
          <cell r="A2750">
            <v>300094</v>
          </cell>
          <cell r="B2750" t="str">
            <v>CATALOGO STYLIUM Holandés</v>
          </cell>
          <cell r="C2750" t="str">
            <v>8435057050999</v>
          </cell>
        </row>
        <row r="2751">
          <cell r="A2751">
            <v>300095</v>
          </cell>
          <cell r="B2751" t="str">
            <v>FOLLETO STYLIUM INGLES 1ª p.</v>
          </cell>
          <cell r="C2751" t="str">
            <v>FOSTIN</v>
          </cell>
        </row>
        <row r="2752">
          <cell r="A2752">
            <v>300095</v>
          </cell>
          <cell r="B2752" t="str">
            <v>FOLLETO STYLIUM INGLES 1ª p.</v>
          </cell>
          <cell r="C2752" t="str">
            <v>8435057051002</v>
          </cell>
        </row>
        <row r="2753">
          <cell r="A2753">
            <v>300096</v>
          </cell>
          <cell r="B2753" t="str">
            <v>FOLLETO STYLIUM INGLES 2ª p.</v>
          </cell>
          <cell r="C2753" t="str">
            <v>FOSTIN2</v>
          </cell>
        </row>
        <row r="2754">
          <cell r="A2754">
            <v>300096</v>
          </cell>
          <cell r="B2754" t="str">
            <v>FOLLETO STYLIUM INGLES 2ª p.</v>
          </cell>
          <cell r="C2754" t="str">
            <v>8435057051019</v>
          </cell>
        </row>
        <row r="2755">
          <cell r="A2755">
            <v>300097</v>
          </cell>
          <cell r="B2755" t="str">
            <v>CATALOGO STYLIUM Inglés</v>
          </cell>
          <cell r="C2755" t="str">
            <v>FOSTING</v>
          </cell>
        </row>
        <row r="2756">
          <cell r="A2756">
            <v>300097</v>
          </cell>
          <cell r="B2756" t="str">
            <v>CATALOGO STYLIUM Inglés</v>
          </cell>
          <cell r="C2756" t="str">
            <v>8435057051026</v>
          </cell>
        </row>
        <row r="2757">
          <cell r="A2757">
            <v>300098</v>
          </cell>
          <cell r="B2757" t="str">
            <v>MINIFOLLETO STYLIUM ESPAÑOL</v>
          </cell>
          <cell r="C2757" t="str">
            <v>FOSTME</v>
          </cell>
        </row>
        <row r="2758">
          <cell r="A2758">
            <v>300098</v>
          </cell>
          <cell r="B2758" t="str">
            <v>MINIFOLLETO STYLIUM ESPAÑOL</v>
          </cell>
          <cell r="C2758" t="str">
            <v>8435057051033</v>
          </cell>
        </row>
        <row r="2759">
          <cell r="A2759">
            <v>300099</v>
          </cell>
          <cell r="B2759" t="str">
            <v>MINIFOLLETO STYLIUM FRANCES</v>
          </cell>
          <cell r="C2759" t="str">
            <v>FOSTMF</v>
          </cell>
        </row>
        <row r="2760">
          <cell r="A2760">
            <v>300099</v>
          </cell>
          <cell r="B2760" t="str">
            <v>MINIFOLLETO STYLIUM FRANCES</v>
          </cell>
          <cell r="C2760" t="str">
            <v>8435057051040</v>
          </cell>
        </row>
        <row r="2761">
          <cell r="A2761">
            <v>300100</v>
          </cell>
          <cell r="B2761" t="str">
            <v>MINIFOLLETO STYLIUM HOLANDES</v>
          </cell>
          <cell r="C2761" t="str">
            <v>FOSTMH</v>
          </cell>
        </row>
        <row r="2762">
          <cell r="A2762">
            <v>300100</v>
          </cell>
          <cell r="B2762" t="str">
            <v>MINIFOLLETO STYLIUM HOLANDES</v>
          </cell>
          <cell r="C2762" t="str">
            <v>8435057051057</v>
          </cell>
        </row>
        <row r="2763">
          <cell r="A2763">
            <v>300101</v>
          </cell>
          <cell r="B2763" t="str">
            <v>MINIFOLLETO STYLIUM INGLES</v>
          </cell>
          <cell r="C2763" t="str">
            <v>FOSTMI</v>
          </cell>
        </row>
        <row r="2764">
          <cell r="A2764">
            <v>300101</v>
          </cell>
          <cell r="B2764" t="str">
            <v>MINIFOLLETO STYLIUM INGLES</v>
          </cell>
          <cell r="C2764" t="str">
            <v>8435057051064</v>
          </cell>
        </row>
        <row r="2765">
          <cell r="A2765">
            <v>300102</v>
          </cell>
          <cell r="B2765" t="str">
            <v>MINIFOLLETO STYLIUM PORTUGUES</v>
          </cell>
          <cell r="C2765" t="str">
            <v>FOSTMP</v>
          </cell>
        </row>
        <row r="2766">
          <cell r="A2766">
            <v>300102</v>
          </cell>
          <cell r="B2766" t="str">
            <v>MINIFOLLETO STYLIUM PORTUGUES</v>
          </cell>
          <cell r="C2766" t="str">
            <v>8435057051071</v>
          </cell>
        </row>
        <row r="2767">
          <cell r="A2767">
            <v>300103</v>
          </cell>
          <cell r="B2767" t="str">
            <v>FOLLETO STIMULANT PROMO 2009</v>
          </cell>
          <cell r="C2767" t="str">
            <v>FOSTP09</v>
          </cell>
        </row>
        <row r="2768">
          <cell r="A2768">
            <v>300103</v>
          </cell>
          <cell r="B2768" t="str">
            <v>FOLLETO STIMULANT PROMO 2009</v>
          </cell>
          <cell r="C2768" t="str">
            <v>8435057054546</v>
          </cell>
        </row>
        <row r="2769">
          <cell r="A2769">
            <v>300104</v>
          </cell>
          <cell r="B2769" t="str">
            <v>FOLLETO STYLIUM PORTUGUES 1ª p</v>
          </cell>
          <cell r="C2769" t="str">
            <v>FOSTPO</v>
          </cell>
        </row>
        <row r="2770">
          <cell r="A2770">
            <v>300104</v>
          </cell>
          <cell r="B2770" t="str">
            <v>FOLLETO STYLIUM PORTUGUES 1ª p</v>
          </cell>
          <cell r="C2770" t="str">
            <v>8435057051088</v>
          </cell>
        </row>
        <row r="2771">
          <cell r="A2771">
            <v>300105</v>
          </cell>
          <cell r="B2771" t="str">
            <v>FOLLETO STYLIUM PORTUGUES 2ª p</v>
          </cell>
          <cell r="C2771" t="str">
            <v>FOSTPO2</v>
          </cell>
        </row>
        <row r="2772">
          <cell r="A2772">
            <v>300105</v>
          </cell>
          <cell r="B2772" t="str">
            <v>FOLLETO STYLIUM PORTUGUES 2ª p</v>
          </cell>
          <cell r="C2772" t="str">
            <v>8435057051095</v>
          </cell>
        </row>
        <row r="2773">
          <cell r="A2773">
            <v>300106</v>
          </cell>
          <cell r="B2773" t="str">
            <v>CATALOGO STYLIUM Portugués</v>
          </cell>
          <cell r="C2773" t="str">
            <v>FOSTPOG</v>
          </cell>
        </row>
        <row r="2774">
          <cell r="A2774">
            <v>300106</v>
          </cell>
          <cell r="B2774" t="str">
            <v>CATALOGO STYLIUM Portugués</v>
          </cell>
          <cell r="C2774" t="str">
            <v>8435057051101</v>
          </cell>
        </row>
        <row r="2775">
          <cell r="A2775">
            <v>300107</v>
          </cell>
          <cell r="B2775" t="str">
            <v>FOLLETO SUNCARE 2009</v>
          </cell>
          <cell r="C2775" t="str">
            <v>FOSU09</v>
          </cell>
        </row>
        <row r="2776">
          <cell r="A2776">
            <v>300107</v>
          </cell>
          <cell r="B2776" t="str">
            <v>FOLLETO SUNCARE 2009</v>
          </cell>
          <cell r="C2776" t="str">
            <v>8435057053983</v>
          </cell>
        </row>
        <row r="2777">
          <cell r="A2777">
            <v>300108</v>
          </cell>
          <cell r="B2777" t="str">
            <v>FOLLETO VIBRANCE DIPTIC</v>
          </cell>
          <cell r="C2777" t="str">
            <v>FOVIEA</v>
          </cell>
        </row>
        <row r="2778">
          <cell r="A2778">
            <v>300108</v>
          </cell>
          <cell r="B2778" t="str">
            <v>FOLLETO VIBRANCE DIPTIC</v>
          </cell>
          <cell r="C2778" t="str">
            <v>8435057054348</v>
          </cell>
        </row>
        <row r="2779">
          <cell r="A2779">
            <v>300109</v>
          </cell>
          <cell r="B2779" t="str">
            <v>MINIFOLLETO KINACTIF 'Alemán'</v>
          </cell>
          <cell r="C2779" t="str">
            <v>MFKAAL</v>
          </cell>
        </row>
        <row r="2780">
          <cell r="A2780">
            <v>300109</v>
          </cell>
          <cell r="B2780" t="str">
            <v>MINIFOLLETO KINACTIF 'Alemán'</v>
          </cell>
          <cell r="C2780" t="str">
            <v>8435057051132</v>
          </cell>
        </row>
        <row r="2781">
          <cell r="A2781">
            <v>300110</v>
          </cell>
          <cell r="B2781" t="str">
            <v>MINIFOLLETO KINACTIF 'Alemán'</v>
          </cell>
          <cell r="C2781" t="str">
            <v>MFKAAL1</v>
          </cell>
        </row>
        <row r="2782">
          <cell r="A2782">
            <v>300110</v>
          </cell>
          <cell r="B2782" t="str">
            <v>MINIFOLLETO KINACTIF 'Alemán'</v>
          </cell>
          <cell r="C2782" t="str">
            <v>8435057051149</v>
          </cell>
        </row>
        <row r="2783">
          <cell r="A2783">
            <v>300111</v>
          </cell>
          <cell r="B2783" t="str">
            <v>MINIFOLLETO KINACTIF 'Español'</v>
          </cell>
          <cell r="C2783" t="str">
            <v>MFKAES1</v>
          </cell>
        </row>
        <row r="2784">
          <cell r="A2784">
            <v>300111</v>
          </cell>
          <cell r="B2784" t="str">
            <v>MINIFOLLETO KINACTIF 'Español'</v>
          </cell>
          <cell r="C2784" t="str">
            <v>8435057051156</v>
          </cell>
        </row>
        <row r="2785">
          <cell r="A2785">
            <v>300112</v>
          </cell>
          <cell r="B2785" t="str">
            <v>MINIFOLLETO KINACTIF 'Francés'</v>
          </cell>
          <cell r="C2785" t="str">
            <v>MFKAFR</v>
          </cell>
        </row>
        <row r="2786">
          <cell r="A2786">
            <v>300112</v>
          </cell>
          <cell r="B2786" t="str">
            <v>MINIFOLLETO KINACTIF 'Francés'</v>
          </cell>
          <cell r="C2786" t="str">
            <v>8435057051163</v>
          </cell>
        </row>
        <row r="2787">
          <cell r="A2787">
            <v>300113</v>
          </cell>
          <cell r="B2787" t="str">
            <v>MINIFOLLETO KINACTIF 'Francés'</v>
          </cell>
          <cell r="C2787" t="str">
            <v>MFKAFR1</v>
          </cell>
        </row>
        <row r="2788">
          <cell r="A2788">
            <v>300113</v>
          </cell>
          <cell r="B2788" t="str">
            <v>MINIFOLLETO KINACTIF 'Francés'</v>
          </cell>
          <cell r="C2788" t="str">
            <v>8435057051170</v>
          </cell>
        </row>
        <row r="2789">
          <cell r="A2789">
            <v>300114</v>
          </cell>
          <cell r="B2789" t="str">
            <v>MINIFOLLETO KINACTIF Holandés</v>
          </cell>
          <cell r="C2789" t="str">
            <v>MFKAHO</v>
          </cell>
        </row>
        <row r="2790">
          <cell r="A2790">
            <v>300114</v>
          </cell>
          <cell r="B2790" t="str">
            <v>MINIFOLLETO KINACTIF Holandés</v>
          </cell>
          <cell r="C2790" t="str">
            <v>8435057051187</v>
          </cell>
        </row>
        <row r="2791">
          <cell r="A2791">
            <v>300115</v>
          </cell>
          <cell r="B2791" t="str">
            <v>MINIFOLLETO KINACTIF Holandés</v>
          </cell>
          <cell r="C2791" t="str">
            <v>MFKAHO1</v>
          </cell>
        </row>
        <row r="2792">
          <cell r="A2792">
            <v>300115</v>
          </cell>
          <cell r="B2792" t="str">
            <v>MINIFOLLETO KINACTIF Holandés</v>
          </cell>
          <cell r="C2792" t="str">
            <v>8435057051194</v>
          </cell>
        </row>
        <row r="2793">
          <cell r="A2793">
            <v>300116</v>
          </cell>
          <cell r="B2793" t="str">
            <v>MINIFOLLETO KINACTIF 'Inglés'</v>
          </cell>
          <cell r="C2793" t="str">
            <v>MFKAIN</v>
          </cell>
        </row>
        <row r="2794">
          <cell r="A2794">
            <v>300116</v>
          </cell>
          <cell r="B2794" t="str">
            <v>MINIFOLLETO KINACTIF 'Inglés'</v>
          </cell>
          <cell r="C2794" t="str">
            <v>8435057051200</v>
          </cell>
        </row>
        <row r="2795">
          <cell r="A2795">
            <v>300117</v>
          </cell>
          <cell r="B2795" t="str">
            <v>MINIFOLLETO KINACTIF 'Inglés'</v>
          </cell>
          <cell r="C2795" t="str">
            <v>MFKAIN1</v>
          </cell>
        </row>
        <row r="2796">
          <cell r="A2796">
            <v>300117</v>
          </cell>
          <cell r="B2796" t="str">
            <v>MINIFOLLETO KINACTIF 'Inglés'</v>
          </cell>
          <cell r="C2796" t="str">
            <v>8435057051217</v>
          </cell>
        </row>
        <row r="2797">
          <cell r="A2797">
            <v>300118</v>
          </cell>
          <cell r="B2797" t="str">
            <v>MINIFOLLETO KINACTIF Portugués</v>
          </cell>
          <cell r="C2797" t="str">
            <v>MFKAPO</v>
          </cell>
        </row>
        <row r="2798">
          <cell r="A2798">
            <v>300118</v>
          </cell>
          <cell r="B2798" t="str">
            <v>MINIFOLLETO KINACTIF Portugués</v>
          </cell>
          <cell r="C2798" t="str">
            <v>8435057051224</v>
          </cell>
        </row>
        <row r="2799">
          <cell r="A2799">
            <v>300119</v>
          </cell>
          <cell r="B2799" t="str">
            <v>MINIFOLLETO KINACTIF Portugués</v>
          </cell>
          <cell r="C2799" t="str">
            <v>MFKAPO1</v>
          </cell>
        </row>
        <row r="2800">
          <cell r="A2800">
            <v>300119</v>
          </cell>
          <cell r="B2800" t="str">
            <v>MINIFOLLETO KINACTIF Portugués</v>
          </cell>
          <cell r="C2800" t="str">
            <v>8435057051231</v>
          </cell>
        </row>
        <row r="2801">
          <cell r="A2801">
            <v>300120</v>
          </cell>
          <cell r="B2801" t="str">
            <v>MINIFOLLETO STYLIUM ALEMAN</v>
          </cell>
          <cell r="C2801" t="str">
            <v>MFSTAL</v>
          </cell>
        </row>
        <row r="2802">
          <cell r="A2802">
            <v>300120</v>
          </cell>
          <cell r="B2802" t="str">
            <v>MINIFOLLETO STYLIUM ALEMAN</v>
          </cell>
          <cell r="C2802" t="str">
            <v>8435057051811</v>
          </cell>
        </row>
        <row r="2803">
          <cell r="A2803">
            <v>300121</v>
          </cell>
          <cell r="B2803" t="str">
            <v>MINIFOLLETO STYLIUM FRANCES</v>
          </cell>
          <cell r="C2803" t="str">
            <v>MFSTFR</v>
          </cell>
        </row>
        <row r="2804">
          <cell r="A2804">
            <v>300121</v>
          </cell>
          <cell r="B2804" t="str">
            <v>MINIFOLLETO STYLIUM FRANCES</v>
          </cell>
          <cell r="C2804" t="str">
            <v>8435057051828</v>
          </cell>
        </row>
        <row r="2805">
          <cell r="A2805">
            <v>300122</v>
          </cell>
          <cell r="B2805" t="str">
            <v>MINIFOLLETO STYLIUM INGLES</v>
          </cell>
          <cell r="C2805" t="str">
            <v>MFSTIN</v>
          </cell>
        </row>
        <row r="2806">
          <cell r="A2806">
            <v>300122</v>
          </cell>
          <cell r="B2806" t="str">
            <v>MINIFOLLETO STYLIUM INGLES</v>
          </cell>
          <cell r="C2806" t="str">
            <v>8435057051835</v>
          </cell>
        </row>
        <row r="2807">
          <cell r="A2807">
            <v>300123</v>
          </cell>
          <cell r="B2807" t="str">
            <v>PORTA FOLLETOS FLYERS STYLIUM</v>
          </cell>
          <cell r="C2807" t="str">
            <v>PFST07</v>
          </cell>
        </row>
        <row r="2808">
          <cell r="A2808">
            <v>300123</v>
          </cell>
          <cell r="B2808" t="str">
            <v>PORTA FOLLETOS FLYERS STYLIUM</v>
          </cell>
          <cell r="C2808" t="str">
            <v>8435057051347</v>
          </cell>
        </row>
        <row r="2809">
          <cell r="A2809">
            <v>300124</v>
          </cell>
          <cell r="B2809" t="str">
            <v>REVISTA KIN BACKSTAGE Nº 1</v>
          </cell>
          <cell r="C2809" t="str">
            <v>REVI01</v>
          </cell>
        </row>
        <row r="2810">
          <cell r="A2810">
            <v>300124</v>
          </cell>
          <cell r="B2810" t="str">
            <v>REVISTA KIN BACKSTAGE Nº 1</v>
          </cell>
          <cell r="C2810" t="str">
            <v>8435057051422</v>
          </cell>
        </row>
        <row r="2811">
          <cell r="A2811">
            <v>300125</v>
          </cell>
          <cell r="B2811" t="str">
            <v>REVISTA KIN BACKSTAGE Nº 2</v>
          </cell>
          <cell r="C2811" t="str">
            <v>REVI02</v>
          </cell>
        </row>
        <row r="2812">
          <cell r="A2812">
            <v>300125</v>
          </cell>
          <cell r="B2812" t="str">
            <v>REVISTA KIN BACKSTAGE Nº 2</v>
          </cell>
          <cell r="C2812" t="str">
            <v>8435057051842</v>
          </cell>
        </row>
        <row r="2813">
          <cell r="A2813">
            <v>300126</v>
          </cell>
          <cell r="B2813" t="str">
            <v>REVISTA KIN BACKSTAGE Nº 3</v>
          </cell>
          <cell r="C2813" t="str">
            <v>REVI03</v>
          </cell>
        </row>
        <row r="2814">
          <cell r="A2814">
            <v>300126</v>
          </cell>
          <cell r="B2814" t="str">
            <v>REVISTA KIN BACKSTAGE Nº 3</v>
          </cell>
          <cell r="C2814" t="str">
            <v>8435057052481</v>
          </cell>
        </row>
        <row r="2815">
          <cell r="A2815">
            <v>300127</v>
          </cell>
          <cell r="B2815" t="str">
            <v>REVISTA KIN BACKSTAGE Nº 4</v>
          </cell>
          <cell r="C2815" t="str">
            <v>REVI04</v>
          </cell>
        </row>
        <row r="2816">
          <cell r="A2816">
            <v>300127</v>
          </cell>
          <cell r="B2816" t="str">
            <v>REVISTA KIN BACKSTAGE Nº 4</v>
          </cell>
          <cell r="C2816" t="str">
            <v>8435057052672</v>
          </cell>
        </row>
        <row r="2817">
          <cell r="A2817">
            <v>300128</v>
          </cell>
          <cell r="B2817" t="str">
            <v>REVISTA KIN BACKSTAGE Nº 5</v>
          </cell>
          <cell r="C2817" t="str">
            <v>REVI05</v>
          </cell>
        </row>
        <row r="2818">
          <cell r="A2818">
            <v>300128</v>
          </cell>
          <cell r="B2818" t="str">
            <v>REVISTA KIN BACKSTAGE Nº 5</v>
          </cell>
          <cell r="C2818" t="str">
            <v>8435057052733</v>
          </cell>
        </row>
        <row r="2819">
          <cell r="A2819">
            <v>300129</v>
          </cell>
          <cell r="B2819" t="str">
            <v>REVISTA KIN BACKSTAGE Nº 6</v>
          </cell>
          <cell r="C2819" t="str">
            <v>REVI06</v>
          </cell>
        </row>
        <row r="2820">
          <cell r="A2820">
            <v>300129</v>
          </cell>
          <cell r="B2820" t="str">
            <v>REVISTA KIN BACKSTAGE Nº 6</v>
          </cell>
          <cell r="C2820" t="str">
            <v>8435057052825</v>
          </cell>
        </row>
        <row r="2821">
          <cell r="A2821">
            <v>300130</v>
          </cell>
          <cell r="B2821" t="str">
            <v>REVISTA KIN BACKSTAGE Nº 7</v>
          </cell>
          <cell r="C2821" t="str">
            <v>REVI07</v>
          </cell>
        </row>
        <row r="2822">
          <cell r="A2822">
            <v>300130</v>
          </cell>
          <cell r="B2822" t="str">
            <v>REVISTA KIN BACKSTAGE Nº 7</v>
          </cell>
          <cell r="C2822" t="str">
            <v>8435057053266</v>
          </cell>
        </row>
        <row r="2823">
          <cell r="A2823">
            <v>300131</v>
          </cell>
          <cell r="B2823" t="str">
            <v>REVISTA KIN BACKSTAGE Nº 8</v>
          </cell>
          <cell r="C2823" t="str">
            <v>REVI08</v>
          </cell>
        </row>
        <row r="2824">
          <cell r="A2824">
            <v>300131</v>
          </cell>
          <cell r="B2824" t="str">
            <v>REVISTA KIN BACKSTAGE Nº 8</v>
          </cell>
          <cell r="C2824" t="str">
            <v>8435057053709</v>
          </cell>
        </row>
        <row r="2825">
          <cell r="A2825">
            <v>300132</v>
          </cell>
          <cell r="B2825" t="str">
            <v>REVISTA KIN BACKSTAGE Nº 9</v>
          </cell>
          <cell r="C2825" t="str">
            <v>REVI09</v>
          </cell>
        </row>
        <row r="2826">
          <cell r="A2826">
            <v>300132</v>
          </cell>
          <cell r="B2826" t="str">
            <v>REVISTA KIN BACKSTAGE Nº 9</v>
          </cell>
          <cell r="C2826" t="str">
            <v>8435057054249</v>
          </cell>
        </row>
        <row r="2827">
          <cell r="A2827">
            <v>300133</v>
          </cell>
          <cell r="B2827" t="str">
            <v>REVISTA KIN BACKSTAGE Nº 10</v>
          </cell>
          <cell r="C2827" t="str">
            <v>REVI10</v>
          </cell>
        </row>
        <row r="2828">
          <cell r="A2828">
            <v>300133</v>
          </cell>
          <cell r="B2828" t="str">
            <v>REVISTA KIN BACKSTAGE Nº 10</v>
          </cell>
          <cell r="C2828" t="str">
            <v>8435057054577</v>
          </cell>
        </row>
        <row r="2829">
          <cell r="A2829">
            <v>300134</v>
          </cell>
          <cell r="B2829" t="str">
            <v>FOLLETO IMAGEN EMPRESA</v>
          </cell>
          <cell r="C2829" t="str">
            <v>SCFIM</v>
          </cell>
        </row>
        <row r="2830">
          <cell r="A2830">
            <v>300134</v>
          </cell>
          <cell r="B2830" t="str">
            <v>FOLLETO IMAGEN EMPRESA</v>
          </cell>
          <cell r="C2830" t="str">
            <v>8435057051545</v>
          </cell>
        </row>
        <row r="2831">
          <cell r="A2831">
            <v>300135</v>
          </cell>
          <cell r="B2831" t="str">
            <v>FOLLETO NEW COLOR 2000 ANGLES</v>
          </cell>
          <cell r="C2831" t="str">
            <v>SCNC2A</v>
          </cell>
        </row>
        <row r="2832">
          <cell r="A2832">
            <v>300135</v>
          </cell>
          <cell r="B2832" t="str">
            <v>FOLLETO NEW COLOR 2000 ANGLES</v>
          </cell>
          <cell r="C2832" t="str">
            <v>8435057051552</v>
          </cell>
        </row>
        <row r="2833">
          <cell r="A2833">
            <v>300136</v>
          </cell>
          <cell r="B2833" t="str">
            <v>FOLLETO NEW COLOR 2000 ESP.</v>
          </cell>
          <cell r="C2833" t="str">
            <v>SCNC2E</v>
          </cell>
        </row>
        <row r="2834">
          <cell r="A2834">
            <v>300136</v>
          </cell>
          <cell r="B2834" t="str">
            <v>FOLLETO NEW COLOR 2000 ESP.</v>
          </cell>
          <cell r="C2834" t="str">
            <v>8435057051569</v>
          </cell>
        </row>
        <row r="2835">
          <cell r="A2835">
            <v>300137</v>
          </cell>
          <cell r="B2835" t="str">
            <v>FOLLETO NEW COLOR 2000 FRANCES</v>
          </cell>
          <cell r="C2835" t="str">
            <v>SCNC2F</v>
          </cell>
        </row>
        <row r="2836">
          <cell r="A2836">
            <v>300137</v>
          </cell>
          <cell r="B2836" t="str">
            <v>FOLLETO NEW COLOR 2000 FRANCES</v>
          </cell>
          <cell r="C2836" t="str">
            <v>8435057051576</v>
          </cell>
        </row>
        <row r="2837">
          <cell r="A2837">
            <v>300138</v>
          </cell>
          <cell r="B2837" t="str">
            <v>FOLLETO NEW COLOR 2000 PORTUG</v>
          </cell>
          <cell r="C2837" t="str">
            <v>SCNC2P</v>
          </cell>
        </row>
        <row r="2838">
          <cell r="A2838">
            <v>300138</v>
          </cell>
          <cell r="B2838" t="str">
            <v>FOLLETO NEW COLOR 2000 PORTUG</v>
          </cell>
          <cell r="C2838" t="str">
            <v>8435057051583</v>
          </cell>
        </row>
        <row r="2839">
          <cell r="A2839">
            <v>300139</v>
          </cell>
          <cell r="B2839" t="str">
            <v>TARIFA DISTRIBUIDOR 2008</v>
          </cell>
          <cell r="C2839" t="str">
            <v>TADI08</v>
          </cell>
        </row>
        <row r="2840">
          <cell r="A2840">
            <v>300139</v>
          </cell>
          <cell r="B2840" t="str">
            <v>TARIFA DISTRIBUIDOR 2008</v>
          </cell>
          <cell r="C2840" t="str">
            <v>8435057052627</v>
          </cell>
        </row>
        <row r="2841">
          <cell r="A2841">
            <v>300140</v>
          </cell>
          <cell r="B2841" t="str">
            <v>TARIFA DISTRIBUIDOR 2008 R</v>
          </cell>
          <cell r="C2841" t="str">
            <v>TADI08R</v>
          </cell>
        </row>
        <row r="2842">
          <cell r="A2842">
            <v>300140</v>
          </cell>
          <cell r="B2842" t="str">
            <v>TARIFA DISTRIBUIDOR 2008 R</v>
          </cell>
          <cell r="C2842" t="str">
            <v>8435057052870</v>
          </cell>
        </row>
        <row r="2843">
          <cell r="A2843">
            <v>300141</v>
          </cell>
          <cell r="B2843" t="str">
            <v>TARIFA DISTRIBUIDOR 2009</v>
          </cell>
          <cell r="C2843" t="str">
            <v>TADI09</v>
          </cell>
        </row>
        <row r="2844">
          <cell r="A2844">
            <v>300141</v>
          </cell>
          <cell r="B2844" t="str">
            <v>TARIFA DISTRIBUIDOR 2009</v>
          </cell>
          <cell r="C2844" t="str">
            <v>8435057053846</v>
          </cell>
        </row>
        <row r="2845">
          <cell r="A2845">
            <v>300142</v>
          </cell>
          <cell r="B2845" t="str">
            <v>TARIFA ESPECIAL SUNCARE 2008</v>
          </cell>
          <cell r="C2845" t="str">
            <v>TAESSU08</v>
          </cell>
        </row>
        <row r="2846">
          <cell r="A2846">
            <v>300142</v>
          </cell>
          <cell r="B2846" t="str">
            <v>TARIFA ESPECIAL SUNCARE 2008</v>
          </cell>
          <cell r="C2846" t="str">
            <v>8435057052788</v>
          </cell>
        </row>
        <row r="2847">
          <cell r="A2847">
            <v>300143</v>
          </cell>
          <cell r="B2847" t="str">
            <v>TARIFA GENERAL 2008</v>
          </cell>
          <cell r="C2847" t="str">
            <v>TAGE08</v>
          </cell>
        </row>
        <row r="2848">
          <cell r="A2848">
            <v>300143</v>
          </cell>
          <cell r="B2848" t="str">
            <v>TARIFA GENERAL 2008</v>
          </cell>
          <cell r="C2848" t="str">
            <v>8435057052634</v>
          </cell>
        </row>
        <row r="2849">
          <cell r="A2849">
            <v>300144</v>
          </cell>
          <cell r="B2849" t="str">
            <v>TARIFA GENERAL 2008 R</v>
          </cell>
          <cell r="C2849" t="str">
            <v>TAGE08R</v>
          </cell>
        </row>
        <row r="2850">
          <cell r="A2850">
            <v>300144</v>
          </cell>
          <cell r="B2850" t="str">
            <v>TARIFA GENERAL 2008 R</v>
          </cell>
          <cell r="C2850" t="str">
            <v>8435057052887</v>
          </cell>
        </row>
        <row r="2851">
          <cell r="A2851">
            <v>300145</v>
          </cell>
          <cell r="B2851" t="str">
            <v>TARIFA GENERAL 2009</v>
          </cell>
          <cell r="C2851" t="str">
            <v>TAGE09</v>
          </cell>
        </row>
        <row r="2852">
          <cell r="A2852">
            <v>300145</v>
          </cell>
          <cell r="B2852" t="str">
            <v>TARIFA GENERAL 2009</v>
          </cell>
          <cell r="C2852" t="str">
            <v>8435057053822</v>
          </cell>
        </row>
        <row r="2853">
          <cell r="A2853">
            <v>300146</v>
          </cell>
          <cell r="B2853" t="str">
            <v>TARIFA PROFESIONAL 2008</v>
          </cell>
          <cell r="C2853" t="str">
            <v>TAPR08</v>
          </cell>
        </row>
        <row r="2854">
          <cell r="A2854">
            <v>300146</v>
          </cell>
          <cell r="B2854" t="str">
            <v>TARIFA PROFESIONAL 2008</v>
          </cell>
          <cell r="C2854" t="str">
            <v>8435057052641</v>
          </cell>
        </row>
        <row r="2855">
          <cell r="A2855">
            <v>300147</v>
          </cell>
          <cell r="B2855" t="str">
            <v>TARIFA PROFESIONAL 2008 R</v>
          </cell>
          <cell r="C2855" t="str">
            <v>TAPR08R</v>
          </cell>
        </row>
        <row r="2856">
          <cell r="A2856">
            <v>300147</v>
          </cell>
          <cell r="B2856" t="str">
            <v>TARIFA PROFESIONAL 2008 R</v>
          </cell>
          <cell r="C2856" t="str">
            <v>8435057052894</v>
          </cell>
        </row>
        <row r="2857">
          <cell r="A2857">
            <v>300148</v>
          </cell>
          <cell r="B2857" t="str">
            <v>TARIFA PROFESIONAL 2009</v>
          </cell>
          <cell r="C2857" t="str">
            <v>TAPR09</v>
          </cell>
        </row>
        <row r="2858">
          <cell r="A2858">
            <v>300148</v>
          </cell>
          <cell r="B2858" t="str">
            <v>TARIFA PROFESIONAL 2009</v>
          </cell>
          <cell r="C2858" t="str">
            <v>8435057053839</v>
          </cell>
        </row>
        <row r="2859">
          <cell r="A2859">
            <v>300149</v>
          </cell>
          <cell r="B2859" t="str">
            <v>TARIFA SUNCARE 2009</v>
          </cell>
          <cell r="C2859" t="str">
            <v>TASU09</v>
          </cell>
        </row>
        <row r="2860">
          <cell r="A2860">
            <v>300149</v>
          </cell>
          <cell r="B2860" t="str">
            <v>TARIFA SUNCARE 2009</v>
          </cell>
          <cell r="C2860" t="str">
            <v>8435057053990</v>
          </cell>
        </row>
        <row r="2861">
          <cell r="A2861">
            <v>300150</v>
          </cell>
          <cell r="B2861" t="str">
            <v>TARIFA SUNCARE PELUQ. 2008</v>
          </cell>
          <cell r="C2861" t="str">
            <v>TASUPE08</v>
          </cell>
        </row>
        <row r="2862">
          <cell r="A2862">
            <v>300150</v>
          </cell>
          <cell r="B2862" t="str">
            <v>TARIFA SUNCARE PELUQ. 2008</v>
          </cell>
          <cell r="C2862" t="str">
            <v>300150</v>
          </cell>
        </row>
        <row r="2863">
          <cell r="A2863">
            <v>300151</v>
          </cell>
          <cell r="B2863" t="str">
            <v>TARIFA VENTA PUBLICO 2008</v>
          </cell>
          <cell r="C2863" t="str">
            <v>TAVP08</v>
          </cell>
        </row>
        <row r="2864">
          <cell r="A2864">
            <v>300151</v>
          </cell>
          <cell r="B2864" t="str">
            <v>TARIFA VENTA PUBLICO 2008</v>
          </cell>
          <cell r="C2864" t="str">
            <v>8435057052658</v>
          </cell>
        </row>
        <row r="2865">
          <cell r="A2865">
            <v>300152</v>
          </cell>
          <cell r="B2865" t="str">
            <v>TARIFA VENTA PUBLICO 2009</v>
          </cell>
          <cell r="C2865" t="str">
            <v>TAVP09</v>
          </cell>
        </row>
        <row r="2866">
          <cell r="A2866">
            <v>300152</v>
          </cell>
          <cell r="B2866" t="str">
            <v>TARIFA VENTA PUBLICO 2009</v>
          </cell>
          <cell r="C2866" t="str">
            <v>8435057053853</v>
          </cell>
        </row>
        <row r="2867">
          <cell r="A2867">
            <v>300153</v>
          </cell>
          <cell r="B2867" t="str">
            <v>ADHESIVO STYLIUM</v>
          </cell>
          <cell r="C2867" t="str">
            <v>ADSTYL</v>
          </cell>
        </row>
        <row r="2868">
          <cell r="A2868">
            <v>300153</v>
          </cell>
          <cell r="B2868" t="str">
            <v>ADHESIVO STYLIUM</v>
          </cell>
          <cell r="C2868" t="str">
            <v>8435057050005</v>
          </cell>
        </row>
        <row r="2869">
          <cell r="A2869">
            <v>300154</v>
          </cell>
          <cell r="B2869" t="str">
            <v>AGENDA KIN</v>
          </cell>
          <cell r="C2869" t="str">
            <v>AGKI08</v>
          </cell>
        </row>
        <row r="2870">
          <cell r="A2870">
            <v>300154</v>
          </cell>
          <cell r="B2870" t="str">
            <v>AGENDA KIN</v>
          </cell>
          <cell r="C2870" t="str">
            <v>8435057052603</v>
          </cell>
        </row>
        <row r="2871">
          <cell r="A2871">
            <v>300155</v>
          </cell>
          <cell r="B2871" t="str">
            <v>BLOC NOTAS KIN</v>
          </cell>
          <cell r="C2871" t="str">
            <v>AVBLN</v>
          </cell>
        </row>
        <row r="2872">
          <cell r="A2872">
            <v>300155</v>
          </cell>
          <cell r="B2872" t="str">
            <v>BLOC NOTAS KIN</v>
          </cell>
          <cell r="C2872" t="str">
            <v>8435057050012</v>
          </cell>
        </row>
        <row r="2873">
          <cell r="A2873">
            <v>300156</v>
          </cell>
          <cell r="B2873" t="str">
            <v>PIN KIN</v>
          </cell>
          <cell r="C2873" t="str">
            <v>AVPIN</v>
          </cell>
        </row>
        <row r="2874">
          <cell r="A2874">
            <v>300156</v>
          </cell>
          <cell r="B2874" t="str">
            <v>PIN KIN</v>
          </cell>
          <cell r="C2874" t="str">
            <v>8435057050067</v>
          </cell>
        </row>
        <row r="2875">
          <cell r="A2875">
            <v>300157</v>
          </cell>
          <cell r="B2875" t="str">
            <v>CARTELA EXPOSITOR DEEP Español</v>
          </cell>
          <cell r="C2875" t="str">
            <v>CAEXDE</v>
          </cell>
        </row>
        <row r="2876">
          <cell r="A2876">
            <v>300157</v>
          </cell>
          <cell r="B2876" t="str">
            <v>CARTELA EXPOSITOR DEEP Español</v>
          </cell>
          <cell r="C2876" t="str">
            <v>8435057050159</v>
          </cell>
        </row>
        <row r="2877">
          <cell r="A2877">
            <v>300158</v>
          </cell>
          <cell r="B2877" t="str">
            <v>CARTELA EXPOSITOR DEEP Aleman</v>
          </cell>
          <cell r="C2877" t="str">
            <v>CAEXDEA</v>
          </cell>
        </row>
        <row r="2878">
          <cell r="A2878">
            <v>300158</v>
          </cell>
          <cell r="B2878" t="str">
            <v>CARTELA EXPOSITOR DEEP Aleman</v>
          </cell>
          <cell r="C2878" t="str">
            <v>8435057050166</v>
          </cell>
        </row>
        <row r="2879">
          <cell r="A2879">
            <v>300159</v>
          </cell>
          <cell r="B2879" t="str">
            <v>CARTELA EXPOSITOR DEEP Frances</v>
          </cell>
          <cell r="C2879" t="str">
            <v>CAEXDEF</v>
          </cell>
        </row>
        <row r="2880">
          <cell r="A2880">
            <v>300159</v>
          </cell>
          <cell r="B2880" t="str">
            <v>CARTELA EXPOSITOR DEEP Frances</v>
          </cell>
          <cell r="C2880" t="str">
            <v>8435057050173</v>
          </cell>
        </row>
        <row r="2881">
          <cell r="A2881">
            <v>300160</v>
          </cell>
          <cell r="B2881" t="str">
            <v>CARTELA EXPOSITOR DEEP Ingles</v>
          </cell>
          <cell r="C2881" t="str">
            <v>CAEXDEI</v>
          </cell>
        </row>
        <row r="2882">
          <cell r="A2882">
            <v>300160</v>
          </cell>
          <cell r="B2882" t="str">
            <v>CARTELA EXPOSITOR DEEP Ingles</v>
          </cell>
          <cell r="C2882" t="str">
            <v>8435057050180</v>
          </cell>
        </row>
        <row r="2883">
          <cell r="A2883">
            <v>300161</v>
          </cell>
          <cell r="B2883" t="str">
            <v>CARTELA EXPOSITOR DEEP Port.</v>
          </cell>
          <cell r="C2883" t="str">
            <v>CAEXDEP</v>
          </cell>
        </row>
        <row r="2884">
          <cell r="A2884">
            <v>300161</v>
          </cell>
          <cell r="B2884" t="str">
            <v>CARTELA EXPOSITOR DEEP Port.</v>
          </cell>
          <cell r="C2884" t="str">
            <v>8435057050197</v>
          </cell>
        </row>
        <row r="2885">
          <cell r="A2885">
            <v>300162</v>
          </cell>
          <cell r="B2885" t="str">
            <v>CARTELA EXPOSITOR STYLIUM 1</v>
          </cell>
          <cell r="C2885" t="str">
            <v>CAEXST</v>
          </cell>
        </row>
        <row r="2886">
          <cell r="A2886">
            <v>300162</v>
          </cell>
          <cell r="B2886" t="str">
            <v>CARTELA EXPOSITOR STYLIUM 1</v>
          </cell>
          <cell r="C2886" t="str">
            <v>8435057050203</v>
          </cell>
        </row>
        <row r="2887">
          <cell r="A2887">
            <v>300163</v>
          </cell>
          <cell r="B2887" t="str">
            <v>CARTELA EXPOSITOR STYLIUM 2</v>
          </cell>
          <cell r="C2887" t="str">
            <v>CAEXST2</v>
          </cell>
        </row>
        <row r="2888">
          <cell r="A2888">
            <v>300163</v>
          </cell>
          <cell r="B2888" t="str">
            <v>CARTELA EXPOSITOR STYLIUM 2</v>
          </cell>
          <cell r="C2888" t="str">
            <v>8435057050210</v>
          </cell>
        </row>
        <row r="2889">
          <cell r="A2889">
            <v>300164</v>
          </cell>
          <cell r="B2889" t="str">
            <v>CARTELA EXPOSITOR DEEP Holand</v>
          </cell>
          <cell r="C2889" t="str">
            <v>CEEXDEH</v>
          </cell>
        </row>
        <row r="2890">
          <cell r="A2890">
            <v>300164</v>
          </cell>
          <cell r="B2890" t="str">
            <v>CARTELA EXPOSITOR DEEP Holand</v>
          </cell>
          <cell r="C2890" t="str">
            <v>8435057050272</v>
          </cell>
        </row>
        <row r="2891">
          <cell r="A2891">
            <v>300165</v>
          </cell>
          <cell r="B2891" t="str">
            <v>DISPLAY OFERTA ANTICAIDA</v>
          </cell>
          <cell r="C2891" t="str">
            <v>DIACMA</v>
          </cell>
        </row>
        <row r="2892">
          <cell r="A2892">
            <v>300165</v>
          </cell>
          <cell r="B2892" t="str">
            <v>DISPLAY OFERTA ANTICAIDA</v>
          </cell>
          <cell r="C2892" t="str">
            <v>8435057054607</v>
          </cell>
        </row>
        <row r="2893">
          <cell r="A2893">
            <v>300166</v>
          </cell>
          <cell r="B2893" t="str">
            <v>DISPLAY PROMOCIO STYLIUM 2009</v>
          </cell>
          <cell r="C2893" t="str">
            <v>DIST09</v>
          </cell>
        </row>
        <row r="2894">
          <cell r="A2894">
            <v>300166</v>
          </cell>
          <cell r="B2894" t="str">
            <v>DISPLAY PROMOCIO STYLIUM 2009</v>
          </cell>
          <cell r="C2894" t="str">
            <v>8435057054294</v>
          </cell>
        </row>
        <row r="2895">
          <cell r="A2895">
            <v>300167</v>
          </cell>
          <cell r="B2895" t="str">
            <v>DISPLAY SUNCARE 2008</v>
          </cell>
          <cell r="C2895" t="str">
            <v>DISU08</v>
          </cell>
        </row>
        <row r="2896">
          <cell r="A2896">
            <v>300167</v>
          </cell>
          <cell r="B2896" t="str">
            <v>DISPLAY SUNCARE 2008</v>
          </cell>
          <cell r="C2896" t="str">
            <v>8435057052696</v>
          </cell>
        </row>
        <row r="2897">
          <cell r="A2897">
            <v>300168</v>
          </cell>
          <cell r="B2897" t="str">
            <v>DISPLAY SUNCARE 2009</v>
          </cell>
          <cell r="C2897" t="str">
            <v>DISU09</v>
          </cell>
        </row>
        <row r="2898">
          <cell r="A2898">
            <v>300168</v>
          </cell>
          <cell r="B2898" t="str">
            <v>DISPLAY SUNCARE 2009</v>
          </cell>
          <cell r="C2898" t="str">
            <v>8435057053976</v>
          </cell>
        </row>
        <row r="2899">
          <cell r="A2899">
            <v>300169</v>
          </cell>
          <cell r="B2899" t="str">
            <v>BANER EXPOSITOR KINACTIF PIE</v>
          </cell>
          <cell r="C2899" t="str">
            <v>POEXKA</v>
          </cell>
        </row>
        <row r="2900">
          <cell r="A2900">
            <v>300169</v>
          </cell>
          <cell r="B2900" t="str">
            <v>BANER EXPOSITOR KINACTIF PIE</v>
          </cell>
          <cell r="C2900" t="str">
            <v>8435057051354</v>
          </cell>
        </row>
        <row r="2901">
          <cell r="A2901">
            <v>300170</v>
          </cell>
          <cell r="B2901" t="str">
            <v>BANER EXPOSITOR STYLIUM PIE</v>
          </cell>
          <cell r="C2901" t="str">
            <v>POEXST</v>
          </cell>
        </row>
        <row r="2902">
          <cell r="A2902">
            <v>300170</v>
          </cell>
          <cell r="B2902" t="str">
            <v>BANER EXPOSITOR STYLIUM PIE</v>
          </cell>
          <cell r="C2902" t="str">
            <v>8435057051361</v>
          </cell>
        </row>
        <row r="2903">
          <cell r="A2903">
            <v>300171</v>
          </cell>
          <cell r="B2903" t="str">
            <v>POSTER REVENTA BOLSA PLEGABLE</v>
          </cell>
          <cell r="C2903" t="str">
            <v>POBOPL</v>
          </cell>
        </row>
        <row r="2904">
          <cell r="A2904">
            <v>300171</v>
          </cell>
          <cell r="B2904" t="str">
            <v>POSTER REVENTA BOLSA PLEGABLE</v>
          </cell>
          <cell r="C2904" t="str">
            <v>8435057054089</v>
          </cell>
        </row>
        <row r="2905">
          <cell r="A2905">
            <v>300172</v>
          </cell>
          <cell r="B2905" t="str">
            <v>POSTER K.PRESTIGE 1 BLONDES</v>
          </cell>
          <cell r="C2905" t="str">
            <v>POKFBL</v>
          </cell>
        </row>
        <row r="2906">
          <cell r="A2906">
            <v>300172</v>
          </cell>
          <cell r="B2906" t="str">
            <v>POSTER K.PRESTIGE 1 BLONDES</v>
          </cell>
          <cell r="C2906" t="str">
            <v>8435057051774</v>
          </cell>
        </row>
        <row r="2907">
          <cell r="A2907">
            <v>300173</v>
          </cell>
          <cell r="B2907" t="str">
            <v>POSTER LOOK 2006</v>
          </cell>
          <cell r="C2907" t="str">
            <v>POLO06</v>
          </cell>
        </row>
        <row r="2908">
          <cell r="A2908">
            <v>300173</v>
          </cell>
          <cell r="B2908" t="str">
            <v>POSTER LOOK 2006</v>
          </cell>
          <cell r="C2908" t="str">
            <v>8435057051378</v>
          </cell>
        </row>
        <row r="2909">
          <cell r="A2909">
            <v>300174</v>
          </cell>
          <cell r="B2909" t="str">
            <v>POSTER PAPEL CHICA 08</v>
          </cell>
          <cell r="C2909" t="str">
            <v>POPACA08</v>
          </cell>
        </row>
        <row r="2910">
          <cell r="A2910">
            <v>300174</v>
          </cell>
          <cell r="B2910" t="str">
            <v>POSTER PAPEL CHICA 08</v>
          </cell>
          <cell r="C2910" t="str">
            <v>8435057052771</v>
          </cell>
        </row>
        <row r="2911">
          <cell r="A2911">
            <v>300175</v>
          </cell>
          <cell r="B2911" t="str">
            <v>POSTER PAPEL CHICO 08</v>
          </cell>
          <cell r="C2911" t="str">
            <v>POPACO08</v>
          </cell>
        </row>
        <row r="2912">
          <cell r="A2912">
            <v>300175</v>
          </cell>
          <cell r="B2912" t="str">
            <v>POSTER PAPEL CHICO 08</v>
          </cell>
          <cell r="C2912" t="str">
            <v>8435057052764</v>
          </cell>
        </row>
        <row r="2913">
          <cell r="A2913">
            <v>300176</v>
          </cell>
          <cell r="B2913" t="str">
            <v>POSTER STYLIUM 2006</v>
          </cell>
          <cell r="C2913" t="str">
            <v>POST06</v>
          </cell>
        </row>
        <row r="2914">
          <cell r="A2914">
            <v>300176</v>
          </cell>
          <cell r="B2914" t="str">
            <v>POSTER STYLIUM 2006</v>
          </cell>
          <cell r="C2914" t="str">
            <v>8435057051385</v>
          </cell>
        </row>
        <row r="2915">
          <cell r="A2915">
            <v>300177</v>
          </cell>
          <cell r="B2915" t="str">
            <v>POSTER STYLIUM TELA CHICO</v>
          </cell>
          <cell r="C2915" t="str">
            <v>POSTT2</v>
          </cell>
        </row>
        <row r="2916">
          <cell r="A2916">
            <v>300177</v>
          </cell>
          <cell r="B2916" t="str">
            <v>POSTER STYLIUM TELA CHICO</v>
          </cell>
          <cell r="C2916" t="str">
            <v>8435057051408</v>
          </cell>
        </row>
        <row r="2917">
          <cell r="A2917">
            <v>300178</v>
          </cell>
          <cell r="B2917" t="str">
            <v>POSTER TELA CHICA 08</v>
          </cell>
          <cell r="C2917" t="str">
            <v>POTECA08</v>
          </cell>
        </row>
        <row r="2918">
          <cell r="A2918">
            <v>300178</v>
          </cell>
          <cell r="B2918" t="str">
            <v>POSTER TELA CHICA 08</v>
          </cell>
          <cell r="C2918" t="str">
            <v>8435057052757</v>
          </cell>
        </row>
        <row r="2919">
          <cell r="A2919">
            <v>300179</v>
          </cell>
          <cell r="B2919" t="str">
            <v>POSTER TELA CHICO 08</v>
          </cell>
          <cell r="C2919" t="str">
            <v>POTECO08</v>
          </cell>
        </row>
        <row r="2920">
          <cell r="A2920">
            <v>300179</v>
          </cell>
          <cell r="B2920" t="str">
            <v>POSTER TELA CHICO 08</v>
          </cell>
          <cell r="C2920" t="str">
            <v>8435057052740</v>
          </cell>
        </row>
        <row r="2921">
          <cell r="A2921">
            <v>300180</v>
          </cell>
          <cell r="B2921" t="str">
            <v>EXPOSITOR KINACTIF PIE (2008)</v>
          </cell>
          <cell r="C2921" t="str">
            <v>EXKAPI</v>
          </cell>
        </row>
        <row r="2922">
          <cell r="A2922">
            <v>300180</v>
          </cell>
          <cell r="B2922" t="str">
            <v>EXPOSITOR KINACTIF PIE (2008)</v>
          </cell>
          <cell r="C2922" t="str">
            <v>8435057050340</v>
          </cell>
        </row>
        <row r="2923">
          <cell r="A2923">
            <v>300181</v>
          </cell>
          <cell r="B2923" t="str">
            <v>EXPOSITOR DEEP Mostrador</v>
          </cell>
          <cell r="C2923" t="str">
            <v>EXDEEP</v>
          </cell>
        </row>
        <row r="2924">
          <cell r="A2924">
            <v>300181</v>
          </cell>
          <cell r="B2924" t="str">
            <v>EXPOSITOR DEEP Mostrador</v>
          </cell>
          <cell r="C2924" t="str">
            <v>300181</v>
          </cell>
        </row>
        <row r="2925">
          <cell r="A2925">
            <v>300181</v>
          </cell>
          <cell r="B2925" t="str">
            <v>EXPOSITOR DEEP Mostrador</v>
          </cell>
          <cell r="C2925" t="str">
            <v>8435057050333</v>
          </cell>
        </row>
        <row r="2926">
          <cell r="A2926">
            <v>300182</v>
          </cell>
          <cell r="B2926" t="str">
            <v>EXPOSITOR STYLIUM 1 'Ceras'</v>
          </cell>
          <cell r="C2926" t="str">
            <v>EXSTYL</v>
          </cell>
        </row>
        <row r="2927">
          <cell r="A2927">
            <v>300182</v>
          </cell>
          <cell r="B2927" t="str">
            <v>EXPOSITOR STYLIUM 1 'Ceras'</v>
          </cell>
          <cell r="C2927" t="str">
            <v>8435057050364</v>
          </cell>
        </row>
        <row r="2928">
          <cell r="A2928">
            <v>300183</v>
          </cell>
          <cell r="B2928" t="str">
            <v>EXPOSITOR STYLIUM  2 'Creative</v>
          </cell>
          <cell r="C2928" t="str">
            <v>EXSTYL2</v>
          </cell>
        </row>
        <row r="2929">
          <cell r="A2929">
            <v>300183</v>
          </cell>
          <cell r="B2929" t="str">
            <v>EXPOSITOR STYLIUM  2 'Creative</v>
          </cell>
          <cell r="C2929" t="str">
            <v>8435057050371</v>
          </cell>
        </row>
        <row r="2930">
          <cell r="A2930">
            <v>300184</v>
          </cell>
          <cell r="B2930" t="str">
            <v>EXPOSITOR STYLIUM PIE</v>
          </cell>
          <cell r="C2930" t="str">
            <v>EXSTPI</v>
          </cell>
        </row>
        <row r="2931">
          <cell r="A2931">
            <v>300184</v>
          </cell>
          <cell r="B2931" t="str">
            <v>EXPOSITOR STYLIUM PIE</v>
          </cell>
          <cell r="C2931" t="str">
            <v>8435057050357</v>
          </cell>
        </row>
        <row r="2932">
          <cell r="A2932">
            <v>300187</v>
          </cell>
          <cell r="B2932" t="str">
            <v>FOLLETO KINMEN "ESP"</v>
          </cell>
          <cell r="C2932" t="str">
            <v>FOKMES</v>
          </cell>
        </row>
        <row r="2933">
          <cell r="A2933">
            <v>300187</v>
          </cell>
          <cell r="B2933" t="str">
            <v>FOLLETO KINMEN "ESP"</v>
          </cell>
          <cell r="C2933" t="str">
            <v>8435057054713</v>
          </cell>
        </row>
        <row r="2934">
          <cell r="A2934">
            <v>300188</v>
          </cell>
          <cell r="B2934" t="str">
            <v>FOLLETO KINMEN 'Ingles'</v>
          </cell>
          <cell r="C2934" t="str">
            <v>FOKMIN</v>
          </cell>
        </row>
        <row r="2935">
          <cell r="A2935">
            <v>300188</v>
          </cell>
          <cell r="B2935" t="str">
            <v>FOLLETO KINMEN 'Ingles'</v>
          </cell>
          <cell r="C2935" t="str">
            <v>8435057054720</v>
          </cell>
        </row>
        <row r="2936">
          <cell r="A2936">
            <v>300189</v>
          </cell>
          <cell r="B2936" t="str">
            <v>POSTER  CHICA RUBIA DOBLE CARA</v>
          </cell>
          <cell r="C2936" t="str">
            <v>POCH09</v>
          </cell>
        </row>
        <row r="2937">
          <cell r="A2937">
            <v>300189</v>
          </cell>
          <cell r="B2937" t="str">
            <v>POSTER  CHICA RUBIA DOBLE CARA</v>
          </cell>
          <cell r="C2937" t="str">
            <v>8435057054881</v>
          </cell>
        </row>
        <row r="2938">
          <cell r="A2938">
            <v>300190</v>
          </cell>
          <cell r="B2938" t="str">
            <v>CALENDARIO 2010</v>
          </cell>
          <cell r="C2938" t="str">
            <v>CA10</v>
          </cell>
        </row>
        <row r="2939">
          <cell r="A2939">
            <v>300190</v>
          </cell>
          <cell r="B2939" t="str">
            <v>CALENDARIO 2010</v>
          </cell>
          <cell r="C2939" t="str">
            <v>8435057054898</v>
          </cell>
        </row>
        <row r="2940">
          <cell r="A2940">
            <v>300191</v>
          </cell>
          <cell r="B2940" t="str">
            <v>POSTER KINMEN</v>
          </cell>
          <cell r="C2940" t="str">
            <v>POKM09</v>
          </cell>
        </row>
        <row r="2941">
          <cell r="A2941">
            <v>300191</v>
          </cell>
          <cell r="B2941" t="str">
            <v>POSTER KINMEN</v>
          </cell>
          <cell r="C2941" t="str">
            <v>8435057054904</v>
          </cell>
        </row>
        <row r="2942">
          <cell r="A2942">
            <v>300192</v>
          </cell>
          <cell r="B2942" t="str">
            <v>DISPLAY SECADOR MINI INGLES</v>
          </cell>
          <cell r="C2942" t="str">
            <v>DISEMI</v>
          </cell>
        </row>
        <row r="2943">
          <cell r="A2943">
            <v>300192</v>
          </cell>
          <cell r="B2943" t="str">
            <v>DISPLAY SECADOR MINI INGLES</v>
          </cell>
          <cell r="C2943" t="str">
            <v>8435057054652</v>
          </cell>
        </row>
        <row r="2944">
          <cell r="A2944">
            <v>300193</v>
          </cell>
          <cell r="B2944" t="str">
            <v>POSTER SECADOR MINI ESPAÑOL</v>
          </cell>
          <cell r="C2944" t="str">
            <v>POSEME</v>
          </cell>
        </row>
        <row r="2945">
          <cell r="A2945">
            <v>300193</v>
          </cell>
          <cell r="B2945" t="str">
            <v>POSTER SECADOR MINI ESPAÑOL</v>
          </cell>
          <cell r="C2945" t="str">
            <v>8435057054737</v>
          </cell>
        </row>
        <row r="2946">
          <cell r="A2946">
            <v>300194</v>
          </cell>
          <cell r="B2946" t="str">
            <v>POSTER SECADOR MINI "INGLES"</v>
          </cell>
          <cell r="C2946" t="str">
            <v>POSEMI</v>
          </cell>
        </row>
        <row r="2947">
          <cell r="A2947">
            <v>300194</v>
          </cell>
          <cell r="B2947" t="str">
            <v>POSTER SECADOR MINI "INGLES"</v>
          </cell>
          <cell r="C2947" t="str">
            <v>8435057054744</v>
          </cell>
        </row>
        <row r="2948">
          <cell r="A2948">
            <v>300196</v>
          </cell>
          <cell r="B2948" t="str">
            <v>FOLLETO DIPTIC STIMUL."Ingles"</v>
          </cell>
          <cell r="C2948" t="str">
            <v>FOSTP09I</v>
          </cell>
        </row>
        <row r="2949">
          <cell r="A2949">
            <v>300196</v>
          </cell>
          <cell r="B2949" t="str">
            <v>FOLLETO DIPTIC STIMUL."Ingles"</v>
          </cell>
          <cell r="C2949" t="str">
            <v>8435057054621</v>
          </cell>
        </row>
        <row r="2950">
          <cell r="A2950">
            <v>300197</v>
          </cell>
          <cell r="B2950" t="str">
            <v>DISPLAY SECADOR MINI ESPAÑOL</v>
          </cell>
          <cell r="C2950" t="str">
            <v>DISEME</v>
          </cell>
        </row>
        <row r="2951">
          <cell r="A2951">
            <v>300197</v>
          </cell>
          <cell r="B2951" t="str">
            <v>DISPLAY SECADOR MINI ESPAÑOL</v>
          </cell>
          <cell r="C2951" t="str">
            <v>8435057054645</v>
          </cell>
        </row>
        <row r="2952">
          <cell r="A2952">
            <v>300198</v>
          </cell>
          <cell r="B2952" t="str">
            <v>CATALOGO GENERAL ESPAÑOL</v>
          </cell>
          <cell r="C2952" t="str">
            <v>CAGE09</v>
          </cell>
        </row>
        <row r="2953">
          <cell r="A2953">
            <v>300198</v>
          </cell>
          <cell r="B2953" t="str">
            <v>CATALOGO GENERAL ESPAÑOL</v>
          </cell>
          <cell r="C2953" t="str">
            <v>8435057054928</v>
          </cell>
        </row>
        <row r="2954">
          <cell r="A2954">
            <v>300199</v>
          </cell>
          <cell r="B2954" t="str">
            <v>CATALOGO GENERAL INGLES</v>
          </cell>
          <cell r="C2954" t="str">
            <v>CAGE09I</v>
          </cell>
        </row>
        <row r="2955">
          <cell r="A2955">
            <v>300199</v>
          </cell>
          <cell r="B2955" t="str">
            <v>CATALOGO GENERAL INGLES</v>
          </cell>
          <cell r="C2955" t="str">
            <v>8435057054935</v>
          </cell>
        </row>
        <row r="2956">
          <cell r="A2956">
            <v>300200</v>
          </cell>
          <cell r="B2956" t="str">
            <v>FOLLETO SOBRE MUESTRA KINMEN</v>
          </cell>
          <cell r="C2956" t="str">
            <v>300200</v>
          </cell>
        </row>
        <row r="2957">
          <cell r="A2957">
            <v>300201</v>
          </cell>
          <cell r="B2957" t="str">
            <v>CATAL. RESUMEN PROD. ESPAÑOL</v>
          </cell>
          <cell r="C2957" t="str">
            <v>CARE09</v>
          </cell>
        </row>
        <row r="2958">
          <cell r="A2958">
            <v>300201</v>
          </cell>
          <cell r="B2958" t="str">
            <v>CATAL. RESUMEN PROD. ESPAÑOL</v>
          </cell>
          <cell r="C2958" t="str">
            <v>8435057054973</v>
          </cell>
        </row>
        <row r="2959">
          <cell r="A2959">
            <v>300202</v>
          </cell>
          <cell r="B2959" t="str">
            <v>CATAL. RESUMEN PROD.INGLES</v>
          </cell>
          <cell r="C2959" t="str">
            <v>CARE09I</v>
          </cell>
        </row>
        <row r="2960">
          <cell r="A2960">
            <v>300202</v>
          </cell>
          <cell r="B2960" t="str">
            <v>CATAL. RESUMEN PROD.INGLES</v>
          </cell>
          <cell r="C2960" t="str">
            <v>8435057054980</v>
          </cell>
        </row>
        <row r="2961">
          <cell r="A2961">
            <v>300203</v>
          </cell>
          <cell r="B2961" t="str">
            <v>CATALOGO ACCESORIOS 2010</v>
          </cell>
          <cell r="C2961" t="str">
            <v>CAAC10</v>
          </cell>
        </row>
        <row r="2962">
          <cell r="A2962">
            <v>300203</v>
          </cell>
          <cell r="B2962" t="str">
            <v>CATALOGO ACCESORIOS 2010</v>
          </cell>
          <cell r="C2962" t="str">
            <v>8435057055352</v>
          </cell>
        </row>
        <row r="2963">
          <cell r="A2963">
            <v>300204</v>
          </cell>
          <cell r="B2963" t="str">
            <v>CATALOGO PUNTOS PROF. 2010</v>
          </cell>
          <cell r="C2963" t="str">
            <v>8435057055369</v>
          </cell>
        </row>
        <row r="2964">
          <cell r="A2964">
            <v>300204</v>
          </cell>
          <cell r="B2964" t="str">
            <v>CATALOGO PUNTOS PROF. 2010</v>
          </cell>
          <cell r="C2964" t="str">
            <v>CAPU10</v>
          </cell>
        </row>
        <row r="2965">
          <cell r="A2965">
            <v>300204</v>
          </cell>
          <cell r="B2965" t="str">
            <v>CATALOGO PUNTOS PROF. 2010</v>
          </cell>
          <cell r="C2965" t="str">
            <v>300204</v>
          </cell>
        </row>
        <row r="2966">
          <cell r="A2966">
            <v>300205</v>
          </cell>
          <cell r="B2966" t="str">
            <v>CATALOGO TRADE MARKETING 2010</v>
          </cell>
          <cell r="C2966" t="str">
            <v>CATM10</v>
          </cell>
        </row>
        <row r="2967">
          <cell r="A2967">
            <v>300205</v>
          </cell>
          <cell r="B2967" t="str">
            <v>CATALOGO TRADE MARKETING 2010</v>
          </cell>
          <cell r="C2967" t="str">
            <v>8435057055376</v>
          </cell>
        </row>
        <row r="2968">
          <cell r="A2968">
            <v>300206</v>
          </cell>
          <cell r="B2968" t="str">
            <v>CATALOGO MATERIAL PROMOCIONAL</v>
          </cell>
          <cell r="C2968" t="str">
            <v>CAMA10</v>
          </cell>
        </row>
        <row r="2969">
          <cell r="A2969">
            <v>300206</v>
          </cell>
          <cell r="B2969" t="str">
            <v>CATALOGO MATERIAL PROMOCIONAL</v>
          </cell>
          <cell r="C2969" t="str">
            <v>8435057055383</v>
          </cell>
        </row>
        <row r="2970">
          <cell r="A2970">
            <v>300207</v>
          </cell>
          <cell r="B2970" t="str">
            <v>DISPLAY KINMEN ESPAÑOL</v>
          </cell>
          <cell r="C2970" t="str">
            <v>8435057055048</v>
          </cell>
        </row>
        <row r="2971">
          <cell r="A2971">
            <v>300207</v>
          </cell>
          <cell r="B2971" t="str">
            <v>DISPLAY KINMEN ESPAÑOL</v>
          </cell>
          <cell r="C2971" t="str">
            <v>300207</v>
          </cell>
        </row>
        <row r="2972">
          <cell r="A2972">
            <v>300208</v>
          </cell>
          <cell r="B2972" t="str">
            <v>DISPLAY KINMEN PORTUGUES</v>
          </cell>
          <cell r="C2972" t="str">
            <v>DIKMPO</v>
          </cell>
        </row>
        <row r="2973">
          <cell r="A2973">
            <v>300208</v>
          </cell>
          <cell r="B2973" t="str">
            <v>DISPLAY KINMEN PORTUGUES</v>
          </cell>
          <cell r="C2973" t="str">
            <v>8435057055161</v>
          </cell>
        </row>
        <row r="2974">
          <cell r="A2974">
            <v>300209</v>
          </cell>
          <cell r="B2974" t="str">
            <v>DISPLAY KINMEN INGLES</v>
          </cell>
          <cell r="C2974" t="str">
            <v>8435057055123</v>
          </cell>
        </row>
        <row r="2975">
          <cell r="A2975">
            <v>300209</v>
          </cell>
          <cell r="B2975" t="str">
            <v>DISPLAY KINMEN INGLES</v>
          </cell>
          <cell r="C2975" t="str">
            <v>DIKMIN</v>
          </cell>
        </row>
        <row r="2976">
          <cell r="A2976">
            <v>300209</v>
          </cell>
          <cell r="B2976" t="str">
            <v>DISPLAY KINMEN INGLES</v>
          </cell>
          <cell r="C2976" t="str">
            <v>300209</v>
          </cell>
        </row>
        <row r="2977">
          <cell r="A2977">
            <v>300210</v>
          </cell>
          <cell r="B2977" t="str">
            <v>DISPLAY KINMEN HOLANDES</v>
          </cell>
          <cell r="C2977" t="str">
            <v>DIKMHO</v>
          </cell>
        </row>
        <row r="2978">
          <cell r="A2978">
            <v>300210</v>
          </cell>
          <cell r="B2978" t="str">
            <v>DISPLAY KINMEN HOLANDES</v>
          </cell>
          <cell r="C2978" t="str">
            <v>300210</v>
          </cell>
        </row>
        <row r="2979">
          <cell r="A2979">
            <v>300211</v>
          </cell>
          <cell r="B2979" t="str">
            <v>DISPLAY KINMEN ALEMAN</v>
          </cell>
          <cell r="C2979" t="str">
            <v>8435057055154</v>
          </cell>
        </row>
        <row r="2980">
          <cell r="A2980">
            <v>300211</v>
          </cell>
          <cell r="B2980" t="str">
            <v>DISPLAY KINMEN ALEMAN</v>
          </cell>
          <cell r="C2980" t="str">
            <v>DIKMAL</v>
          </cell>
        </row>
        <row r="2981">
          <cell r="A2981">
            <v>300211</v>
          </cell>
          <cell r="B2981" t="str">
            <v>DISPLAY KINMEN ALEMAN</v>
          </cell>
          <cell r="C2981" t="str">
            <v>300211</v>
          </cell>
        </row>
        <row r="2982">
          <cell r="A2982">
            <v>300212</v>
          </cell>
          <cell r="B2982" t="str">
            <v>TARIFA KINMEN 2009</v>
          </cell>
          <cell r="C2982" t="str">
            <v>8435057055055</v>
          </cell>
        </row>
        <row r="2983">
          <cell r="A2983">
            <v>300212</v>
          </cell>
          <cell r="B2983" t="str">
            <v>TARIFA KINMEN 2009</v>
          </cell>
          <cell r="C2983" t="str">
            <v>TAKM09</v>
          </cell>
        </row>
        <row r="2984">
          <cell r="A2984">
            <v>300212</v>
          </cell>
          <cell r="B2984" t="str">
            <v>TARIFA KINMEN 2009</v>
          </cell>
          <cell r="C2984" t="str">
            <v>300212</v>
          </cell>
        </row>
        <row r="2985">
          <cell r="A2985">
            <v>300213</v>
          </cell>
          <cell r="B2985" t="str">
            <v>EXPOSITOR MOSTRADOR KINMEN</v>
          </cell>
          <cell r="C2985" t="str">
            <v>8435057055024</v>
          </cell>
        </row>
        <row r="2986">
          <cell r="A2986">
            <v>300213</v>
          </cell>
          <cell r="B2986" t="str">
            <v>EXPOSITOR MOSTRADOR KINMEN</v>
          </cell>
          <cell r="C2986" t="str">
            <v>EXKMMO</v>
          </cell>
        </row>
        <row r="2987">
          <cell r="A2987">
            <v>300213</v>
          </cell>
          <cell r="B2987" t="str">
            <v>EXPOSITOR MOSTRADOR KINMEN</v>
          </cell>
          <cell r="C2987" t="str">
            <v>300213</v>
          </cell>
        </row>
        <row r="2988">
          <cell r="A2988">
            <v>300214</v>
          </cell>
          <cell r="B2988" t="str">
            <v>EXPOSITOR PIE KINMEN</v>
          </cell>
          <cell r="C2988" t="str">
            <v>EXKMPI</v>
          </cell>
        </row>
        <row r="2989">
          <cell r="A2989">
            <v>300214</v>
          </cell>
          <cell r="B2989" t="str">
            <v>EXPOSITOR PIE KINMEN</v>
          </cell>
          <cell r="C2989" t="str">
            <v>8435057055031</v>
          </cell>
        </row>
        <row r="2990">
          <cell r="A2990">
            <v>300215</v>
          </cell>
          <cell r="B2990" t="str">
            <v>AGENDA KIN 2010</v>
          </cell>
          <cell r="C2990" t="str">
            <v>8435057055017</v>
          </cell>
        </row>
        <row r="2991">
          <cell r="A2991">
            <v>300215</v>
          </cell>
          <cell r="B2991" t="str">
            <v>AGENDA KIN 2010</v>
          </cell>
          <cell r="C2991" t="str">
            <v>AGKI10</v>
          </cell>
        </row>
        <row r="2992">
          <cell r="A2992">
            <v>300215</v>
          </cell>
          <cell r="B2992" t="str">
            <v>AGENDA KIN 2010</v>
          </cell>
          <cell r="C2992" t="str">
            <v>300215</v>
          </cell>
        </row>
        <row r="2993">
          <cell r="A2993">
            <v>300217</v>
          </cell>
          <cell r="B2993" t="str">
            <v>FOLLETO KINMEN "HOLANDES</v>
          </cell>
          <cell r="C2993" t="str">
            <v>FOKMHO</v>
          </cell>
        </row>
        <row r="2994">
          <cell r="A2994">
            <v>300217</v>
          </cell>
          <cell r="B2994" t="str">
            <v>FOLLETO KINMEN "HOLANDES</v>
          </cell>
          <cell r="C2994" t="str">
            <v>8435057055185</v>
          </cell>
        </row>
        <row r="2995">
          <cell r="A2995">
            <v>300218</v>
          </cell>
          <cell r="B2995" t="str">
            <v>FOLLETO KINMEN "PORTUG."</v>
          </cell>
          <cell r="C2995" t="str">
            <v>FOKMPO</v>
          </cell>
        </row>
        <row r="2996">
          <cell r="A2996">
            <v>300218</v>
          </cell>
          <cell r="B2996" t="str">
            <v>FOLLETO KINMEN "PORTUG."</v>
          </cell>
          <cell r="C2996" t="str">
            <v>8435057055208</v>
          </cell>
        </row>
        <row r="2997">
          <cell r="A2997">
            <v>300219</v>
          </cell>
          <cell r="B2997" t="str">
            <v>FOLLETO KINMEN "FRANCES"</v>
          </cell>
          <cell r="C2997" t="str">
            <v>FOKMFR</v>
          </cell>
        </row>
        <row r="2998">
          <cell r="A2998">
            <v>300219</v>
          </cell>
          <cell r="B2998" t="str">
            <v>FOLLETO KINMEN "FRANCES"</v>
          </cell>
          <cell r="C2998" t="str">
            <v>8435057055215</v>
          </cell>
        </row>
        <row r="2999">
          <cell r="A2999">
            <v>300220</v>
          </cell>
          <cell r="B2999" t="str">
            <v>FOLLETO KINMEN "ALEMAN"</v>
          </cell>
          <cell r="C2999" t="str">
            <v>FOKMAL</v>
          </cell>
        </row>
        <row r="3000">
          <cell r="A3000">
            <v>300220</v>
          </cell>
          <cell r="B3000" t="str">
            <v>FOLLETO KINMEN "ALEMAN"</v>
          </cell>
          <cell r="C3000" t="str">
            <v>8435057055192</v>
          </cell>
        </row>
        <row r="3001">
          <cell r="A3001">
            <v>300221</v>
          </cell>
          <cell r="B3001" t="str">
            <v>DIPTICO VIAJE DUBLIN</v>
          </cell>
          <cell r="C3001" t="str">
            <v>DIVIDU</v>
          </cell>
        </row>
        <row r="3002">
          <cell r="A3002">
            <v>300221</v>
          </cell>
          <cell r="B3002" t="str">
            <v>DIPTICO VIAJE DUBLIN</v>
          </cell>
          <cell r="C3002" t="str">
            <v>8435057055314</v>
          </cell>
        </row>
        <row r="3003">
          <cell r="A3003">
            <v>300222</v>
          </cell>
          <cell r="B3003" t="str">
            <v>REVISTA KIN BACKSTAGE Nº11</v>
          </cell>
          <cell r="C3003" t="str">
            <v>REVI11</v>
          </cell>
        </row>
        <row r="3004">
          <cell r="A3004">
            <v>300222</v>
          </cell>
          <cell r="B3004" t="str">
            <v>REVISTA KIN BACKSTAGE Nº11</v>
          </cell>
          <cell r="C3004" t="str">
            <v>8435057055338</v>
          </cell>
        </row>
        <row r="3005">
          <cell r="A3005">
            <v>300223</v>
          </cell>
          <cell r="B3005" t="str">
            <v>EXPOSITOR KINMEN (SOLO BASE)</v>
          </cell>
          <cell r="C3005" t="str">
            <v>EXKMBA</v>
          </cell>
        </row>
        <row r="3006">
          <cell r="A3006">
            <v>300223</v>
          </cell>
          <cell r="B3006" t="str">
            <v>EXPOSITOR KINMEN (SOLO BASE)</v>
          </cell>
          <cell r="C3006" t="str">
            <v>8435057055345</v>
          </cell>
        </row>
        <row r="3007">
          <cell r="A3007">
            <v>300224</v>
          </cell>
          <cell r="B3007" t="str">
            <v>DISPLAY KINMEN " Francés "</v>
          </cell>
          <cell r="C3007" t="str">
            <v>DIKMFR</v>
          </cell>
        </row>
        <row r="3008">
          <cell r="A3008">
            <v>300224</v>
          </cell>
          <cell r="B3008" t="str">
            <v>DISPLAY KINMEN " Francés "</v>
          </cell>
          <cell r="C3008" t="str">
            <v>8435057055147</v>
          </cell>
        </row>
        <row r="3009">
          <cell r="A3009">
            <v>300225</v>
          </cell>
          <cell r="B3009" t="str">
            <v>TARIFA GENERAL 2010</v>
          </cell>
          <cell r="C3009" t="str">
            <v>TAGE10</v>
          </cell>
        </row>
        <row r="3010">
          <cell r="A3010">
            <v>300225</v>
          </cell>
          <cell r="B3010" t="str">
            <v>TARIFA GENERAL 2010</v>
          </cell>
          <cell r="C3010" t="str">
            <v>8435057055932</v>
          </cell>
        </row>
        <row r="3011">
          <cell r="A3011">
            <v>300226</v>
          </cell>
          <cell r="B3011" t="str">
            <v>TARIFA PROFESIONAL 2010</v>
          </cell>
          <cell r="C3011" t="str">
            <v>TAPR10</v>
          </cell>
        </row>
        <row r="3012">
          <cell r="A3012">
            <v>300226</v>
          </cell>
          <cell r="B3012" t="str">
            <v>TARIFA PROFESIONAL 2010</v>
          </cell>
          <cell r="C3012" t="str">
            <v>8435057055949</v>
          </cell>
        </row>
        <row r="3013">
          <cell r="A3013">
            <v>300227</v>
          </cell>
          <cell r="B3013" t="str">
            <v>TARIFA DISTRIBUIDOR 2010</v>
          </cell>
          <cell r="C3013" t="str">
            <v>TADI10</v>
          </cell>
        </row>
        <row r="3014">
          <cell r="A3014">
            <v>300227</v>
          </cell>
          <cell r="B3014" t="str">
            <v>TARIFA DISTRIBUIDOR 2010</v>
          </cell>
          <cell r="C3014" t="str">
            <v>8435057055956</v>
          </cell>
        </row>
        <row r="3015">
          <cell r="A3015">
            <v>300228</v>
          </cell>
          <cell r="B3015" t="str">
            <v>TARIFA VENTA PUBLICO 2010</v>
          </cell>
          <cell r="C3015" t="str">
            <v>TAVP10</v>
          </cell>
        </row>
        <row r="3016">
          <cell r="A3016">
            <v>300228</v>
          </cell>
          <cell r="B3016" t="str">
            <v>TARIFA VENTA PUBLICO 2010</v>
          </cell>
          <cell r="C3016" t="str">
            <v>8435057055963</v>
          </cell>
        </row>
        <row r="3017">
          <cell r="A3017">
            <v>300229</v>
          </cell>
          <cell r="B3017" t="str">
            <v>EXPOSITOR PLANCHAS NIKITA</v>
          </cell>
          <cell r="C3017" t="str">
            <v>EXPLNI</v>
          </cell>
        </row>
        <row r="3018">
          <cell r="A3018">
            <v>300229</v>
          </cell>
          <cell r="B3018" t="str">
            <v>EXPOSITOR PLANCHAS NIKITA</v>
          </cell>
          <cell r="C3018" t="str">
            <v>8435057056168</v>
          </cell>
        </row>
        <row r="3019">
          <cell r="A3019">
            <v>300230</v>
          </cell>
          <cell r="B3019" t="str">
            <v>INVITACION FORMACION</v>
          </cell>
          <cell r="C3019" t="str">
            <v>8435057056175</v>
          </cell>
        </row>
        <row r="3020">
          <cell r="A3020">
            <v>300231</v>
          </cell>
          <cell r="B3020" t="str">
            <v>CATALOGO PUNTOS DISTRIB.2010</v>
          </cell>
          <cell r="C3020" t="str">
            <v>CAPU10D</v>
          </cell>
        </row>
        <row r="3021">
          <cell r="A3021">
            <v>300231</v>
          </cell>
          <cell r="B3021" t="str">
            <v>CATALOGO PUNTOS DISTRIB.2010</v>
          </cell>
          <cell r="C3021" t="str">
            <v>8435057056182</v>
          </cell>
        </row>
        <row r="3022">
          <cell r="A3022">
            <v>300232</v>
          </cell>
          <cell r="B3022" t="str">
            <v>CATALOGO RESUMEN "ESP."  2010</v>
          </cell>
          <cell r="C3022" t="str">
            <v>8435057056199</v>
          </cell>
        </row>
        <row r="3023">
          <cell r="A3023">
            <v>300233</v>
          </cell>
          <cell r="B3023" t="str">
            <v>CATALOGO RESUM INGLES 2010</v>
          </cell>
          <cell r="C3023" t="str">
            <v>8435057056205</v>
          </cell>
        </row>
        <row r="3024">
          <cell r="A3024">
            <v>300234</v>
          </cell>
          <cell r="B3024" t="str">
            <v>EXPOSITOR KINBLOND DECOLORANTE</v>
          </cell>
          <cell r="C3024" t="str">
            <v>300234</v>
          </cell>
        </row>
        <row r="3025">
          <cell r="A3025">
            <v>300235</v>
          </cell>
          <cell r="B3025" t="str">
            <v>DISPLAY SUNCARE 2010</v>
          </cell>
          <cell r="C3025" t="str">
            <v>DISU10</v>
          </cell>
        </row>
        <row r="3026">
          <cell r="A3026">
            <v>300235</v>
          </cell>
          <cell r="B3026" t="str">
            <v>DISPLAY SUNCARE 2010</v>
          </cell>
          <cell r="C3026" t="str">
            <v>8435057056236</v>
          </cell>
        </row>
        <row r="3027">
          <cell r="A3027">
            <v>300236</v>
          </cell>
          <cell r="B3027" t="str">
            <v>FOLLETO SUNCARE 2010"Español"</v>
          </cell>
          <cell r="C3027" t="str">
            <v>FOSU10</v>
          </cell>
        </row>
        <row r="3028">
          <cell r="A3028">
            <v>300236</v>
          </cell>
          <cell r="B3028" t="str">
            <v>FOLLETO SUNCARE 2010"Español"</v>
          </cell>
          <cell r="C3028" t="str">
            <v>8435057056243</v>
          </cell>
        </row>
        <row r="3029">
          <cell r="A3029">
            <v>300237</v>
          </cell>
          <cell r="B3029" t="str">
            <v>TARIFA PVP SUNCARE 2010</v>
          </cell>
          <cell r="C3029" t="str">
            <v>TASU10</v>
          </cell>
        </row>
        <row r="3030">
          <cell r="A3030">
            <v>300237</v>
          </cell>
          <cell r="B3030" t="str">
            <v>TARIFA PVP SUNCARE 2010</v>
          </cell>
          <cell r="C3030" t="str">
            <v>8435057056250</v>
          </cell>
        </row>
        <row r="3031">
          <cell r="A3031">
            <v>300238</v>
          </cell>
          <cell r="B3031" t="str">
            <v>DIPTICO VIAJE TURQUIA</v>
          </cell>
          <cell r="C3031" t="str">
            <v>8435057056267</v>
          </cell>
        </row>
        <row r="3032">
          <cell r="A3032">
            <v>300239</v>
          </cell>
          <cell r="B3032" t="str">
            <v>BLOC FORMACION KIN 2019</v>
          </cell>
          <cell r="C3032" t="str">
            <v>8435057056281</v>
          </cell>
        </row>
        <row r="3033">
          <cell r="A3033">
            <v>300240</v>
          </cell>
          <cell r="B3033" t="str">
            <v>MANUAL "98 PAG." DPTO. TECNICO</v>
          </cell>
          <cell r="C3033" t="str">
            <v>300240</v>
          </cell>
        </row>
        <row r="3034">
          <cell r="A3034">
            <v>300241</v>
          </cell>
          <cell r="B3034" t="str">
            <v>CATALOGO KINBLOND "ESPAÑOL"</v>
          </cell>
          <cell r="C3034" t="str">
            <v>8435057056328</v>
          </cell>
        </row>
        <row r="3035">
          <cell r="A3035">
            <v>300242</v>
          </cell>
          <cell r="B3035" t="str">
            <v>CATALOGO KINBLOND "INGLES"</v>
          </cell>
          <cell r="C3035" t="str">
            <v>8435057056335</v>
          </cell>
        </row>
        <row r="3036">
          <cell r="A3036">
            <v>300243</v>
          </cell>
          <cell r="B3036" t="str">
            <v>CATALOGO KINBLOND "FRANCES"</v>
          </cell>
          <cell r="C3036" t="str">
            <v>8435057056342</v>
          </cell>
        </row>
        <row r="3037">
          <cell r="A3037">
            <v>300244</v>
          </cell>
          <cell r="B3037" t="str">
            <v>CATALOGO KINBLOND "PORTUGUES"</v>
          </cell>
          <cell r="C3037" t="str">
            <v>8435057056359</v>
          </cell>
        </row>
        <row r="3038">
          <cell r="A3038">
            <v>300245</v>
          </cell>
          <cell r="B3038" t="str">
            <v>CATALOGO KINBLOND "HOLANDES"</v>
          </cell>
          <cell r="C3038" t="str">
            <v>8435057056366</v>
          </cell>
        </row>
        <row r="3039">
          <cell r="A3039">
            <v>300246</v>
          </cell>
          <cell r="B3039" t="str">
            <v>CATALOGO KINBLOND "ALEMAN"</v>
          </cell>
          <cell r="C3039" t="str">
            <v>8435057056373</v>
          </cell>
        </row>
        <row r="3040">
          <cell r="A3040">
            <v>300247</v>
          </cell>
          <cell r="B3040" t="str">
            <v>ROLL-UP CHICA RUBIA</v>
          </cell>
          <cell r="C3040" t="str">
            <v>8435057056564</v>
          </cell>
        </row>
        <row r="3041">
          <cell r="A3041">
            <v>300248</v>
          </cell>
          <cell r="B3041" t="str">
            <v>ROLL-UP CHICA MORENA</v>
          </cell>
          <cell r="C3041" t="str">
            <v>8435057056571</v>
          </cell>
        </row>
        <row r="3042">
          <cell r="A3042">
            <v>300249</v>
          </cell>
          <cell r="B3042" t="str">
            <v>FOLLETO SUNCARE "Holandés 2010</v>
          </cell>
          <cell r="C3042" t="str">
            <v>300249</v>
          </cell>
        </row>
        <row r="3043">
          <cell r="A3043">
            <v>300249</v>
          </cell>
          <cell r="B3043" t="str">
            <v>FOLLETO SUNCARE "Holandés 2010</v>
          </cell>
          <cell r="C3043" t="str">
            <v>8435057057981</v>
          </cell>
        </row>
        <row r="3044">
          <cell r="A3044">
            <v>300250</v>
          </cell>
          <cell r="B3044" t="str">
            <v>DISPLAY SUNCARE "Holandés"2010</v>
          </cell>
          <cell r="C3044" t="str">
            <v>8435057056557</v>
          </cell>
        </row>
        <row r="3045">
          <cell r="A3045">
            <v>300251</v>
          </cell>
          <cell r="B3045" t="str">
            <v>MANUAL MARCA "CASTELLA"</v>
          </cell>
          <cell r="C3045" t="str">
            <v>8435057056533</v>
          </cell>
        </row>
        <row r="3046">
          <cell r="A3046">
            <v>300252</v>
          </cell>
          <cell r="B3046" t="str">
            <v>MANUAL MARCA "ANGLÈS"</v>
          </cell>
          <cell r="C3046" t="str">
            <v>8435057056540</v>
          </cell>
        </row>
        <row r="3047">
          <cell r="A3047">
            <v>300253</v>
          </cell>
          <cell r="B3047" t="str">
            <v>VISUAL RECEPCION "KIN"</v>
          </cell>
          <cell r="C3047" t="str">
            <v>300253</v>
          </cell>
        </row>
        <row r="3048">
          <cell r="A3048">
            <v>300256</v>
          </cell>
          <cell r="B3048" t="str">
            <v>POSTER CHICA MORENA DOBLE CARA</v>
          </cell>
          <cell r="C3048" t="str">
            <v>POCH10</v>
          </cell>
        </row>
        <row r="3049">
          <cell r="A3049">
            <v>300256</v>
          </cell>
          <cell r="B3049" t="str">
            <v>POSTER CHICA MORENA DOBLE CARA</v>
          </cell>
          <cell r="C3049" t="str">
            <v>8435057056588</v>
          </cell>
        </row>
        <row r="3050">
          <cell r="A3050">
            <v>300257</v>
          </cell>
          <cell r="B3050" t="str">
            <v>POSTER PROMO STYLIUM "Español"</v>
          </cell>
          <cell r="C3050" t="str">
            <v>8435057056649</v>
          </cell>
        </row>
        <row r="3051">
          <cell r="A3051">
            <v>300258</v>
          </cell>
          <cell r="B3051" t="str">
            <v>POSTER PROMO STYLIUM "Inglés"</v>
          </cell>
          <cell r="C3051" t="str">
            <v>8435057056656</v>
          </cell>
        </row>
        <row r="3052">
          <cell r="A3052">
            <v>300259</v>
          </cell>
          <cell r="B3052" t="str">
            <v>POSTER PROMO STYLIUM "Holandés</v>
          </cell>
          <cell r="C3052" t="str">
            <v>8435057056663</v>
          </cell>
        </row>
        <row r="3053">
          <cell r="A3053">
            <v>300260</v>
          </cell>
          <cell r="B3053" t="str">
            <v>POSTER PROMO STYLIUM "Francés"</v>
          </cell>
          <cell r="C3053" t="str">
            <v>8435057056670</v>
          </cell>
        </row>
        <row r="3054">
          <cell r="A3054">
            <v>300261</v>
          </cell>
          <cell r="B3054" t="str">
            <v>DISPLAY PROMO STYLIUM "ESP."</v>
          </cell>
          <cell r="C3054" t="str">
            <v>8435057056687</v>
          </cell>
        </row>
        <row r="3055">
          <cell r="A3055">
            <v>300262</v>
          </cell>
          <cell r="B3055" t="str">
            <v>DISPLAY PROMO STYLIUM "ING."</v>
          </cell>
          <cell r="C3055" t="str">
            <v>8435057056694</v>
          </cell>
        </row>
        <row r="3056">
          <cell r="A3056">
            <v>300263</v>
          </cell>
          <cell r="B3056" t="str">
            <v>DISPLAY PROMO STYLIUM "HOL."</v>
          </cell>
          <cell r="C3056" t="str">
            <v>8435057056700</v>
          </cell>
        </row>
        <row r="3057">
          <cell r="A3057">
            <v>300264</v>
          </cell>
          <cell r="B3057" t="str">
            <v>DISPLAY PROMO STYLIUM "FRAN."</v>
          </cell>
          <cell r="C3057" t="str">
            <v>8435057056717</v>
          </cell>
        </row>
        <row r="3058">
          <cell r="A3058">
            <v>300265</v>
          </cell>
          <cell r="B3058" t="str">
            <v>REVISTA KIN BACKSTAGE Nº12</v>
          </cell>
          <cell r="C3058" t="str">
            <v>REVI12</v>
          </cell>
        </row>
        <row r="3059">
          <cell r="A3059">
            <v>300265</v>
          </cell>
          <cell r="B3059" t="str">
            <v>REVISTA KIN BACKSTAGE Nº12</v>
          </cell>
          <cell r="C3059" t="str">
            <v>8435057056731</v>
          </cell>
        </row>
        <row r="3060">
          <cell r="A3060">
            <v>300266</v>
          </cell>
          <cell r="B3060" t="str">
            <v>CUESTIONARIO DE FORMACION</v>
          </cell>
          <cell r="C3060" t="str">
            <v>8435057056748</v>
          </cell>
        </row>
        <row r="3061">
          <cell r="A3061">
            <v>300267</v>
          </cell>
          <cell r="B3061" t="str">
            <v>CATALOGO KINACTIF 2010</v>
          </cell>
          <cell r="C3061" t="str">
            <v>8435057057011</v>
          </cell>
        </row>
        <row r="3062">
          <cell r="A3062">
            <v>300268</v>
          </cell>
          <cell r="B3062" t="str">
            <v>CATALOGO REVENTA K.A. "Esp"</v>
          </cell>
          <cell r="C3062" t="str">
            <v>8435057057028</v>
          </cell>
        </row>
        <row r="3063">
          <cell r="A3063">
            <v>300269</v>
          </cell>
          <cell r="B3063" t="str">
            <v>FOLL. SOBRES MUES. KA. COLOR</v>
          </cell>
          <cell r="C3063" t="str">
            <v>8435057057035</v>
          </cell>
        </row>
        <row r="3064">
          <cell r="A3064">
            <v>300270</v>
          </cell>
          <cell r="B3064" t="str">
            <v>ANUL.LAT</v>
          </cell>
          <cell r="C3064" t="str">
            <v>8435057057042</v>
          </cell>
        </row>
        <row r="3065">
          <cell r="A3065">
            <v>300271</v>
          </cell>
          <cell r="B3065" t="str">
            <v>ANUL.ALT</v>
          </cell>
          <cell r="C3065" t="str">
            <v>8435057057059</v>
          </cell>
        </row>
        <row r="3066">
          <cell r="A3066">
            <v>300272</v>
          </cell>
          <cell r="B3066" t="str">
            <v>ANUL.ALT</v>
          </cell>
          <cell r="C3066" t="str">
            <v>8435057057066</v>
          </cell>
        </row>
        <row r="3067">
          <cell r="A3067">
            <v>300273</v>
          </cell>
          <cell r="B3067" t="str">
            <v>TOTEM " KINACTIF "</v>
          </cell>
          <cell r="C3067" t="str">
            <v>8435057057073</v>
          </cell>
        </row>
        <row r="3068">
          <cell r="A3068">
            <v>300274</v>
          </cell>
          <cell r="B3068" t="str">
            <v>CATALOGO KIN "FASHIONISTA"</v>
          </cell>
          <cell r="C3068" t="str">
            <v>8435057057080</v>
          </cell>
        </row>
        <row r="3069">
          <cell r="A3069">
            <v>300275</v>
          </cell>
          <cell r="B3069" t="str">
            <v>TARIFA DISTRIBUID.2010"Nueva"</v>
          </cell>
          <cell r="C3069" t="str">
            <v>8435057057110</v>
          </cell>
        </row>
        <row r="3070">
          <cell r="A3070">
            <v>300276</v>
          </cell>
          <cell r="B3070" t="str">
            <v>TARIFA GENERAL 2010 "Nueva"</v>
          </cell>
          <cell r="C3070" t="str">
            <v>8435057057127</v>
          </cell>
        </row>
        <row r="3071">
          <cell r="A3071">
            <v>300277</v>
          </cell>
          <cell r="B3071" t="str">
            <v>TARIFA PROFESIONAL 2010"Nueva"</v>
          </cell>
          <cell r="C3071" t="str">
            <v>8435057057134</v>
          </cell>
        </row>
        <row r="3072">
          <cell r="A3072">
            <v>300278</v>
          </cell>
          <cell r="B3072" t="str">
            <v>TARIFA PVP 2010 "Nueva"</v>
          </cell>
          <cell r="C3072" t="str">
            <v>8435057057141</v>
          </cell>
        </row>
        <row r="3073">
          <cell r="A3073">
            <v>300279</v>
          </cell>
          <cell r="B3073" t="str">
            <v>CALENDARIO 2011</v>
          </cell>
          <cell r="C3073" t="str">
            <v>8435057057158</v>
          </cell>
        </row>
        <row r="3074">
          <cell r="A3074">
            <v>300280</v>
          </cell>
          <cell r="B3074" t="str">
            <v>AGENDA KIN 2011</v>
          </cell>
          <cell r="C3074" t="str">
            <v>8435057057165</v>
          </cell>
        </row>
        <row r="3075">
          <cell r="A3075">
            <v>300281</v>
          </cell>
          <cell r="B3075" t="str">
            <v>FOLL. SOBRES MUES. KA. NUTRI</v>
          </cell>
          <cell r="C3075" t="str">
            <v>8435057057172</v>
          </cell>
        </row>
        <row r="3076">
          <cell r="A3076">
            <v>300282</v>
          </cell>
          <cell r="B3076" t="str">
            <v>FOLL. KA. ENERGY</v>
          </cell>
          <cell r="C3076" t="str">
            <v>8435057057189</v>
          </cell>
        </row>
        <row r="3077">
          <cell r="A3077">
            <v>300283</v>
          </cell>
          <cell r="B3077" t="str">
            <v>FOLL. SOBRES MUES. KA. LISS</v>
          </cell>
          <cell r="C3077" t="str">
            <v>8435057057196</v>
          </cell>
        </row>
        <row r="3078">
          <cell r="A3078">
            <v>300284</v>
          </cell>
          <cell r="B3078" t="str">
            <v>FOLLETO PROMO.NAVIDAD</v>
          </cell>
          <cell r="C3078" t="str">
            <v>8435057057202</v>
          </cell>
        </row>
        <row r="3079">
          <cell r="A3079">
            <v>300285</v>
          </cell>
          <cell r="B3079" t="str">
            <v>EXPOSITOR MOSTRADOR KA "NUTRI"</v>
          </cell>
          <cell r="C3079" t="str">
            <v>8435057057219</v>
          </cell>
        </row>
        <row r="3080">
          <cell r="A3080">
            <v>300286</v>
          </cell>
          <cell r="B3080" t="str">
            <v>EXPOSITOR MOSTRADOR KA"ENERGY"</v>
          </cell>
          <cell r="C3080" t="str">
            <v>8435057057226</v>
          </cell>
        </row>
        <row r="3081">
          <cell r="A3081">
            <v>300287</v>
          </cell>
          <cell r="B3081" t="str">
            <v>EXPOSITOR MOSTRADOR KA "COLOR"</v>
          </cell>
          <cell r="C3081" t="str">
            <v>8435057057233</v>
          </cell>
        </row>
        <row r="3082">
          <cell r="A3082">
            <v>300288</v>
          </cell>
          <cell r="B3082" t="str">
            <v>FOLLETO FLYER PASHMINA 'Esp'</v>
          </cell>
          <cell r="C3082" t="str">
            <v>8435057057264</v>
          </cell>
        </row>
        <row r="3083">
          <cell r="A3083">
            <v>300289</v>
          </cell>
          <cell r="B3083" t="str">
            <v>EXPOSITOR PIE KIN</v>
          </cell>
          <cell r="C3083" t="str">
            <v>8435057057271</v>
          </cell>
        </row>
        <row r="3084">
          <cell r="A3084">
            <v>300290</v>
          </cell>
          <cell r="B3084" t="str">
            <v>BLOC CESION EXPOSITOR</v>
          </cell>
          <cell r="C3084" t="str">
            <v>8435057057363</v>
          </cell>
        </row>
        <row r="3085">
          <cell r="A3085">
            <v>300292</v>
          </cell>
          <cell r="B3085" t="str">
            <v>BLOC CAMBIO DE DESCUENTO</v>
          </cell>
          <cell r="C3085" t="str">
            <v>8435057057370</v>
          </cell>
        </row>
        <row r="3086">
          <cell r="A3086">
            <v>300293</v>
          </cell>
          <cell r="B3086" t="str">
            <v>ROLLAP PAPER SINTETIC</v>
          </cell>
          <cell r="C3086" t="str">
            <v>300293</v>
          </cell>
        </row>
        <row r="3087">
          <cell r="A3087">
            <v>300294</v>
          </cell>
          <cell r="B3087" t="str">
            <v>CATAL. KIN FASHIONISTA Ingles</v>
          </cell>
          <cell r="C3087" t="str">
            <v>8435057057387</v>
          </cell>
        </row>
        <row r="3088">
          <cell r="A3088">
            <v>300295</v>
          </cell>
          <cell r="B3088" t="str">
            <v>CATALOGO KINACTIF 2010 Inglés</v>
          </cell>
          <cell r="C3088" t="str">
            <v>8435057057394</v>
          </cell>
        </row>
        <row r="3089">
          <cell r="A3089">
            <v>300296</v>
          </cell>
          <cell r="B3089" t="str">
            <v>CATALOGO REVENTA K.A."Inglés"</v>
          </cell>
          <cell r="C3089" t="str">
            <v>8435057057400</v>
          </cell>
        </row>
        <row r="3090">
          <cell r="A3090">
            <v>300297</v>
          </cell>
          <cell r="B3090" t="str">
            <v>CATALOGO KINACTIF 2010 Francés</v>
          </cell>
          <cell r="C3090" t="str">
            <v>8435057057417</v>
          </cell>
        </row>
        <row r="3091">
          <cell r="A3091">
            <v>300298</v>
          </cell>
          <cell r="B3091" t="str">
            <v>CATALOGO REVENTA K.A."Francés"</v>
          </cell>
          <cell r="C3091" t="str">
            <v>8435057057424</v>
          </cell>
        </row>
        <row r="3092">
          <cell r="A3092">
            <v>300299</v>
          </cell>
          <cell r="B3092" t="str">
            <v>CATALOGO REVENTA K.A."Holandés</v>
          </cell>
          <cell r="C3092" t="str">
            <v>8435057057431</v>
          </cell>
        </row>
        <row r="3093">
          <cell r="A3093">
            <v>300300</v>
          </cell>
          <cell r="B3093" t="str">
            <v>CATALOGO REVENTA K.A."Alemany"</v>
          </cell>
          <cell r="C3093" t="str">
            <v>8435057057448</v>
          </cell>
        </row>
        <row r="3094">
          <cell r="A3094">
            <v>300301</v>
          </cell>
          <cell r="B3094" t="str">
            <v>CATALOGO REVENTA K.A.Portugués</v>
          </cell>
          <cell r="C3094" t="str">
            <v>8435057057455</v>
          </cell>
        </row>
        <row r="3095">
          <cell r="A3095">
            <v>300303</v>
          </cell>
          <cell r="B3095" t="str">
            <v>CATALOGO KINACTIF 2010 Holandé</v>
          </cell>
          <cell r="C3095" t="str">
            <v>8435057057479</v>
          </cell>
        </row>
        <row r="3096">
          <cell r="A3096">
            <v>300304</v>
          </cell>
          <cell r="B3096" t="str">
            <v>CATALOGO KINACTIF 2010 Alemany</v>
          </cell>
          <cell r="C3096" t="str">
            <v>8435057057486</v>
          </cell>
        </row>
        <row r="3097">
          <cell r="A3097">
            <v>300305</v>
          </cell>
          <cell r="B3097" t="str">
            <v>CATAL. KINACTIF 2010 Portugués</v>
          </cell>
          <cell r="C3097" t="str">
            <v>8435057057493</v>
          </cell>
        </row>
        <row r="3098">
          <cell r="A3098">
            <v>300307</v>
          </cell>
          <cell r="B3098" t="str">
            <v>CARTA "KF" COBRIZOS INT.SEDUC.</v>
          </cell>
          <cell r="C3098" t="str">
            <v>8435057057875</v>
          </cell>
        </row>
        <row r="3099">
          <cell r="A3099">
            <v>300308</v>
          </cell>
          <cell r="B3099" t="str">
            <v>FOLL.FLYER PASHMINA 'Aleman'</v>
          </cell>
          <cell r="C3099" t="str">
            <v>8435057057615</v>
          </cell>
        </row>
        <row r="3100">
          <cell r="A3100">
            <v>300309</v>
          </cell>
          <cell r="B3100" t="str">
            <v>FOLL.FLYER PASHMINA 'Frances'</v>
          </cell>
          <cell r="C3100" t="str">
            <v>8435057057622</v>
          </cell>
        </row>
        <row r="3101">
          <cell r="A3101">
            <v>300310</v>
          </cell>
          <cell r="B3101" t="str">
            <v>FOLL.FLYER PASHMINA 'Holandes'</v>
          </cell>
          <cell r="C3101" t="str">
            <v>8435057057639</v>
          </cell>
        </row>
        <row r="3102">
          <cell r="A3102">
            <v>300311</v>
          </cell>
          <cell r="B3102" t="str">
            <v>FOLL.FLYER PASHMINA 'Griego'</v>
          </cell>
          <cell r="C3102" t="str">
            <v>8435057057646</v>
          </cell>
        </row>
        <row r="3103">
          <cell r="A3103">
            <v>300312</v>
          </cell>
          <cell r="B3103" t="str">
            <v>FOLL.FLYER PASHMINA 'Portugues</v>
          </cell>
          <cell r="C3103" t="str">
            <v>8435057057653</v>
          </cell>
        </row>
        <row r="3104">
          <cell r="A3104">
            <v>300313</v>
          </cell>
          <cell r="B3104" t="str">
            <v>FOLL.FLYER PASHMINA 'Ingles'</v>
          </cell>
          <cell r="C3104" t="str">
            <v>8435057057660</v>
          </cell>
        </row>
        <row r="3105">
          <cell r="A3105">
            <v>300314</v>
          </cell>
          <cell r="B3105" t="str">
            <v>CATALOGO REVENTA K.A. 'Griego'</v>
          </cell>
          <cell r="C3105" t="str">
            <v>8435057057677</v>
          </cell>
        </row>
        <row r="3106">
          <cell r="A3106">
            <v>300315</v>
          </cell>
          <cell r="B3106" t="str">
            <v>CATALOGO KINACTIF 2010 Griego</v>
          </cell>
          <cell r="C3106" t="str">
            <v>8435057057684</v>
          </cell>
        </row>
        <row r="3107">
          <cell r="A3107">
            <v>300316</v>
          </cell>
          <cell r="B3107" t="str">
            <v>CAJA + LIBRO METROPOLI</v>
          </cell>
          <cell r="C3107" t="str">
            <v>8435057057851</v>
          </cell>
        </row>
        <row r="3108">
          <cell r="A3108">
            <v>300319</v>
          </cell>
          <cell r="B3108" t="str">
            <v>FOLLETO  CRK + TECNHOLOGY</v>
          </cell>
          <cell r="C3108" t="str">
            <v>8435057057929</v>
          </cell>
        </row>
        <row r="3109">
          <cell r="A3109">
            <v>300320</v>
          </cell>
          <cell r="B3109" t="str">
            <v>FOLLETO KERATIN NUTRI TREAT.</v>
          </cell>
          <cell r="C3109" t="str">
            <v>8435057057936</v>
          </cell>
        </row>
        <row r="3110">
          <cell r="A3110">
            <v>300321</v>
          </cell>
          <cell r="B3110" t="str">
            <v>FOLL.PROGAMA FORMACIO "Español</v>
          </cell>
          <cell r="C3110" t="str">
            <v>8435057057943</v>
          </cell>
        </row>
        <row r="3111">
          <cell r="A3111">
            <v>300322</v>
          </cell>
          <cell r="B3111" t="str">
            <v>POSTER INTENSE SEDUCTION CRK</v>
          </cell>
          <cell r="C3111" t="str">
            <v>8435057057950</v>
          </cell>
        </row>
        <row r="3112">
          <cell r="A3112">
            <v>300323</v>
          </cell>
          <cell r="B3112" t="str">
            <v>POSTER KERATIN NUTRI TREATMENT</v>
          </cell>
          <cell r="C3112" t="str">
            <v>8435057057967</v>
          </cell>
        </row>
        <row r="3113">
          <cell r="A3113">
            <v>300324</v>
          </cell>
          <cell r="B3113" t="str">
            <v>REVISTA KIN BACKSTAGE Nº13</v>
          </cell>
          <cell r="C3113" t="str">
            <v>8435057058001</v>
          </cell>
        </row>
        <row r="3114">
          <cell r="A3114">
            <v>300326</v>
          </cell>
          <cell r="B3114" t="str">
            <v>FOLLETO SUNCARE  2011-2012</v>
          </cell>
          <cell r="C3114" t="str">
            <v>300326</v>
          </cell>
        </row>
        <row r="3115">
          <cell r="A3115">
            <v>300327</v>
          </cell>
          <cell r="B3115" t="str">
            <v>FOLLETO HAIRCOLOR GUIDE  "USA"</v>
          </cell>
          <cell r="C3115" t="str">
            <v>300327</v>
          </cell>
        </row>
        <row r="3116">
          <cell r="A3116">
            <v>300328</v>
          </cell>
          <cell r="B3116" t="str">
            <v>FOLLETO HAIRCOLOR GUIDE  "UE"</v>
          </cell>
          <cell r="C3116" t="str">
            <v>300328</v>
          </cell>
        </row>
        <row r="3117">
          <cell r="A3117">
            <v>300329</v>
          </cell>
          <cell r="B3117" t="str">
            <v>DIPTICO VIAJE SUDAFRICA</v>
          </cell>
          <cell r="C3117" t="str">
            <v>300329</v>
          </cell>
        </row>
        <row r="3118">
          <cell r="A3118">
            <v>300330</v>
          </cell>
          <cell r="B3118" t="str">
            <v>TARIFA PVP SUNCARE 2011</v>
          </cell>
          <cell r="C3118" t="str">
            <v>300330</v>
          </cell>
        </row>
        <row r="3119">
          <cell r="A3119">
            <v>300331</v>
          </cell>
          <cell r="B3119" t="str">
            <v>DISPLAY SUNCARE 2011</v>
          </cell>
          <cell r="C3119" t="str">
            <v>300331</v>
          </cell>
        </row>
        <row r="3120">
          <cell r="A3120">
            <v>300332</v>
          </cell>
          <cell r="B3120" t="str">
            <v>POSTER SUNCARE 2011</v>
          </cell>
          <cell r="C3120" t="str">
            <v>300332</v>
          </cell>
        </row>
        <row r="3121">
          <cell r="A3121">
            <v>300333</v>
          </cell>
          <cell r="B3121" t="str">
            <v>FOLL.PROGAMA FORMACIO "Inglés"</v>
          </cell>
          <cell r="C3121" t="str">
            <v>300333</v>
          </cell>
        </row>
        <row r="3122">
          <cell r="A3122">
            <v>300334</v>
          </cell>
          <cell r="B3122" t="str">
            <v>CATALOGO PUNTOS DISTRIB. 2011</v>
          </cell>
          <cell r="C3122" t="str">
            <v>300334</v>
          </cell>
        </row>
        <row r="3123">
          <cell r="A3123">
            <v>300335</v>
          </cell>
          <cell r="B3123" t="str">
            <v>CATALOGO PUNTOS PROFES.  2011</v>
          </cell>
          <cell r="C3123" t="str">
            <v>300335</v>
          </cell>
        </row>
        <row r="3124">
          <cell r="A3124">
            <v>300336</v>
          </cell>
          <cell r="B3124" t="str">
            <v>CATALOGO RESUMEN 2011 "Español</v>
          </cell>
          <cell r="C3124" t="str">
            <v>300336</v>
          </cell>
        </row>
        <row r="3125">
          <cell r="A3125">
            <v>300337</v>
          </cell>
          <cell r="B3125" t="str">
            <v>CATALOGO RESUMEN 2011 "Inglés"</v>
          </cell>
          <cell r="C3125" t="str">
            <v>300337</v>
          </cell>
        </row>
        <row r="3126">
          <cell r="A3126">
            <v>300338</v>
          </cell>
          <cell r="B3126" t="str">
            <v>FOLLETO COLLAGEN TR.EFEC BOTOX</v>
          </cell>
          <cell r="C3126" t="str">
            <v>300338</v>
          </cell>
        </row>
        <row r="3127">
          <cell r="A3127">
            <v>300339</v>
          </cell>
          <cell r="B3127" t="str">
            <v>POSTER COLLAGEN TREATMENT</v>
          </cell>
          <cell r="C3127" t="str">
            <v>300339</v>
          </cell>
        </row>
        <row r="3128">
          <cell r="A3128">
            <v>300340</v>
          </cell>
          <cell r="B3128" t="str">
            <v>POSTER FLUOR STYLIUM</v>
          </cell>
          <cell r="C3128" t="str">
            <v>300340</v>
          </cell>
        </row>
        <row r="3129">
          <cell r="A3129">
            <v>300341</v>
          </cell>
          <cell r="B3129" t="str">
            <v>FOLLETO KERATIN NUTRI "Inglés"</v>
          </cell>
          <cell r="C3129" t="str">
            <v>300341</v>
          </cell>
        </row>
        <row r="3130">
          <cell r="A3130">
            <v>300342</v>
          </cell>
          <cell r="B3130" t="str">
            <v>POSTER KERATIN NUTRI "Inglés"</v>
          </cell>
          <cell r="C3130" t="str">
            <v>300342</v>
          </cell>
        </row>
        <row r="3131">
          <cell r="A3131">
            <v>300343</v>
          </cell>
          <cell r="B3131" t="str">
            <v>DISPLAY FLUOR STYLIUM</v>
          </cell>
          <cell r="C3131" t="str">
            <v>300343</v>
          </cell>
        </row>
        <row r="3132">
          <cell r="A3132">
            <v>300344</v>
          </cell>
          <cell r="B3132" t="str">
            <v>POSTER A2 SUNCARE 2011 "Inglés</v>
          </cell>
          <cell r="C3132" t="str">
            <v>300344</v>
          </cell>
        </row>
        <row r="3133">
          <cell r="A3133">
            <v>300345</v>
          </cell>
          <cell r="B3133" t="str">
            <v>FOLLETO SUNCARE 2011 "Inglés"</v>
          </cell>
          <cell r="C3133" t="str">
            <v>300345</v>
          </cell>
        </row>
        <row r="3134">
          <cell r="A3134">
            <v>300347</v>
          </cell>
          <cell r="B3134" t="str">
            <v>FOLL. TRIPTICO TECNICO KINLISS</v>
          </cell>
          <cell r="C3134" t="str">
            <v>8435057058063</v>
          </cell>
        </row>
        <row r="3135">
          <cell r="A3135">
            <v>300348</v>
          </cell>
          <cell r="B3135" t="str">
            <v>POSTER  KINLISS "Español"</v>
          </cell>
          <cell r="C3135" t="str">
            <v>8435057058070</v>
          </cell>
        </row>
        <row r="3136">
          <cell r="A3136">
            <v>300349</v>
          </cell>
          <cell r="B3136" t="str">
            <v>DISPLAY KINLISS</v>
          </cell>
          <cell r="C3136" t="str">
            <v>8435057058087</v>
          </cell>
        </row>
        <row r="3137">
          <cell r="A3137">
            <v>300350</v>
          </cell>
          <cell r="B3137" t="str">
            <v>DIPTICO VIAJE BRUSELAS</v>
          </cell>
          <cell r="C3137" t="str">
            <v>300350</v>
          </cell>
        </row>
        <row r="3138">
          <cell r="A3138">
            <v>300351</v>
          </cell>
          <cell r="B3138" t="str">
            <v>FOLLETO COLLAGEN 2011 "Inglés"</v>
          </cell>
          <cell r="C3138" t="str">
            <v>300351</v>
          </cell>
        </row>
        <row r="3139">
          <cell r="A3139">
            <v>300352</v>
          </cell>
          <cell r="B3139" t="str">
            <v>POSTER COLLAGEN  2011 "Inglés"</v>
          </cell>
          <cell r="C3139" t="str">
            <v>300352</v>
          </cell>
        </row>
        <row r="3140">
          <cell r="A3140">
            <v>300353</v>
          </cell>
          <cell r="B3140" t="str">
            <v>FOLLETO HAIRCOLOR GUIDE "Esp."</v>
          </cell>
          <cell r="C3140" t="str">
            <v>300353</v>
          </cell>
        </row>
        <row r="3141">
          <cell r="A3141">
            <v>300354</v>
          </cell>
          <cell r="B3141" t="str">
            <v>TARIFA PVP 2011</v>
          </cell>
          <cell r="C3141" t="str">
            <v>0000000300354</v>
          </cell>
        </row>
        <row r="3142">
          <cell r="A3142">
            <v>300355</v>
          </cell>
          <cell r="B3142" t="str">
            <v>CARTA COLOR NATURAL TONES</v>
          </cell>
          <cell r="C3142" t="str">
            <v>0000000300355</v>
          </cell>
        </row>
        <row r="3143">
          <cell r="A3143">
            <v>300356</v>
          </cell>
          <cell r="B3143" t="str">
            <v>POSTER  KINLISS "Inglés"</v>
          </cell>
          <cell r="C3143" t="str">
            <v>300356</v>
          </cell>
        </row>
        <row r="3144">
          <cell r="A3144">
            <v>300357</v>
          </cell>
          <cell r="B3144" t="str">
            <v>TARIFA GENERAL 2011</v>
          </cell>
          <cell r="C3144" t="str">
            <v>300357</v>
          </cell>
        </row>
        <row r="3145">
          <cell r="A3145">
            <v>300358</v>
          </cell>
          <cell r="B3145" t="str">
            <v>TARIFA PROFESIONAL 2011</v>
          </cell>
          <cell r="C3145" t="str">
            <v>300358</v>
          </cell>
        </row>
        <row r="3146">
          <cell r="A3146">
            <v>300359</v>
          </cell>
          <cell r="B3146" t="str">
            <v>TARIFA DISTRIBUCIÓ 2011</v>
          </cell>
          <cell r="C3146" t="str">
            <v>300359</v>
          </cell>
        </row>
        <row r="3147">
          <cell r="A3147">
            <v>300360</v>
          </cell>
          <cell r="B3147" t="str">
            <v>FOLLETO PROMO ANTICAIDA 2011</v>
          </cell>
          <cell r="C3147" t="str">
            <v>300360</v>
          </cell>
        </row>
        <row r="3148">
          <cell r="A3148">
            <v>300361</v>
          </cell>
          <cell r="B3148" t="str">
            <v>TALONARIO SORTEO ANTICAIDA</v>
          </cell>
          <cell r="C3148" t="str">
            <v>300361</v>
          </cell>
        </row>
        <row r="3149">
          <cell r="A3149">
            <v>300362</v>
          </cell>
          <cell r="B3149" t="str">
            <v>POSTER PROMO ANTICAIDA A4</v>
          </cell>
          <cell r="C3149" t="str">
            <v>300362</v>
          </cell>
        </row>
        <row r="3150">
          <cell r="A3150">
            <v>300363</v>
          </cell>
          <cell r="B3150" t="str">
            <v>AGENDA KIN 2012</v>
          </cell>
          <cell r="C3150" t="str">
            <v>0000000300363</v>
          </cell>
        </row>
        <row r="3151">
          <cell r="A3151">
            <v>300364</v>
          </cell>
          <cell r="B3151" t="str">
            <v>POSTER 2012</v>
          </cell>
          <cell r="C3151" t="str">
            <v>300364</v>
          </cell>
        </row>
        <row r="3152">
          <cell r="A3152">
            <v>300365</v>
          </cell>
          <cell r="B3152" t="str">
            <v>POSTER CHRISTMAS BALL NAVIDAD</v>
          </cell>
          <cell r="C3152" t="str">
            <v>300365</v>
          </cell>
        </row>
        <row r="3153">
          <cell r="A3153">
            <v>300369</v>
          </cell>
          <cell r="B3153" t="str">
            <v>FOLLETO PROM.ACEITE DE ARGAN</v>
          </cell>
          <cell r="C3153" t="str">
            <v>300369</v>
          </cell>
        </row>
        <row r="3154">
          <cell r="A3154">
            <v>300373</v>
          </cell>
          <cell r="B3154" t="str">
            <v>ORIGEN COLLECTION</v>
          </cell>
          <cell r="C3154" t="str">
            <v>300373</v>
          </cell>
        </row>
        <row r="3155">
          <cell r="A3155">
            <v>300375</v>
          </cell>
          <cell r="B3155" t="str">
            <v>POSTER SUNCARE  "2012"  A4</v>
          </cell>
          <cell r="C3155" t="str">
            <v>0000000300375</v>
          </cell>
        </row>
        <row r="3156">
          <cell r="A3156">
            <v>300376</v>
          </cell>
          <cell r="B3156" t="str">
            <v>CARTA KINCREM 'CRK' PLUS EXTRA</v>
          </cell>
          <cell r="C3156" t="str">
            <v>0000000300376</v>
          </cell>
        </row>
        <row r="3157">
          <cell r="A3157">
            <v>300378</v>
          </cell>
          <cell r="B3157" t="str">
            <v>RETAIL COMPANY PROFILE 2012</v>
          </cell>
          <cell r="C3157" t="str">
            <v>0000000300378</v>
          </cell>
        </row>
        <row r="3158">
          <cell r="A3158">
            <v>300379</v>
          </cell>
          <cell r="B3158" t="str">
            <v>COMPANY PROFILE LUX.ED. 2012</v>
          </cell>
          <cell r="C3158" t="str">
            <v>0000000300379</v>
          </cell>
        </row>
        <row r="3159">
          <cell r="A3159">
            <v>300381</v>
          </cell>
          <cell r="B3159" t="str">
            <v>FOLLETO SUNCARE 2012  Holandés</v>
          </cell>
          <cell r="C3159" t="str">
            <v>300381</v>
          </cell>
        </row>
        <row r="3160">
          <cell r="A3160">
            <v>300382</v>
          </cell>
          <cell r="B3160" t="str">
            <v>CATALOGO GENERAL 2015</v>
          </cell>
          <cell r="C3160" t="str">
            <v>0000000300382</v>
          </cell>
        </row>
        <row r="3161">
          <cell r="A3161">
            <v>300384</v>
          </cell>
          <cell r="B3161" t="str">
            <v>ENCARTE CARTA DE COLOR "CRK"</v>
          </cell>
          <cell r="C3161" t="str">
            <v>0000000300384</v>
          </cell>
        </row>
        <row r="3162">
          <cell r="A3162">
            <v>300386</v>
          </cell>
          <cell r="B3162" t="str">
            <v>FOLLETO  KINSTYLE FASE 1</v>
          </cell>
          <cell r="C3162" t="str">
            <v>0000003003862</v>
          </cell>
        </row>
        <row r="3163">
          <cell r="A3163">
            <v>300388</v>
          </cell>
          <cell r="B3163" t="str">
            <v>POSTER KINSTYLE FASE 1</v>
          </cell>
          <cell r="C3163" t="str">
            <v>0000003003886</v>
          </cell>
        </row>
        <row r="3164">
          <cell r="A3164">
            <v>300389</v>
          </cell>
          <cell r="B3164" t="str">
            <v>DISPLAY KINSTYLE</v>
          </cell>
          <cell r="C3164" t="str">
            <v>0000000300389</v>
          </cell>
        </row>
        <row r="3165">
          <cell r="A3165">
            <v>300392</v>
          </cell>
          <cell r="B3165" t="str">
            <v>CATALOGO  KINSTYLE 2012</v>
          </cell>
          <cell r="C3165" t="str">
            <v>0000000300392</v>
          </cell>
        </row>
        <row r="3166">
          <cell r="A3166">
            <v>300393</v>
          </cell>
          <cell r="B3166" t="str">
            <v>POSTER KINSTYLE FASE 2</v>
          </cell>
          <cell r="C3166" t="str">
            <v>0000000300393</v>
          </cell>
        </row>
        <row r="3167">
          <cell r="A3167">
            <v>300394</v>
          </cell>
          <cell r="B3167" t="str">
            <v>CATALOGO GRAL. RETAIL 2015</v>
          </cell>
          <cell r="C3167" t="str">
            <v>0000000300394</v>
          </cell>
        </row>
        <row r="3168">
          <cell r="A3168">
            <v>300395</v>
          </cell>
          <cell r="B3168" t="str">
            <v>CARTA BROWNS "CRK"COLLECTION</v>
          </cell>
          <cell r="C3168" t="str">
            <v>0000000300395</v>
          </cell>
        </row>
        <row r="3169">
          <cell r="A3169">
            <v>300396</v>
          </cell>
          <cell r="B3169" t="str">
            <v>CATALOGO GRAL. RETAIL 2015 Ing</v>
          </cell>
          <cell r="C3169" t="str">
            <v>0000000300396</v>
          </cell>
        </row>
        <row r="3170">
          <cell r="A3170">
            <v>300397</v>
          </cell>
          <cell r="B3170" t="str">
            <v>FOLLETO ARGUMENTARIO CRK+</v>
          </cell>
          <cell r="C3170" t="str">
            <v>0000000300397</v>
          </cell>
        </row>
        <row r="3171">
          <cell r="A3171">
            <v>300399</v>
          </cell>
          <cell r="B3171" t="str">
            <v>AGENDA KIN 2013</v>
          </cell>
          <cell r="C3171" t="str">
            <v>0000000300399</v>
          </cell>
        </row>
        <row r="3172">
          <cell r="A3172">
            <v>300400</v>
          </cell>
          <cell r="B3172" t="str">
            <v>CALENDARIO 2013</v>
          </cell>
          <cell r="C3172" t="str">
            <v>0000000300400</v>
          </cell>
        </row>
        <row r="3173">
          <cell r="A3173">
            <v>300403</v>
          </cell>
          <cell r="B3173" t="str">
            <v>CARTA KINCREM 'CRK'</v>
          </cell>
          <cell r="C3173" t="str">
            <v>0000000300403</v>
          </cell>
        </row>
        <row r="3174">
          <cell r="A3174">
            <v>300404</v>
          </cell>
          <cell r="B3174" t="str">
            <v>FOLLETO FLYER X-TREM</v>
          </cell>
          <cell r="C3174" t="str">
            <v>0000000300404</v>
          </cell>
        </row>
        <row r="3175">
          <cell r="A3175">
            <v>300409</v>
          </cell>
          <cell r="B3175" t="str">
            <v>VISUAL METALLIC SEDUCTION</v>
          </cell>
          <cell r="C3175" t="str">
            <v>0000000300409</v>
          </cell>
        </row>
        <row r="3176">
          <cell r="A3176">
            <v>300410</v>
          </cell>
          <cell r="B3176" t="str">
            <v>VISUAL SWEET MISTERY</v>
          </cell>
          <cell r="C3176" t="str">
            <v>0000000300410</v>
          </cell>
        </row>
        <row r="3177">
          <cell r="A3177">
            <v>300418</v>
          </cell>
          <cell r="B3177" t="str">
            <v>GUIA RAPIDA DE COLOR CRK+ ESP</v>
          </cell>
          <cell r="C3177" t="str">
            <v>0000000300418</v>
          </cell>
        </row>
        <row r="3178">
          <cell r="A3178">
            <v>300425</v>
          </cell>
          <cell r="B3178" t="str">
            <v>FOLLETO OLEO NUTRI</v>
          </cell>
          <cell r="C3178" t="str">
            <v>0000000300425</v>
          </cell>
        </row>
        <row r="3179">
          <cell r="A3179">
            <v>300426</v>
          </cell>
          <cell r="B3179" t="str">
            <v>AGENDA KIN 2014</v>
          </cell>
          <cell r="C3179" t="str">
            <v>0000000300426</v>
          </cell>
        </row>
        <row r="3180">
          <cell r="A3180">
            <v>300431</v>
          </cell>
          <cell r="B3180" t="str">
            <v>BOLETO PROMO "IPAD MINI"</v>
          </cell>
          <cell r="C3180" t="str">
            <v>0000000300431</v>
          </cell>
        </row>
        <row r="3181">
          <cell r="A3181">
            <v>300432</v>
          </cell>
          <cell r="B3181" t="str">
            <v>DISPLAY IPAD MINI</v>
          </cell>
          <cell r="C3181" t="str">
            <v>0000000300432</v>
          </cell>
        </row>
        <row r="3182">
          <cell r="A3182">
            <v>300434</v>
          </cell>
          <cell r="B3182" t="str">
            <v>FOLLETO KINESSENCES ASESOR</v>
          </cell>
          <cell r="C3182" t="str">
            <v>0000000300434</v>
          </cell>
        </row>
        <row r="3183">
          <cell r="A3183">
            <v>300436</v>
          </cell>
          <cell r="B3183" t="str">
            <v>CATALOGO KINESSENCES RETAIL</v>
          </cell>
          <cell r="C3183" t="str">
            <v>0000000300436</v>
          </cell>
        </row>
        <row r="3184">
          <cell r="A3184">
            <v>300437</v>
          </cell>
          <cell r="B3184" t="str">
            <v>VISUAL IMAGEN KINESSENCES 2014</v>
          </cell>
          <cell r="C3184" t="str">
            <v>0000000300437</v>
          </cell>
        </row>
        <row r="3185">
          <cell r="A3185">
            <v>300438</v>
          </cell>
          <cell r="B3185" t="str">
            <v>POSTER PROMO KINSTYLE+TANGLIM</v>
          </cell>
          <cell r="C3185" t="str">
            <v>0000000300438</v>
          </cell>
        </row>
        <row r="3186">
          <cell r="A3186">
            <v>300439</v>
          </cell>
          <cell r="B3186" t="str">
            <v>VISUAL LADY LIKE KINTRENDS014.</v>
          </cell>
          <cell r="C3186" t="str">
            <v>0000000300439</v>
          </cell>
        </row>
        <row r="3187">
          <cell r="A3187">
            <v>300463</v>
          </cell>
          <cell r="B3187" t="str">
            <v>AGENDA KIN 2015</v>
          </cell>
          <cell r="C3187" t="str">
            <v>0000000300463</v>
          </cell>
        </row>
        <row r="3188">
          <cell r="A3188">
            <v>300466</v>
          </cell>
          <cell r="B3188" t="str">
            <v>CARTA COLOR SEBELYS (DESCATALOGADA)</v>
          </cell>
          <cell r="C3188" t="str">
            <v>0000000300466</v>
          </cell>
        </row>
        <row r="3189">
          <cell r="A3189">
            <v>300516</v>
          </cell>
          <cell r="B3189" t="str">
            <v>AGENDA KIN 2016</v>
          </cell>
          <cell r="C3189" t="str">
            <v>0000003005163</v>
          </cell>
        </row>
        <row r="3190">
          <cell r="A3190">
            <v>300521</v>
          </cell>
          <cell r="B3190" t="str">
            <v>CARTA COLOR KINESSENCES COLOR</v>
          </cell>
          <cell r="C3190" t="str">
            <v>0000000300521</v>
          </cell>
        </row>
        <row r="3191">
          <cell r="A3191">
            <v>300523</v>
          </cell>
          <cell r="B3191" t="str">
            <v>KINESSENCES FRAGRANCE DIFFUSER</v>
          </cell>
          <cell r="C3191" t="str">
            <v>84350570-5821-6</v>
          </cell>
        </row>
        <row r="3192">
          <cell r="A3192">
            <v>300574</v>
          </cell>
          <cell r="B3192" t="str">
            <v>KIT MALETA KINTRENDS017.</v>
          </cell>
          <cell r="C3192" t="str">
            <v>8435057058292</v>
          </cell>
        </row>
        <row r="3193">
          <cell r="A3193">
            <v>300580</v>
          </cell>
          <cell r="B3193" t="str">
            <v>EXPOSITOR KINSTYLE/KINMEN</v>
          </cell>
          <cell r="C3193" t="str">
            <v>8435057058346</v>
          </cell>
        </row>
        <row r="3194">
          <cell r="A3194">
            <v>300583</v>
          </cell>
          <cell r="B3194" t="str">
            <v>DISPLAY REVENTA KINESSENCES</v>
          </cell>
          <cell r="C3194" t="str">
            <v>8435057058384</v>
          </cell>
        </row>
        <row r="3195">
          <cell r="A3195">
            <v>300590</v>
          </cell>
          <cell r="B3195" t="str">
            <v>MARCO FOTOS KINCREM PRESTIGE</v>
          </cell>
          <cell r="C3195" t="str">
            <v>8435057058391</v>
          </cell>
        </row>
        <row r="3196">
          <cell r="A3196">
            <v>300591</v>
          </cell>
          <cell r="B3196" t="str">
            <v>KINESSENCES HAND SOAP</v>
          </cell>
          <cell r="C3196" t="str">
            <v>8435057058407</v>
          </cell>
        </row>
        <row r="3197">
          <cell r="A3197">
            <v>300594</v>
          </cell>
          <cell r="B3197" t="str">
            <v>DISPLAY KINCREM PRESTIGE</v>
          </cell>
          <cell r="C3197" t="str">
            <v>8435057058414</v>
          </cell>
        </row>
        <row r="3198">
          <cell r="A3198">
            <v>300599</v>
          </cell>
          <cell r="B3198" t="str">
            <v>LOTE MARCO FOTOS KINCREM P.</v>
          </cell>
          <cell r="C3198" t="str">
            <v>8435057058421</v>
          </cell>
        </row>
        <row r="3199">
          <cell r="A3199">
            <v>300638</v>
          </cell>
          <cell r="B3199" t="str">
            <v>GLORIFICADOR OVERNIGHT INFUSION</v>
          </cell>
          <cell r="C3199" t="str">
            <v>8435057058490</v>
          </cell>
        </row>
        <row r="3200">
          <cell r="A3200">
            <v>300675</v>
          </cell>
          <cell r="B3200" t="str">
            <v>KIT PRESENTACIÓN RUST COLLECTION</v>
          </cell>
          <cell r="C3200" t="str">
            <v>8435057014823</v>
          </cell>
        </row>
        <row r="3201">
          <cell r="A3201">
            <v>300699</v>
          </cell>
          <cell r="B3201" t="str">
            <v>PACK TOTE BAG WE LOVE HAIR</v>
          </cell>
          <cell r="C3201" t="str">
            <v>8435057014816</v>
          </cell>
        </row>
        <row r="3202">
          <cell r="A3202">
            <v>310001</v>
          </cell>
          <cell r="B3202" t="str">
            <v>LOTE NAVIDAD CAVA 3 BOT "ESP"</v>
          </cell>
          <cell r="C3202" t="str">
            <v>NALOCA</v>
          </cell>
        </row>
        <row r="3203">
          <cell r="A3203">
            <v>310001</v>
          </cell>
          <cell r="B3203" t="str">
            <v>LOTE NAVIDAD CAVA 3 BOT "ESP"</v>
          </cell>
          <cell r="C3203" t="str">
            <v>8435057098700</v>
          </cell>
        </row>
        <row r="3204">
          <cell r="A3204">
            <v>310002</v>
          </cell>
          <cell r="B3204" t="str">
            <v>LOTE NAVIDAD VARIADO</v>
          </cell>
          <cell r="C3204" t="str">
            <v>NALOVA</v>
          </cell>
        </row>
        <row r="3205">
          <cell r="A3205">
            <v>310002</v>
          </cell>
          <cell r="B3205" t="str">
            <v>LOTE NAVIDAD VARIADO</v>
          </cell>
          <cell r="C3205" t="str">
            <v>8435057098694</v>
          </cell>
        </row>
        <row r="3206">
          <cell r="A3206">
            <v>310003</v>
          </cell>
          <cell r="B3206" t="str">
            <v>BOTELLA CAVA KIN "Català"</v>
          </cell>
          <cell r="C3206" t="str">
            <v>CAKIN</v>
          </cell>
        </row>
        <row r="3207">
          <cell r="A3207">
            <v>310003</v>
          </cell>
          <cell r="B3207" t="str">
            <v>BOTELLA CAVA KIN "Català"</v>
          </cell>
          <cell r="C3207" t="str">
            <v>8435057052498</v>
          </cell>
        </row>
        <row r="3208">
          <cell r="A3208">
            <v>310004</v>
          </cell>
          <cell r="B3208" t="str">
            <v>CAMISETA STYLIUM CHICA L</v>
          </cell>
          <cell r="C3208" t="str">
            <v>CASTCAL</v>
          </cell>
        </row>
        <row r="3209">
          <cell r="A3209">
            <v>310004</v>
          </cell>
          <cell r="B3209" t="str">
            <v>CAMISETA STYLIUM CHICA L</v>
          </cell>
          <cell r="C3209" t="str">
            <v>8435057054317</v>
          </cell>
        </row>
        <row r="3210">
          <cell r="A3210">
            <v>310005</v>
          </cell>
          <cell r="B3210" t="str">
            <v>CAMISETA STYLIUM CHICA M</v>
          </cell>
          <cell r="C3210" t="str">
            <v>CASTCAM</v>
          </cell>
        </row>
        <row r="3211">
          <cell r="A3211">
            <v>310005</v>
          </cell>
          <cell r="B3211" t="str">
            <v>CAMISETA STYLIUM CHICA M</v>
          </cell>
          <cell r="C3211" t="str">
            <v>8435057054300</v>
          </cell>
        </row>
        <row r="3212">
          <cell r="A3212">
            <v>310006</v>
          </cell>
          <cell r="B3212" t="str">
            <v>CAMISETA STYLIUM CHICO L</v>
          </cell>
          <cell r="C3212" t="str">
            <v>CASTCOL</v>
          </cell>
        </row>
        <row r="3213">
          <cell r="A3213">
            <v>310006</v>
          </cell>
          <cell r="B3213" t="str">
            <v>CAMISETA STYLIUM CHICO L</v>
          </cell>
          <cell r="C3213" t="str">
            <v>8435057054324</v>
          </cell>
        </row>
        <row r="3214">
          <cell r="A3214">
            <v>310007</v>
          </cell>
          <cell r="B3214" t="str">
            <v>CAMISETA STYLIUM CHICO XL</v>
          </cell>
          <cell r="C3214" t="str">
            <v>CASTCOX</v>
          </cell>
        </row>
        <row r="3215">
          <cell r="A3215">
            <v>310007</v>
          </cell>
          <cell r="B3215" t="str">
            <v>CAMISETA STYLIUM CHICO XL</v>
          </cell>
          <cell r="C3215" t="str">
            <v>8435057054331</v>
          </cell>
        </row>
        <row r="3216">
          <cell r="A3216">
            <v>310008</v>
          </cell>
          <cell r="B3216" t="str">
            <v>BASCULA DIGITAL REDONDA</v>
          </cell>
          <cell r="C3216" t="str">
            <v>BADI</v>
          </cell>
        </row>
        <row r="3217">
          <cell r="A3217">
            <v>310008</v>
          </cell>
          <cell r="B3217" t="str">
            <v>BASCULA DIGITAL REDONDA</v>
          </cell>
          <cell r="C3217" t="str">
            <v>8435057050081</v>
          </cell>
        </row>
        <row r="3218">
          <cell r="A3218">
            <v>310009</v>
          </cell>
          <cell r="B3218" t="str">
            <v>BOLSA BANDOLERA STYLIUM</v>
          </cell>
          <cell r="C3218" t="str">
            <v>BOBAST</v>
          </cell>
        </row>
        <row r="3219">
          <cell r="A3219">
            <v>310009</v>
          </cell>
          <cell r="B3219" t="str">
            <v>BOLSA BANDOLERA STYLIUM</v>
          </cell>
          <cell r="C3219" t="str">
            <v>8435057050098</v>
          </cell>
        </row>
        <row r="3220">
          <cell r="A3220">
            <v>310010</v>
          </cell>
          <cell r="B3220" t="str">
            <v>BOL KINCREM 'KF'</v>
          </cell>
          <cell r="C3220" t="str">
            <v>BOKF</v>
          </cell>
        </row>
        <row r="3221">
          <cell r="A3221">
            <v>310010</v>
          </cell>
          <cell r="B3221" t="str">
            <v>BOL KINCREM 'KF'</v>
          </cell>
          <cell r="C3221" t="str">
            <v>BOL KINCRE "KF" LILA</v>
          </cell>
        </row>
        <row r="3222">
          <cell r="A3222">
            <v>310010</v>
          </cell>
          <cell r="B3222" t="str">
            <v>BOL KINCREM 'KF'</v>
          </cell>
          <cell r="C3222" t="str">
            <v>8435057050104</v>
          </cell>
        </row>
        <row r="3223">
          <cell r="A3223">
            <v>310011</v>
          </cell>
          <cell r="B3223" t="str">
            <v>BOLIGRAFO KIN 2008</v>
          </cell>
          <cell r="C3223" t="str">
            <v>BOLI07</v>
          </cell>
        </row>
        <row r="3224">
          <cell r="A3224">
            <v>310011</v>
          </cell>
          <cell r="B3224" t="str">
            <v>BOLIGRAFO KIN 2008</v>
          </cell>
          <cell r="C3224" t="str">
            <v>8435057052948</v>
          </cell>
        </row>
        <row r="3225">
          <cell r="A3225">
            <v>310012</v>
          </cell>
          <cell r="B3225" t="str">
            <v>KINBOOKS 2 VOLUMENES</v>
          </cell>
          <cell r="C3225" t="str">
            <v>BOOK05</v>
          </cell>
        </row>
        <row r="3226">
          <cell r="A3226">
            <v>310012</v>
          </cell>
          <cell r="B3226" t="str">
            <v>KINBOOKS 2 VOLUMENES</v>
          </cell>
          <cell r="C3226" t="str">
            <v>8435057050128</v>
          </cell>
        </row>
        <row r="3227">
          <cell r="A3227">
            <v>310013</v>
          </cell>
          <cell r="B3227" t="str">
            <v>BOLSA LUJO PAPEL KIN</v>
          </cell>
          <cell r="C3227" t="str">
            <v>BOPA08</v>
          </cell>
        </row>
        <row r="3228">
          <cell r="A3228">
            <v>310013</v>
          </cell>
          <cell r="B3228" t="str">
            <v>BOLSA LUJO PAPEL KIN</v>
          </cell>
          <cell r="C3228" t="str">
            <v>8435057052719</v>
          </cell>
        </row>
        <row r="3229">
          <cell r="A3229">
            <v>310014</v>
          </cell>
          <cell r="B3229" t="str">
            <v>BOLSA PLAYA SUNCARE 2008</v>
          </cell>
          <cell r="C3229" t="str">
            <v>BOPLSU08</v>
          </cell>
        </row>
        <row r="3230">
          <cell r="A3230">
            <v>310014</v>
          </cell>
          <cell r="B3230" t="str">
            <v>BOLSA PLAYA SUNCARE 2008</v>
          </cell>
          <cell r="C3230" t="str">
            <v>8435057052610</v>
          </cell>
        </row>
        <row r="3231">
          <cell r="A3231">
            <v>310015</v>
          </cell>
          <cell r="B3231" t="str">
            <v>BOLSA STYLIUM 06 - 20 Unidades</v>
          </cell>
          <cell r="C3231" t="str">
            <v>BOST06</v>
          </cell>
        </row>
        <row r="3232">
          <cell r="A3232">
            <v>310015</v>
          </cell>
          <cell r="B3232" t="str">
            <v>BOLSA STYLIUM 06 - 20 Unidades</v>
          </cell>
          <cell r="C3232" t="str">
            <v>8435057050135</v>
          </cell>
        </row>
        <row r="3233">
          <cell r="A3233">
            <v>310016</v>
          </cell>
          <cell r="B3233" t="str">
            <v>CAPA BICOLOR KIN GRIS - PLATA</v>
          </cell>
          <cell r="C3233" t="str">
            <v>CAKAN</v>
          </cell>
        </row>
        <row r="3234">
          <cell r="A3234">
            <v>310016</v>
          </cell>
          <cell r="B3234" t="str">
            <v>CAPA BICOLOR KIN GRIS - PLATA</v>
          </cell>
          <cell r="C3234" t="str">
            <v>8435057050234</v>
          </cell>
        </row>
        <row r="3235">
          <cell r="A3235">
            <v>310017</v>
          </cell>
          <cell r="B3235" t="str">
            <v>CAPA KINCREM 'KF' Caja 50 Unid</v>
          </cell>
          <cell r="C3235" t="str">
            <v>CAKF50</v>
          </cell>
        </row>
        <row r="3236">
          <cell r="A3236">
            <v>310017</v>
          </cell>
          <cell r="B3236" t="str">
            <v>CAPA KINCREM 'KF' Caja 50 Unid</v>
          </cell>
          <cell r="C3236" t="str">
            <v>310017</v>
          </cell>
        </row>
        <row r="3237">
          <cell r="A3237">
            <v>310017</v>
          </cell>
          <cell r="B3237" t="str">
            <v>CAPA KINCREM 'KF' Caja 50 Unid</v>
          </cell>
          <cell r="C3237" t="str">
            <v>8435057051781</v>
          </cell>
        </row>
        <row r="3238">
          <cell r="A3238">
            <v>310018</v>
          </cell>
          <cell r="B3238" t="str">
            <v>CARRITO KINCREM PRESTIGE</v>
          </cell>
          <cell r="C3238" t="str">
            <v>CAKP</v>
          </cell>
        </row>
        <row r="3239">
          <cell r="A3239">
            <v>310018</v>
          </cell>
          <cell r="B3239" t="str">
            <v>CARRITO KINCREM PRESTIGE</v>
          </cell>
          <cell r="C3239" t="str">
            <v>8435057050258</v>
          </cell>
        </row>
        <row r="3240">
          <cell r="A3240">
            <v>310019</v>
          </cell>
          <cell r="B3240" t="str">
            <v>CAPA K.PRESTIGE Bolsa 50 Unid</v>
          </cell>
          <cell r="C3240" t="str">
            <v>CAKP50</v>
          </cell>
        </row>
        <row r="3241">
          <cell r="A3241">
            <v>310019</v>
          </cell>
          <cell r="B3241" t="str">
            <v>CAPA K.PRESTIGE Bolsa 50 Unid</v>
          </cell>
          <cell r="C3241" t="str">
            <v>8435057050265</v>
          </cell>
        </row>
        <row r="3242">
          <cell r="A3242">
            <v>310020</v>
          </cell>
          <cell r="B3242" t="str">
            <v>COCTELERA KINCREM 'KF'</v>
          </cell>
          <cell r="C3242" t="str">
            <v>COKF</v>
          </cell>
        </row>
        <row r="3243">
          <cell r="A3243">
            <v>310020</v>
          </cell>
          <cell r="B3243" t="str">
            <v>COCTELERA KINCREM 'KF'</v>
          </cell>
          <cell r="C3243" t="str">
            <v>8435057050289</v>
          </cell>
        </row>
        <row r="3244">
          <cell r="A3244">
            <v>310021</v>
          </cell>
          <cell r="B3244" t="str">
            <v>COLGANTE ' LOTUS '</v>
          </cell>
          <cell r="C3244" t="str">
            <v>COLGLO</v>
          </cell>
        </row>
        <row r="3245">
          <cell r="A3245">
            <v>310021</v>
          </cell>
          <cell r="B3245" t="str">
            <v>COLGANTE ' LOTUS '</v>
          </cell>
          <cell r="C3245" t="str">
            <v>8435057054355</v>
          </cell>
        </row>
        <row r="3246">
          <cell r="A3246">
            <v>310022</v>
          </cell>
          <cell r="B3246" t="str">
            <v>DELANTAL KINCREM 'KF'</v>
          </cell>
          <cell r="C3246" t="str">
            <v>DEKF</v>
          </cell>
        </row>
        <row r="3247">
          <cell r="A3247">
            <v>310022</v>
          </cell>
          <cell r="B3247" t="str">
            <v>DELANTAL KINCREM 'KF'</v>
          </cell>
          <cell r="C3247" t="str">
            <v>8435057051934</v>
          </cell>
        </row>
        <row r="3248">
          <cell r="A3248">
            <v>310023</v>
          </cell>
          <cell r="B3248" t="str">
            <v>DOSIFICADOR APLI. KINCREM 'KF'</v>
          </cell>
          <cell r="C3248" t="str">
            <v>DOKF</v>
          </cell>
        </row>
        <row r="3249">
          <cell r="A3249">
            <v>310023</v>
          </cell>
          <cell r="B3249" t="str">
            <v>DOSIFICADOR APLI. KINCREM 'KF'</v>
          </cell>
          <cell r="C3249" t="str">
            <v>8435057050326</v>
          </cell>
        </row>
        <row r="3250">
          <cell r="A3250">
            <v>310024</v>
          </cell>
          <cell r="B3250" t="str">
            <v>MEDIDOR KINCREM 'KF'</v>
          </cell>
          <cell r="C3250" t="str">
            <v>MEKF</v>
          </cell>
        </row>
        <row r="3251">
          <cell r="A3251">
            <v>310024</v>
          </cell>
          <cell r="B3251" t="str">
            <v>MEDIDOR KINCREM 'KF'</v>
          </cell>
          <cell r="C3251" t="str">
            <v>8435057051125</v>
          </cell>
        </row>
        <row r="3252">
          <cell r="A3252">
            <v>310025</v>
          </cell>
          <cell r="B3252" t="str">
            <v>NEVERA PORTÁTIL SUNCARE</v>
          </cell>
          <cell r="C3252" t="str">
            <v>NEVESU09</v>
          </cell>
        </row>
        <row r="3253">
          <cell r="A3253">
            <v>310025</v>
          </cell>
          <cell r="B3253" t="str">
            <v>NEVERA PORTÁTIL SUNCARE</v>
          </cell>
          <cell r="C3253" t="str">
            <v>8435057053716</v>
          </cell>
        </row>
        <row r="3254">
          <cell r="A3254">
            <v>310026</v>
          </cell>
          <cell r="B3254" t="str">
            <v>PALETINA KINCREM 'KF' GRANDE</v>
          </cell>
          <cell r="C3254" t="str">
            <v>PAKFGR</v>
          </cell>
        </row>
        <row r="3255">
          <cell r="A3255">
            <v>310026</v>
          </cell>
          <cell r="B3255" t="str">
            <v>PALETINA KINCREM 'KF' GRANDE</v>
          </cell>
          <cell r="C3255" t="str">
            <v>PALETINA  "KF" GRAND</v>
          </cell>
        </row>
        <row r="3256">
          <cell r="A3256">
            <v>310026</v>
          </cell>
          <cell r="B3256" t="str">
            <v>PALETINA KINCREM 'KF' GRANDE</v>
          </cell>
          <cell r="C3256" t="str">
            <v>8435057051279</v>
          </cell>
        </row>
        <row r="3257">
          <cell r="A3257">
            <v>310027</v>
          </cell>
          <cell r="B3257" t="str">
            <v>PALETINA KINCREM 'KF' PEQUEÑA</v>
          </cell>
          <cell r="C3257" t="str">
            <v>PAKFPE</v>
          </cell>
        </row>
        <row r="3258">
          <cell r="A3258">
            <v>310027</v>
          </cell>
          <cell r="B3258" t="str">
            <v>PALETINA KINCREM 'KF' PEQUEÑA</v>
          </cell>
          <cell r="C3258" t="str">
            <v>8435057051286</v>
          </cell>
        </row>
        <row r="3259">
          <cell r="A3259">
            <v>310028</v>
          </cell>
          <cell r="B3259" t="str">
            <v>PANTALON KINPERM TALLA MEDIANA</v>
          </cell>
          <cell r="C3259" t="str">
            <v>PAKPM</v>
          </cell>
        </row>
        <row r="3260">
          <cell r="A3260">
            <v>310028</v>
          </cell>
          <cell r="B3260" t="str">
            <v>PANTALON KINPERM TALLA MEDIANA</v>
          </cell>
          <cell r="C3260" t="str">
            <v>8435057051293</v>
          </cell>
        </row>
        <row r="3261">
          <cell r="A3261">
            <v>310029</v>
          </cell>
          <cell r="B3261" t="str">
            <v>PANTALON KINPERM TALLA PEQUEÑA</v>
          </cell>
          <cell r="C3261" t="str">
            <v>PAKPP</v>
          </cell>
        </row>
        <row r="3262">
          <cell r="A3262">
            <v>310029</v>
          </cell>
          <cell r="B3262" t="str">
            <v>PANTALON KINPERM TALLA PEQUEÑA</v>
          </cell>
          <cell r="C3262" t="str">
            <v>8435057051309</v>
          </cell>
        </row>
        <row r="3263">
          <cell r="A3263">
            <v>310030</v>
          </cell>
          <cell r="B3263" t="str">
            <v>PEINE ESCARPIDOR KINCREM 'KF'</v>
          </cell>
          <cell r="C3263" t="str">
            <v>PEKF</v>
          </cell>
        </row>
        <row r="3264">
          <cell r="A3264">
            <v>310030</v>
          </cell>
          <cell r="B3264" t="str">
            <v>PEINE ESCARPIDOR KINCREM 'KF'</v>
          </cell>
          <cell r="C3264" t="str">
            <v>8435057051330</v>
          </cell>
        </row>
        <row r="3265">
          <cell r="A3265">
            <v>310031</v>
          </cell>
          <cell r="B3265" t="str">
            <v>PENDIENTES ' MAJORICA '</v>
          </cell>
          <cell r="C3265" t="str">
            <v>PENDMA</v>
          </cell>
        </row>
        <row r="3266">
          <cell r="A3266">
            <v>310031</v>
          </cell>
          <cell r="B3266" t="str">
            <v>PENDIENTES ' MAJORICA '</v>
          </cell>
          <cell r="C3266" t="str">
            <v>8435057054379</v>
          </cell>
        </row>
        <row r="3267">
          <cell r="A3267">
            <v>310032</v>
          </cell>
          <cell r="B3267" t="str">
            <v>PLANCHA ALIS. HAIRTEC TURMALIN</v>
          </cell>
          <cell r="C3267" t="str">
            <v>PLALTU</v>
          </cell>
        </row>
        <row r="3268">
          <cell r="A3268">
            <v>310032</v>
          </cell>
          <cell r="B3268" t="str">
            <v>PLANCHA ALIS. HAIRTEC TURMALIN</v>
          </cell>
          <cell r="C3268" t="str">
            <v>8435057052818</v>
          </cell>
        </row>
        <row r="3269">
          <cell r="A3269">
            <v>310033</v>
          </cell>
          <cell r="B3269" t="str">
            <v>PULSERA ' LOTUS '</v>
          </cell>
          <cell r="C3269" t="str">
            <v>PULSLO</v>
          </cell>
        </row>
        <row r="3270">
          <cell r="A3270">
            <v>310033</v>
          </cell>
          <cell r="B3270" t="str">
            <v>PULSERA ' LOTUS '</v>
          </cell>
          <cell r="C3270" t="str">
            <v>8435057054362</v>
          </cell>
        </row>
        <row r="3271">
          <cell r="A3271">
            <v>310034</v>
          </cell>
          <cell r="B3271" t="str">
            <v>BOLSA KINACTIF Paq. 20 bolsas</v>
          </cell>
          <cell r="C3271" t="str">
            <v>SCBKA</v>
          </cell>
        </row>
        <row r="3272">
          <cell r="A3272">
            <v>310034</v>
          </cell>
          <cell r="B3272" t="str">
            <v>BOLSA KINACTIF Paq. 20 bolsas</v>
          </cell>
          <cell r="C3272" t="str">
            <v>8435057051439</v>
          </cell>
        </row>
        <row r="3273">
          <cell r="A3273">
            <v>310035</v>
          </cell>
          <cell r="B3273" t="str">
            <v>BOL KINCREM PRESTIGE</v>
          </cell>
          <cell r="C3273" t="str">
            <v>SCBKP</v>
          </cell>
        </row>
        <row r="3274">
          <cell r="A3274">
            <v>310035</v>
          </cell>
          <cell r="B3274" t="str">
            <v>BOL KINCREM PRESTIGE</v>
          </cell>
          <cell r="C3274" t="str">
            <v>8435057051446</v>
          </cell>
        </row>
        <row r="3275">
          <cell r="A3275">
            <v>310036</v>
          </cell>
          <cell r="B3275" t="str">
            <v>BOL NEW COLOR GLAMOUR</v>
          </cell>
          <cell r="C3275" t="str">
            <v>SCBNG</v>
          </cell>
        </row>
        <row r="3276">
          <cell r="A3276">
            <v>310036</v>
          </cell>
          <cell r="B3276" t="str">
            <v>BOL NEW COLOR GLAMOUR</v>
          </cell>
          <cell r="C3276" t="str">
            <v>8435057051453</v>
          </cell>
        </row>
        <row r="3277">
          <cell r="A3277">
            <v>310037</v>
          </cell>
          <cell r="B3277" t="str">
            <v>DELANTAL KINCREM PRESTIGE</v>
          </cell>
          <cell r="C3277" t="str">
            <v>SCDKP</v>
          </cell>
        </row>
        <row r="3278">
          <cell r="A3278">
            <v>310037</v>
          </cell>
          <cell r="B3278" t="str">
            <v>DELANTAL KINCREM PRESTIGE</v>
          </cell>
          <cell r="C3278" t="str">
            <v>8435057051521</v>
          </cell>
        </row>
        <row r="3279">
          <cell r="A3279">
            <v>310038</v>
          </cell>
          <cell r="B3279" t="str">
            <v>DELANTAL NEW C. GLAMOUR</v>
          </cell>
          <cell r="C3279" t="str">
            <v>SCDNG</v>
          </cell>
        </row>
        <row r="3280">
          <cell r="A3280">
            <v>310038</v>
          </cell>
          <cell r="B3280" t="str">
            <v>DELANTAL NEW C. GLAMOUR</v>
          </cell>
          <cell r="C3280" t="str">
            <v>8435057051538</v>
          </cell>
        </row>
        <row r="3281">
          <cell r="A3281">
            <v>310039</v>
          </cell>
          <cell r="B3281" t="str">
            <v>PALETINA KINCREM PRESTIGE</v>
          </cell>
          <cell r="C3281" t="str">
            <v>SCPKP</v>
          </cell>
        </row>
        <row r="3282">
          <cell r="A3282">
            <v>310039</v>
          </cell>
          <cell r="B3282" t="str">
            <v>PALETINA KINCREM PRESTIGE</v>
          </cell>
          <cell r="C3282" t="str">
            <v>VA0102</v>
          </cell>
        </row>
        <row r="3283">
          <cell r="A3283">
            <v>310039</v>
          </cell>
          <cell r="B3283" t="str">
            <v>PALETINA KINCREM PRESTIGE</v>
          </cell>
          <cell r="C3283" t="str">
            <v>8435057051590</v>
          </cell>
        </row>
        <row r="3284">
          <cell r="A3284">
            <v>310040</v>
          </cell>
          <cell r="B3284" t="str">
            <v>PALETINA NEW COLOR GLAMOUR</v>
          </cell>
          <cell r="C3284" t="str">
            <v>SCPNG</v>
          </cell>
        </row>
        <row r="3285">
          <cell r="A3285">
            <v>310040</v>
          </cell>
          <cell r="B3285" t="str">
            <v>PALETINA NEW COLOR GLAMOUR</v>
          </cell>
          <cell r="C3285" t="str">
            <v>8435057051606</v>
          </cell>
        </row>
        <row r="3286">
          <cell r="A3286">
            <v>310041</v>
          </cell>
          <cell r="B3286" t="str">
            <v>TOALLA KINACTIF</v>
          </cell>
          <cell r="C3286" t="str">
            <v>SCTKA</v>
          </cell>
        </row>
        <row r="3287">
          <cell r="A3287">
            <v>310041</v>
          </cell>
          <cell r="B3287" t="str">
            <v>TOALLA KINACTIF</v>
          </cell>
          <cell r="C3287" t="str">
            <v>8435057051613</v>
          </cell>
        </row>
        <row r="3288">
          <cell r="A3288">
            <v>310042</v>
          </cell>
          <cell r="B3288" t="str">
            <v>TOALLA KINCREM PRESTIGE</v>
          </cell>
          <cell r="C3288" t="str">
            <v>SCTKP</v>
          </cell>
        </row>
        <row r="3289">
          <cell r="A3289">
            <v>310042</v>
          </cell>
          <cell r="B3289" t="str">
            <v>TOALLA KINCREM PRESTIGE</v>
          </cell>
          <cell r="C3289" t="str">
            <v>8435057051620</v>
          </cell>
        </row>
        <row r="3290">
          <cell r="A3290">
            <v>310043</v>
          </cell>
          <cell r="B3290" t="str">
            <v>TOALLA NEW COLOR GLAMOUR</v>
          </cell>
          <cell r="C3290" t="str">
            <v>SCTNG</v>
          </cell>
        </row>
        <row r="3291">
          <cell r="A3291">
            <v>310043</v>
          </cell>
          <cell r="B3291" t="str">
            <v>TOALLA NEW COLOR GLAMOUR</v>
          </cell>
          <cell r="C3291" t="str">
            <v>8435057051637</v>
          </cell>
        </row>
        <row r="3292">
          <cell r="A3292">
            <v>310044</v>
          </cell>
          <cell r="B3292" t="str">
            <v>SECADOR KIN 5000 AZUL 230 V.</v>
          </cell>
          <cell r="C3292" t="str">
            <v>SE5A2</v>
          </cell>
        </row>
        <row r="3293">
          <cell r="A3293">
            <v>310044</v>
          </cell>
          <cell r="B3293" t="str">
            <v>SECADOR KIN 5000 AZUL 230 V.</v>
          </cell>
          <cell r="C3293" t="str">
            <v>8435057051644</v>
          </cell>
        </row>
        <row r="3294">
          <cell r="A3294">
            <v>310045</v>
          </cell>
          <cell r="B3294" t="str">
            <v>SECADOR KINHAIRTEC 5000</v>
          </cell>
          <cell r="C3294" t="str">
            <v>SEHA50I</v>
          </cell>
        </row>
        <row r="3295">
          <cell r="A3295">
            <v>310045</v>
          </cell>
          <cell r="B3295" t="str">
            <v>SECADOR KINHAIRTEC 5000</v>
          </cell>
          <cell r="C3295" t="str">
            <v>8435057052979</v>
          </cell>
        </row>
        <row r="3296">
          <cell r="A3296">
            <v>310046</v>
          </cell>
          <cell r="B3296" t="str">
            <v>SECADOR DE VIAJE KIN HAIRTEC</v>
          </cell>
          <cell r="C3296" t="str">
            <v>SEHAMI</v>
          </cell>
        </row>
        <row r="3297">
          <cell r="A3297">
            <v>310046</v>
          </cell>
          <cell r="B3297" t="str">
            <v>SECADOR DE VIAJE KIN HAIRTEC</v>
          </cell>
          <cell r="C3297" t="str">
            <v>8435057054676</v>
          </cell>
        </row>
        <row r="3298">
          <cell r="A3298">
            <v>310047</v>
          </cell>
          <cell r="B3298" t="str">
            <v>CINTURON STYLIUM</v>
          </cell>
          <cell r="C3298" t="str">
            <v>STCINT</v>
          </cell>
        </row>
        <row r="3299">
          <cell r="A3299">
            <v>310047</v>
          </cell>
          <cell r="B3299" t="str">
            <v>CINTURON STYLIUM</v>
          </cell>
          <cell r="C3299" t="str">
            <v>8435057051682</v>
          </cell>
        </row>
        <row r="3300">
          <cell r="A3300">
            <v>310048</v>
          </cell>
          <cell r="B3300" t="str">
            <v>RELOJ STYLIUM</v>
          </cell>
          <cell r="C3300" t="str">
            <v>STRELO</v>
          </cell>
        </row>
        <row r="3301">
          <cell r="A3301">
            <v>310048</v>
          </cell>
          <cell r="B3301" t="str">
            <v>RELOJ STYLIUM</v>
          </cell>
          <cell r="C3301" t="str">
            <v>8435057051699</v>
          </cell>
        </row>
        <row r="3302">
          <cell r="A3302">
            <v>310049</v>
          </cell>
          <cell r="B3302" t="str">
            <v>TIJERA ESPECIAL KIN 5"</v>
          </cell>
          <cell r="C3302" t="str">
            <v>TIAP05</v>
          </cell>
        </row>
        <row r="3303">
          <cell r="A3303">
            <v>310049</v>
          </cell>
          <cell r="B3303" t="str">
            <v>TIJERA ESPECIAL KIN 5"</v>
          </cell>
          <cell r="C3303" t="str">
            <v>8435057051729</v>
          </cell>
        </row>
        <row r="3304">
          <cell r="A3304">
            <v>310050</v>
          </cell>
          <cell r="B3304" t="str">
            <v>TIJERA ESPECIAL KIN 5.5"</v>
          </cell>
          <cell r="C3304" t="str">
            <v>TIAP55</v>
          </cell>
        </row>
        <row r="3305">
          <cell r="A3305">
            <v>310050</v>
          </cell>
          <cell r="B3305" t="str">
            <v>TIJERA ESPECIAL KIN 5.5"</v>
          </cell>
          <cell r="C3305" t="str">
            <v>8435057051736</v>
          </cell>
        </row>
        <row r="3306">
          <cell r="A3306">
            <v>310051</v>
          </cell>
          <cell r="B3306" t="str">
            <v>TOALLA KINCREM 'KF'</v>
          </cell>
          <cell r="C3306" t="str">
            <v>TOKF</v>
          </cell>
        </row>
        <row r="3307">
          <cell r="A3307">
            <v>310051</v>
          </cell>
          <cell r="B3307" t="str">
            <v>TOALLA KINCREM 'KF'</v>
          </cell>
          <cell r="C3307" t="str">
            <v>8435057051767</v>
          </cell>
        </row>
        <row r="3308">
          <cell r="A3308">
            <v>310052</v>
          </cell>
          <cell r="B3308" t="str">
            <v>TOALLA PLAYA SUNCARE 2008</v>
          </cell>
          <cell r="C3308" t="str">
            <v>TOSU08</v>
          </cell>
        </row>
        <row r="3309">
          <cell r="A3309">
            <v>310052</v>
          </cell>
          <cell r="B3309" t="str">
            <v>TOALLA PLAYA SUNCARE 2008</v>
          </cell>
          <cell r="C3309" t="str">
            <v>8435057052665</v>
          </cell>
        </row>
        <row r="3310">
          <cell r="A3310">
            <v>310053</v>
          </cell>
          <cell r="B3310" t="str">
            <v>BOLSA COMPRA PLEGABLE KIN</v>
          </cell>
          <cell r="C3310" t="str">
            <v>BOCOPL</v>
          </cell>
        </row>
        <row r="3311">
          <cell r="A3311">
            <v>310053</v>
          </cell>
          <cell r="B3311" t="str">
            <v>BOLSA COMPRA PLEGABLE KIN</v>
          </cell>
          <cell r="C3311" t="str">
            <v>8435057052917</v>
          </cell>
        </row>
        <row r="3312">
          <cell r="A3312">
            <v>310054</v>
          </cell>
          <cell r="B3312" t="str">
            <v>CALENDARIO KIN 2008</v>
          </cell>
          <cell r="C3312" t="str">
            <v>CA08</v>
          </cell>
        </row>
        <row r="3313">
          <cell r="A3313">
            <v>310054</v>
          </cell>
          <cell r="B3313" t="str">
            <v>CALENDARIO KIN 2008</v>
          </cell>
          <cell r="C3313" t="str">
            <v>8435057052566</v>
          </cell>
        </row>
        <row r="3314">
          <cell r="A3314">
            <v>310055</v>
          </cell>
          <cell r="B3314" t="str">
            <v>CALENDARIO 2009</v>
          </cell>
          <cell r="C3314" t="str">
            <v>CA09</v>
          </cell>
        </row>
        <row r="3315">
          <cell r="A3315">
            <v>310055</v>
          </cell>
          <cell r="B3315" t="str">
            <v>CALENDARIO 2009</v>
          </cell>
          <cell r="C3315" t="str">
            <v>8435057053440</v>
          </cell>
        </row>
        <row r="3316">
          <cell r="A3316">
            <v>310056</v>
          </cell>
          <cell r="B3316" t="str">
            <v>CARTERA BOLSO KINHAIRTEC</v>
          </cell>
          <cell r="C3316" t="str">
            <v>CABOPE</v>
          </cell>
        </row>
        <row r="3317">
          <cell r="A3317">
            <v>310056</v>
          </cell>
          <cell r="B3317" t="str">
            <v>CARTERA BOLSO KINHAIRTEC</v>
          </cell>
          <cell r="C3317" t="str">
            <v>8435057052726</v>
          </cell>
        </row>
        <row r="3318">
          <cell r="A3318">
            <v>310057</v>
          </cell>
          <cell r="B3318" t="str">
            <v>CARRO 6 CAJONES KINHAIRTEC</v>
          </cell>
          <cell r="C3318" t="str">
            <v>CACT06</v>
          </cell>
        </row>
        <row r="3319">
          <cell r="A3319">
            <v>310057</v>
          </cell>
          <cell r="B3319" t="str">
            <v>CARRO 6 CAJONES KINHAIRTEC</v>
          </cell>
          <cell r="C3319" t="str">
            <v>8435057054102</v>
          </cell>
        </row>
        <row r="3320">
          <cell r="A3320">
            <v>310058</v>
          </cell>
          <cell r="B3320" t="str">
            <v>CARRO 5 CAJONES KINHAIRTEC</v>
          </cell>
          <cell r="C3320" t="str">
            <v>CAJA05</v>
          </cell>
        </row>
        <row r="3321">
          <cell r="A3321">
            <v>310058</v>
          </cell>
          <cell r="B3321" t="str">
            <v>CARRO 5 CAJONES KINHAIRTEC</v>
          </cell>
          <cell r="C3321" t="str">
            <v>8435057054096</v>
          </cell>
        </row>
        <row r="3322">
          <cell r="A3322">
            <v>310059</v>
          </cell>
          <cell r="B3322" t="str">
            <v>ESPEJO DOS CARAS</v>
          </cell>
          <cell r="C3322" t="str">
            <v>ESPE07</v>
          </cell>
        </row>
        <row r="3323">
          <cell r="A3323">
            <v>310059</v>
          </cell>
          <cell r="B3323" t="str">
            <v>ESPEJO DOS CARAS</v>
          </cell>
          <cell r="C3323" t="str">
            <v>8435057051958</v>
          </cell>
        </row>
        <row r="3324">
          <cell r="A3324">
            <v>310060</v>
          </cell>
          <cell r="B3324" t="str">
            <v>GPS ACER V200</v>
          </cell>
          <cell r="C3324" t="str">
            <v>GPS07</v>
          </cell>
        </row>
        <row r="3325">
          <cell r="A3325">
            <v>310060</v>
          </cell>
          <cell r="B3325" t="str">
            <v>GPS ACER V200</v>
          </cell>
          <cell r="C3325" t="str">
            <v>8435057051941</v>
          </cell>
        </row>
        <row r="3326">
          <cell r="A3326">
            <v>310061</v>
          </cell>
          <cell r="B3326" t="str">
            <v>MANTA DE VIAJE</v>
          </cell>
          <cell r="C3326" t="str">
            <v>MAVI</v>
          </cell>
        </row>
        <row r="3327">
          <cell r="A3327">
            <v>310061</v>
          </cell>
          <cell r="B3327" t="str">
            <v>MANTA DE VIAJE</v>
          </cell>
          <cell r="C3327" t="str">
            <v>8435057054584</v>
          </cell>
        </row>
        <row r="3328">
          <cell r="A3328">
            <v>310062</v>
          </cell>
          <cell r="B3328" t="str">
            <v>MP3 ZEN NANO PLUS</v>
          </cell>
          <cell r="C3328" t="str">
            <v>MP3Z</v>
          </cell>
        </row>
        <row r="3329">
          <cell r="A3329">
            <v>310062</v>
          </cell>
          <cell r="B3329" t="str">
            <v>MP3 ZEN NANO PLUS</v>
          </cell>
          <cell r="C3329" t="str">
            <v>8435057051248</v>
          </cell>
        </row>
        <row r="3330">
          <cell r="A3330">
            <v>310063</v>
          </cell>
          <cell r="B3330" t="str">
            <v>NECESER KINACTIF GRANATE</v>
          </cell>
          <cell r="C3330" t="str">
            <v>NEKAGR</v>
          </cell>
        </row>
        <row r="3331">
          <cell r="A3331">
            <v>310063</v>
          </cell>
          <cell r="B3331" t="str">
            <v>NECESER KINACTIF GRANATE</v>
          </cell>
          <cell r="C3331" t="str">
            <v>8435057051255</v>
          </cell>
        </row>
        <row r="3332">
          <cell r="A3332">
            <v>310064</v>
          </cell>
          <cell r="B3332" t="str">
            <v>NECESER SUNCARE 2006</v>
          </cell>
          <cell r="C3332" t="str">
            <v>NESU06</v>
          </cell>
        </row>
        <row r="3333">
          <cell r="A3333">
            <v>310064</v>
          </cell>
          <cell r="B3333" t="str">
            <v>NECESER SUNCARE 2006</v>
          </cell>
          <cell r="C3333" t="str">
            <v>8435057051262</v>
          </cell>
        </row>
        <row r="3334">
          <cell r="A3334">
            <v>310065</v>
          </cell>
          <cell r="B3334" t="str">
            <v>PARAGUAS KINACTIF</v>
          </cell>
          <cell r="C3334" t="str">
            <v>PARA05</v>
          </cell>
        </row>
        <row r="3335">
          <cell r="A3335">
            <v>310065</v>
          </cell>
          <cell r="B3335" t="str">
            <v>PARAGUAS KINACTIF</v>
          </cell>
          <cell r="C3335" t="str">
            <v>8435057051316</v>
          </cell>
        </row>
        <row r="3336">
          <cell r="A3336">
            <v>310066</v>
          </cell>
          <cell r="B3336" t="str">
            <v>PAREO SUNCARE 2006</v>
          </cell>
          <cell r="C3336" t="str">
            <v>PASU06</v>
          </cell>
        </row>
        <row r="3337">
          <cell r="A3337">
            <v>310066</v>
          </cell>
          <cell r="B3337" t="str">
            <v>PAREO SUNCARE 2006</v>
          </cell>
          <cell r="C3337" t="str">
            <v>8435057051323</v>
          </cell>
        </row>
        <row r="3338">
          <cell r="A3338">
            <v>310067</v>
          </cell>
          <cell r="B3338" t="str">
            <v>MINI-RADIO SCAN</v>
          </cell>
          <cell r="C3338" t="str">
            <v>RAMISC</v>
          </cell>
        </row>
        <row r="3339">
          <cell r="A3339">
            <v>310067</v>
          </cell>
          <cell r="B3339" t="str">
            <v>MINI-RADIO SCAN</v>
          </cell>
          <cell r="C3339" t="str">
            <v>8435057051415</v>
          </cell>
        </row>
        <row r="3340">
          <cell r="A3340">
            <v>310068</v>
          </cell>
          <cell r="B3340" t="str">
            <v>TIJERA KIN FORJADO 314 5'</v>
          </cell>
          <cell r="C3340" t="str">
            <v>TIFO05</v>
          </cell>
        </row>
        <row r="3341">
          <cell r="A3341">
            <v>310068</v>
          </cell>
          <cell r="B3341" t="str">
            <v>TIJERA KIN FORJADO 314 5'</v>
          </cell>
          <cell r="C3341" t="str">
            <v>8435057051743</v>
          </cell>
        </row>
        <row r="3342">
          <cell r="A3342">
            <v>310069</v>
          </cell>
          <cell r="B3342" t="str">
            <v>TIJERA KIN FORJADO 314 5.5'</v>
          </cell>
          <cell r="C3342" t="str">
            <v>TIFO55</v>
          </cell>
        </row>
        <row r="3343">
          <cell r="A3343">
            <v>310069</v>
          </cell>
          <cell r="B3343" t="str">
            <v>TIJERA KIN FORJADO 314 5.5'</v>
          </cell>
          <cell r="C3343" t="str">
            <v>8435057051750</v>
          </cell>
        </row>
        <row r="3344">
          <cell r="A3344">
            <v>310070</v>
          </cell>
          <cell r="B3344" t="str">
            <v>CARPETA KIN</v>
          </cell>
          <cell r="C3344" t="str">
            <v>CARP07</v>
          </cell>
        </row>
        <row r="3345">
          <cell r="A3345">
            <v>310070</v>
          </cell>
          <cell r="B3345" t="str">
            <v>CARPETA KIN</v>
          </cell>
          <cell r="C3345" t="str">
            <v>8435057052573</v>
          </cell>
        </row>
        <row r="3346">
          <cell r="A3346">
            <v>310071</v>
          </cell>
          <cell r="B3346" t="str">
            <v>SUBCARPETA KIN</v>
          </cell>
          <cell r="C3346" t="str">
            <v>SUCA07</v>
          </cell>
        </row>
        <row r="3347">
          <cell r="A3347">
            <v>310071</v>
          </cell>
          <cell r="B3347" t="str">
            <v>SUBCARPETA KIN</v>
          </cell>
          <cell r="C3347" t="str">
            <v>8435057052580</v>
          </cell>
        </row>
        <row r="3348">
          <cell r="A3348">
            <v>310072</v>
          </cell>
          <cell r="B3348" t="str">
            <v>NECESER KINMEN NEGRO</v>
          </cell>
          <cell r="C3348" t="str">
            <v>NEKMNE</v>
          </cell>
        </row>
        <row r="3349">
          <cell r="A3349">
            <v>310072</v>
          </cell>
          <cell r="B3349" t="str">
            <v>NECESER KINMEN NEGRO</v>
          </cell>
          <cell r="C3349" t="str">
            <v>8435057054768</v>
          </cell>
        </row>
        <row r="3350">
          <cell r="A3350">
            <v>310073</v>
          </cell>
          <cell r="B3350" t="str">
            <v>PLANCHA KINHAIRTEC_NANO SILVER</v>
          </cell>
          <cell r="C3350" t="str">
            <v>PLKIHA</v>
          </cell>
        </row>
        <row r="3351">
          <cell r="A3351">
            <v>310073</v>
          </cell>
          <cell r="B3351" t="str">
            <v>PLANCHA KINHAIRTEC_NANO SILVER</v>
          </cell>
          <cell r="C3351" t="str">
            <v>8435057055000</v>
          </cell>
        </row>
        <row r="3352">
          <cell r="A3352">
            <v>310074</v>
          </cell>
          <cell r="B3352" t="str">
            <v>CARPETA KIN CORPORATIVA</v>
          </cell>
          <cell r="C3352" t="str">
            <v>CACO09</v>
          </cell>
        </row>
        <row r="3353">
          <cell r="A3353">
            <v>310074</v>
          </cell>
          <cell r="B3353" t="str">
            <v>CARPETA KIN CORPORATIVA</v>
          </cell>
          <cell r="C3353" t="str">
            <v>8435057054911</v>
          </cell>
        </row>
        <row r="3354">
          <cell r="A3354">
            <v>310075</v>
          </cell>
          <cell r="B3354" t="str">
            <v>BOLSA LUJO PAPEL 2009</v>
          </cell>
          <cell r="C3354" t="str">
            <v>BOPA09</v>
          </cell>
        </row>
        <row r="3355">
          <cell r="A3355">
            <v>310075</v>
          </cell>
          <cell r="B3355" t="str">
            <v>BOLSA LUJO PAPEL 2009</v>
          </cell>
          <cell r="C3355" t="str">
            <v>8435057054997</v>
          </cell>
        </row>
        <row r="3356">
          <cell r="A3356">
            <v>310076</v>
          </cell>
          <cell r="B3356" t="str">
            <v>PLANCHA KINHAIRTEC USA</v>
          </cell>
          <cell r="C3356" t="str">
            <v>PLKIHEA</v>
          </cell>
        </row>
        <row r="3357">
          <cell r="A3357">
            <v>310076</v>
          </cell>
          <cell r="B3357" t="str">
            <v>PLANCHA KINHAIRTEC USA</v>
          </cell>
          <cell r="C3357" t="str">
            <v>8435057055178</v>
          </cell>
        </row>
        <row r="3358">
          <cell r="A3358">
            <v>310077</v>
          </cell>
          <cell r="B3358" t="str">
            <v>BOLSA KIN "BIODEGRADABLE"</v>
          </cell>
          <cell r="C3358" t="str">
            <v>BOKC09</v>
          </cell>
        </row>
        <row r="3359">
          <cell r="A3359">
            <v>310077</v>
          </cell>
          <cell r="B3359" t="str">
            <v>BOLSA KIN "BIODEGRADABLE"</v>
          </cell>
          <cell r="C3359" t="str">
            <v>ASA TROQ.OXO 30*40</v>
          </cell>
        </row>
        <row r="3360">
          <cell r="A3360">
            <v>310077</v>
          </cell>
          <cell r="B3360" t="str">
            <v>BOLSA KIN "BIODEGRADABLE"</v>
          </cell>
          <cell r="C3360" t="str">
            <v>G-300 IMPRESAS</v>
          </cell>
        </row>
        <row r="3361">
          <cell r="A3361">
            <v>310077</v>
          </cell>
          <cell r="B3361" t="str">
            <v>BOLSA KIN "BIODEGRADABLE"</v>
          </cell>
          <cell r="C3361" t="str">
            <v>8435057055222</v>
          </cell>
        </row>
        <row r="3362">
          <cell r="A3362">
            <v>310079</v>
          </cell>
          <cell r="B3362" t="str">
            <v>SECADOR IONICO KINHAIRTEC 220V</v>
          </cell>
          <cell r="C3362" t="str">
            <v>SEIOKH</v>
          </cell>
        </row>
        <row r="3363">
          <cell r="A3363">
            <v>310079</v>
          </cell>
          <cell r="B3363" t="str">
            <v>SECADOR IONICO KINHAIRTEC 220V</v>
          </cell>
          <cell r="C3363" t="str">
            <v>8435057056465</v>
          </cell>
        </row>
        <row r="3364">
          <cell r="A3364">
            <v>310080</v>
          </cell>
          <cell r="B3364" t="str">
            <v>TOALLA PAREO SUNCARE</v>
          </cell>
          <cell r="C3364" t="str">
            <v>TOPASU10</v>
          </cell>
        </row>
        <row r="3365">
          <cell r="A3365">
            <v>310080</v>
          </cell>
          <cell r="B3365" t="str">
            <v>TOALLA PAREO SUNCARE</v>
          </cell>
          <cell r="C3365" t="str">
            <v>8435057056014</v>
          </cell>
        </row>
        <row r="3366">
          <cell r="A3366">
            <v>310081</v>
          </cell>
          <cell r="B3366" t="str">
            <v>BOLSA REVENTA LUJO 2010</v>
          </cell>
          <cell r="C3366" t="str">
            <v>8435057056229</v>
          </cell>
        </row>
        <row r="3367">
          <cell r="A3367">
            <v>310082</v>
          </cell>
          <cell r="B3367" t="str">
            <v>TOALLA PELUQUERÍA KIN BLANCA</v>
          </cell>
          <cell r="C3367" t="str">
            <v>TOALLA BLANCA 50*90</v>
          </cell>
        </row>
        <row r="3368">
          <cell r="A3368">
            <v>310082</v>
          </cell>
          <cell r="B3368" t="str">
            <v>TOALLA PELUQUERÍA KIN BLANCA</v>
          </cell>
          <cell r="C3368" t="str">
            <v>8435057056298</v>
          </cell>
        </row>
        <row r="3369">
          <cell r="A3369">
            <v>310083</v>
          </cell>
          <cell r="B3369" t="str">
            <v>TOALLA PELUQUERÍA KIN NEGRA</v>
          </cell>
          <cell r="C3369" t="str">
            <v>TOALLA NEGRA 50*90</v>
          </cell>
        </row>
        <row r="3370">
          <cell r="A3370">
            <v>310083</v>
          </cell>
          <cell r="B3370" t="str">
            <v>TOALLA PELUQUERÍA KIN NEGRA</v>
          </cell>
          <cell r="C3370" t="str">
            <v>8435057056304</v>
          </cell>
        </row>
        <row r="3371">
          <cell r="A3371">
            <v>310084</v>
          </cell>
          <cell r="B3371" t="str">
            <v>PASHMINA PRINT ANIMAL</v>
          </cell>
          <cell r="C3371" t="str">
            <v>8435057056311</v>
          </cell>
        </row>
        <row r="3372">
          <cell r="A3372">
            <v>310085</v>
          </cell>
          <cell r="B3372" t="str">
            <v>SECADOR IONICO KINHAIRTEC 110V</v>
          </cell>
          <cell r="C3372" t="str">
            <v>8435057056434</v>
          </cell>
        </row>
        <row r="3373">
          <cell r="A3373">
            <v>310086</v>
          </cell>
          <cell r="B3373" t="str">
            <v>CAMISETA BIELORRUSIA</v>
          </cell>
          <cell r="C3373" t="str">
            <v>8435057056502</v>
          </cell>
        </row>
        <row r="3374">
          <cell r="A3374">
            <v>310087</v>
          </cell>
          <cell r="B3374" t="str">
            <v>CAPA CORTE  KIN " BLANCA "</v>
          </cell>
          <cell r="C3374" t="str">
            <v>8435057056472</v>
          </cell>
        </row>
        <row r="3375">
          <cell r="A3375">
            <v>310088</v>
          </cell>
          <cell r="B3375" t="str">
            <v>CAPA CORTE KIN NEGRA</v>
          </cell>
          <cell r="C3375" t="str">
            <v>8435057056489</v>
          </cell>
        </row>
        <row r="3376">
          <cell r="A3376">
            <v>310089</v>
          </cell>
          <cell r="B3376" t="str">
            <v>BOLIGRAFO KIN 2010</v>
          </cell>
          <cell r="C3376" t="str">
            <v>8435057056496</v>
          </cell>
        </row>
        <row r="3377">
          <cell r="A3377">
            <v>310090</v>
          </cell>
          <cell r="B3377" t="str">
            <v>DELANTAL STRECH KIN "Negro"</v>
          </cell>
          <cell r="C3377" t="str">
            <v>8435057056519</v>
          </cell>
        </row>
        <row r="3378">
          <cell r="A3378">
            <v>310091</v>
          </cell>
          <cell r="B3378" t="str">
            <v>KIMONO NEGRO</v>
          </cell>
          <cell r="C3378" t="str">
            <v>8435057056526</v>
          </cell>
        </row>
        <row r="3379">
          <cell r="A3379">
            <v>310092</v>
          </cell>
          <cell r="B3379" t="str">
            <v>CAMISETA DEPARTAMENTO TECNICO</v>
          </cell>
          <cell r="C3379" t="str">
            <v>310092</v>
          </cell>
        </row>
        <row r="3380">
          <cell r="A3380">
            <v>310093</v>
          </cell>
          <cell r="B3380" t="str">
            <v>MUESTRA CAMISETA MANGA LARGA</v>
          </cell>
          <cell r="C3380" t="str">
            <v>310093</v>
          </cell>
        </row>
        <row r="3381">
          <cell r="A3381">
            <v>310094</v>
          </cell>
          <cell r="B3381" t="str">
            <v>RELOJ VERANO KIN "AZUL"</v>
          </cell>
          <cell r="C3381" t="str">
            <v>8435057056595</v>
          </cell>
        </row>
        <row r="3382">
          <cell r="A3382">
            <v>310095</v>
          </cell>
          <cell r="B3382" t="str">
            <v>RELOJ VERANO KIN "LILA"</v>
          </cell>
          <cell r="C3382" t="str">
            <v>8435057056601</v>
          </cell>
        </row>
        <row r="3383">
          <cell r="A3383">
            <v>310096</v>
          </cell>
          <cell r="B3383" t="str">
            <v>RELOJ VERANO KIN "AMARILLO"</v>
          </cell>
          <cell r="C3383" t="str">
            <v>8435057056618</v>
          </cell>
        </row>
        <row r="3384">
          <cell r="A3384">
            <v>310097</v>
          </cell>
          <cell r="B3384" t="str">
            <v>RELOJ VERANO KIN "ROSA"</v>
          </cell>
          <cell r="C3384" t="str">
            <v>8435057056625</v>
          </cell>
        </row>
        <row r="3385">
          <cell r="A3385">
            <v>310098</v>
          </cell>
          <cell r="B3385" t="str">
            <v>RELOJ VERANO KIN "ROJO"</v>
          </cell>
          <cell r="C3385" t="str">
            <v>8435057056632</v>
          </cell>
        </row>
        <row r="3386">
          <cell r="A3386">
            <v>310099</v>
          </cell>
          <cell r="B3386" t="str">
            <v>TIJERA ARTERO PRO 7"</v>
          </cell>
          <cell r="C3386" t="str">
            <v>310099</v>
          </cell>
        </row>
        <row r="3387">
          <cell r="A3387">
            <v>310100</v>
          </cell>
          <cell r="B3387" t="str">
            <v>CARPETA "4 Anelles"</v>
          </cell>
          <cell r="C3387" t="str">
            <v>8435057056755</v>
          </cell>
        </row>
        <row r="3388">
          <cell r="A3388">
            <v>310101</v>
          </cell>
          <cell r="B3388" t="str">
            <v>CAMISETA LISA "Talla M"</v>
          </cell>
          <cell r="C3388" t="str">
            <v>8435057056762</v>
          </cell>
        </row>
        <row r="3389">
          <cell r="A3389">
            <v>310102</v>
          </cell>
          <cell r="B3389" t="str">
            <v>CAMISETA LISA "Talla L"</v>
          </cell>
          <cell r="C3389" t="str">
            <v>8435057056779</v>
          </cell>
        </row>
        <row r="3390">
          <cell r="A3390">
            <v>310103</v>
          </cell>
          <cell r="B3390" t="str">
            <v>CAMISETA LISA "Talla XL"</v>
          </cell>
          <cell r="C3390" t="str">
            <v>8435057056786</v>
          </cell>
        </row>
        <row r="3391">
          <cell r="A3391">
            <v>310104</v>
          </cell>
          <cell r="B3391" t="str">
            <v>VESTIDO MARGOT "Talla M"</v>
          </cell>
          <cell r="C3391" t="str">
            <v>8435057056793</v>
          </cell>
        </row>
        <row r="3392">
          <cell r="A3392">
            <v>310105</v>
          </cell>
          <cell r="B3392" t="str">
            <v>VESTIDO MARGOT "Talla L"</v>
          </cell>
          <cell r="C3392" t="str">
            <v>8435057056809</v>
          </cell>
        </row>
        <row r="3393">
          <cell r="A3393">
            <v>310106</v>
          </cell>
          <cell r="B3393" t="str">
            <v>VESTIDO MARGOT "Talla XL"</v>
          </cell>
          <cell r="C3393" t="str">
            <v>8435057056816</v>
          </cell>
        </row>
        <row r="3394">
          <cell r="A3394">
            <v>310107</v>
          </cell>
          <cell r="B3394" t="str">
            <v>CAMISETA HANNA "Talla M"</v>
          </cell>
          <cell r="C3394" t="str">
            <v>8435057056823</v>
          </cell>
        </row>
        <row r="3395">
          <cell r="A3395">
            <v>310108</v>
          </cell>
          <cell r="B3395" t="str">
            <v>CAMISETA HANNA "Talla L"</v>
          </cell>
          <cell r="C3395" t="str">
            <v>8435057056830</v>
          </cell>
        </row>
        <row r="3396">
          <cell r="A3396">
            <v>310109</v>
          </cell>
          <cell r="B3396" t="str">
            <v>CAMISETA HANNA "Talla XL"</v>
          </cell>
          <cell r="C3396" t="str">
            <v>8435057056984</v>
          </cell>
        </row>
        <row r="3397">
          <cell r="A3397">
            <v>310111</v>
          </cell>
          <cell r="B3397" t="str">
            <v>BATA HELENA "Talla M"</v>
          </cell>
          <cell r="C3397" t="str">
            <v>8435057056847</v>
          </cell>
        </row>
        <row r="3398">
          <cell r="A3398">
            <v>310112</v>
          </cell>
          <cell r="B3398" t="str">
            <v>BATA HELENA "Talla L"</v>
          </cell>
          <cell r="C3398" t="str">
            <v>8435057056854</v>
          </cell>
        </row>
        <row r="3399">
          <cell r="A3399">
            <v>310113</v>
          </cell>
          <cell r="B3399" t="str">
            <v>BATA HELENA "Talla XL"</v>
          </cell>
          <cell r="C3399" t="str">
            <v>8435057056861</v>
          </cell>
        </row>
        <row r="3400">
          <cell r="A3400">
            <v>310114</v>
          </cell>
          <cell r="B3400" t="str">
            <v>LEGGIN OLIVIA "Talla S"</v>
          </cell>
          <cell r="C3400" t="str">
            <v>8435057056878</v>
          </cell>
        </row>
        <row r="3401">
          <cell r="A3401">
            <v>310115</v>
          </cell>
          <cell r="B3401" t="str">
            <v>LEGGIN OLIVIA "Talla M"</v>
          </cell>
          <cell r="C3401" t="str">
            <v>8435057056885</v>
          </cell>
        </row>
        <row r="3402">
          <cell r="A3402">
            <v>310116</v>
          </cell>
          <cell r="B3402" t="str">
            <v>LEGGIN OLIVIA "Talla L"</v>
          </cell>
          <cell r="C3402" t="str">
            <v>8435057056892</v>
          </cell>
        </row>
        <row r="3403">
          <cell r="A3403">
            <v>310117</v>
          </cell>
          <cell r="B3403" t="str">
            <v>LEGGIN OLIVIA "Talla XL"</v>
          </cell>
          <cell r="C3403" t="str">
            <v>8435057056908</v>
          </cell>
        </row>
        <row r="3404">
          <cell r="A3404">
            <v>310118</v>
          </cell>
          <cell r="B3404" t="str">
            <v>BOMBACHO LAUREN "Talla S" -15</v>
          </cell>
          <cell r="C3404" t="str">
            <v>8435057056915</v>
          </cell>
        </row>
        <row r="3405">
          <cell r="A3405">
            <v>310119</v>
          </cell>
          <cell r="B3405" t="str">
            <v>BOMBACHO LAUREN "Talla M"-15</v>
          </cell>
          <cell r="C3405" t="str">
            <v>8435057056922</v>
          </cell>
        </row>
        <row r="3406">
          <cell r="A3406">
            <v>310120</v>
          </cell>
          <cell r="B3406" t="str">
            <v>BOMBACHO LAUREN "Talla L"-15</v>
          </cell>
          <cell r="C3406" t="str">
            <v>8435057056939</v>
          </cell>
        </row>
        <row r="3407">
          <cell r="A3407">
            <v>310121</v>
          </cell>
          <cell r="B3407" t="str">
            <v>BOMBACHO LAUREN  "Talla XL -15</v>
          </cell>
          <cell r="C3407" t="str">
            <v>8435057056946</v>
          </cell>
        </row>
        <row r="3408">
          <cell r="A3408">
            <v>310122</v>
          </cell>
          <cell r="B3408" t="str">
            <v>CAMISETA CHICO JOSS "Talla M"</v>
          </cell>
          <cell r="C3408" t="str">
            <v>8435057056953</v>
          </cell>
        </row>
        <row r="3409">
          <cell r="A3409">
            <v>310123</v>
          </cell>
          <cell r="B3409" t="str">
            <v>CAMISETA CHICO JOSS "Talla L"</v>
          </cell>
          <cell r="C3409" t="str">
            <v>8435057056960</v>
          </cell>
        </row>
        <row r="3410">
          <cell r="A3410">
            <v>310124</v>
          </cell>
          <cell r="B3410" t="str">
            <v>CAMISETA CHICO JOSS "Talla XL"</v>
          </cell>
          <cell r="C3410" t="str">
            <v>8435057056977</v>
          </cell>
        </row>
        <row r="3411">
          <cell r="A3411">
            <v>310125</v>
          </cell>
          <cell r="B3411" t="str">
            <v>SECADOR KINHAIRTEC "Limited</v>
          </cell>
          <cell r="C3411" t="str">
            <v>8435057056991</v>
          </cell>
        </row>
        <row r="3412">
          <cell r="A3412">
            <v>310126</v>
          </cell>
          <cell r="B3412" t="str">
            <v>CAPA "KIN"  Caja 50 Unid</v>
          </cell>
          <cell r="C3412" t="str">
            <v>8435057057004</v>
          </cell>
        </row>
        <row r="3413">
          <cell r="A3413">
            <v>310127</v>
          </cell>
          <cell r="B3413" t="str">
            <v>COLLAR ETNICO XXL</v>
          </cell>
          <cell r="C3413" t="str">
            <v>8435057057097</v>
          </cell>
        </row>
        <row r="3414">
          <cell r="A3414">
            <v>310128</v>
          </cell>
          <cell r="B3414" t="str">
            <v>PULSERA PROMO 2010</v>
          </cell>
          <cell r="C3414" t="str">
            <v>8435057057103</v>
          </cell>
        </row>
        <row r="3415">
          <cell r="A3415">
            <v>310130</v>
          </cell>
          <cell r="B3415" t="str">
            <v>PLANCHA KH COMPACT "BAMBOO"</v>
          </cell>
          <cell r="C3415" t="str">
            <v>8435057057240</v>
          </cell>
        </row>
        <row r="3416">
          <cell r="A3416">
            <v>310131</v>
          </cell>
          <cell r="B3416" t="str">
            <v>PLANCHA KINHAIRTEC "TITANIUM"</v>
          </cell>
          <cell r="C3416" t="str">
            <v>8435057057257</v>
          </cell>
        </row>
        <row r="3417">
          <cell r="A3417">
            <v>310132</v>
          </cell>
          <cell r="B3417" t="str">
            <v>LOTE  NAVIDAD CAVA 2 BOTELLAS</v>
          </cell>
          <cell r="C3417" t="str">
            <v>8435057057769</v>
          </cell>
        </row>
        <row r="3418">
          <cell r="A3418">
            <v>310133</v>
          </cell>
          <cell r="B3418" t="str">
            <v>BOTELLA CAVA KIN "Castellà"</v>
          </cell>
          <cell r="C3418" t="str">
            <v>8435057057776</v>
          </cell>
        </row>
        <row r="3419">
          <cell r="A3419">
            <v>310134</v>
          </cell>
          <cell r="B3419" t="str">
            <v>LOT NADAL CAVA 3 BOT. "CAT"</v>
          </cell>
          <cell r="C3419" t="str">
            <v>8435057057783</v>
          </cell>
        </row>
        <row r="3420">
          <cell r="A3420">
            <v>310135</v>
          </cell>
          <cell r="B3420" t="str">
            <v>CAMISETA HANNA LARGA "Talla M"</v>
          </cell>
          <cell r="C3420" t="str">
            <v>8435057057790</v>
          </cell>
        </row>
        <row r="3421">
          <cell r="A3421">
            <v>310136</v>
          </cell>
          <cell r="B3421" t="str">
            <v>CAMISETA HANNA LARGA "Talla L"</v>
          </cell>
          <cell r="C3421" t="str">
            <v>8435057057806</v>
          </cell>
        </row>
        <row r="3422">
          <cell r="A3422">
            <v>310137</v>
          </cell>
          <cell r="B3422" t="str">
            <v>CAMISETA HANNA LARGA"Talla XL"</v>
          </cell>
          <cell r="C3422" t="str">
            <v>8435057057813</v>
          </cell>
        </row>
        <row r="3423">
          <cell r="A3423">
            <v>310138</v>
          </cell>
          <cell r="B3423" t="str">
            <v>VESTIDO MARGOT M.LARG"Talla M"</v>
          </cell>
          <cell r="C3423" t="str">
            <v>8435057057820</v>
          </cell>
        </row>
        <row r="3424">
          <cell r="A3424">
            <v>310139</v>
          </cell>
          <cell r="B3424" t="str">
            <v>VESTIDO MARGOT M.LARG"Talla L"</v>
          </cell>
          <cell r="C3424" t="str">
            <v>8435057057837</v>
          </cell>
        </row>
        <row r="3425">
          <cell r="A3425">
            <v>310140</v>
          </cell>
          <cell r="B3425" t="str">
            <v>VESTIDO MARGOT M.LAR"Talla XL"</v>
          </cell>
          <cell r="C3425" t="str">
            <v>8435057057844</v>
          </cell>
        </row>
        <row r="3426">
          <cell r="A3426">
            <v>310141</v>
          </cell>
          <cell r="B3426" t="str">
            <v>DELANTAL "QUEEN"</v>
          </cell>
          <cell r="C3426" t="str">
            <v>8435057057868</v>
          </cell>
        </row>
        <row r="3427">
          <cell r="A3427">
            <v>310142</v>
          </cell>
          <cell r="B3427" t="str">
            <v>METROPOLI COLLECTION</v>
          </cell>
          <cell r="C3427" t="str">
            <v>8435057057974</v>
          </cell>
        </row>
        <row r="3428">
          <cell r="A3428">
            <v>310143</v>
          </cell>
          <cell r="B3428" t="str">
            <v>BOLSA FLUOR "VIOLETA"</v>
          </cell>
          <cell r="C3428" t="str">
            <v>310143</v>
          </cell>
        </row>
        <row r="3429">
          <cell r="A3429">
            <v>310144</v>
          </cell>
          <cell r="B3429" t="str">
            <v>BOLSA FLUOR "VERDE LIMA"</v>
          </cell>
          <cell r="C3429" t="str">
            <v>310144</v>
          </cell>
        </row>
        <row r="3430">
          <cell r="A3430">
            <v>310145</v>
          </cell>
          <cell r="B3430" t="str">
            <v>BOLSA FLUOR "FUCSIA"</v>
          </cell>
          <cell r="C3430" t="str">
            <v>310145</v>
          </cell>
        </row>
        <row r="3431">
          <cell r="A3431">
            <v>310146</v>
          </cell>
          <cell r="B3431" t="str">
            <v>BOLIGRAFO KIN 2015</v>
          </cell>
          <cell r="C3431" t="str">
            <v>310146</v>
          </cell>
        </row>
        <row r="3432">
          <cell r="A3432">
            <v>310147</v>
          </cell>
          <cell r="B3432" t="str">
            <v>PALETINA COLORACIÓN GRANDE KIN</v>
          </cell>
          <cell r="C3432" t="str">
            <v>0000000310147</v>
          </cell>
        </row>
        <row r="3433">
          <cell r="A3433">
            <v>310148</v>
          </cell>
          <cell r="B3433" t="str">
            <v>BOL COLORACIÓN KIN</v>
          </cell>
          <cell r="C3433" t="str">
            <v>0000000310148</v>
          </cell>
        </row>
        <row r="3434">
          <cell r="A3434">
            <v>310149</v>
          </cell>
          <cell r="B3434" t="str">
            <v>BOLA DE NAVIDAD 2011</v>
          </cell>
          <cell r="C3434" t="str">
            <v>0000000310149</v>
          </cell>
        </row>
        <row r="3435">
          <cell r="A3435">
            <v>310150</v>
          </cell>
          <cell r="B3435" t="str">
            <v>URNA KIN</v>
          </cell>
          <cell r="C3435" t="str">
            <v>0000000310150</v>
          </cell>
        </row>
        <row r="3436">
          <cell r="A3436">
            <v>310151</v>
          </cell>
          <cell r="B3436" t="str">
            <v>SOPORTE  METACRILATO "Din A4"</v>
          </cell>
          <cell r="C3436" t="str">
            <v>0000000310151</v>
          </cell>
        </row>
        <row r="3437">
          <cell r="A3437">
            <v>310153</v>
          </cell>
          <cell r="B3437" t="str">
            <v>LOTE NAVIDAD CAVA 1 BOTELLA</v>
          </cell>
          <cell r="C3437" t="str">
            <v>310153</v>
          </cell>
        </row>
        <row r="3438">
          <cell r="A3438">
            <v>310155</v>
          </cell>
          <cell r="B3438" t="str">
            <v>BOLSA REVENTA KIN</v>
          </cell>
          <cell r="C3438" t="str">
            <v>0000000310155</v>
          </cell>
        </row>
        <row r="3439">
          <cell r="A3439">
            <v>310156</v>
          </cell>
          <cell r="B3439" t="str">
            <v>LAPIZ DE MADERA "KIN"</v>
          </cell>
          <cell r="C3439" t="str">
            <v>310156</v>
          </cell>
        </row>
        <row r="3440">
          <cell r="A3440">
            <v>310159</v>
          </cell>
          <cell r="B3440" t="str">
            <v>CAMISETA J. DALMAU Mujer (M)</v>
          </cell>
          <cell r="C3440" t="str">
            <v>0000000310159</v>
          </cell>
        </row>
        <row r="3441">
          <cell r="A3441">
            <v>310160</v>
          </cell>
          <cell r="B3441" t="str">
            <v>CAMISETA J. DALMAU Polyest (L)</v>
          </cell>
          <cell r="C3441" t="str">
            <v>0000000310160</v>
          </cell>
        </row>
        <row r="3442">
          <cell r="A3442">
            <v>310161</v>
          </cell>
          <cell r="B3442" t="str">
            <v>PANTALON KIN By J. DALMAU (M)</v>
          </cell>
          <cell r="C3442" t="str">
            <v>0000000310161</v>
          </cell>
        </row>
        <row r="3443">
          <cell r="A3443">
            <v>310162</v>
          </cell>
          <cell r="B3443" t="str">
            <v>PANTALON KIN By J. DALMAU (L)</v>
          </cell>
          <cell r="C3443" t="str">
            <v>0000000310162</v>
          </cell>
        </row>
        <row r="3444">
          <cell r="A3444">
            <v>310163</v>
          </cell>
          <cell r="B3444" t="str">
            <v>DELANTAL "KIN"</v>
          </cell>
          <cell r="C3444" t="str">
            <v>0000003101636</v>
          </cell>
        </row>
        <row r="3445">
          <cell r="A3445">
            <v>310164</v>
          </cell>
          <cell r="B3445" t="str">
            <v>BOLSA PLÁSTICO KIN</v>
          </cell>
          <cell r="C3445" t="str">
            <v>0000000310164</v>
          </cell>
        </row>
        <row r="3446">
          <cell r="A3446">
            <v>310165</v>
          </cell>
          <cell r="B3446" t="str">
            <v>CHRISTMAS BELL 2012</v>
          </cell>
          <cell r="C3446" t="str">
            <v>8435057009386</v>
          </cell>
        </row>
        <row r="3447">
          <cell r="A3447">
            <v>310166</v>
          </cell>
          <cell r="B3447" t="str">
            <v>CAMISETA J. DALMAU Mujer (M)</v>
          </cell>
          <cell r="C3447" t="str">
            <v>0000000310166</v>
          </cell>
        </row>
        <row r="3448">
          <cell r="A3448">
            <v>310167</v>
          </cell>
          <cell r="B3448" t="str">
            <v>CAMISETA J. DALMAU Mujer (L)</v>
          </cell>
          <cell r="C3448" t="str">
            <v>0000000310167</v>
          </cell>
        </row>
        <row r="3449">
          <cell r="A3449">
            <v>310168</v>
          </cell>
          <cell r="B3449" t="str">
            <v>CAMISETA J. DALMAU Hombre (L)</v>
          </cell>
          <cell r="C3449" t="str">
            <v>0000000310168</v>
          </cell>
        </row>
        <row r="3450">
          <cell r="A3450">
            <v>310169</v>
          </cell>
          <cell r="B3450" t="str">
            <v>CAMISETA J. DALMAU Homb (XL)</v>
          </cell>
          <cell r="C3450" t="str">
            <v>0000000310169</v>
          </cell>
        </row>
        <row r="3451">
          <cell r="A3451">
            <v>310170</v>
          </cell>
          <cell r="B3451" t="str">
            <v>TOALLA DE MANOS BLANCA</v>
          </cell>
          <cell r="C3451" t="str">
            <v>0000000310170</v>
          </cell>
        </row>
        <row r="3452">
          <cell r="A3452">
            <v>310171</v>
          </cell>
          <cell r="B3452" t="str">
            <v>TOALLA TURBANTE BLANCA</v>
          </cell>
          <cell r="C3452" t="str">
            <v>0000000310171</v>
          </cell>
        </row>
        <row r="3453">
          <cell r="A3453">
            <v>310172</v>
          </cell>
          <cell r="B3453" t="str">
            <v>BATA KIMONO BLANCA</v>
          </cell>
          <cell r="C3453" t="str">
            <v>0000000310172</v>
          </cell>
        </row>
        <row r="3454">
          <cell r="A3454">
            <v>310173</v>
          </cell>
          <cell r="B3454" t="str">
            <v>BE COOL!</v>
          </cell>
          <cell r="C3454" t="str">
            <v>8435057009911</v>
          </cell>
        </row>
        <row r="3455">
          <cell r="A3455">
            <v>310174</v>
          </cell>
          <cell r="B3455" t="str">
            <v>RADICAL NEUTRALITY COLLECTION</v>
          </cell>
          <cell r="C3455" t="str">
            <v>0000000310174</v>
          </cell>
        </row>
        <row r="3456">
          <cell r="A3456">
            <v>310176</v>
          </cell>
          <cell r="B3456" t="str">
            <v>SECADOR KH BLACKPANTHER</v>
          </cell>
          <cell r="C3456" t="str">
            <v>8435057058124</v>
          </cell>
        </row>
        <row r="3457">
          <cell r="A3457">
            <v>310177</v>
          </cell>
          <cell r="B3457" t="str">
            <v>PALETINA KINCREM CRK PEQUEÑA</v>
          </cell>
          <cell r="C3457" t="str">
            <v>0000000310177</v>
          </cell>
        </row>
        <row r="3458">
          <cell r="A3458">
            <v>310178</v>
          </cell>
          <cell r="B3458" t="str">
            <v>ACEITE ARGAN/MACADAMIA</v>
          </cell>
          <cell r="C3458" t="str">
            <v>8435057010030</v>
          </cell>
        </row>
        <row r="3459">
          <cell r="A3459">
            <v>310179</v>
          </cell>
          <cell r="B3459" t="str">
            <v>PLANCHA KH BLACK EDITION</v>
          </cell>
          <cell r="C3459" t="str">
            <v>8435057058131</v>
          </cell>
        </row>
        <row r="3460">
          <cell r="A3460">
            <v>310182</v>
          </cell>
          <cell r="B3460" t="str">
            <v>KINTRENDS014. COLLECTION</v>
          </cell>
          <cell r="C3460" t="str">
            <v>0000000310182</v>
          </cell>
        </row>
        <row r="3461">
          <cell r="A3461">
            <v>310186</v>
          </cell>
          <cell r="B3461" t="str">
            <v>KINESSENCES OIL CREAM EXP T/20</v>
          </cell>
          <cell r="C3461" t="str">
            <v>0000000310186</v>
          </cell>
        </row>
        <row r="3462">
          <cell r="A3462">
            <v>310192</v>
          </cell>
          <cell r="B3462" t="str">
            <v>SECADOR KH SILVERWOLF</v>
          </cell>
          <cell r="C3462" t="str">
            <v>8435057010627</v>
          </cell>
        </row>
        <row r="3463">
          <cell r="A3463">
            <v>310194</v>
          </cell>
          <cell r="B3463" t="str">
            <v>KINTRENDS015. COLLECTION</v>
          </cell>
          <cell r="C3463" t="str">
            <v>8435057010740</v>
          </cell>
        </row>
        <row r="3464">
          <cell r="A3464">
            <v>310208</v>
          </cell>
          <cell r="B3464" t="str">
            <v>KINESSENCES CREMA MANOS 30 ML</v>
          </cell>
          <cell r="C3464" t="str">
            <v>8435057011389</v>
          </cell>
        </row>
        <row r="3465">
          <cell r="A3465">
            <v>310209</v>
          </cell>
          <cell r="B3465" t="str">
            <v>CEPILLO KIN EGG</v>
          </cell>
          <cell r="C3465" t="str">
            <v>0000003102091</v>
          </cell>
        </row>
        <row r="3466">
          <cell r="A3466">
            <v>310210</v>
          </cell>
          <cell r="B3466" t="str">
            <v>ESTUCHE PACK RESCUE KIT 2015</v>
          </cell>
          <cell r="C3466" t="str">
            <v>0000003102107</v>
          </cell>
        </row>
        <row r="3467">
          <cell r="A3467">
            <v>310217</v>
          </cell>
          <cell r="B3467" t="str">
            <v>PLANCHA KIN HAIRTEC "BRONZED"</v>
          </cell>
          <cell r="C3467" t="str">
            <v>8435057058186</v>
          </cell>
        </row>
        <row r="3468">
          <cell r="A3468">
            <v>310220</v>
          </cell>
          <cell r="B3468" t="str">
            <v>SECADOR KH BRONZED</v>
          </cell>
          <cell r="C3468" t="str">
            <v>8435057058193</v>
          </cell>
        </row>
        <row r="3469">
          <cell r="A3469">
            <v>310238</v>
          </cell>
          <cell r="B3469" t="str">
            <v>LOOK BOOK KINTRENDS017.</v>
          </cell>
          <cell r="C3469" t="str">
            <v>8435057058353</v>
          </cell>
        </row>
        <row r="3470">
          <cell r="A3470">
            <v>310240</v>
          </cell>
          <cell r="B3470" t="str">
            <v>LLAVERO KIN</v>
          </cell>
          <cell r="C3470" t="str">
            <v>8435057058360</v>
          </cell>
        </row>
        <row r="3471">
          <cell r="A3471">
            <v>310241</v>
          </cell>
          <cell r="B3471" t="str">
            <v>PARAGUAS KIN</v>
          </cell>
          <cell r="C3471" t="str">
            <v>8435057058377</v>
          </cell>
        </row>
        <row r="3472">
          <cell r="A3472">
            <v>310245</v>
          </cell>
          <cell r="B3472" t="str">
            <v>TIJERA QUEEN PLUS ARTERO PARA KIN 5.5"</v>
          </cell>
          <cell r="C3472" t="str">
            <v>8435037160700</v>
          </cell>
        </row>
        <row r="3473">
          <cell r="A3473">
            <v>310246</v>
          </cell>
          <cell r="B3473" t="str">
            <v>TIJERA QUEEN PLUS ARTERO PARA KIN 6"</v>
          </cell>
          <cell r="C3473" t="str">
            <v>8435037130871</v>
          </cell>
        </row>
        <row r="3474">
          <cell r="A3474">
            <v>310247</v>
          </cell>
          <cell r="B3474" t="str">
            <v>TIJERA QUEEN PLUS ARTERO PARA KIN 5"</v>
          </cell>
          <cell r="C3474" t="str">
            <v>8435037130857</v>
          </cell>
        </row>
        <row r="3475">
          <cell r="A3475">
            <v>310254</v>
          </cell>
          <cell r="B3475" t="str">
            <v>MOCHILA SUNCARE 2018</v>
          </cell>
          <cell r="C3475" t="str">
            <v>8435057058438</v>
          </cell>
        </row>
        <row r="3476">
          <cell r="A3476">
            <v>310264</v>
          </cell>
          <cell r="B3476" t="str">
            <v>WEEKEND BAG KIN</v>
          </cell>
          <cell r="C3476" t="str">
            <v>8435057058445</v>
          </cell>
        </row>
        <row r="3477">
          <cell r="A3477">
            <v>310270</v>
          </cell>
          <cell r="B3477" t="str">
            <v>PLANCHA ROSE GOLD ED. KIN HAIRTEC</v>
          </cell>
          <cell r="C3477" t="str">
            <v>8435057058452</v>
          </cell>
        </row>
        <row r="3478">
          <cell r="A3478">
            <v>310271</v>
          </cell>
          <cell r="B3478" t="str">
            <v>RIZADOR ROSE GOLD ED. KIN HAIRTEC</v>
          </cell>
          <cell r="C3478" t="str">
            <v>8435057058469</v>
          </cell>
        </row>
        <row r="3479">
          <cell r="A3479">
            <v>310272</v>
          </cell>
          <cell r="B3479" t="str">
            <v>SECADOR ROSE GOLD ED. KIN HAIRTEC</v>
          </cell>
          <cell r="C3479" t="str">
            <v>8435057058476</v>
          </cell>
        </row>
        <row r="3480">
          <cell r="A3480">
            <v>310274</v>
          </cell>
          <cell r="B3480" t="str">
            <v>KINESSENCES RESTORE OVERNIGHT 20 ML</v>
          </cell>
          <cell r="C3480" t="str">
            <v>8435057013918</v>
          </cell>
        </row>
        <row r="3481">
          <cell r="A3481">
            <v>310280</v>
          </cell>
          <cell r="B3481" t="str">
            <v>GORROS DESECHABLES MECHAS KIN</v>
          </cell>
          <cell r="C3481" t="str">
            <v>8435057058483</v>
          </cell>
        </row>
        <row r="3482">
          <cell r="A3482">
            <v>310292</v>
          </cell>
          <cell r="B3482" t="str">
            <v>KINMEN SHAVING CREAM 20 ML</v>
          </cell>
          <cell r="C3482" t="str">
            <v>8435057058506</v>
          </cell>
        </row>
        <row r="3483">
          <cell r="A3483">
            <v>310294</v>
          </cell>
          <cell r="B3483" t="str">
            <v>KINMEN AFTER SHAVE BALM 20 ML</v>
          </cell>
          <cell r="C3483" t="str">
            <v>8435057058513</v>
          </cell>
        </row>
        <row r="3484">
          <cell r="A3484">
            <v>310295</v>
          </cell>
          <cell r="B3484" t="str">
            <v>KINESS. RESTORE OVERNIGHT COLOMBIA</v>
          </cell>
          <cell r="C3484" t="str">
            <v>8435057014236</v>
          </cell>
        </row>
        <row r="3485">
          <cell r="A3485">
            <v>310296</v>
          </cell>
          <cell r="B3485" t="str">
            <v>KINMEN MINI SHAVING SET</v>
          </cell>
          <cell r="C3485" t="str">
            <v>8435057058520</v>
          </cell>
        </row>
        <row r="3486">
          <cell r="A3486">
            <v>310299</v>
          </cell>
          <cell r="B3486" t="str">
            <v>BASCULA DIGITAL KIN WE LOVE HAIR</v>
          </cell>
          <cell r="C3486" t="str">
            <v>8435057058537</v>
          </cell>
        </row>
        <row r="3487">
          <cell r="A3487">
            <v>310307</v>
          </cell>
          <cell r="B3487" t="str">
            <v>SHAMPOO VIBES 100 ML</v>
          </cell>
          <cell r="C3487" t="str">
            <v>8435057014731</v>
          </cell>
        </row>
        <row r="3488">
          <cell r="A3488">
            <v>310320</v>
          </cell>
          <cell r="B3488" t="str">
            <v>PLANCHA MIDNIGHT BLUE</v>
          </cell>
          <cell r="C3488" t="str">
            <v>8435057058544</v>
          </cell>
        </row>
        <row r="3489">
          <cell r="A3489">
            <v>310321</v>
          </cell>
          <cell r="B3489" t="str">
            <v>SECADOR MIDNIGHT BLUE</v>
          </cell>
          <cell r="C3489" t="str">
            <v>8435057058551</v>
          </cell>
        </row>
        <row r="3490">
          <cell r="A3490">
            <v>310328</v>
          </cell>
          <cell r="B3490" t="str">
            <v>VÁLVULA SHAMPOO 1.000 ML</v>
          </cell>
          <cell r="C3490" t="str">
            <v>310328</v>
          </cell>
        </row>
        <row r="3491">
          <cell r="A3491">
            <v>320001</v>
          </cell>
          <cell r="B3491" t="str">
            <v>ANILLA SECADOR KAZE</v>
          </cell>
          <cell r="C3491" t="str">
            <v>ANISKZ</v>
          </cell>
        </row>
        <row r="3492">
          <cell r="A3492">
            <v>320001</v>
          </cell>
          <cell r="B3492" t="str">
            <v>ANILLA SECADOR KAZE</v>
          </cell>
          <cell r="C3492" t="str">
            <v>TKM305</v>
          </cell>
        </row>
        <row r="3493">
          <cell r="A3493">
            <v>320001</v>
          </cell>
          <cell r="B3493" t="str">
            <v>ANILLA SECADOR KAZE</v>
          </cell>
          <cell r="C3493" t="str">
            <v>320001</v>
          </cell>
        </row>
        <row r="3494">
          <cell r="A3494">
            <v>320002</v>
          </cell>
          <cell r="B3494" t="str">
            <v>APLICADOR TERM. EXTENSIONES</v>
          </cell>
          <cell r="C3494" t="str">
            <v>APTEEXS</v>
          </cell>
        </row>
        <row r="3495">
          <cell r="A3495">
            <v>320002</v>
          </cell>
          <cell r="B3495" t="str">
            <v>APLICADOR TERM. EXTENSIONES</v>
          </cell>
          <cell r="C3495" t="str">
            <v>8435057051965</v>
          </cell>
        </row>
        <row r="3496">
          <cell r="A3496">
            <v>320003</v>
          </cell>
          <cell r="B3496" t="str">
            <v>APOYAPIES REX</v>
          </cell>
          <cell r="C3496" t="str">
            <v>APYREX</v>
          </cell>
        </row>
        <row r="3497">
          <cell r="A3497">
            <v>320003</v>
          </cell>
          <cell r="B3497" t="str">
            <v>APOYAPIES REX</v>
          </cell>
          <cell r="C3497" t="str">
            <v>TKM304</v>
          </cell>
        </row>
        <row r="3498">
          <cell r="A3498">
            <v>320003</v>
          </cell>
          <cell r="B3498" t="str">
            <v>APOYAPIES REX</v>
          </cell>
          <cell r="C3498" t="str">
            <v>8435057053624</v>
          </cell>
        </row>
        <row r="3499">
          <cell r="A3499">
            <v>320004</v>
          </cell>
          <cell r="B3499" t="str">
            <v>BOTELLA SPRAY MOJADOR</v>
          </cell>
          <cell r="C3499" t="str">
            <v>BOSPMO</v>
          </cell>
        </row>
        <row r="3500">
          <cell r="A3500">
            <v>320004</v>
          </cell>
          <cell r="B3500" t="str">
            <v>BOTELLA SPRAY MOJADOR</v>
          </cell>
          <cell r="C3500" t="str">
            <v>005-BT03</v>
          </cell>
        </row>
        <row r="3501">
          <cell r="A3501">
            <v>320004</v>
          </cell>
          <cell r="B3501" t="str">
            <v>BOTELLA SPRAY MOJADOR</v>
          </cell>
          <cell r="C3501" t="str">
            <v>8435057053068</v>
          </cell>
        </row>
        <row r="3502">
          <cell r="A3502">
            <v>320005</v>
          </cell>
          <cell r="B3502" t="str">
            <v>CARRO APRENDIZ JOLLY NEGRO</v>
          </cell>
          <cell r="C3502" t="str">
            <v>CAAPJO</v>
          </cell>
        </row>
        <row r="3503">
          <cell r="A3503">
            <v>320005</v>
          </cell>
          <cell r="B3503" t="str">
            <v>CARRO APRENDIZ JOLLY NEGRO</v>
          </cell>
          <cell r="C3503" t="str">
            <v>8435057051972</v>
          </cell>
        </row>
        <row r="3504">
          <cell r="A3504">
            <v>320006</v>
          </cell>
          <cell r="B3504" t="str">
            <v>CARRO APRENDIZ A.G.V.</v>
          </cell>
          <cell r="C3504" t="str">
            <v>CAAPPL</v>
          </cell>
        </row>
        <row r="3505">
          <cell r="A3505">
            <v>320006</v>
          </cell>
          <cell r="B3505" t="str">
            <v>CARRO APRENDIZ A.G.V.</v>
          </cell>
          <cell r="C3505" t="str">
            <v>8435057052856</v>
          </cell>
        </row>
        <row r="3506">
          <cell r="A3506">
            <v>320007</v>
          </cell>
          <cell r="B3506" t="str">
            <v>CAMILLA ARTICULADA 3 C.</v>
          </cell>
          <cell r="C3506" t="str">
            <v>CAART</v>
          </cell>
        </row>
        <row r="3507">
          <cell r="A3507">
            <v>320007</v>
          </cell>
          <cell r="B3507" t="str">
            <v>CAMILLA ARTICULADA 3 C.</v>
          </cell>
          <cell r="C3507" t="str">
            <v>320007</v>
          </cell>
        </row>
        <row r="3508">
          <cell r="A3508">
            <v>320008</v>
          </cell>
          <cell r="B3508" t="str">
            <v>CARRO AUXILIAR KI GRIS PLATA</v>
          </cell>
          <cell r="C3508" t="str">
            <v>CAAUGP</v>
          </cell>
        </row>
        <row r="3509">
          <cell r="A3509">
            <v>320008</v>
          </cell>
          <cell r="B3509" t="str">
            <v>CARRO AUXILIAR KI GRIS PLATA</v>
          </cell>
          <cell r="C3509" t="str">
            <v>TKM302</v>
          </cell>
        </row>
        <row r="3510">
          <cell r="A3510">
            <v>320008</v>
          </cell>
          <cell r="B3510" t="str">
            <v>CARRO AUXILIAR KI GRIS PLATA</v>
          </cell>
          <cell r="C3510" t="str">
            <v>8435057054256</v>
          </cell>
        </row>
        <row r="3511">
          <cell r="A3511">
            <v>320009</v>
          </cell>
          <cell r="B3511" t="str">
            <v>CARRO BRIO 3 COLOR ANTRACITA</v>
          </cell>
          <cell r="C3511" t="str">
            <v>CABRIO</v>
          </cell>
        </row>
        <row r="3512">
          <cell r="A3512">
            <v>320009</v>
          </cell>
          <cell r="B3512" t="str">
            <v>CARRO BRIO 3 COLOR ANTRACITA</v>
          </cell>
          <cell r="C3512" t="str">
            <v>8435057052849</v>
          </cell>
        </row>
        <row r="3513">
          <cell r="A3513">
            <v>320010</v>
          </cell>
          <cell r="B3513" t="str">
            <v>CARRO MANICURA CIAK</v>
          </cell>
          <cell r="C3513" t="str">
            <v>CAMACI</v>
          </cell>
        </row>
        <row r="3514">
          <cell r="A3514">
            <v>320010</v>
          </cell>
          <cell r="B3514" t="str">
            <v>CARRO MANICURA CIAK</v>
          </cell>
          <cell r="C3514" t="str">
            <v>P72062</v>
          </cell>
        </row>
        <row r="3515">
          <cell r="A3515">
            <v>320010</v>
          </cell>
          <cell r="B3515" t="str">
            <v>CARRO MANICURA CIAK</v>
          </cell>
          <cell r="C3515" t="str">
            <v>8435057053686</v>
          </cell>
        </row>
        <row r="3516">
          <cell r="A3516">
            <v>320011</v>
          </cell>
          <cell r="B3516" t="str">
            <v>CAMILLA MASAJI NEGRA</v>
          </cell>
          <cell r="C3516" t="str">
            <v>CAMASA</v>
          </cell>
        </row>
        <row r="3517">
          <cell r="A3517">
            <v>320011</v>
          </cell>
          <cell r="B3517" t="str">
            <v>CAMILLA MASAJI NEGRA</v>
          </cell>
          <cell r="C3517" t="str">
            <v>TKM322</v>
          </cell>
        </row>
        <row r="3518">
          <cell r="A3518">
            <v>320011</v>
          </cell>
          <cell r="B3518" t="str">
            <v>CAMILLA MASAJI NEGRA</v>
          </cell>
          <cell r="C3518" t="str">
            <v>8435057053921</v>
          </cell>
        </row>
        <row r="3519">
          <cell r="A3519">
            <v>320012</v>
          </cell>
          <cell r="B3519" t="str">
            <v>CARRO MADERA ZEPHIR</v>
          </cell>
          <cell r="C3519" t="str">
            <v>CAMAZE</v>
          </cell>
        </row>
        <row r="3520">
          <cell r="A3520">
            <v>320012</v>
          </cell>
          <cell r="B3520" t="str">
            <v>CARRO MADERA ZEPHIR</v>
          </cell>
          <cell r="C3520" t="str">
            <v>8435057051989</v>
          </cell>
        </row>
        <row r="3521">
          <cell r="A3521">
            <v>320013</v>
          </cell>
          <cell r="B3521" t="str">
            <v>CARRO METALICO</v>
          </cell>
          <cell r="C3521" t="str">
            <v>CAMETA</v>
          </cell>
        </row>
        <row r="3522">
          <cell r="A3522">
            <v>320013</v>
          </cell>
          <cell r="B3522" t="str">
            <v>CARRO METALICO</v>
          </cell>
          <cell r="C3522" t="str">
            <v>TKM3001B</v>
          </cell>
        </row>
        <row r="3523">
          <cell r="A3523">
            <v>320013</v>
          </cell>
          <cell r="B3523" t="str">
            <v>CARRO METALICO</v>
          </cell>
          <cell r="C3523" t="str">
            <v>8435057053969</v>
          </cell>
        </row>
        <row r="3524">
          <cell r="A3524">
            <v>320014</v>
          </cell>
          <cell r="B3524" t="str">
            <v>CAPA CORTE GRANDE</v>
          </cell>
          <cell r="C3524" t="str">
            <v>CAPAGR</v>
          </cell>
        </row>
        <row r="3525">
          <cell r="A3525">
            <v>320014</v>
          </cell>
          <cell r="B3525" t="str">
            <v>CAPA CORTE GRANDE</v>
          </cell>
          <cell r="C3525" t="str">
            <v>004-4001H</v>
          </cell>
        </row>
        <row r="3526">
          <cell r="A3526">
            <v>320014</v>
          </cell>
          <cell r="B3526" t="str">
            <v>CAPA CORTE GRANDE</v>
          </cell>
          <cell r="C3526" t="str">
            <v>8435057053174</v>
          </cell>
        </row>
        <row r="3527">
          <cell r="A3527">
            <v>320015</v>
          </cell>
          <cell r="B3527" t="str">
            <v>CAPA CORTE PEQUEÑA</v>
          </cell>
          <cell r="C3527" t="str">
            <v>CAPAPE</v>
          </cell>
        </row>
        <row r="3528">
          <cell r="A3528">
            <v>320015</v>
          </cell>
          <cell r="B3528" t="str">
            <v>CAPA CORTE PEQUEÑA</v>
          </cell>
          <cell r="C3528" t="str">
            <v>004-4001</v>
          </cell>
        </row>
        <row r="3529">
          <cell r="A3529">
            <v>320015</v>
          </cell>
          <cell r="B3529" t="str">
            <v>CAPA CORTE PEQUEÑA</v>
          </cell>
          <cell r="C3529" t="str">
            <v>8435057053181</v>
          </cell>
        </row>
        <row r="3530">
          <cell r="A3530">
            <v>320016</v>
          </cell>
          <cell r="B3530" t="str">
            <v>CARRO REVISTERO DE MADERA</v>
          </cell>
          <cell r="C3530" t="str">
            <v>CAREMA</v>
          </cell>
        </row>
        <row r="3531">
          <cell r="A3531">
            <v>320016</v>
          </cell>
          <cell r="B3531" t="str">
            <v>CARRO REVISTERO DE MADERA</v>
          </cell>
          <cell r="C3531" t="str">
            <v>8435057051996</v>
          </cell>
        </row>
        <row r="3532">
          <cell r="A3532">
            <v>320017</v>
          </cell>
          <cell r="B3532" t="str">
            <v>CARRO MANICURA REF. 89917</v>
          </cell>
          <cell r="C3532" t="str">
            <v>CARMA</v>
          </cell>
        </row>
        <row r="3533">
          <cell r="A3533">
            <v>320017</v>
          </cell>
          <cell r="B3533" t="str">
            <v>CARRO MANICURA REF. 89917</v>
          </cell>
          <cell r="C3533" t="str">
            <v>8435057052009</v>
          </cell>
        </row>
        <row r="3534">
          <cell r="A3534">
            <v>320018</v>
          </cell>
          <cell r="B3534" t="str">
            <v>CARRO ROCK</v>
          </cell>
          <cell r="C3534" t="str">
            <v>CAROCK</v>
          </cell>
        </row>
        <row r="3535">
          <cell r="A3535">
            <v>320018</v>
          </cell>
          <cell r="B3535" t="str">
            <v>CARRO ROCK</v>
          </cell>
          <cell r="C3535" t="str">
            <v>8435057052832</v>
          </cell>
        </row>
        <row r="3536">
          <cell r="A3536">
            <v>320019</v>
          </cell>
          <cell r="B3536" t="str">
            <v>CARRO OPTIMUN</v>
          </cell>
          <cell r="C3536" t="str">
            <v>CAROME</v>
          </cell>
        </row>
        <row r="3537">
          <cell r="A3537">
            <v>320019</v>
          </cell>
          <cell r="B3537" t="str">
            <v>CARRO OPTIMUN</v>
          </cell>
          <cell r="C3537" t="str">
            <v>8435057053341</v>
          </cell>
        </row>
        <row r="3538">
          <cell r="A3538">
            <v>320020</v>
          </cell>
          <cell r="B3538" t="str">
            <v>CARRO NEW STYLE BLANCO</v>
          </cell>
          <cell r="C3538" t="str">
            <v>CAUT94</v>
          </cell>
        </row>
        <row r="3539">
          <cell r="A3539">
            <v>320020</v>
          </cell>
          <cell r="B3539" t="str">
            <v>CARRO NEW STYLE BLANCO</v>
          </cell>
          <cell r="C3539" t="str">
            <v>89914</v>
          </cell>
        </row>
        <row r="3540">
          <cell r="A3540">
            <v>320020</v>
          </cell>
          <cell r="B3540" t="str">
            <v>CARRO NEW STYLE BLANCO</v>
          </cell>
          <cell r="C3540" t="str">
            <v>8435057052016</v>
          </cell>
        </row>
        <row r="3541">
          <cell r="A3541">
            <v>320021</v>
          </cell>
          <cell r="B3541" t="str">
            <v>MALETIN 5 CEPILLO EVOL. BASIC</v>
          </cell>
          <cell r="C3541" t="str">
            <v>CEMABA</v>
          </cell>
        </row>
        <row r="3542">
          <cell r="A3542">
            <v>320021</v>
          </cell>
          <cell r="B3542" t="str">
            <v>MALETIN 5 CEPILLO EVOL. BASIC</v>
          </cell>
          <cell r="C3542" t="str">
            <v>MLT-EVO5B</v>
          </cell>
        </row>
        <row r="3543">
          <cell r="A3543">
            <v>320021</v>
          </cell>
          <cell r="B3543" t="str">
            <v>MALETIN 5 CEPILLO EVOL. BASIC</v>
          </cell>
          <cell r="C3543" t="str">
            <v>8435057053235</v>
          </cell>
        </row>
        <row r="3544">
          <cell r="A3544">
            <v>320022</v>
          </cell>
          <cell r="B3544" t="str">
            <v>MALETIN 5 CEPILLO EVOL. PLUS</v>
          </cell>
          <cell r="C3544" t="str">
            <v>CEMAPL</v>
          </cell>
        </row>
        <row r="3545">
          <cell r="A3545">
            <v>320022</v>
          </cell>
          <cell r="B3545" t="str">
            <v>MALETIN 5 CEPILLO EVOL. PLUS</v>
          </cell>
          <cell r="C3545" t="str">
            <v>MLT-EVO5P</v>
          </cell>
        </row>
        <row r="3546">
          <cell r="A3546">
            <v>320022</v>
          </cell>
          <cell r="B3546" t="str">
            <v>MALETIN 5 CEPILLO EVOL. PLUS</v>
          </cell>
          <cell r="C3546" t="str">
            <v>8435057053242</v>
          </cell>
        </row>
        <row r="3547">
          <cell r="A3547">
            <v>320023</v>
          </cell>
          <cell r="B3547" t="str">
            <v>MALETIN 5 CEPILLO EVOL. SOFT</v>
          </cell>
          <cell r="C3547" t="str">
            <v>CEMASO</v>
          </cell>
        </row>
        <row r="3548">
          <cell r="A3548">
            <v>320023</v>
          </cell>
          <cell r="B3548" t="str">
            <v>MALETIN 5 CEPILLO EVOL. SOFT</v>
          </cell>
          <cell r="C3548" t="str">
            <v>MLT-EV05S</v>
          </cell>
        </row>
        <row r="3549">
          <cell r="A3549">
            <v>320023</v>
          </cell>
          <cell r="B3549" t="str">
            <v>MALETIN 5 CEPILLO EVOL. SOFT</v>
          </cell>
          <cell r="C3549" t="str">
            <v>8435057053228</v>
          </cell>
        </row>
        <row r="3550">
          <cell r="A3550">
            <v>320024</v>
          </cell>
          <cell r="B3550" t="str">
            <v>CEPILLO QUIMBAYA CORCHO E.L.</v>
          </cell>
          <cell r="C3550" t="str">
            <v>CEQU50</v>
          </cell>
        </row>
        <row r="3551">
          <cell r="A3551">
            <v>320024</v>
          </cell>
          <cell r="B3551" t="str">
            <v>CEPILLO QUIMBAYA CORCHO E.L.</v>
          </cell>
          <cell r="C3551" t="str">
            <v>320024</v>
          </cell>
        </row>
        <row r="3552">
          <cell r="A3552">
            <v>320025</v>
          </cell>
          <cell r="B3552" t="str">
            <v>CEPILLO QUIMBAYA CORCHO E.L.</v>
          </cell>
          <cell r="C3552" t="str">
            <v>CEQU53</v>
          </cell>
        </row>
        <row r="3553">
          <cell r="A3553">
            <v>320025</v>
          </cell>
          <cell r="B3553" t="str">
            <v>CEPILLO QUIMBAYA CORCHO E.L.</v>
          </cell>
          <cell r="C3553" t="str">
            <v>320025</v>
          </cell>
        </row>
        <row r="3554">
          <cell r="A3554">
            <v>320026</v>
          </cell>
          <cell r="B3554" t="str">
            <v>CEPILLO QUIMBAYA CORCHO E.L.</v>
          </cell>
          <cell r="C3554" t="str">
            <v>CEQU57</v>
          </cell>
        </row>
        <row r="3555">
          <cell r="A3555">
            <v>320026</v>
          </cell>
          <cell r="B3555" t="str">
            <v>CEPILLO QUIMBAYA CORCHO E.L.</v>
          </cell>
          <cell r="C3555" t="str">
            <v>320026</v>
          </cell>
        </row>
        <row r="3556">
          <cell r="A3556">
            <v>320027</v>
          </cell>
          <cell r="B3556" t="str">
            <v>CEPILLO QUIMBAYA CORCHO E.L.</v>
          </cell>
          <cell r="C3556" t="str">
            <v>CEQU66</v>
          </cell>
        </row>
        <row r="3557">
          <cell r="A3557">
            <v>320027</v>
          </cell>
          <cell r="B3557" t="str">
            <v>CEPILLO QUIMBAYA CORCHO E.L.</v>
          </cell>
          <cell r="C3557" t="str">
            <v>320027</v>
          </cell>
        </row>
        <row r="3558">
          <cell r="A3558">
            <v>320028</v>
          </cell>
          <cell r="B3558" t="str">
            <v>CEPILLO QUIMBAYA CORCHO E.L.</v>
          </cell>
          <cell r="C3558" t="str">
            <v>CEQU75</v>
          </cell>
        </row>
        <row r="3559">
          <cell r="A3559">
            <v>320028</v>
          </cell>
          <cell r="B3559" t="str">
            <v>CEPILLO QUIMBAYA CORCHO E.L.</v>
          </cell>
          <cell r="C3559" t="str">
            <v>320028</v>
          </cell>
        </row>
        <row r="3560">
          <cell r="A3560">
            <v>320029</v>
          </cell>
          <cell r="B3560" t="str">
            <v>CEPILLO QUIMBAYA CORCHO 90 mm.</v>
          </cell>
          <cell r="C3560" t="str">
            <v>CEQU90</v>
          </cell>
        </row>
        <row r="3561">
          <cell r="A3561">
            <v>320029</v>
          </cell>
          <cell r="B3561" t="str">
            <v>CEPILLO QUIMBAYA CORCHO 90 mm.</v>
          </cell>
          <cell r="C3561" t="str">
            <v>320029</v>
          </cell>
        </row>
        <row r="3562">
          <cell r="A3562">
            <v>320030</v>
          </cell>
          <cell r="B3562" t="str">
            <v>CEPILLO RAQUETA GOMOSO NEGRO</v>
          </cell>
          <cell r="C3562" t="str">
            <v>CERAGO</v>
          </cell>
        </row>
        <row r="3563">
          <cell r="A3563">
            <v>320030</v>
          </cell>
          <cell r="B3563" t="str">
            <v>CEPILLO RAQUETA GOMOSO NEGRO</v>
          </cell>
          <cell r="C3563" t="str">
            <v>513NB</v>
          </cell>
        </row>
        <row r="3564">
          <cell r="A3564">
            <v>320030</v>
          </cell>
          <cell r="B3564" t="str">
            <v>CEPILLO RAQUETA GOMOSO NEGRO</v>
          </cell>
          <cell r="C3564" t="str">
            <v>8435057053051</v>
          </cell>
        </row>
        <row r="3565">
          <cell r="A3565">
            <v>320031</v>
          </cell>
          <cell r="B3565" t="str">
            <v>CEPILLO SIOOX ESPUMA 20 mm.</v>
          </cell>
          <cell r="C3565" t="str">
            <v>CESI20</v>
          </cell>
        </row>
        <row r="3566">
          <cell r="A3566">
            <v>320031</v>
          </cell>
          <cell r="B3566" t="str">
            <v>CEPILLO SIOOX ESPUMA 20 mm.</v>
          </cell>
          <cell r="C3566" t="str">
            <v>320031</v>
          </cell>
        </row>
        <row r="3567">
          <cell r="A3567">
            <v>320032</v>
          </cell>
          <cell r="B3567" t="str">
            <v>CEPILLO SIOOX ESPUMA 28 mm.</v>
          </cell>
          <cell r="C3567" t="str">
            <v>CESI28</v>
          </cell>
        </row>
        <row r="3568">
          <cell r="A3568">
            <v>320032</v>
          </cell>
          <cell r="B3568" t="str">
            <v>CEPILLO SIOOX ESPUMA 28 mm.</v>
          </cell>
          <cell r="C3568" t="str">
            <v>320032</v>
          </cell>
        </row>
        <row r="3569">
          <cell r="A3569">
            <v>320033</v>
          </cell>
          <cell r="B3569" t="str">
            <v>CEPILLO SIOOX ESPUMA 38 mm.</v>
          </cell>
          <cell r="C3569" t="str">
            <v>CESI38</v>
          </cell>
        </row>
        <row r="3570">
          <cell r="A3570">
            <v>320033</v>
          </cell>
          <cell r="B3570" t="str">
            <v>CEPILLO SIOOX ESPUMA 38 mm.</v>
          </cell>
          <cell r="C3570" t="str">
            <v>320033</v>
          </cell>
        </row>
        <row r="3571">
          <cell r="A3571">
            <v>320034</v>
          </cell>
          <cell r="B3571" t="str">
            <v>CEPILLO SIOOX ESPUMA 50 mm.</v>
          </cell>
          <cell r="C3571" t="str">
            <v>CESI50</v>
          </cell>
        </row>
        <row r="3572">
          <cell r="A3572">
            <v>320034</v>
          </cell>
          <cell r="B3572" t="str">
            <v>CEPILLO SIOOX ESPUMA 50 mm.</v>
          </cell>
          <cell r="C3572" t="str">
            <v>320034</v>
          </cell>
        </row>
        <row r="3573">
          <cell r="A3573">
            <v>320035</v>
          </cell>
          <cell r="B3573" t="str">
            <v>CEPILLO TAYRONA MADERA 41 mm.</v>
          </cell>
          <cell r="C3573" t="str">
            <v>CETA41</v>
          </cell>
        </row>
        <row r="3574">
          <cell r="A3574">
            <v>320035</v>
          </cell>
          <cell r="B3574" t="str">
            <v>CEPILLO TAYRONA MADERA 41 mm.</v>
          </cell>
          <cell r="C3574" t="str">
            <v>320035</v>
          </cell>
        </row>
        <row r="3575">
          <cell r="A3575">
            <v>320036</v>
          </cell>
          <cell r="B3575" t="str">
            <v>CEPILLO TAYRONA MADERA 41 mm.</v>
          </cell>
          <cell r="C3575" t="str">
            <v>CETA41E</v>
          </cell>
        </row>
        <row r="3576">
          <cell r="A3576">
            <v>320036</v>
          </cell>
          <cell r="B3576" t="str">
            <v>CEPILLO TAYRONA MADERA 41 mm.</v>
          </cell>
          <cell r="C3576" t="str">
            <v>320036</v>
          </cell>
        </row>
        <row r="3577">
          <cell r="A3577">
            <v>320037</v>
          </cell>
          <cell r="B3577" t="str">
            <v>CEPILLO TAYRONA MADERA 46 mm.</v>
          </cell>
          <cell r="C3577" t="str">
            <v>CETA46</v>
          </cell>
        </row>
        <row r="3578">
          <cell r="A3578">
            <v>320037</v>
          </cell>
          <cell r="B3578" t="str">
            <v>CEPILLO TAYRONA MADERA 46 mm.</v>
          </cell>
          <cell r="C3578" t="str">
            <v>320037</v>
          </cell>
        </row>
        <row r="3579">
          <cell r="A3579">
            <v>320038</v>
          </cell>
          <cell r="B3579" t="str">
            <v>CEPILLO TAYRONA MADERA 56 mm.</v>
          </cell>
          <cell r="C3579" t="str">
            <v>CETA56</v>
          </cell>
        </row>
        <row r="3580">
          <cell r="A3580">
            <v>320038</v>
          </cell>
          <cell r="B3580" t="str">
            <v>CEPILLO TAYRONA MADERA 56 mm.</v>
          </cell>
          <cell r="C3580" t="str">
            <v>320038</v>
          </cell>
        </row>
        <row r="3581">
          <cell r="A3581">
            <v>320039</v>
          </cell>
          <cell r="B3581" t="str">
            <v>CEPILLO TAYRONA MADERA 56 mm.</v>
          </cell>
          <cell r="C3581" t="str">
            <v>CETA56E</v>
          </cell>
        </row>
        <row r="3582">
          <cell r="A3582">
            <v>320039</v>
          </cell>
          <cell r="B3582" t="str">
            <v>CEPILLO TAYRONA MADERA 56 mm.</v>
          </cell>
          <cell r="C3582" t="str">
            <v>320039</v>
          </cell>
        </row>
        <row r="3583">
          <cell r="A3583">
            <v>320040</v>
          </cell>
          <cell r="B3583" t="str">
            <v>CEPILLO TAYRONA MADERA 60 mm.</v>
          </cell>
          <cell r="C3583" t="str">
            <v>CETA60</v>
          </cell>
        </row>
        <row r="3584">
          <cell r="A3584">
            <v>320040</v>
          </cell>
          <cell r="B3584" t="str">
            <v>CEPILLO TAYRONA MADERA 60 mm.</v>
          </cell>
          <cell r="C3584" t="str">
            <v>320040</v>
          </cell>
        </row>
        <row r="3585">
          <cell r="A3585">
            <v>320041</v>
          </cell>
          <cell r="B3585" t="str">
            <v>CEPILLO TAYRONA MADERA 64 mm.</v>
          </cell>
          <cell r="C3585" t="str">
            <v>CETA64</v>
          </cell>
        </row>
        <row r="3586">
          <cell r="A3586">
            <v>320041</v>
          </cell>
          <cell r="B3586" t="str">
            <v>CEPILLO TAYRONA MADERA 64 mm.</v>
          </cell>
          <cell r="C3586" t="str">
            <v>320041</v>
          </cell>
        </row>
        <row r="3587">
          <cell r="A3587">
            <v>320042</v>
          </cell>
          <cell r="B3587" t="str">
            <v>CEPILLO TAYRONA MADERA 75 mm.</v>
          </cell>
          <cell r="C3587" t="str">
            <v>CETA75</v>
          </cell>
        </row>
        <row r="3588">
          <cell r="A3588">
            <v>320042</v>
          </cell>
          <cell r="B3588" t="str">
            <v>CEPILLO TAYRONA MADERA 75 mm.</v>
          </cell>
          <cell r="C3588" t="str">
            <v>320042</v>
          </cell>
        </row>
        <row r="3589">
          <cell r="A3589">
            <v>320043</v>
          </cell>
          <cell r="B3589" t="str">
            <v>CEPILLO TAYRONA MADERA 75 mm.</v>
          </cell>
          <cell r="C3589" t="str">
            <v>CETA75E</v>
          </cell>
        </row>
        <row r="3590">
          <cell r="A3590">
            <v>320043</v>
          </cell>
          <cell r="B3590" t="str">
            <v>CEPILLO TAYRONA MADERA 75 mm.</v>
          </cell>
          <cell r="C3590" t="str">
            <v>320043</v>
          </cell>
        </row>
        <row r="3591">
          <cell r="A3591">
            <v>320044</v>
          </cell>
          <cell r="B3591" t="str">
            <v>CEPILLO TALCO NEGRO</v>
          </cell>
          <cell r="C3591" t="str">
            <v>CETALC</v>
          </cell>
        </row>
        <row r="3592">
          <cell r="A3592">
            <v>320044</v>
          </cell>
          <cell r="B3592" t="str">
            <v>CEPILLO TALCO NEGRO</v>
          </cell>
          <cell r="C3592" t="str">
            <v>002-2NE1</v>
          </cell>
        </row>
        <row r="3593">
          <cell r="A3593">
            <v>320044</v>
          </cell>
          <cell r="B3593" t="str">
            <v>CEPILLO TALCO NEGRO</v>
          </cell>
          <cell r="C3593" t="str">
            <v>8435057053075</v>
          </cell>
        </row>
        <row r="3594">
          <cell r="A3594">
            <v>320045</v>
          </cell>
          <cell r="B3594" t="str">
            <v>TUBO 5 CEPILLOS C.RAMIC AZUL</v>
          </cell>
          <cell r="C3594" t="str">
            <v>CETUCAZ</v>
          </cell>
        </row>
        <row r="3595">
          <cell r="A3595">
            <v>320045</v>
          </cell>
          <cell r="B3595" t="str">
            <v>TUBO 5 CEPILLOS C.RAMIC AZUL</v>
          </cell>
          <cell r="C3595" t="str">
            <v>8435057053730</v>
          </cell>
        </row>
        <row r="3596">
          <cell r="A3596">
            <v>320046</v>
          </cell>
          <cell r="B3596" t="str">
            <v>TUBO 5 CEPILLOS C.RAMIC NARANJ</v>
          </cell>
          <cell r="C3596" t="str">
            <v>CETUCNA</v>
          </cell>
        </row>
        <row r="3597">
          <cell r="A3597">
            <v>320046</v>
          </cell>
          <cell r="B3597" t="str">
            <v>TUBO 5 CEPILLOS C.RAMIC NARANJ</v>
          </cell>
          <cell r="C3597" t="str">
            <v>8435057053754</v>
          </cell>
        </row>
        <row r="3598">
          <cell r="A3598">
            <v>320047</v>
          </cell>
          <cell r="B3598" t="str">
            <v>TUBO 5 CEPILLOS C.RAMIC ROSA</v>
          </cell>
          <cell r="C3598" t="str">
            <v>CETUCRC</v>
          </cell>
        </row>
        <row r="3599">
          <cell r="A3599">
            <v>320047</v>
          </cell>
          <cell r="B3599" t="str">
            <v>TUBO 5 CEPILLOS C.RAMIC ROSA</v>
          </cell>
          <cell r="C3599" t="str">
            <v>PK-5TXCOLOR</v>
          </cell>
        </row>
        <row r="3600">
          <cell r="A3600">
            <v>320047</v>
          </cell>
          <cell r="B3600" t="str">
            <v>TUBO 5 CEPILLOS C.RAMIC ROSA</v>
          </cell>
          <cell r="C3600" t="str">
            <v>8435057053204</v>
          </cell>
        </row>
        <row r="3601">
          <cell r="A3601">
            <v>320048</v>
          </cell>
          <cell r="B3601" t="str">
            <v>TUBO 5 CEPILLOS C.RAMIC IONIC</v>
          </cell>
          <cell r="C3601" t="str">
            <v>CETUCRI</v>
          </cell>
        </row>
        <row r="3602">
          <cell r="A3602">
            <v>320048</v>
          </cell>
          <cell r="B3602" t="str">
            <v>TUBO 5 CEPILLOS C.RAMIC IONIC</v>
          </cell>
          <cell r="C3602" t="str">
            <v>PK-5TXCR</v>
          </cell>
        </row>
        <row r="3603">
          <cell r="A3603">
            <v>320048</v>
          </cell>
          <cell r="B3603" t="str">
            <v>TUBO 5 CEPILLOS C.RAMIC IONIC</v>
          </cell>
          <cell r="C3603" t="str">
            <v>8435057053211</v>
          </cell>
        </row>
        <row r="3604">
          <cell r="A3604">
            <v>320049</v>
          </cell>
          <cell r="B3604" t="str">
            <v>TUBO 5 CEPILLOS C.RAMIC VERDE</v>
          </cell>
          <cell r="C3604" t="str">
            <v>CETUCVE</v>
          </cell>
        </row>
        <row r="3605">
          <cell r="A3605">
            <v>320049</v>
          </cell>
          <cell r="B3605" t="str">
            <v>TUBO 5 CEPILLOS C.RAMIC VERDE</v>
          </cell>
          <cell r="C3605" t="str">
            <v>8435057053747</v>
          </cell>
        </row>
        <row r="3606">
          <cell r="A3606">
            <v>320050</v>
          </cell>
          <cell r="B3606" t="str">
            <v>TUBO 5 CEPILLOS PROFESIONAL</v>
          </cell>
          <cell r="C3606" t="str">
            <v>CETUPRO</v>
          </cell>
        </row>
        <row r="3607">
          <cell r="A3607">
            <v>320050</v>
          </cell>
          <cell r="B3607" t="str">
            <v>TUBO 5 CEPILLOS PROFESIONAL</v>
          </cell>
          <cell r="C3607" t="str">
            <v>PK-5TERMIX</v>
          </cell>
        </row>
        <row r="3608">
          <cell r="A3608">
            <v>320050</v>
          </cell>
          <cell r="B3608" t="str">
            <v>TUBO 5 CEPILLOS PROFESIONAL</v>
          </cell>
          <cell r="C3608" t="str">
            <v>8435057053198</v>
          </cell>
        </row>
        <row r="3609">
          <cell r="A3609">
            <v>320051</v>
          </cell>
          <cell r="B3609" t="str">
            <v>CLIMAZON OZONO C3000 BRAZO</v>
          </cell>
          <cell r="C3609" t="str">
            <v>CLOZBR</v>
          </cell>
        </row>
        <row r="3610">
          <cell r="A3610">
            <v>320051</v>
          </cell>
          <cell r="B3610" t="str">
            <v>CLIMAZON OZONO C3000 BRAZO</v>
          </cell>
          <cell r="C3610" t="str">
            <v>8435057053372</v>
          </cell>
        </row>
        <row r="3611">
          <cell r="A3611">
            <v>320052</v>
          </cell>
          <cell r="B3611" t="str">
            <v>CLIMAZON OZONO C3000 PIE</v>
          </cell>
          <cell r="C3611" t="str">
            <v>CLOZPI</v>
          </cell>
        </row>
        <row r="3612">
          <cell r="A3612">
            <v>320052</v>
          </cell>
          <cell r="B3612" t="str">
            <v>CLIMAZON OZONO C3000 PIE</v>
          </cell>
          <cell r="C3612" t="str">
            <v>8435057053389</v>
          </cell>
        </row>
        <row r="3613">
          <cell r="A3613">
            <v>320053</v>
          </cell>
          <cell r="B3613" t="str">
            <v>CLIMAZON ELECTRONICO C3000 PIE</v>
          </cell>
          <cell r="C3613" t="str">
            <v>CLIMEP</v>
          </cell>
        </row>
        <row r="3614">
          <cell r="A3614">
            <v>320053</v>
          </cell>
          <cell r="B3614" t="str">
            <v>CLIMAZON ELECTRONICO C3000 PIE</v>
          </cell>
          <cell r="C3614" t="str">
            <v>P 23052</v>
          </cell>
        </row>
        <row r="3615">
          <cell r="A3615">
            <v>320053</v>
          </cell>
          <cell r="B3615" t="str">
            <v>CLIMAZON ELECTRONICO C3000 PIE</v>
          </cell>
          <cell r="C3615" t="str">
            <v>8435057054201</v>
          </cell>
        </row>
        <row r="3616">
          <cell r="A3616">
            <v>320054</v>
          </cell>
          <cell r="B3616" t="str">
            <v>CLIMAZON INFRA. CIX 3000 PIE</v>
          </cell>
          <cell r="C3616" t="str">
            <v>CLCIXP</v>
          </cell>
        </row>
        <row r="3617">
          <cell r="A3617">
            <v>320054</v>
          </cell>
          <cell r="B3617" t="str">
            <v>CLIMAZON INFRA. CIX 3000 PIE</v>
          </cell>
          <cell r="C3617" t="str">
            <v>G23072</v>
          </cell>
        </row>
        <row r="3618">
          <cell r="A3618">
            <v>320054</v>
          </cell>
          <cell r="B3618" t="str">
            <v>CLIMAZON INFRA. CIX 3000 PIE</v>
          </cell>
          <cell r="C3618" t="str">
            <v>8435057053396</v>
          </cell>
        </row>
        <row r="3619">
          <cell r="A3619">
            <v>320055</v>
          </cell>
          <cell r="B3619" t="str">
            <v>CLIMAZON INFRA. CIX 3000 BRAZO</v>
          </cell>
          <cell r="C3619" t="str">
            <v>CLCIXB</v>
          </cell>
        </row>
        <row r="3620">
          <cell r="A3620">
            <v>320055</v>
          </cell>
          <cell r="B3620" t="str">
            <v>CLIMAZON INFRA. CIX 3000 BRAZO</v>
          </cell>
          <cell r="C3620" t="str">
            <v>8435057053402</v>
          </cell>
        </row>
        <row r="3621">
          <cell r="A3621">
            <v>320056</v>
          </cell>
          <cell r="B3621" t="str">
            <v>SECADOR-TRAT. DIABOLIC BRAZO</v>
          </cell>
          <cell r="C3621" t="str">
            <v>DIABB</v>
          </cell>
        </row>
        <row r="3622">
          <cell r="A3622">
            <v>320056</v>
          </cell>
          <cell r="B3622" t="str">
            <v>SECADOR-TRAT. DIABOLIC BRAZO</v>
          </cell>
          <cell r="C3622" t="str">
            <v>8435057052023</v>
          </cell>
        </row>
        <row r="3623">
          <cell r="A3623">
            <v>320057</v>
          </cell>
          <cell r="B3623" t="str">
            <v>SECADOR-TRAT. DIABOLIC 9 PROG</v>
          </cell>
          <cell r="C3623" t="str">
            <v>DIABO</v>
          </cell>
        </row>
        <row r="3624">
          <cell r="A3624">
            <v>320057</v>
          </cell>
          <cell r="B3624" t="str">
            <v>SECADOR-TRAT. DIABOLIC 9 PROG</v>
          </cell>
          <cell r="C3624" t="str">
            <v>89942</v>
          </cell>
        </row>
        <row r="3625">
          <cell r="A3625">
            <v>320057</v>
          </cell>
          <cell r="B3625" t="str">
            <v>SECADOR-TRAT. DIABOLIC 9 PROG</v>
          </cell>
          <cell r="C3625" t="str">
            <v>8435057052030</v>
          </cell>
        </row>
        <row r="3626">
          <cell r="A3626">
            <v>320058</v>
          </cell>
          <cell r="B3626" t="str">
            <v>DIFUSOR UNIVERSAL AZUL</v>
          </cell>
          <cell r="C3626" t="str">
            <v>DIFUAZ</v>
          </cell>
        </row>
        <row r="3627">
          <cell r="A3627">
            <v>320058</v>
          </cell>
          <cell r="B3627" t="str">
            <v>DIFUSOR UNIVERSAL AZUL</v>
          </cell>
          <cell r="C3627" t="str">
            <v>8435057053563</v>
          </cell>
        </row>
        <row r="3628">
          <cell r="A3628">
            <v>320059</v>
          </cell>
          <cell r="B3628" t="str">
            <v>DIFUSOR UNIVERSAL NARANJA</v>
          </cell>
          <cell r="C3628" t="str">
            <v>DIFUNA</v>
          </cell>
        </row>
        <row r="3629">
          <cell r="A3629">
            <v>320059</v>
          </cell>
          <cell r="B3629" t="str">
            <v>DIFUSOR UNIVERSAL NARANJA</v>
          </cell>
          <cell r="C3629" t="str">
            <v>8435057053549</v>
          </cell>
        </row>
        <row r="3630">
          <cell r="A3630">
            <v>320060</v>
          </cell>
          <cell r="B3630" t="str">
            <v>DIFUSOR UNIVERSAL LIM</v>
          </cell>
          <cell r="C3630" t="str">
            <v>DIFUNI</v>
          </cell>
        </row>
        <row r="3631">
          <cell r="A3631">
            <v>320060</v>
          </cell>
          <cell r="B3631" t="str">
            <v>DIFUSOR UNIVERSAL LIM</v>
          </cell>
          <cell r="C3631" t="str">
            <v>8435068401131</v>
          </cell>
        </row>
        <row r="3632">
          <cell r="A3632">
            <v>320061</v>
          </cell>
          <cell r="B3632" t="str">
            <v>DIFUSOR UNIVERSAL PLATA</v>
          </cell>
          <cell r="C3632" t="str">
            <v>DIFUPL</v>
          </cell>
        </row>
        <row r="3633">
          <cell r="A3633">
            <v>320061</v>
          </cell>
          <cell r="B3633" t="str">
            <v>DIFUSOR UNIVERSAL PLATA</v>
          </cell>
          <cell r="C3633" t="str">
            <v>8435057053525</v>
          </cell>
        </row>
        <row r="3634">
          <cell r="A3634">
            <v>320062</v>
          </cell>
          <cell r="B3634" t="str">
            <v>DIFUSOR UNIVERSAL PURPURA</v>
          </cell>
          <cell r="C3634" t="str">
            <v>DIFUPU</v>
          </cell>
        </row>
        <row r="3635">
          <cell r="A3635">
            <v>320062</v>
          </cell>
          <cell r="B3635" t="str">
            <v>DIFUSOR UNIVERSAL PURPURA</v>
          </cell>
          <cell r="C3635" t="str">
            <v>8435068401148</v>
          </cell>
        </row>
        <row r="3636">
          <cell r="A3636">
            <v>320063</v>
          </cell>
          <cell r="B3636" t="str">
            <v>DIFUSOR UNIVERSAL ROSA</v>
          </cell>
          <cell r="C3636" t="str">
            <v>DIFURO</v>
          </cell>
        </row>
        <row r="3637">
          <cell r="A3637">
            <v>320063</v>
          </cell>
          <cell r="B3637" t="str">
            <v>DIFUSOR UNIVERSAL ROSA</v>
          </cell>
          <cell r="C3637" t="str">
            <v>8435068401155</v>
          </cell>
        </row>
        <row r="3638">
          <cell r="A3638">
            <v>320064</v>
          </cell>
          <cell r="B3638" t="str">
            <v>DIFUSOR UNIVERSAL ROJO</v>
          </cell>
          <cell r="C3638" t="str">
            <v>DIFUROJ</v>
          </cell>
        </row>
        <row r="3639">
          <cell r="A3639">
            <v>320064</v>
          </cell>
          <cell r="B3639" t="str">
            <v>DIFUSOR UNIVERSAL ROJO</v>
          </cell>
          <cell r="C3639" t="str">
            <v>8435057053532</v>
          </cell>
        </row>
        <row r="3640">
          <cell r="A3640">
            <v>320065</v>
          </cell>
          <cell r="B3640" t="str">
            <v>ESCURREPOTES TINTE</v>
          </cell>
          <cell r="C3640" t="str">
            <v>ESCPOT</v>
          </cell>
        </row>
        <row r="3641">
          <cell r="A3641">
            <v>320065</v>
          </cell>
          <cell r="B3641" t="str">
            <v>ESCURREPOTES TINTE</v>
          </cell>
          <cell r="C3641" t="str">
            <v>A467</v>
          </cell>
        </row>
        <row r="3642">
          <cell r="A3642">
            <v>320065</v>
          </cell>
          <cell r="B3642" t="str">
            <v>ESCURREPOTES TINTE</v>
          </cell>
          <cell r="C3642" t="str">
            <v>8435057053006</v>
          </cell>
        </row>
        <row r="3643">
          <cell r="A3643">
            <v>320066</v>
          </cell>
          <cell r="B3643" t="str">
            <v>ESTANTERIA TANA.</v>
          </cell>
          <cell r="C3643" t="str">
            <v>ESTANA</v>
          </cell>
        </row>
        <row r="3644">
          <cell r="A3644">
            <v>320066</v>
          </cell>
          <cell r="B3644" t="str">
            <v>ESTANTERIA TANA.</v>
          </cell>
          <cell r="C3644" t="str">
            <v>TKM207</v>
          </cell>
        </row>
        <row r="3645">
          <cell r="A3645">
            <v>320066</v>
          </cell>
          <cell r="B3645" t="str">
            <v>ESTANTERIA TANA.</v>
          </cell>
          <cell r="C3645" t="str">
            <v>8435057054522</v>
          </cell>
        </row>
        <row r="3646">
          <cell r="A3646">
            <v>320067</v>
          </cell>
          <cell r="B3646" t="str">
            <v>FUSOR CERA METALICO 250 GRS.</v>
          </cell>
          <cell r="C3646" t="str">
            <v>FUCEME</v>
          </cell>
        </row>
        <row r="3647">
          <cell r="A3647">
            <v>320067</v>
          </cell>
          <cell r="B3647" t="str">
            <v>FUSOR CERA METALICO 250 GRS.</v>
          </cell>
          <cell r="C3647" t="str">
            <v>8435057052054</v>
          </cell>
        </row>
        <row r="3648">
          <cell r="A3648">
            <v>320068</v>
          </cell>
          <cell r="B3648" t="str">
            <v>FUNDA DEL RESPALDO SILLON KIBO</v>
          </cell>
          <cell r="C3648" t="str">
            <v>FUKIBO</v>
          </cell>
        </row>
        <row r="3649">
          <cell r="A3649">
            <v>320068</v>
          </cell>
          <cell r="B3649" t="str">
            <v>FUNDA DEL RESPALDO SILLON KIBO</v>
          </cell>
          <cell r="C3649" t="str">
            <v>320068</v>
          </cell>
        </row>
        <row r="3650">
          <cell r="A3650">
            <v>320069</v>
          </cell>
          <cell r="B3650" t="str">
            <v>GERMICIDA MUSTER</v>
          </cell>
          <cell r="C3650" t="str">
            <v>GEMUS</v>
          </cell>
        </row>
        <row r="3651">
          <cell r="A3651">
            <v>320069</v>
          </cell>
          <cell r="B3651" t="str">
            <v>GERMICIDA MUSTER</v>
          </cell>
          <cell r="C3651" t="str">
            <v>8435057052061</v>
          </cell>
        </row>
        <row r="3652">
          <cell r="A3652">
            <v>320070</v>
          </cell>
          <cell r="B3652" t="str">
            <v>GERMICIDA ULTRA VIOLETA U.V.</v>
          </cell>
          <cell r="C3652" t="str">
            <v>GEUVI</v>
          </cell>
        </row>
        <row r="3653">
          <cell r="A3653">
            <v>320070</v>
          </cell>
          <cell r="B3653" t="str">
            <v>GERMICIDA ULTRA VIOLETA U.V.</v>
          </cell>
          <cell r="C3653" t="str">
            <v>320070</v>
          </cell>
        </row>
        <row r="3654">
          <cell r="A3654">
            <v>320071</v>
          </cell>
          <cell r="B3654" t="str">
            <v>LAVACABEZAS LUX/CATHERINE</v>
          </cell>
          <cell r="C3654" t="str">
            <v>LASUKE</v>
          </cell>
        </row>
        <row r="3655">
          <cell r="A3655">
            <v>320071</v>
          </cell>
          <cell r="B3655" t="str">
            <v>LAVACABEZAS LUX/CATHERINE</v>
          </cell>
          <cell r="C3655" t="str">
            <v>TKM107</v>
          </cell>
        </row>
        <row r="3656">
          <cell r="A3656">
            <v>320071</v>
          </cell>
          <cell r="B3656" t="str">
            <v>LAVACABEZAS LUX/CATHERINE</v>
          </cell>
          <cell r="C3656" t="str">
            <v>8435057054270</v>
          </cell>
        </row>
        <row r="3657">
          <cell r="A3657">
            <v>320072</v>
          </cell>
          <cell r="B3657" t="str">
            <v>BUTACA CATHERINE P</v>
          </cell>
          <cell r="C3657" t="str">
            <v>LASUKI</v>
          </cell>
        </row>
        <row r="3658">
          <cell r="A3658">
            <v>320072</v>
          </cell>
          <cell r="B3658" t="str">
            <v>BUTACA CATHERINE P</v>
          </cell>
          <cell r="C3658" t="str">
            <v>TKM105</v>
          </cell>
        </row>
        <row r="3659">
          <cell r="A3659">
            <v>320072</v>
          </cell>
          <cell r="B3659" t="str">
            <v>BUTACA CATHERINE P</v>
          </cell>
          <cell r="C3659" t="str">
            <v>8435057054461</v>
          </cell>
        </row>
        <row r="3660">
          <cell r="A3660">
            <v>320073</v>
          </cell>
          <cell r="B3660" t="str">
            <v>MAQUINA VELLO NARIZ XIC</v>
          </cell>
          <cell r="C3660" t="str">
            <v>MAARXI</v>
          </cell>
        </row>
        <row r="3661">
          <cell r="A3661">
            <v>320073</v>
          </cell>
          <cell r="B3661" t="str">
            <v>MAQUINA VELLO NARIZ XIC</v>
          </cell>
          <cell r="C3661" t="str">
            <v>M334</v>
          </cell>
        </row>
        <row r="3662">
          <cell r="A3662">
            <v>320073</v>
          </cell>
          <cell r="B3662" t="str">
            <v>MAQUINA VELLO NARIZ XIC</v>
          </cell>
          <cell r="C3662" t="str">
            <v>8435057053044</v>
          </cell>
        </row>
        <row r="3663">
          <cell r="A3663">
            <v>320074</v>
          </cell>
          <cell r="B3663" t="str">
            <v>MAQUINA BLUE MAX GRANDE</v>
          </cell>
          <cell r="C3663" t="str">
            <v>MABLGR</v>
          </cell>
        </row>
        <row r="3664">
          <cell r="A3664">
            <v>320074</v>
          </cell>
          <cell r="B3664" t="str">
            <v>MAQUINA BLUE MAX GRANDE</v>
          </cell>
          <cell r="C3664" t="str">
            <v>M333</v>
          </cell>
        </row>
        <row r="3665">
          <cell r="A3665">
            <v>320074</v>
          </cell>
          <cell r="B3665" t="str">
            <v>MAQUINA BLUE MAX GRANDE</v>
          </cell>
          <cell r="C3665" t="str">
            <v>8435057052955</v>
          </cell>
        </row>
        <row r="3666">
          <cell r="A3666">
            <v>320075</v>
          </cell>
          <cell r="B3666" t="str">
            <v>MAQUINA BLUE PEQUEÑA</v>
          </cell>
          <cell r="C3666" t="str">
            <v>MABLPE</v>
          </cell>
        </row>
        <row r="3667">
          <cell r="A3667">
            <v>320075</v>
          </cell>
          <cell r="B3667" t="str">
            <v>MAQUINA BLUE PEQUEÑA</v>
          </cell>
          <cell r="C3667" t="str">
            <v>M569</v>
          </cell>
        </row>
        <row r="3668">
          <cell r="A3668">
            <v>320075</v>
          </cell>
          <cell r="B3668" t="str">
            <v>MAQUINA BLUE PEQUEÑA</v>
          </cell>
          <cell r="C3668" t="str">
            <v>8435057052962</v>
          </cell>
        </row>
        <row r="3669">
          <cell r="A3669">
            <v>320076</v>
          </cell>
          <cell r="B3669" t="str">
            <v>MAQUINA GC 900 CUCHILLA</v>
          </cell>
          <cell r="C3669" t="str">
            <v>MACUCE</v>
          </cell>
        </row>
        <row r="3670">
          <cell r="A3670">
            <v>320076</v>
          </cell>
          <cell r="B3670" t="str">
            <v>MAQUINA GC 900 CUCHILLA</v>
          </cell>
          <cell r="C3670" t="str">
            <v>8435057052078</v>
          </cell>
        </row>
        <row r="3671">
          <cell r="A3671">
            <v>320077</v>
          </cell>
          <cell r="B3671" t="str">
            <v>MAQUINA ERMILA BELLISSIMA</v>
          </cell>
          <cell r="C3671" t="str">
            <v>MAERBE</v>
          </cell>
        </row>
        <row r="3672">
          <cell r="A3672">
            <v>320077</v>
          </cell>
          <cell r="B3672" t="str">
            <v>MAQUINA ERMILA BELLISSIMA</v>
          </cell>
          <cell r="C3672" t="str">
            <v>8435057052092</v>
          </cell>
        </row>
        <row r="3673">
          <cell r="A3673">
            <v>320078</v>
          </cell>
          <cell r="B3673" t="str">
            <v>MAQUINA ERMILA NETWORK</v>
          </cell>
          <cell r="C3673" t="str">
            <v>MAERNW</v>
          </cell>
        </row>
        <row r="3674">
          <cell r="A3674">
            <v>320078</v>
          </cell>
          <cell r="B3674" t="str">
            <v>MAQUINA ERMILA NETWORK</v>
          </cell>
          <cell r="C3674" t="str">
            <v>8435057052108</v>
          </cell>
        </row>
        <row r="3675">
          <cell r="A3675">
            <v>320079</v>
          </cell>
          <cell r="B3675" t="str">
            <v>MAQUINA ERMILIA VARIO CUT</v>
          </cell>
          <cell r="C3675" t="str">
            <v>MAERVC</v>
          </cell>
        </row>
        <row r="3676">
          <cell r="A3676">
            <v>320079</v>
          </cell>
          <cell r="B3676" t="str">
            <v>MAQUINA ERMILIA VARIO CUT</v>
          </cell>
          <cell r="C3676" t="str">
            <v>8435057052115</v>
          </cell>
        </row>
        <row r="3677">
          <cell r="A3677">
            <v>320080</v>
          </cell>
          <cell r="B3677" t="str">
            <v>MAQU. HAIR-EXTENSION 2000</v>
          </cell>
          <cell r="C3677" t="str">
            <v>MAEXT</v>
          </cell>
        </row>
        <row r="3678">
          <cell r="A3678">
            <v>320080</v>
          </cell>
          <cell r="B3678" t="str">
            <v>MAQU. HAIR-EXTENSION 2000</v>
          </cell>
          <cell r="C3678" t="str">
            <v>8435057052122</v>
          </cell>
        </row>
        <row r="3679">
          <cell r="A3679">
            <v>320081</v>
          </cell>
          <cell r="B3679" t="str">
            <v>MALETA MULTIFUNCION NYLON</v>
          </cell>
          <cell r="C3679" t="str">
            <v>MALEFU</v>
          </cell>
        </row>
        <row r="3680">
          <cell r="A3680">
            <v>320081</v>
          </cell>
          <cell r="B3680" t="str">
            <v>MALETA MULTIFUNCION NYLON</v>
          </cell>
          <cell r="C3680" t="str">
            <v>F227</v>
          </cell>
        </row>
        <row r="3681">
          <cell r="A3681">
            <v>320081</v>
          </cell>
          <cell r="B3681" t="str">
            <v>MALETA MULTIFUNCION NYLON</v>
          </cell>
          <cell r="C3681" t="str">
            <v>8435037160038</v>
          </cell>
        </row>
        <row r="3682">
          <cell r="A3682">
            <v>320082</v>
          </cell>
          <cell r="B3682" t="str">
            <v>MALETA HERRAMIENTAS CARBONO</v>
          </cell>
          <cell r="C3682" t="str">
            <v>MALEHE</v>
          </cell>
        </row>
        <row r="3683">
          <cell r="A3683">
            <v>320082</v>
          </cell>
          <cell r="B3683" t="str">
            <v>MALETA HERRAMIENTAS CARBONO</v>
          </cell>
          <cell r="C3683" t="str">
            <v>A564</v>
          </cell>
        </row>
        <row r="3684">
          <cell r="A3684">
            <v>320082</v>
          </cell>
          <cell r="B3684" t="str">
            <v>MALETA HERRAMIENTAS CARBONO</v>
          </cell>
          <cell r="C3684" t="str">
            <v>8435037113164</v>
          </cell>
        </row>
        <row r="3685">
          <cell r="A3685">
            <v>320083</v>
          </cell>
          <cell r="B3685" t="str">
            <v>MAQUINA MOTOR OSTER 97-44</v>
          </cell>
          <cell r="C3685" t="str">
            <v>MAMOOS</v>
          </cell>
        </row>
        <row r="3686">
          <cell r="A3686">
            <v>320083</v>
          </cell>
          <cell r="B3686" t="str">
            <v>MAQUINA MOTOR OSTER 97-44</v>
          </cell>
          <cell r="C3686" t="str">
            <v>8435057052139</v>
          </cell>
        </row>
        <row r="3687">
          <cell r="A3687">
            <v>320084</v>
          </cell>
          <cell r="B3687" t="str">
            <v>Només material PELUQUERIA</v>
          </cell>
          <cell r="C3687" t="str">
            <v>MAT</v>
          </cell>
        </row>
        <row r="3688">
          <cell r="A3688">
            <v>320084</v>
          </cell>
          <cell r="B3688" t="str">
            <v>Només material PELUQUERIA</v>
          </cell>
          <cell r="C3688" t="str">
            <v>8435057099943</v>
          </cell>
        </row>
        <row r="3689">
          <cell r="A3689">
            <v>320085</v>
          </cell>
          <cell r="B3689" t="str">
            <v>MESITA OTO LAMINADO PORTLAND</v>
          </cell>
          <cell r="C3689" t="str">
            <v>MEOTLA</v>
          </cell>
        </row>
        <row r="3690">
          <cell r="A3690">
            <v>320085</v>
          </cell>
          <cell r="B3690" t="str">
            <v>MESITA OTO LAMINADO PORTLAND</v>
          </cell>
          <cell r="C3690" t="str">
            <v>TKM204</v>
          </cell>
        </row>
        <row r="3691">
          <cell r="A3691">
            <v>320085</v>
          </cell>
          <cell r="B3691" t="str">
            <v>MESITA OTO LAMINADO PORTLAND</v>
          </cell>
          <cell r="C3691" t="str">
            <v>8435057054263</v>
          </cell>
        </row>
        <row r="3692">
          <cell r="A3692">
            <v>320086</v>
          </cell>
          <cell r="B3692" t="str">
            <v>NAVAJA CREATIVE AZUL</v>
          </cell>
          <cell r="C3692" t="str">
            <v>NAVCAZ</v>
          </cell>
        </row>
        <row r="3693">
          <cell r="A3693">
            <v>320086</v>
          </cell>
          <cell r="B3693" t="str">
            <v>NAVAJA CREATIVE AZUL</v>
          </cell>
          <cell r="C3693" t="str">
            <v>8435057053792</v>
          </cell>
        </row>
        <row r="3694">
          <cell r="A3694">
            <v>320087</v>
          </cell>
          <cell r="B3694" t="str">
            <v>NAVAJA CREATIVE PLATA</v>
          </cell>
          <cell r="C3694" t="str">
            <v>NAVCPL</v>
          </cell>
        </row>
        <row r="3695">
          <cell r="A3695">
            <v>320087</v>
          </cell>
          <cell r="B3695" t="str">
            <v>NAVAJA CREATIVE PLATA</v>
          </cell>
          <cell r="C3695" t="str">
            <v>8435057053808</v>
          </cell>
        </row>
        <row r="3696">
          <cell r="A3696">
            <v>320088</v>
          </cell>
          <cell r="B3696" t="str">
            <v>NAVAJA CREATIVE NEGRO</v>
          </cell>
          <cell r="C3696" t="str">
            <v>NAVCRE</v>
          </cell>
        </row>
        <row r="3697">
          <cell r="A3697">
            <v>320088</v>
          </cell>
          <cell r="B3697" t="str">
            <v>NAVAJA CREATIVE NEGRO</v>
          </cell>
          <cell r="C3697" t="str">
            <v>N334</v>
          </cell>
        </row>
        <row r="3698">
          <cell r="A3698">
            <v>320088</v>
          </cell>
          <cell r="B3698" t="str">
            <v>NAVAJA CREATIVE NEGRO</v>
          </cell>
          <cell r="C3698" t="str">
            <v>8435057053013</v>
          </cell>
        </row>
        <row r="3699">
          <cell r="A3699">
            <v>320089</v>
          </cell>
          <cell r="B3699" t="str">
            <v>NAVAJA CREATIVE ROJO</v>
          </cell>
          <cell r="C3699" t="str">
            <v>NAVCRO</v>
          </cell>
        </row>
        <row r="3700">
          <cell r="A3700">
            <v>320089</v>
          </cell>
          <cell r="B3700" t="str">
            <v>NAVAJA CREATIVE ROJO</v>
          </cell>
          <cell r="C3700" t="str">
            <v>8435057053785</v>
          </cell>
        </row>
        <row r="3701">
          <cell r="A3701">
            <v>320090</v>
          </cell>
          <cell r="B3701" t="str">
            <v>NECESER TRANSP. AZUL</v>
          </cell>
          <cell r="C3701" t="str">
            <v>NETRAZ</v>
          </cell>
        </row>
        <row r="3702">
          <cell r="A3702">
            <v>320090</v>
          </cell>
          <cell r="B3702" t="str">
            <v>NECESER TRANSP. AZUL</v>
          </cell>
          <cell r="C3702" t="str">
            <v>8435057052146</v>
          </cell>
        </row>
        <row r="3703">
          <cell r="A3703">
            <v>320091</v>
          </cell>
          <cell r="B3703" t="str">
            <v>PEINE FIBRA CARBONO Nº 1</v>
          </cell>
          <cell r="C3703" t="str">
            <v>PEINE1</v>
          </cell>
        </row>
        <row r="3704">
          <cell r="A3704">
            <v>320091</v>
          </cell>
          <cell r="B3704" t="str">
            <v>PEINE FIBRA CARBONO Nº 1</v>
          </cell>
          <cell r="C3704" t="str">
            <v>PE-CB825P</v>
          </cell>
        </row>
        <row r="3705">
          <cell r="A3705">
            <v>320091</v>
          </cell>
          <cell r="B3705" t="str">
            <v>PEINE FIBRA CARBONO Nº 1</v>
          </cell>
          <cell r="C3705" t="str">
            <v>8435057053082</v>
          </cell>
        </row>
        <row r="3706">
          <cell r="A3706">
            <v>320092</v>
          </cell>
          <cell r="B3706" t="str">
            <v>PEINE FIBRA CARBONO Nº 2</v>
          </cell>
          <cell r="C3706" t="str">
            <v>PEINE2</v>
          </cell>
        </row>
        <row r="3707">
          <cell r="A3707">
            <v>320092</v>
          </cell>
          <cell r="B3707" t="str">
            <v>PEINE FIBRA CARBONO Nº 2</v>
          </cell>
          <cell r="C3707" t="str">
            <v>PE-CB819P</v>
          </cell>
        </row>
        <row r="3708">
          <cell r="A3708">
            <v>320092</v>
          </cell>
          <cell r="B3708" t="str">
            <v>PEINE FIBRA CARBONO Nº 2</v>
          </cell>
          <cell r="C3708" t="str">
            <v>8435057053099</v>
          </cell>
        </row>
        <row r="3709">
          <cell r="A3709">
            <v>320093</v>
          </cell>
          <cell r="B3709" t="str">
            <v>PEINE FIBRA CARBONO Nº 3</v>
          </cell>
          <cell r="C3709" t="str">
            <v>PEINE3</v>
          </cell>
        </row>
        <row r="3710">
          <cell r="A3710">
            <v>320093</v>
          </cell>
          <cell r="B3710" t="str">
            <v>PEINE FIBRA CARBONO Nº 3</v>
          </cell>
          <cell r="C3710" t="str">
            <v>PE-CB824P</v>
          </cell>
        </row>
        <row r="3711">
          <cell r="A3711">
            <v>320093</v>
          </cell>
          <cell r="B3711" t="str">
            <v>PEINE FIBRA CARBONO Nº 3</v>
          </cell>
          <cell r="C3711" t="str">
            <v>8435057053105</v>
          </cell>
        </row>
        <row r="3712">
          <cell r="A3712">
            <v>320094</v>
          </cell>
          <cell r="B3712" t="str">
            <v>PEINE FIBRA CARBONO Nº 4</v>
          </cell>
          <cell r="C3712" t="str">
            <v>PEINE4</v>
          </cell>
        </row>
        <row r="3713">
          <cell r="A3713">
            <v>320094</v>
          </cell>
          <cell r="B3713" t="str">
            <v>PEINE FIBRA CARBONO Nº 4</v>
          </cell>
          <cell r="C3713" t="str">
            <v>PE-CB814P</v>
          </cell>
        </row>
        <row r="3714">
          <cell r="A3714">
            <v>320094</v>
          </cell>
          <cell r="B3714" t="str">
            <v>PEINE FIBRA CARBONO Nº 4</v>
          </cell>
          <cell r="C3714" t="str">
            <v>8435057053112</v>
          </cell>
        </row>
        <row r="3715">
          <cell r="A3715">
            <v>320095</v>
          </cell>
          <cell r="B3715" t="str">
            <v>PEINE FIBRA CARBONO Nº 5</v>
          </cell>
          <cell r="C3715" t="str">
            <v>PEINE5</v>
          </cell>
        </row>
        <row r="3716">
          <cell r="A3716">
            <v>320095</v>
          </cell>
          <cell r="B3716" t="str">
            <v>PEINE FIBRA CARBONO Nº 5</v>
          </cell>
          <cell r="C3716" t="str">
            <v>PE-CB823P</v>
          </cell>
        </row>
        <row r="3717">
          <cell r="A3717">
            <v>320095</v>
          </cell>
          <cell r="B3717" t="str">
            <v>PEINE FIBRA CARBONO Nº 5</v>
          </cell>
          <cell r="C3717" t="str">
            <v>8435057053129</v>
          </cell>
        </row>
        <row r="3718">
          <cell r="A3718">
            <v>320096</v>
          </cell>
          <cell r="B3718" t="str">
            <v>PEINE FIBRA CARBONO Nº 6</v>
          </cell>
          <cell r="C3718" t="str">
            <v>PEINE6</v>
          </cell>
        </row>
        <row r="3719">
          <cell r="A3719">
            <v>320096</v>
          </cell>
          <cell r="B3719" t="str">
            <v>PEINE FIBRA CARBONO Nº 6</v>
          </cell>
          <cell r="C3719" t="str">
            <v>PE-CB820P</v>
          </cell>
        </row>
        <row r="3720">
          <cell r="A3720">
            <v>320096</v>
          </cell>
          <cell r="B3720" t="str">
            <v>PEINE FIBRA CARBONO Nº 6</v>
          </cell>
          <cell r="C3720" t="str">
            <v>8435057053136</v>
          </cell>
        </row>
        <row r="3721">
          <cell r="A3721">
            <v>320097</v>
          </cell>
          <cell r="B3721" t="str">
            <v>PEINE FIBRA CARBONO Nº 7</v>
          </cell>
          <cell r="C3721" t="str">
            <v>PEINE7</v>
          </cell>
        </row>
        <row r="3722">
          <cell r="A3722">
            <v>320097</v>
          </cell>
          <cell r="B3722" t="str">
            <v>PEINE FIBRA CARBONO Nº 7</v>
          </cell>
          <cell r="C3722" t="str">
            <v>PE-CB821P</v>
          </cell>
        </row>
        <row r="3723">
          <cell r="A3723">
            <v>320097</v>
          </cell>
          <cell r="B3723" t="str">
            <v>PEINE FIBRA CARBONO Nº 7</v>
          </cell>
          <cell r="C3723" t="str">
            <v>8435057053143</v>
          </cell>
        </row>
        <row r="3724">
          <cell r="A3724">
            <v>320098</v>
          </cell>
          <cell r="B3724" t="str">
            <v>PEINE FIBRA CARBONO Nº 8</v>
          </cell>
          <cell r="C3724" t="str">
            <v>PEINE8</v>
          </cell>
        </row>
        <row r="3725">
          <cell r="A3725">
            <v>320098</v>
          </cell>
          <cell r="B3725" t="str">
            <v>PEINE FIBRA CARBONO Nº 8</v>
          </cell>
          <cell r="C3725" t="str">
            <v>PE-CB862P</v>
          </cell>
        </row>
        <row r="3726">
          <cell r="A3726">
            <v>320098</v>
          </cell>
          <cell r="B3726" t="str">
            <v>PEINE FIBRA CARBONO Nº 8</v>
          </cell>
          <cell r="C3726" t="str">
            <v>8435057053150</v>
          </cell>
        </row>
        <row r="3727">
          <cell r="A3727">
            <v>320099</v>
          </cell>
          <cell r="B3727" t="str">
            <v>TEJA CON PIE BASCULANTE</v>
          </cell>
          <cell r="C3727" t="str">
            <v>PIEBAS</v>
          </cell>
        </row>
        <row r="3728">
          <cell r="A3728">
            <v>320099</v>
          </cell>
          <cell r="B3728" t="str">
            <v>TEJA CON PIE BASCULANTE</v>
          </cell>
          <cell r="C3728" t="str">
            <v>8435057054539</v>
          </cell>
        </row>
        <row r="3729">
          <cell r="A3729">
            <v>320100</v>
          </cell>
          <cell r="B3729" t="str">
            <v>PACK PINZAS 6 UNID.</v>
          </cell>
          <cell r="C3729" t="str">
            <v>PINZ6</v>
          </cell>
        </row>
        <row r="3730">
          <cell r="A3730">
            <v>320100</v>
          </cell>
          <cell r="B3730" t="str">
            <v>PACK PINZAS 6 UNID.</v>
          </cell>
          <cell r="C3730" t="str">
            <v>PK-6EVOPZ</v>
          </cell>
        </row>
        <row r="3731">
          <cell r="A3731">
            <v>320100</v>
          </cell>
          <cell r="B3731" t="str">
            <v>PACK PINZAS 6 UNID.</v>
          </cell>
          <cell r="C3731" t="str">
            <v>8435057053167</v>
          </cell>
        </row>
        <row r="3732">
          <cell r="A3732">
            <v>320101</v>
          </cell>
          <cell r="B3732" t="str">
            <v>PLANCHA ALISADORA DUPLO</v>
          </cell>
          <cell r="C3732" t="str">
            <v>PLADUC</v>
          </cell>
        </row>
        <row r="3733">
          <cell r="A3733">
            <v>320101</v>
          </cell>
          <cell r="B3733" t="str">
            <v>PLANCHA ALISADORA DUPLO</v>
          </cell>
          <cell r="C3733" t="str">
            <v>8435068400301</v>
          </cell>
        </row>
        <row r="3734">
          <cell r="A3734">
            <v>320102</v>
          </cell>
          <cell r="B3734" t="str">
            <v>PLANCHA ALISADORA DUPLO NEGRA</v>
          </cell>
          <cell r="C3734" t="str">
            <v>PLADUN</v>
          </cell>
        </row>
        <row r="3735">
          <cell r="A3735">
            <v>320102</v>
          </cell>
          <cell r="B3735" t="str">
            <v>PLANCHA ALISADORA DUPLO NEGRA</v>
          </cell>
          <cell r="C3735" t="str">
            <v>8435057052160</v>
          </cell>
        </row>
        <row r="3736">
          <cell r="A3736">
            <v>320103</v>
          </cell>
          <cell r="B3736" t="str">
            <v>PLANCHA CERAMICA-ION ESTRECHA</v>
          </cell>
          <cell r="C3736" t="str">
            <v>PLCEIE</v>
          </cell>
        </row>
        <row r="3737">
          <cell r="A3737">
            <v>320103</v>
          </cell>
          <cell r="B3737" t="str">
            <v>PLANCHA CERAMICA-ION ESTRECHA</v>
          </cell>
          <cell r="C3737" t="str">
            <v>8435057052177</v>
          </cell>
        </row>
        <row r="3738">
          <cell r="A3738">
            <v>320104</v>
          </cell>
          <cell r="B3738" t="str">
            <v>PLANCHA CERAMICA-ION REGULAD.</v>
          </cell>
          <cell r="C3738" t="str">
            <v>PLCEIR</v>
          </cell>
        </row>
        <row r="3739">
          <cell r="A3739">
            <v>320104</v>
          </cell>
          <cell r="B3739" t="str">
            <v>PLANCHA CERAMICA-ION REGULAD.</v>
          </cell>
          <cell r="C3739" t="str">
            <v>40248</v>
          </cell>
        </row>
        <row r="3740">
          <cell r="A3740">
            <v>320104</v>
          </cell>
          <cell r="B3740" t="str">
            <v>PLANCHA CERAMICA-ION REGULAD.</v>
          </cell>
          <cell r="C3740" t="str">
            <v>8435057052184</v>
          </cell>
        </row>
        <row r="3741">
          <cell r="A3741">
            <v>320105</v>
          </cell>
          <cell r="B3741" t="str">
            <v>PLANCHA DAMELTECH</v>
          </cell>
          <cell r="C3741" t="str">
            <v>PLDAME</v>
          </cell>
        </row>
        <row r="3742">
          <cell r="A3742">
            <v>320105</v>
          </cell>
          <cell r="B3742" t="str">
            <v>PLANCHA DAMELTECH</v>
          </cell>
          <cell r="C3742" t="str">
            <v>8435057052191</v>
          </cell>
        </row>
        <row r="3743">
          <cell r="A3743">
            <v>320106</v>
          </cell>
          <cell r="B3743" t="str">
            <v>PLANCHA DAMELTECH TITANIUM</v>
          </cell>
          <cell r="C3743" t="str">
            <v>PLDATI</v>
          </cell>
        </row>
        <row r="3744">
          <cell r="A3744">
            <v>320106</v>
          </cell>
          <cell r="B3744" t="str">
            <v>PLANCHA DAMELTECH TITANIUM</v>
          </cell>
          <cell r="C3744" t="str">
            <v>8435057052207</v>
          </cell>
        </row>
        <row r="3745">
          <cell r="A3745">
            <v>320107</v>
          </cell>
          <cell r="B3745" t="str">
            <v>PLANCHA LASER GA.MA</v>
          </cell>
          <cell r="C3745" t="str">
            <v>PLLASE</v>
          </cell>
        </row>
        <row r="3746">
          <cell r="A3746">
            <v>320107</v>
          </cell>
          <cell r="B3746" t="str">
            <v>PLANCHA LASER GA.MA</v>
          </cell>
          <cell r="C3746" t="str">
            <v>40247</v>
          </cell>
        </row>
        <row r="3747">
          <cell r="A3747">
            <v>320107</v>
          </cell>
          <cell r="B3747" t="str">
            <v>PLANCHA LASER GA.MA</v>
          </cell>
          <cell r="C3747" t="str">
            <v>8435057052214</v>
          </cell>
        </row>
        <row r="3748">
          <cell r="A3748">
            <v>320108</v>
          </cell>
          <cell r="B3748" t="str">
            <v>PLANCHA MYST</v>
          </cell>
          <cell r="C3748" t="str">
            <v>PLMYST</v>
          </cell>
        </row>
        <row r="3749">
          <cell r="A3749">
            <v>320108</v>
          </cell>
          <cell r="B3749" t="str">
            <v>PLANCHA MYST</v>
          </cell>
          <cell r="C3749" t="str">
            <v>M572</v>
          </cell>
        </row>
        <row r="3750">
          <cell r="A3750">
            <v>320108</v>
          </cell>
          <cell r="B3750" t="str">
            <v>PLANCHA MYST</v>
          </cell>
          <cell r="C3750" t="str">
            <v>8435057053334</v>
          </cell>
        </row>
        <row r="3751">
          <cell r="A3751">
            <v>320109</v>
          </cell>
          <cell r="B3751" t="str">
            <v>SUPLEMENTO CERAMICA LAVACABEZAS NEGRA</v>
          </cell>
          <cell r="C3751" t="str">
            <v>PLNACE</v>
          </cell>
        </row>
        <row r="3752">
          <cell r="A3752">
            <v>320109</v>
          </cell>
          <cell r="B3752" t="str">
            <v>SUPLEMENTO CERAMICA LAVACABEZAS NEGRA</v>
          </cell>
          <cell r="C3752" t="str">
            <v>WG5406</v>
          </cell>
        </row>
        <row r="3753">
          <cell r="A3753">
            <v>320109</v>
          </cell>
          <cell r="B3753" t="str">
            <v>SUPLEMENTO CERAMICA LAVACABEZAS NEGRA</v>
          </cell>
          <cell r="C3753" t="str">
            <v>8435057052598</v>
          </cell>
        </row>
        <row r="3754">
          <cell r="A3754">
            <v>320110</v>
          </cell>
          <cell r="B3754" t="str">
            <v>PLANCHA ALISADORA PC 26</v>
          </cell>
          <cell r="C3754" t="str">
            <v>PLPC26</v>
          </cell>
        </row>
        <row r="3755">
          <cell r="A3755">
            <v>320110</v>
          </cell>
          <cell r="B3755" t="str">
            <v>PLANCHA ALISADORA PC 26</v>
          </cell>
          <cell r="C3755" t="str">
            <v>8435057052221</v>
          </cell>
        </row>
        <row r="3756">
          <cell r="A3756">
            <v>320111</v>
          </cell>
          <cell r="B3756" t="str">
            <v>PUFF NIÑO UNO TAP. NEGRO</v>
          </cell>
          <cell r="C3756" t="str">
            <v>PUFFNI</v>
          </cell>
        </row>
        <row r="3757">
          <cell r="A3757">
            <v>320111</v>
          </cell>
          <cell r="B3757" t="str">
            <v>PUFF NIÑO UNO TAP. NEGRO</v>
          </cell>
          <cell r="C3757" t="str">
            <v>8435057053952</v>
          </cell>
        </row>
        <row r="3758">
          <cell r="A3758">
            <v>320112</v>
          </cell>
          <cell r="B3758" t="str">
            <v>PUFF OKO FUCSIA</v>
          </cell>
          <cell r="C3758" t="str">
            <v>PUFFOKF</v>
          </cell>
        </row>
        <row r="3759">
          <cell r="A3759">
            <v>320112</v>
          </cell>
          <cell r="B3759" t="str">
            <v>PUFF OKO FUCSIA</v>
          </cell>
          <cell r="C3759" t="str">
            <v>TKM327</v>
          </cell>
        </row>
        <row r="3760">
          <cell r="A3760">
            <v>320112</v>
          </cell>
          <cell r="B3760" t="str">
            <v>PUFF OKO FUCSIA</v>
          </cell>
          <cell r="C3760" t="str">
            <v>8435057054072</v>
          </cell>
        </row>
        <row r="3761">
          <cell r="A3761">
            <v>320113</v>
          </cell>
          <cell r="B3761" t="str">
            <v>PUFF NIÑO OKO NEGRO</v>
          </cell>
          <cell r="C3761" t="str">
            <v>PUFFOKO</v>
          </cell>
        </row>
        <row r="3762">
          <cell r="A3762">
            <v>320113</v>
          </cell>
          <cell r="B3762" t="str">
            <v>PUFF NIÑO OKO NEGRO</v>
          </cell>
          <cell r="C3762" t="str">
            <v>TKM327</v>
          </cell>
        </row>
        <row r="3763">
          <cell r="A3763">
            <v>320113</v>
          </cell>
          <cell r="B3763" t="str">
            <v>PUFF NIÑO OKO NEGRO</v>
          </cell>
          <cell r="C3763" t="str">
            <v>8435057053693</v>
          </cell>
        </row>
        <row r="3764">
          <cell r="A3764">
            <v>320114</v>
          </cell>
          <cell r="B3764" t="str">
            <v>RECEPCION KINA LAMINA PORTLAND</v>
          </cell>
          <cell r="C3764" t="str">
            <v>REKINA</v>
          </cell>
        </row>
        <row r="3765">
          <cell r="A3765">
            <v>320114</v>
          </cell>
          <cell r="B3765" t="str">
            <v>RECEPCION KINA LAMINA PORTLAND</v>
          </cell>
          <cell r="C3765" t="str">
            <v>TKM209</v>
          </cell>
        </row>
        <row r="3766">
          <cell r="A3766">
            <v>320114</v>
          </cell>
          <cell r="B3766" t="str">
            <v>RECEPCION KINA LAMINA PORTLAND</v>
          </cell>
          <cell r="C3766" t="str">
            <v>8435057053815</v>
          </cell>
        </row>
        <row r="3767">
          <cell r="A3767">
            <v>320115</v>
          </cell>
          <cell r="B3767" t="str">
            <v>RECEPCION KINA LAMINADO NEGRO</v>
          </cell>
          <cell r="C3767" t="str">
            <v>REKINE</v>
          </cell>
        </row>
        <row r="3768">
          <cell r="A3768">
            <v>320115</v>
          </cell>
          <cell r="B3768" t="str">
            <v>RECEPCION KINA LAMINADO NEGRO</v>
          </cell>
          <cell r="C3768" t="str">
            <v>8435057054478</v>
          </cell>
        </row>
        <row r="3769">
          <cell r="A3769">
            <v>320116</v>
          </cell>
          <cell r="B3769" t="str">
            <v>RECEPCION KINA LAMINADO WENGUE</v>
          </cell>
          <cell r="C3769" t="str">
            <v>REKIWE</v>
          </cell>
        </row>
        <row r="3770">
          <cell r="A3770">
            <v>320116</v>
          </cell>
          <cell r="B3770" t="str">
            <v>RECEPCION KINA LAMINADO WENGUE</v>
          </cell>
          <cell r="C3770" t="str">
            <v>TKM209</v>
          </cell>
        </row>
        <row r="3771">
          <cell r="A3771">
            <v>320116</v>
          </cell>
          <cell r="B3771" t="str">
            <v>RECEPCION KINA LAMINADO WENGUE</v>
          </cell>
          <cell r="C3771" t="str">
            <v>8435057054164</v>
          </cell>
        </row>
        <row r="3772">
          <cell r="A3772">
            <v>320117</v>
          </cell>
          <cell r="B3772" t="str">
            <v>SECADOR CASCO BASIC 4V AGV PIE</v>
          </cell>
          <cell r="C3772" t="str">
            <v>SECAAG</v>
          </cell>
        </row>
        <row r="3773">
          <cell r="A3773">
            <v>320117</v>
          </cell>
          <cell r="B3773" t="str">
            <v>SECADOR CASCO BASIC 4V AGV PIE</v>
          </cell>
          <cell r="C3773" t="str">
            <v>8435057052238</v>
          </cell>
        </row>
        <row r="3774">
          <cell r="A3774">
            <v>320118</v>
          </cell>
          <cell r="B3774" t="str">
            <v>SECADOR CASCO GONG BRAZO NEGRO</v>
          </cell>
          <cell r="C3774" t="str">
            <v>SECABR</v>
          </cell>
        </row>
        <row r="3775">
          <cell r="A3775">
            <v>320118</v>
          </cell>
          <cell r="B3775" t="str">
            <v>SECADOR CASCO GONG BRAZO NEGRO</v>
          </cell>
          <cell r="C3775" t="str">
            <v>G13213</v>
          </cell>
        </row>
        <row r="3776">
          <cell r="A3776">
            <v>320118</v>
          </cell>
          <cell r="B3776" t="str">
            <v>SECADOR CASCO GONG BRAZO NEGRO</v>
          </cell>
          <cell r="C3776" t="str">
            <v>8435057052924</v>
          </cell>
        </row>
        <row r="3777">
          <cell r="A3777">
            <v>320119</v>
          </cell>
          <cell r="B3777" t="str">
            <v>SECADOR CASCO GONG PIE NEGRO</v>
          </cell>
          <cell r="C3777" t="str">
            <v>SECAPI</v>
          </cell>
        </row>
        <row r="3778">
          <cell r="A3778">
            <v>320119</v>
          </cell>
          <cell r="B3778" t="str">
            <v>SECADOR CASCO GONG PIE NEGRO</v>
          </cell>
          <cell r="C3778" t="str">
            <v>G13212</v>
          </cell>
        </row>
        <row r="3779">
          <cell r="A3779">
            <v>320119</v>
          </cell>
          <cell r="B3779" t="str">
            <v>SECADOR CASCO GONG PIE NEGRO</v>
          </cell>
          <cell r="C3779" t="str">
            <v>8435057052931</v>
          </cell>
        </row>
        <row r="3780">
          <cell r="A3780">
            <v>320120</v>
          </cell>
          <cell r="B3780" t="str">
            <v>SECADOR ARIA GOLD ROSE GAMMA PIU</v>
          </cell>
          <cell r="C3780" t="str">
            <v>SEDA24</v>
          </cell>
        </row>
        <row r="3781">
          <cell r="A3781">
            <v>320120</v>
          </cell>
          <cell r="B3781" t="str">
            <v>SECADOR ARIA GOLD ROSE GAMMA PIU</v>
          </cell>
          <cell r="C3781" t="str">
            <v>8435057052245</v>
          </cell>
        </row>
        <row r="3782">
          <cell r="A3782">
            <v>320121</v>
          </cell>
          <cell r="B3782" t="str">
            <v>SECADOR DAMELTECH 5000</v>
          </cell>
          <cell r="C3782" t="str">
            <v>SEDA50</v>
          </cell>
        </row>
        <row r="3783">
          <cell r="A3783">
            <v>320121</v>
          </cell>
          <cell r="B3783" t="str">
            <v>SECADOR DAMELTECH 5000</v>
          </cell>
          <cell r="C3783" t="str">
            <v>8435057052252</v>
          </cell>
        </row>
        <row r="3784">
          <cell r="A3784">
            <v>320122</v>
          </cell>
          <cell r="B3784" t="str">
            <v>SECADOR DAMELTECH 5000 IONIC</v>
          </cell>
          <cell r="C3784" t="str">
            <v>SEDA50I</v>
          </cell>
        </row>
        <row r="3785">
          <cell r="A3785">
            <v>320122</v>
          </cell>
          <cell r="B3785" t="str">
            <v>SECADOR DAMELTECH 5000 IONIC</v>
          </cell>
          <cell r="C3785" t="str">
            <v>8435057052269</v>
          </cell>
        </row>
        <row r="3786">
          <cell r="A3786">
            <v>320123</v>
          </cell>
          <cell r="B3786" t="str">
            <v>SECADOR ISONIC 3.7 BLUE</v>
          </cell>
          <cell r="C3786" t="str">
            <v>SEISO37</v>
          </cell>
        </row>
        <row r="3787">
          <cell r="A3787">
            <v>320123</v>
          </cell>
          <cell r="B3787" t="str">
            <v>SECADOR ISONIC 3.7 BLUE</v>
          </cell>
          <cell r="C3787" t="str">
            <v>8435057053020</v>
          </cell>
        </row>
        <row r="3788">
          <cell r="A3788">
            <v>320124</v>
          </cell>
          <cell r="B3788" t="str">
            <v>SECADOR ISONIC 3.7 GRAPHITO</v>
          </cell>
          <cell r="C3788" t="str">
            <v>SEISOGR</v>
          </cell>
        </row>
        <row r="3789">
          <cell r="A3789">
            <v>320124</v>
          </cell>
          <cell r="B3789" t="str">
            <v>SECADOR ISONIC 3.7 GRAPHITO</v>
          </cell>
          <cell r="C3789" t="str">
            <v>8435057053761</v>
          </cell>
        </row>
        <row r="3790">
          <cell r="A3790">
            <v>320125</v>
          </cell>
          <cell r="B3790" t="str">
            <v>SECADOR ISONIC 3.7 VIOLETA</v>
          </cell>
          <cell r="C3790" t="str">
            <v>SEISOVI</v>
          </cell>
        </row>
        <row r="3791">
          <cell r="A3791">
            <v>320125</v>
          </cell>
          <cell r="B3791" t="str">
            <v>SECADOR ISONIC 3.7 VIOLETA</v>
          </cell>
          <cell r="C3791" t="str">
            <v>8435057053778</v>
          </cell>
        </row>
        <row r="3792">
          <cell r="A3792">
            <v>320126</v>
          </cell>
          <cell r="B3792" t="str">
            <v>SECADOR NANO 2900 AZUL</v>
          </cell>
          <cell r="C3792" t="str">
            <v>SENAAZ</v>
          </cell>
        </row>
        <row r="3793">
          <cell r="A3793">
            <v>320126</v>
          </cell>
          <cell r="B3793" t="str">
            <v>SECADOR NANO 2900 AZUL</v>
          </cell>
          <cell r="C3793" t="str">
            <v>8435057053464</v>
          </cell>
        </row>
        <row r="3794">
          <cell r="A3794">
            <v>320127</v>
          </cell>
          <cell r="B3794" t="str">
            <v>SECADOR NANO 2900 BERENJENA</v>
          </cell>
          <cell r="C3794" t="str">
            <v>SENABE</v>
          </cell>
        </row>
        <row r="3795">
          <cell r="A3795">
            <v>320127</v>
          </cell>
          <cell r="B3795" t="str">
            <v>SECADOR NANO 2900 BERENJENA</v>
          </cell>
          <cell r="C3795" t="str">
            <v>8435057053488</v>
          </cell>
        </row>
        <row r="3796">
          <cell r="A3796">
            <v>320128</v>
          </cell>
          <cell r="B3796" t="str">
            <v>SECADOR NANO CERAMIC IONIC</v>
          </cell>
          <cell r="C3796" t="str">
            <v>SENACEN</v>
          </cell>
        </row>
        <row r="3797">
          <cell r="A3797">
            <v>320128</v>
          </cell>
          <cell r="B3797" t="str">
            <v>SECADOR NANO CERAMIC IONIC</v>
          </cell>
          <cell r="C3797" t="str">
            <v>8435057053501</v>
          </cell>
        </row>
        <row r="3798">
          <cell r="A3798">
            <v>320129</v>
          </cell>
          <cell r="B3798" t="str">
            <v>SECADOR NANO CERAMIC IONIC</v>
          </cell>
          <cell r="C3798" t="str">
            <v>SENACER</v>
          </cell>
        </row>
        <row r="3799">
          <cell r="A3799">
            <v>320129</v>
          </cell>
          <cell r="B3799" t="str">
            <v>SECADOR NANO CERAMIC IONIC</v>
          </cell>
          <cell r="C3799" t="str">
            <v>8435057053518</v>
          </cell>
        </row>
        <row r="3800">
          <cell r="A3800">
            <v>320130</v>
          </cell>
          <cell r="B3800" t="str">
            <v>SECADOR NANO 2900 NARANJA</v>
          </cell>
          <cell r="C3800" t="str">
            <v>SENANA</v>
          </cell>
        </row>
        <row r="3801">
          <cell r="A3801">
            <v>320130</v>
          </cell>
          <cell r="B3801" t="str">
            <v>SECADOR NANO 2900 NARANJA</v>
          </cell>
          <cell r="C3801" t="str">
            <v>8435057053457</v>
          </cell>
        </row>
        <row r="3802">
          <cell r="A3802">
            <v>320131</v>
          </cell>
          <cell r="B3802" t="str">
            <v>SECADOR NANO 2900 PURPURA</v>
          </cell>
          <cell r="C3802" t="str">
            <v>SENAPU</v>
          </cell>
        </row>
        <row r="3803">
          <cell r="A3803">
            <v>320131</v>
          </cell>
          <cell r="B3803" t="str">
            <v>SECADOR NANO 2900 PURPURA</v>
          </cell>
          <cell r="C3803" t="str">
            <v>8435057053471</v>
          </cell>
        </row>
        <row r="3804">
          <cell r="A3804">
            <v>320132</v>
          </cell>
          <cell r="B3804" t="str">
            <v>SECADOR NANO 2900 ROSA</v>
          </cell>
          <cell r="C3804" t="str">
            <v>SENARO</v>
          </cell>
        </row>
        <row r="3805">
          <cell r="A3805">
            <v>320132</v>
          </cell>
          <cell r="B3805" t="str">
            <v>SECADOR NANO 2900 ROSA</v>
          </cell>
          <cell r="C3805" t="str">
            <v>8435068400455</v>
          </cell>
        </row>
        <row r="3806">
          <cell r="A3806">
            <v>320133</v>
          </cell>
          <cell r="B3806" t="str">
            <v>SECADOR PARLUX 3200 COMPACT</v>
          </cell>
          <cell r="C3806" t="str">
            <v>SEPL32</v>
          </cell>
        </row>
        <row r="3807">
          <cell r="A3807">
            <v>320133</v>
          </cell>
          <cell r="B3807" t="str">
            <v>SECADOR PARLUX 3200 COMPACT</v>
          </cell>
          <cell r="C3807" t="str">
            <v>8435057053594</v>
          </cell>
        </row>
        <row r="3808">
          <cell r="A3808">
            <v>320134</v>
          </cell>
          <cell r="B3808" t="str">
            <v>SECADOR PARLUX 3500 SUPERCOMPA</v>
          </cell>
          <cell r="C3808" t="str">
            <v>SEPL35</v>
          </cell>
        </row>
        <row r="3809">
          <cell r="A3809">
            <v>320134</v>
          </cell>
          <cell r="B3809" t="str">
            <v>SECADOR PARLUX 3500 SUPERCOMPA</v>
          </cell>
          <cell r="C3809" t="str">
            <v>8435057053600</v>
          </cell>
        </row>
        <row r="3810">
          <cell r="A3810">
            <v>320135</v>
          </cell>
          <cell r="B3810" t="str">
            <v>SECADOR TH 2300 Negro/Gris</v>
          </cell>
          <cell r="C3810" t="str">
            <v>SETH23</v>
          </cell>
        </row>
        <row r="3811">
          <cell r="A3811">
            <v>320135</v>
          </cell>
          <cell r="B3811" t="str">
            <v>SECADOR TH 2300 Negro/Gris</v>
          </cell>
          <cell r="C3811" t="str">
            <v>8435068400400</v>
          </cell>
        </row>
        <row r="3812">
          <cell r="A3812">
            <v>320136</v>
          </cell>
          <cell r="B3812" t="str">
            <v>SECADOR TH 2300 Azul/Plata</v>
          </cell>
          <cell r="C3812" t="str">
            <v>SETH23A</v>
          </cell>
        </row>
        <row r="3813">
          <cell r="A3813">
            <v>320136</v>
          </cell>
          <cell r="B3813" t="str">
            <v>SECADOR TH 2300 Azul/Plata</v>
          </cell>
          <cell r="C3813" t="str">
            <v>8435057052283</v>
          </cell>
        </row>
        <row r="3814">
          <cell r="A3814">
            <v>320137</v>
          </cell>
          <cell r="B3814" t="str">
            <v>SECADOR TH 5000 CERATIONIC</v>
          </cell>
          <cell r="C3814" t="str">
            <v>SETH50C</v>
          </cell>
        </row>
        <row r="3815">
          <cell r="A3815">
            <v>320137</v>
          </cell>
          <cell r="B3815" t="str">
            <v>SECADOR TH 5000 CERATIONIC</v>
          </cell>
          <cell r="C3815" t="str">
            <v>8435068400417</v>
          </cell>
        </row>
        <row r="3816">
          <cell r="A3816">
            <v>320138</v>
          </cell>
          <cell r="B3816" t="str">
            <v>SECADOR TH 5000 Gris</v>
          </cell>
          <cell r="C3816" t="str">
            <v>SETH50G</v>
          </cell>
        </row>
        <row r="3817">
          <cell r="A3817">
            <v>320138</v>
          </cell>
          <cell r="B3817" t="str">
            <v>SECADOR TH 5000 Gris</v>
          </cell>
          <cell r="C3817" t="str">
            <v>8435057052306</v>
          </cell>
        </row>
        <row r="3818">
          <cell r="A3818">
            <v>320139</v>
          </cell>
          <cell r="B3818" t="str">
            <v>SILLON KIBO.</v>
          </cell>
          <cell r="C3818" t="str">
            <v>SIKIBO</v>
          </cell>
        </row>
        <row r="3819">
          <cell r="A3819">
            <v>320139</v>
          </cell>
          <cell r="B3819" t="str">
            <v>SILLON KIBO.</v>
          </cell>
          <cell r="C3819" t="str">
            <v>TKM001Q</v>
          </cell>
        </row>
        <row r="3820">
          <cell r="A3820">
            <v>320139</v>
          </cell>
          <cell r="B3820" t="str">
            <v>SILLON KIBO.</v>
          </cell>
          <cell r="C3820" t="str">
            <v>8435057053907</v>
          </cell>
        </row>
        <row r="3821">
          <cell r="A3821">
            <v>320140</v>
          </cell>
          <cell r="B3821" t="str">
            <v>SILLON AKARI NEGRO</v>
          </cell>
          <cell r="C3821" t="str">
            <v>SILLAK</v>
          </cell>
        </row>
        <row r="3822">
          <cell r="A3822">
            <v>320140</v>
          </cell>
          <cell r="B3822" t="str">
            <v>SILLON AKARI NEGRO</v>
          </cell>
          <cell r="C3822" t="str">
            <v>TKM006</v>
          </cell>
        </row>
        <row r="3823">
          <cell r="A3823">
            <v>320140</v>
          </cell>
          <cell r="B3823" t="str">
            <v>SILLON AKARI NEGRO</v>
          </cell>
          <cell r="C3823" t="str">
            <v>8435057053617</v>
          </cell>
        </row>
        <row r="3824">
          <cell r="A3824">
            <v>320141</v>
          </cell>
          <cell r="B3824" t="str">
            <v>SILLON KENJI.</v>
          </cell>
          <cell r="C3824" t="str">
            <v>SILLKE</v>
          </cell>
        </row>
        <row r="3825">
          <cell r="A3825">
            <v>320141</v>
          </cell>
          <cell r="B3825" t="str">
            <v>SILLON KENJI.</v>
          </cell>
          <cell r="C3825" t="str">
            <v>TKM004S</v>
          </cell>
        </row>
        <row r="3826">
          <cell r="A3826">
            <v>320141</v>
          </cell>
          <cell r="B3826" t="str">
            <v>SILLON KENJI.</v>
          </cell>
          <cell r="C3826" t="str">
            <v>8435057054287</v>
          </cell>
        </row>
        <row r="3827">
          <cell r="A3827">
            <v>320142</v>
          </cell>
          <cell r="B3827" t="str">
            <v>SILLON KENJI.</v>
          </cell>
          <cell r="C3827" t="str">
            <v>SIKEFU</v>
          </cell>
        </row>
        <row r="3828">
          <cell r="A3828">
            <v>320142</v>
          </cell>
          <cell r="B3828" t="str">
            <v>SILLON KENJI.</v>
          </cell>
          <cell r="C3828" t="str">
            <v>TKM004GS</v>
          </cell>
        </row>
        <row r="3829">
          <cell r="A3829">
            <v>320142</v>
          </cell>
          <cell r="B3829" t="str">
            <v>SILLON KENJI.</v>
          </cell>
          <cell r="C3829" t="str">
            <v>8435057054515</v>
          </cell>
        </row>
        <row r="3830">
          <cell r="A3830">
            <v>320143</v>
          </cell>
          <cell r="B3830" t="str">
            <v>SILLON NIÑO KO FUCSIA</v>
          </cell>
          <cell r="C3830" t="str">
            <v>SIKOFU</v>
          </cell>
        </row>
        <row r="3831">
          <cell r="A3831">
            <v>320143</v>
          </cell>
          <cell r="B3831" t="str">
            <v>SILLON NIÑO KO FUCSIA</v>
          </cell>
          <cell r="C3831" t="str">
            <v>TKM311</v>
          </cell>
        </row>
        <row r="3832">
          <cell r="A3832">
            <v>320143</v>
          </cell>
          <cell r="B3832" t="str">
            <v>SILLON NIÑO KO FUCSIA</v>
          </cell>
          <cell r="C3832" t="str">
            <v>8435057054492</v>
          </cell>
        </row>
        <row r="3833">
          <cell r="A3833">
            <v>320144</v>
          </cell>
          <cell r="B3833" t="str">
            <v>SILLON ESPERA SAKURA</v>
          </cell>
          <cell r="C3833" t="str">
            <v>SISAKU</v>
          </cell>
        </row>
        <row r="3834">
          <cell r="A3834">
            <v>320144</v>
          </cell>
          <cell r="B3834" t="str">
            <v>SILLON ESPERA SAKURA</v>
          </cell>
          <cell r="C3834" t="str">
            <v>TKM008</v>
          </cell>
        </row>
        <row r="3835">
          <cell r="A3835">
            <v>320144</v>
          </cell>
          <cell r="B3835" t="str">
            <v>SILLON ESPERA SAKURA</v>
          </cell>
          <cell r="C3835" t="str">
            <v>8435057053891</v>
          </cell>
        </row>
        <row r="3836">
          <cell r="A3836">
            <v>320145</v>
          </cell>
          <cell r="B3836" t="str">
            <v>SILLON ESPERA TAKESHI 2 PLAZAS</v>
          </cell>
          <cell r="C3836" t="str">
            <v>SITAKE</v>
          </cell>
        </row>
        <row r="3837">
          <cell r="A3837">
            <v>320145</v>
          </cell>
          <cell r="B3837" t="str">
            <v>SILLON ESPERA TAKESHI 2 PLAZAS</v>
          </cell>
          <cell r="C3837" t="str">
            <v>TKM010</v>
          </cell>
        </row>
        <row r="3838">
          <cell r="A3838">
            <v>320145</v>
          </cell>
          <cell r="B3838" t="str">
            <v>SILLON ESPERA TAKESHI 2 PLAZAS</v>
          </cell>
          <cell r="C3838" t="str">
            <v>8435057053914</v>
          </cell>
        </row>
        <row r="3839">
          <cell r="A3839">
            <v>320146</v>
          </cell>
          <cell r="B3839" t="str">
            <v>SILLON ESPERA TAKESHI 3 PLAZAS</v>
          </cell>
          <cell r="C3839" t="str">
            <v>SITAKE3</v>
          </cell>
        </row>
        <row r="3840">
          <cell r="A3840">
            <v>320146</v>
          </cell>
          <cell r="B3840" t="str">
            <v>SILLON ESPERA TAKESHI 3 PLAZAS</v>
          </cell>
          <cell r="C3840" t="str">
            <v>8435057054126</v>
          </cell>
        </row>
        <row r="3841">
          <cell r="A3841">
            <v>320147</v>
          </cell>
          <cell r="B3841" t="str">
            <v>SILLON ESPERA 'TAMI'MODULO A.</v>
          </cell>
          <cell r="C3841" t="str">
            <v>SITAMIA</v>
          </cell>
        </row>
        <row r="3842">
          <cell r="A3842">
            <v>320147</v>
          </cell>
          <cell r="B3842" t="str">
            <v>SILLON ESPERA 'TAMI'MODULO A.</v>
          </cell>
          <cell r="C3842" t="str">
            <v>TKM009A</v>
          </cell>
        </row>
        <row r="3843">
          <cell r="A3843">
            <v>320147</v>
          </cell>
          <cell r="B3843" t="str">
            <v>SILLON ESPERA 'TAMI'MODULO A.</v>
          </cell>
          <cell r="C3843" t="str">
            <v>8435057054508</v>
          </cell>
        </row>
        <row r="3844">
          <cell r="A3844">
            <v>320148</v>
          </cell>
          <cell r="B3844" t="str">
            <v>SOPORTE TIJERAS CUBE SYSTEM</v>
          </cell>
          <cell r="C3844" t="str">
            <v>SOTIJE</v>
          </cell>
        </row>
        <row r="3845">
          <cell r="A3845">
            <v>320148</v>
          </cell>
          <cell r="B3845" t="str">
            <v>SOPORTE TIJERAS CUBE SYSTEM</v>
          </cell>
          <cell r="C3845" t="str">
            <v>A482</v>
          </cell>
        </row>
        <row r="3846">
          <cell r="A3846">
            <v>320148</v>
          </cell>
          <cell r="B3846" t="str">
            <v>SOPORTE TIJERAS CUBE SYSTEM</v>
          </cell>
          <cell r="C3846" t="str">
            <v>8435057053037</v>
          </cell>
        </row>
        <row r="3847">
          <cell r="A3847">
            <v>320149</v>
          </cell>
          <cell r="B3847" t="str">
            <v>TABURETE FUYU NEGRO</v>
          </cell>
          <cell r="C3847" t="str">
            <v>TAFUYU</v>
          </cell>
        </row>
        <row r="3848">
          <cell r="A3848">
            <v>320149</v>
          </cell>
          <cell r="B3848" t="str">
            <v>TABURETE FUYU NEGRO</v>
          </cell>
          <cell r="C3848" t="str">
            <v>TKM310</v>
          </cell>
        </row>
        <row r="3849">
          <cell r="A3849">
            <v>320149</v>
          </cell>
          <cell r="B3849" t="str">
            <v>TABURETE FUYU NEGRO</v>
          </cell>
          <cell r="C3849" t="str">
            <v>8435057053259</v>
          </cell>
        </row>
        <row r="3850">
          <cell r="A3850">
            <v>320150</v>
          </cell>
          <cell r="B3850" t="str">
            <v>TABURETE FUYU FUCSIA</v>
          </cell>
          <cell r="C3850" t="str">
            <v>TAFUYUF</v>
          </cell>
        </row>
        <row r="3851">
          <cell r="A3851">
            <v>320150</v>
          </cell>
          <cell r="B3851" t="str">
            <v>TABURETE FUYU FUCSIA</v>
          </cell>
          <cell r="C3851" t="str">
            <v>TKM310</v>
          </cell>
        </row>
        <row r="3852">
          <cell r="A3852">
            <v>320150</v>
          </cell>
          <cell r="B3852" t="str">
            <v>TABURETE FUYU FUCSIA</v>
          </cell>
          <cell r="C3852" t="str">
            <v>8435057054041</v>
          </cell>
        </row>
        <row r="3853">
          <cell r="A3853">
            <v>320151</v>
          </cell>
          <cell r="B3853" t="str">
            <v>TABURETE FUYU NARANJA</v>
          </cell>
          <cell r="C3853" t="str">
            <v>TAFUYUN</v>
          </cell>
        </row>
        <row r="3854">
          <cell r="A3854">
            <v>320151</v>
          </cell>
          <cell r="B3854" t="str">
            <v>TABURETE FUYU NARANJA</v>
          </cell>
          <cell r="C3854" t="str">
            <v>TKM311</v>
          </cell>
        </row>
        <row r="3855">
          <cell r="A3855">
            <v>320151</v>
          </cell>
          <cell r="B3855" t="str">
            <v>TABURETE FUYU NARANJA</v>
          </cell>
          <cell r="C3855" t="str">
            <v>8435057054065</v>
          </cell>
        </row>
        <row r="3856">
          <cell r="A3856">
            <v>320152</v>
          </cell>
          <cell r="B3856" t="str">
            <v>TABURETE FUYU ROJO CHAROL</v>
          </cell>
          <cell r="C3856" t="str">
            <v>TAFUYUR</v>
          </cell>
        </row>
        <row r="3857">
          <cell r="A3857">
            <v>320152</v>
          </cell>
          <cell r="B3857" t="str">
            <v>TABURETE FUYU ROJO CHAROL</v>
          </cell>
          <cell r="C3857" t="str">
            <v>TKM310</v>
          </cell>
        </row>
        <row r="3858">
          <cell r="A3858">
            <v>320152</v>
          </cell>
          <cell r="B3858" t="str">
            <v>TABURETE FUYU ROJO CHAROL</v>
          </cell>
          <cell r="C3858" t="str">
            <v>8435057053860</v>
          </cell>
        </row>
        <row r="3859">
          <cell r="A3859">
            <v>320153</v>
          </cell>
          <cell r="B3859" t="str">
            <v>TABURETE FUYU VERDE</v>
          </cell>
          <cell r="C3859" t="str">
            <v>TAFUYUV</v>
          </cell>
        </row>
        <row r="3860">
          <cell r="A3860">
            <v>320153</v>
          </cell>
          <cell r="B3860" t="str">
            <v>TABURETE FUYU VERDE</v>
          </cell>
          <cell r="C3860" t="str">
            <v>TKM310</v>
          </cell>
        </row>
        <row r="3861">
          <cell r="A3861">
            <v>320153</v>
          </cell>
          <cell r="B3861" t="str">
            <v>TABURETE FUYU VERDE</v>
          </cell>
          <cell r="C3861" t="str">
            <v>8435057054058</v>
          </cell>
        </row>
        <row r="3862">
          <cell r="A3862">
            <v>320154</v>
          </cell>
          <cell r="B3862" t="str">
            <v>TABURETE RUEDAS SMART</v>
          </cell>
          <cell r="C3862" t="str">
            <v>TARUSM</v>
          </cell>
        </row>
        <row r="3863">
          <cell r="A3863">
            <v>320154</v>
          </cell>
          <cell r="B3863" t="str">
            <v>TABURETE RUEDAS SMART</v>
          </cell>
          <cell r="C3863" t="str">
            <v>320154</v>
          </cell>
        </row>
        <row r="3864">
          <cell r="A3864">
            <v>320155</v>
          </cell>
          <cell r="B3864" t="str">
            <v>TABURETE SEKI NEGRO</v>
          </cell>
          <cell r="C3864" t="str">
            <v>TASEKI</v>
          </cell>
        </row>
        <row r="3865">
          <cell r="A3865">
            <v>320155</v>
          </cell>
          <cell r="B3865" t="str">
            <v>TABURETE SEKI NEGRO</v>
          </cell>
          <cell r="C3865" t="str">
            <v>TKM309</v>
          </cell>
        </row>
        <row r="3866">
          <cell r="A3866">
            <v>320155</v>
          </cell>
          <cell r="B3866" t="str">
            <v>TABURETE SEKI NEGRO</v>
          </cell>
          <cell r="C3866" t="str">
            <v>8435057052986</v>
          </cell>
        </row>
        <row r="3867">
          <cell r="A3867">
            <v>320156</v>
          </cell>
          <cell r="B3867" t="str">
            <v>TABURETE SEKI BLANCO CHAROL</v>
          </cell>
          <cell r="C3867" t="str">
            <v>TASEKIB</v>
          </cell>
        </row>
        <row r="3868">
          <cell r="A3868">
            <v>320156</v>
          </cell>
          <cell r="B3868" t="str">
            <v>TABURETE SEKI BLANCO CHAROL</v>
          </cell>
          <cell r="C3868" t="str">
            <v>TKM309</v>
          </cell>
        </row>
        <row r="3869">
          <cell r="A3869">
            <v>320156</v>
          </cell>
          <cell r="B3869" t="str">
            <v>TABURETE SEKI BLANCO CHAROL</v>
          </cell>
          <cell r="C3869" t="str">
            <v>8435057054027</v>
          </cell>
        </row>
        <row r="3870">
          <cell r="A3870">
            <v>320157</v>
          </cell>
          <cell r="B3870" t="str">
            <v>TABURETE SEKI FUCSIA</v>
          </cell>
          <cell r="C3870" t="str">
            <v>TASEKIF</v>
          </cell>
        </row>
        <row r="3871">
          <cell r="A3871">
            <v>320157</v>
          </cell>
          <cell r="B3871" t="str">
            <v>TABURETE SEKI FUCSIA</v>
          </cell>
          <cell r="C3871" t="str">
            <v>TKM309</v>
          </cell>
        </row>
        <row r="3872">
          <cell r="A3872">
            <v>320157</v>
          </cell>
          <cell r="B3872" t="str">
            <v>TABURETE SEKI FUCSIA</v>
          </cell>
          <cell r="C3872" t="str">
            <v>8435057054034</v>
          </cell>
        </row>
        <row r="3873">
          <cell r="A3873">
            <v>320158</v>
          </cell>
          <cell r="B3873" t="str">
            <v>TABURETE SEKI MOCCA</v>
          </cell>
          <cell r="C3873" t="str">
            <v>TASEKIM</v>
          </cell>
        </row>
        <row r="3874">
          <cell r="A3874">
            <v>320158</v>
          </cell>
          <cell r="B3874" t="str">
            <v>TABURETE SEKI MOCCA</v>
          </cell>
          <cell r="C3874" t="str">
            <v>TKM309</v>
          </cell>
        </row>
        <row r="3875">
          <cell r="A3875">
            <v>320158</v>
          </cell>
          <cell r="B3875" t="str">
            <v>TABURETE SEKI MOCCA</v>
          </cell>
          <cell r="C3875" t="str">
            <v>8435057054157</v>
          </cell>
        </row>
        <row r="3876">
          <cell r="A3876">
            <v>320159</v>
          </cell>
          <cell r="B3876" t="str">
            <v>TABURETE SEKI NARANJA</v>
          </cell>
          <cell r="C3876" t="str">
            <v>TASEKIN</v>
          </cell>
        </row>
        <row r="3877">
          <cell r="A3877">
            <v>320159</v>
          </cell>
          <cell r="B3877" t="str">
            <v>TABURETE SEKI NARANJA</v>
          </cell>
          <cell r="C3877" t="str">
            <v>TKM309</v>
          </cell>
        </row>
        <row r="3878">
          <cell r="A3878">
            <v>320159</v>
          </cell>
          <cell r="B3878" t="str">
            <v>TABURETE SEKI NARANJA</v>
          </cell>
          <cell r="C3878" t="str">
            <v>8435057053884</v>
          </cell>
        </row>
        <row r="3879">
          <cell r="A3879">
            <v>320160</v>
          </cell>
          <cell r="B3879" t="str">
            <v>TABURETE SEKI ROJO CHAROL</v>
          </cell>
          <cell r="C3879" t="str">
            <v>TASEKIR</v>
          </cell>
        </row>
        <row r="3880">
          <cell r="A3880">
            <v>320160</v>
          </cell>
          <cell r="B3880" t="str">
            <v>TABURETE SEKI ROJO CHAROL</v>
          </cell>
          <cell r="C3880" t="str">
            <v>TKM309</v>
          </cell>
        </row>
        <row r="3881">
          <cell r="A3881">
            <v>320160</v>
          </cell>
          <cell r="B3881" t="str">
            <v>TABURETE SEKI ROJO CHAROL</v>
          </cell>
          <cell r="C3881" t="str">
            <v>8435057053877</v>
          </cell>
        </row>
        <row r="3882">
          <cell r="A3882">
            <v>320161</v>
          </cell>
          <cell r="B3882" t="str">
            <v>TABURETE SEKI SPIRAL</v>
          </cell>
          <cell r="C3882" t="str">
            <v>TASEKIS</v>
          </cell>
        </row>
        <row r="3883">
          <cell r="A3883">
            <v>320161</v>
          </cell>
          <cell r="B3883" t="str">
            <v>TABURETE SEKI SPIRAL</v>
          </cell>
          <cell r="C3883" t="str">
            <v>TKM309</v>
          </cell>
        </row>
        <row r="3884">
          <cell r="A3884">
            <v>320161</v>
          </cell>
          <cell r="B3884" t="str">
            <v>TABURETE SEKI SPIRAL</v>
          </cell>
          <cell r="C3884" t="str">
            <v>8435057054119</v>
          </cell>
        </row>
        <row r="3885">
          <cell r="A3885">
            <v>320162</v>
          </cell>
          <cell r="B3885" t="str">
            <v>TABURETE SEKI VERDE</v>
          </cell>
          <cell r="C3885" t="str">
            <v>TASEKIV</v>
          </cell>
        </row>
        <row r="3886">
          <cell r="A3886">
            <v>320162</v>
          </cell>
          <cell r="B3886" t="str">
            <v>TABURETE SEKI VERDE</v>
          </cell>
          <cell r="C3886" t="str">
            <v>TKM309</v>
          </cell>
        </row>
        <row r="3887">
          <cell r="A3887">
            <v>320162</v>
          </cell>
          <cell r="B3887" t="str">
            <v>TABURETE SEKI VERDE</v>
          </cell>
          <cell r="C3887" t="str">
            <v>8435057054010</v>
          </cell>
        </row>
        <row r="3888">
          <cell r="A3888">
            <v>320163</v>
          </cell>
          <cell r="B3888" t="str">
            <v>TENACILLA D13 LIM</v>
          </cell>
          <cell r="C3888" t="str">
            <v>TED13</v>
          </cell>
        </row>
        <row r="3889">
          <cell r="A3889">
            <v>320163</v>
          </cell>
          <cell r="B3889" t="str">
            <v>TENACILLA D13 LIM</v>
          </cell>
          <cell r="C3889" t="str">
            <v>8435068400516</v>
          </cell>
        </row>
        <row r="3890">
          <cell r="A3890">
            <v>320164</v>
          </cell>
          <cell r="B3890" t="str">
            <v>TENACILLA D16 LIM</v>
          </cell>
          <cell r="C3890" t="str">
            <v>TED16</v>
          </cell>
        </row>
        <row r="3891">
          <cell r="A3891">
            <v>320164</v>
          </cell>
          <cell r="B3891" t="str">
            <v>TENACILLA D16 LIM</v>
          </cell>
          <cell r="C3891" t="str">
            <v>8435068400523</v>
          </cell>
        </row>
        <row r="3892">
          <cell r="A3892">
            <v>320165</v>
          </cell>
          <cell r="B3892" t="str">
            <v>TENACILLA D18 LIM</v>
          </cell>
          <cell r="C3892" t="str">
            <v>TED18</v>
          </cell>
        </row>
        <row r="3893">
          <cell r="A3893">
            <v>320165</v>
          </cell>
          <cell r="B3893" t="str">
            <v>TENACILLA D18 LIM</v>
          </cell>
          <cell r="C3893" t="str">
            <v>8435068400530</v>
          </cell>
        </row>
        <row r="3894">
          <cell r="A3894">
            <v>320166</v>
          </cell>
          <cell r="B3894" t="str">
            <v>TENACILLA D25 LIM</v>
          </cell>
          <cell r="C3894" t="str">
            <v>TED25</v>
          </cell>
        </row>
        <row r="3895">
          <cell r="A3895">
            <v>320166</v>
          </cell>
          <cell r="B3895" t="str">
            <v>TENACILLA D25 LIM</v>
          </cell>
          <cell r="C3895" t="str">
            <v>8435068400547</v>
          </cell>
        </row>
        <row r="3896">
          <cell r="A3896">
            <v>320167</v>
          </cell>
          <cell r="B3896" t="str">
            <v>TENACILLA D9 LIM</v>
          </cell>
          <cell r="C3896" t="str">
            <v>TED9</v>
          </cell>
        </row>
        <row r="3897">
          <cell r="A3897">
            <v>320167</v>
          </cell>
          <cell r="B3897" t="str">
            <v>TENACILLA D9 LIM</v>
          </cell>
          <cell r="C3897" t="str">
            <v>8435068400509</v>
          </cell>
        </row>
        <row r="3898">
          <cell r="A3898">
            <v>320168</v>
          </cell>
          <cell r="B3898" t="str">
            <v>TENACILLA ESPIRAL D16</v>
          </cell>
          <cell r="C3898" t="str">
            <v>TEED16</v>
          </cell>
        </row>
        <row r="3899">
          <cell r="A3899">
            <v>320168</v>
          </cell>
          <cell r="B3899" t="str">
            <v>TENACILLA ESPIRAL D16</v>
          </cell>
          <cell r="C3899" t="str">
            <v>8435068400592</v>
          </cell>
        </row>
        <row r="3900">
          <cell r="A3900">
            <v>320169</v>
          </cell>
          <cell r="B3900" t="str">
            <v>TENACILLA MUELLA D13</v>
          </cell>
          <cell r="C3900" t="str">
            <v>TEMD13</v>
          </cell>
        </row>
        <row r="3901">
          <cell r="A3901">
            <v>320169</v>
          </cell>
          <cell r="B3901" t="str">
            <v>TENACILLA MUELLA D13</v>
          </cell>
          <cell r="C3901" t="str">
            <v>8435068400554</v>
          </cell>
        </row>
        <row r="3902">
          <cell r="A3902">
            <v>320170</v>
          </cell>
          <cell r="B3902" t="str">
            <v>TENACILLA MUELLA D16</v>
          </cell>
          <cell r="C3902" t="str">
            <v>TEMD16</v>
          </cell>
        </row>
        <row r="3903">
          <cell r="A3903">
            <v>320170</v>
          </cell>
          <cell r="B3903" t="str">
            <v>TENACILLA MUELLA D16</v>
          </cell>
          <cell r="C3903" t="str">
            <v>8435068400561</v>
          </cell>
        </row>
        <row r="3904">
          <cell r="A3904">
            <v>320171</v>
          </cell>
          <cell r="B3904" t="str">
            <v>TENACILLA MUELLE D18</v>
          </cell>
          <cell r="C3904" t="str">
            <v>TEMD18</v>
          </cell>
        </row>
        <row r="3905">
          <cell r="A3905">
            <v>320171</v>
          </cell>
          <cell r="B3905" t="str">
            <v>TENACILLA MUELLE D18</v>
          </cell>
          <cell r="C3905" t="str">
            <v>8435068400578</v>
          </cell>
        </row>
        <row r="3906">
          <cell r="A3906">
            <v>320172</v>
          </cell>
          <cell r="B3906" t="str">
            <v>TENACILLA TRIANGULAR D18</v>
          </cell>
          <cell r="C3906" t="str">
            <v>TETD18</v>
          </cell>
        </row>
        <row r="3907">
          <cell r="A3907">
            <v>320172</v>
          </cell>
          <cell r="B3907" t="str">
            <v>TENACILLA TRIANGULAR D18</v>
          </cell>
          <cell r="C3907" t="str">
            <v>8435068400585</v>
          </cell>
        </row>
        <row r="3908">
          <cell r="A3908">
            <v>320173</v>
          </cell>
          <cell r="B3908" t="str">
            <v>TIJERA ACERO FORJADO 5'</v>
          </cell>
          <cell r="C3908" t="str">
            <v>TIAC05</v>
          </cell>
        </row>
        <row r="3909">
          <cell r="A3909">
            <v>320173</v>
          </cell>
          <cell r="B3909" t="str">
            <v>TIJERA ACERO FORJADO 5'</v>
          </cell>
          <cell r="C3909" t="str">
            <v>8435057052412</v>
          </cell>
        </row>
        <row r="3910">
          <cell r="A3910">
            <v>320174</v>
          </cell>
          <cell r="B3910" t="str">
            <v>TIJERA ACERO FORJADO 5.5'</v>
          </cell>
          <cell r="C3910" t="str">
            <v>TIAC55</v>
          </cell>
        </row>
        <row r="3911">
          <cell r="A3911">
            <v>320174</v>
          </cell>
          <cell r="B3911" t="str">
            <v>TIJERA ACERO FORJADO 5.5'</v>
          </cell>
          <cell r="C3911" t="str">
            <v>8435057052429</v>
          </cell>
        </row>
        <row r="3912">
          <cell r="A3912">
            <v>320175</v>
          </cell>
          <cell r="B3912" t="str">
            <v>TIJERA BLACK ARTERO 5"</v>
          </cell>
          <cell r="C3912" t="str">
            <v>TIBC05</v>
          </cell>
        </row>
        <row r="3913">
          <cell r="A3913">
            <v>320175</v>
          </cell>
          <cell r="B3913" t="str">
            <v>TIJERA BLACK ARTERO 5"</v>
          </cell>
          <cell r="C3913" t="str">
            <v>44450</v>
          </cell>
        </row>
        <row r="3914">
          <cell r="A3914">
            <v>320175</v>
          </cell>
          <cell r="B3914" t="str">
            <v>TIJERA BLACK ARTERO 5"</v>
          </cell>
          <cell r="C3914" t="str">
            <v>8435037130116</v>
          </cell>
        </row>
        <row r="3915">
          <cell r="A3915">
            <v>320176</v>
          </cell>
          <cell r="B3915" t="str">
            <v>TIJERA BLACK ARTERO 5.5"</v>
          </cell>
          <cell r="C3915" t="str">
            <v>TIBC55</v>
          </cell>
        </row>
        <row r="3916">
          <cell r="A3916">
            <v>320176</v>
          </cell>
          <cell r="B3916" t="str">
            <v>TIJERA BLACK ARTERO 5.5"</v>
          </cell>
          <cell r="C3916" t="str">
            <v>44455</v>
          </cell>
        </row>
        <row r="3917">
          <cell r="A3917">
            <v>320176</v>
          </cell>
          <cell r="B3917" t="str">
            <v>TIJERA BLACK ARTERO 5.5"</v>
          </cell>
          <cell r="C3917" t="str">
            <v>8435037130123</v>
          </cell>
        </row>
        <row r="3918">
          <cell r="A3918">
            <v>320177</v>
          </cell>
          <cell r="B3918" t="str">
            <v>TIJERA VAC. BLACK 30D 5.5"</v>
          </cell>
          <cell r="C3918" t="str">
            <v>TIVB55</v>
          </cell>
        </row>
        <row r="3919">
          <cell r="A3919">
            <v>320177</v>
          </cell>
          <cell r="B3919" t="str">
            <v>TIJERA VAC. BLACK 30D 5.5"</v>
          </cell>
          <cell r="C3919" t="str">
            <v>65455</v>
          </cell>
        </row>
        <row r="3920">
          <cell r="A3920">
            <v>320177</v>
          </cell>
          <cell r="B3920" t="str">
            <v>TIJERA VAC. BLACK 30D 5.5"</v>
          </cell>
          <cell r="C3920" t="str">
            <v>8435037131199</v>
          </cell>
        </row>
        <row r="3921">
          <cell r="A3921">
            <v>320178</v>
          </cell>
          <cell r="B3921" t="str">
            <v>TIJERA VAC. PRO 27 DIENTE 5.5"</v>
          </cell>
          <cell r="C3921" t="str">
            <v>TIJE27</v>
          </cell>
        </row>
        <row r="3922">
          <cell r="A3922">
            <v>320178</v>
          </cell>
          <cell r="B3922" t="str">
            <v>TIJERA VAC. PRO 27 DIENTE 5.5"</v>
          </cell>
          <cell r="C3922" t="str">
            <v>342755</v>
          </cell>
        </row>
        <row r="3923">
          <cell r="A3923">
            <v>320178</v>
          </cell>
          <cell r="B3923" t="str">
            <v>TIJERA VAC. PRO 27 DIENTE 5.5"</v>
          </cell>
          <cell r="C3923" t="str">
            <v>8435057053310</v>
          </cell>
        </row>
        <row r="3924">
          <cell r="A3924">
            <v>320179</v>
          </cell>
          <cell r="B3924" t="str">
            <v>TIJERA VAC. PRO ARTERO 6"</v>
          </cell>
          <cell r="C3924" t="str">
            <v>TIJE40</v>
          </cell>
        </row>
        <row r="3925">
          <cell r="A3925">
            <v>320179</v>
          </cell>
          <cell r="B3925" t="str">
            <v>TIJERA VAC. PRO ARTERO 6"</v>
          </cell>
          <cell r="C3925" t="str">
            <v>384060</v>
          </cell>
        </row>
        <row r="3926">
          <cell r="A3926">
            <v>320179</v>
          </cell>
          <cell r="B3926" t="str">
            <v>TIJERA VAC. PRO ARTERO 6"</v>
          </cell>
          <cell r="C3926" t="str">
            <v>8435037130161</v>
          </cell>
        </row>
        <row r="3927">
          <cell r="A3927">
            <v>320180</v>
          </cell>
          <cell r="B3927" t="str">
            <v>TIJERA CORTE GEISHA 5.5"</v>
          </cell>
          <cell r="C3927" t="str">
            <v>TIJEG55</v>
          </cell>
        </row>
        <row r="3928">
          <cell r="A3928">
            <v>320180</v>
          </cell>
          <cell r="B3928" t="str">
            <v>TIJERA CORTE GEISHA 5.5"</v>
          </cell>
          <cell r="C3928" t="str">
            <v>65255</v>
          </cell>
        </row>
        <row r="3929">
          <cell r="A3929">
            <v>320180</v>
          </cell>
          <cell r="B3929" t="str">
            <v>TIJERA CORTE GEISHA 5.5"</v>
          </cell>
          <cell r="C3929" t="str">
            <v>8435037131175</v>
          </cell>
        </row>
        <row r="3930">
          <cell r="A3930">
            <v>320181</v>
          </cell>
          <cell r="B3930" t="str">
            <v>TIJERA CORTE GEISHA 5"</v>
          </cell>
          <cell r="C3930" t="str">
            <v>TIJEGE5</v>
          </cell>
        </row>
        <row r="3931">
          <cell r="A3931">
            <v>320181</v>
          </cell>
          <cell r="B3931" t="str">
            <v>TIJERA CORTE GEISHA 5"</v>
          </cell>
          <cell r="C3931" t="str">
            <v>65250</v>
          </cell>
        </row>
        <row r="3932">
          <cell r="A3932">
            <v>320181</v>
          </cell>
          <cell r="B3932" t="str">
            <v>TIJERA CORTE GEISHA 5"</v>
          </cell>
          <cell r="C3932" t="str">
            <v>8435057053273</v>
          </cell>
        </row>
        <row r="3933">
          <cell r="A3933">
            <v>320182</v>
          </cell>
          <cell r="B3933" t="str">
            <v>TIJERA CORTE SYMETRIC PLUS 5"</v>
          </cell>
          <cell r="C3933" t="str">
            <v>TISY05</v>
          </cell>
        </row>
        <row r="3934">
          <cell r="A3934">
            <v>320182</v>
          </cell>
          <cell r="B3934" t="str">
            <v>TIJERA CORTE SYMETRIC PLUS 5"</v>
          </cell>
          <cell r="C3934" t="str">
            <v>8435057053655</v>
          </cell>
        </row>
        <row r="3935">
          <cell r="A3935">
            <v>320183</v>
          </cell>
          <cell r="B3935" t="str">
            <v>TIJERA CORT SYMETRIC PLUS 5.5'</v>
          </cell>
          <cell r="C3935" t="str">
            <v>TISY55</v>
          </cell>
        </row>
        <row r="3936">
          <cell r="A3936">
            <v>320183</v>
          </cell>
          <cell r="B3936" t="str">
            <v>TIJERA CORT SYMETRIC PLUS 5.5'</v>
          </cell>
          <cell r="C3936" t="str">
            <v>63455</v>
          </cell>
        </row>
        <row r="3937">
          <cell r="A3937">
            <v>320183</v>
          </cell>
          <cell r="B3937" t="str">
            <v>TIJERA CORT SYMETRIC PLUS 5.5'</v>
          </cell>
          <cell r="C3937" t="str">
            <v>8435057053365</v>
          </cell>
        </row>
        <row r="3938">
          <cell r="A3938">
            <v>320184</v>
          </cell>
          <cell r="B3938" t="str">
            <v>TIJERA TSUNAMI 440C 6 "</v>
          </cell>
          <cell r="C3938" t="str">
            <v>TITS06</v>
          </cell>
        </row>
        <row r="3939">
          <cell r="A3939">
            <v>320184</v>
          </cell>
          <cell r="B3939" t="str">
            <v>TIJERA TSUNAMI 440C 6 "</v>
          </cell>
          <cell r="C3939" t="str">
            <v>36660</v>
          </cell>
        </row>
        <row r="3940">
          <cell r="A3940">
            <v>320184</v>
          </cell>
          <cell r="B3940" t="str">
            <v>TIJERA TSUNAMI 440C 6 "</v>
          </cell>
          <cell r="C3940" t="str">
            <v>8435037131342</v>
          </cell>
        </row>
        <row r="3941">
          <cell r="A3941">
            <v>320185</v>
          </cell>
          <cell r="B3941" t="str">
            <v>TIJERA TSUNAMI ATS 314 6"</v>
          </cell>
          <cell r="C3941" t="str">
            <v>TITSAT06</v>
          </cell>
        </row>
        <row r="3942">
          <cell r="A3942">
            <v>320185</v>
          </cell>
          <cell r="B3942" t="str">
            <v>TIJERA TSUNAMI ATS 314 6"</v>
          </cell>
          <cell r="C3942" t="str">
            <v>8435037131359</v>
          </cell>
        </row>
        <row r="3943">
          <cell r="A3943">
            <v>320186</v>
          </cell>
          <cell r="B3943" t="str">
            <v>TIJERA TSUNAMI DAMASCO 6"</v>
          </cell>
          <cell r="C3943" t="str">
            <v>TITSDA06</v>
          </cell>
        </row>
        <row r="3944">
          <cell r="A3944">
            <v>320186</v>
          </cell>
          <cell r="B3944" t="str">
            <v>TIJERA TSUNAMI DAMASCO 6"</v>
          </cell>
          <cell r="C3944" t="str">
            <v>8435037131342</v>
          </cell>
        </row>
        <row r="3945">
          <cell r="A3945">
            <v>320187</v>
          </cell>
          <cell r="B3945" t="str">
            <v>TIJERA ARTERO VACIADO 30% 5.5'</v>
          </cell>
          <cell r="C3945" t="str">
            <v>TIVA55</v>
          </cell>
        </row>
        <row r="3946">
          <cell r="A3946">
            <v>320187</v>
          </cell>
          <cell r="B3946" t="str">
            <v>TIJERA ARTERO VACIADO 30% 5.5'</v>
          </cell>
          <cell r="C3946" t="str">
            <v>ARTP2E28055</v>
          </cell>
        </row>
        <row r="3947">
          <cell r="A3947">
            <v>320187</v>
          </cell>
          <cell r="B3947" t="str">
            <v>TIJERA ARTERO VACIADO 30% 5.5'</v>
          </cell>
          <cell r="C3947" t="str">
            <v>8435057052436</v>
          </cell>
        </row>
        <row r="3948">
          <cell r="A3948">
            <v>320188</v>
          </cell>
          <cell r="B3948" t="str">
            <v>TOCADOR KENSI 1S MURAL</v>
          </cell>
          <cell r="C3948" t="str">
            <v>TOKELA</v>
          </cell>
        </row>
        <row r="3949">
          <cell r="A3949">
            <v>320188</v>
          </cell>
          <cell r="B3949" t="str">
            <v>TOCADOR KENSI 1S MURAL</v>
          </cell>
          <cell r="C3949" t="str">
            <v>TKM200L</v>
          </cell>
        </row>
        <row r="3950">
          <cell r="A3950">
            <v>320188</v>
          </cell>
          <cell r="B3950" t="str">
            <v>TOCADOR KENSI 1S MURAL</v>
          </cell>
          <cell r="C3950" t="str">
            <v>8435057054485</v>
          </cell>
        </row>
        <row r="3951">
          <cell r="A3951">
            <v>320189</v>
          </cell>
          <cell r="B3951" t="str">
            <v>VAPORAL ELECT. JOLLY BRAZO</v>
          </cell>
          <cell r="C3951" t="str">
            <v>VAEJB</v>
          </cell>
        </row>
        <row r="3952">
          <cell r="A3952">
            <v>320189</v>
          </cell>
          <cell r="B3952" t="str">
            <v>VAPORAL ELECT. JOLLY BRAZO</v>
          </cell>
          <cell r="C3952" t="str">
            <v>8435057052443</v>
          </cell>
        </row>
        <row r="3953">
          <cell r="A3953">
            <v>320190</v>
          </cell>
          <cell r="B3953" t="str">
            <v>VAPORIZADOR OZONO BLITZ BRAZO</v>
          </cell>
          <cell r="C3953" t="str">
            <v>VAPBB</v>
          </cell>
        </row>
        <row r="3954">
          <cell r="A3954">
            <v>320190</v>
          </cell>
          <cell r="B3954" t="str">
            <v>VAPORIZADOR OZONO BLITZ BRAZO</v>
          </cell>
          <cell r="C3954" t="str">
            <v>8435057053419</v>
          </cell>
        </row>
        <row r="3955">
          <cell r="A3955">
            <v>320191</v>
          </cell>
          <cell r="B3955" t="str">
            <v>VAPORIZADOR OZONO BLITZ PIE</v>
          </cell>
          <cell r="C3955" t="str">
            <v>VAPBP</v>
          </cell>
        </row>
        <row r="3956">
          <cell r="A3956">
            <v>320191</v>
          </cell>
          <cell r="B3956" t="str">
            <v>VAPORIZADOR OZONO BLITZ PIE</v>
          </cell>
          <cell r="C3956" t="str">
            <v>8435057053426</v>
          </cell>
        </row>
        <row r="3957">
          <cell r="A3957">
            <v>320192</v>
          </cell>
          <cell r="B3957" t="str">
            <v>VAPORAL GRECO P</v>
          </cell>
          <cell r="C3957" t="str">
            <v>VAPMF</v>
          </cell>
        </row>
        <row r="3958">
          <cell r="A3958">
            <v>320192</v>
          </cell>
          <cell r="B3958" t="str">
            <v>VAPORAL GRECO P</v>
          </cell>
          <cell r="C3958" t="str">
            <v>843505705240</v>
          </cell>
        </row>
        <row r="3959">
          <cell r="A3959">
            <v>320193</v>
          </cell>
          <cell r="B3959" t="str">
            <v>VAPOR ELECT. OZONO BRAZO</v>
          </cell>
          <cell r="C3959" t="str">
            <v>VAPOB</v>
          </cell>
        </row>
        <row r="3960">
          <cell r="A3960">
            <v>320193</v>
          </cell>
          <cell r="B3960" t="str">
            <v>VAPOR ELECT. OZONO BRAZO</v>
          </cell>
          <cell r="C3960" t="str">
            <v>8435057052467</v>
          </cell>
        </row>
        <row r="3961">
          <cell r="A3961">
            <v>320194</v>
          </cell>
          <cell r="B3961" t="str">
            <v>VAPOR ELECT. OZONO PIE</v>
          </cell>
          <cell r="C3961" t="str">
            <v>VAPOP</v>
          </cell>
        </row>
        <row r="3962">
          <cell r="A3962">
            <v>320194</v>
          </cell>
          <cell r="B3962" t="str">
            <v>VAPOR ELECT. OZONO PIE</v>
          </cell>
          <cell r="C3962" t="str">
            <v>8435057052474</v>
          </cell>
        </row>
        <row r="3963">
          <cell r="A3963">
            <v>320196</v>
          </cell>
          <cell r="B3963" t="str">
            <v>RECAMBIO  PEINE  BLUE  MAX</v>
          </cell>
          <cell r="C3963" t="str">
            <v>REPEBM</v>
          </cell>
        </row>
        <row r="3964">
          <cell r="A3964">
            <v>320196</v>
          </cell>
          <cell r="B3964" t="str">
            <v>RECAMBIO  PEINE  BLUE  MAX</v>
          </cell>
          <cell r="C3964" t="str">
            <v>8435057054669</v>
          </cell>
        </row>
        <row r="3965">
          <cell r="A3965">
            <v>320198</v>
          </cell>
          <cell r="B3965" t="str">
            <v>MAQUINA BABYLISS FORFEX CLIPPE</v>
          </cell>
          <cell r="C3965" t="str">
            <v>MABAFO</v>
          </cell>
        </row>
        <row r="3966">
          <cell r="A3966">
            <v>320198</v>
          </cell>
          <cell r="B3966" t="str">
            <v>MAQUINA BABYLISS FORFEX CLIPPE</v>
          </cell>
          <cell r="C3966" t="str">
            <v>8435057055062</v>
          </cell>
        </row>
        <row r="3967">
          <cell r="A3967">
            <v>320199</v>
          </cell>
          <cell r="B3967" t="str">
            <v>SILLON TAMIKO SEMI PIEL NEGRO</v>
          </cell>
          <cell r="C3967" t="str">
            <v>SITAMIPN</v>
          </cell>
        </row>
        <row r="3968">
          <cell r="A3968">
            <v>320199</v>
          </cell>
          <cell r="B3968" t="str">
            <v>SILLON TAMIKO SEMI PIEL NEGRO</v>
          </cell>
          <cell r="C3968" t="str">
            <v>TKM002Q</v>
          </cell>
        </row>
        <row r="3969">
          <cell r="A3969">
            <v>320199</v>
          </cell>
          <cell r="B3969" t="str">
            <v>SILLON TAMIKO SEMI PIEL NEGRO</v>
          </cell>
          <cell r="C3969" t="str">
            <v>320199</v>
          </cell>
        </row>
        <row r="3970">
          <cell r="A3970">
            <v>320200</v>
          </cell>
          <cell r="B3970" t="str">
            <v>ESTANTERIA INOX KEI</v>
          </cell>
          <cell r="C3970" t="str">
            <v>ESTAKEI</v>
          </cell>
        </row>
        <row r="3971">
          <cell r="A3971">
            <v>320200</v>
          </cell>
          <cell r="B3971" t="str">
            <v>ESTANTERIA INOX KEI</v>
          </cell>
          <cell r="C3971" t="str">
            <v>320200</v>
          </cell>
        </row>
        <row r="3972">
          <cell r="A3972">
            <v>320202</v>
          </cell>
          <cell r="B3972" t="str">
            <v>SEPARADOR SUKI PARA LAVACABEZA</v>
          </cell>
          <cell r="C3972" t="str">
            <v>SESUKI</v>
          </cell>
        </row>
        <row r="3973">
          <cell r="A3973">
            <v>320202</v>
          </cell>
          <cell r="B3973" t="str">
            <v>SEPARADOR SUKI PARA LAVACABEZA</v>
          </cell>
          <cell r="C3973" t="str">
            <v>TKM123</v>
          </cell>
        </row>
        <row r="3974">
          <cell r="A3974">
            <v>320202</v>
          </cell>
          <cell r="B3974" t="str">
            <v>SEPARADOR SUKI PARA LAVACABEZA</v>
          </cell>
          <cell r="C3974" t="str">
            <v>320202</v>
          </cell>
        </row>
        <row r="3975">
          <cell r="A3975">
            <v>320203</v>
          </cell>
          <cell r="B3975" t="str">
            <v>SILLON TAMIKO CHAROL NEGRO</v>
          </cell>
          <cell r="C3975" t="str">
            <v>SITAMICN</v>
          </cell>
        </row>
        <row r="3976">
          <cell r="A3976">
            <v>320203</v>
          </cell>
          <cell r="B3976" t="str">
            <v>SILLON TAMIKO CHAROL NEGRO</v>
          </cell>
          <cell r="C3976" t="str">
            <v>TKM002</v>
          </cell>
        </row>
        <row r="3977">
          <cell r="A3977">
            <v>320203</v>
          </cell>
          <cell r="B3977" t="str">
            <v>SILLON TAMIKO CHAROL NEGRO</v>
          </cell>
          <cell r="C3977" t="str">
            <v>320203</v>
          </cell>
        </row>
        <row r="3978">
          <cell r="A3978">
            <v>320204</v>
          </cell>
          <cell r="B3978" t="str">
            <v>LAVACABEZAS SUKI FUJI</v>
          </cell>
          <cell r="C3978" t="str">
            <v>LASUFU</v>
          </cell>
        </row>
        <row r="3979">
          <cell r="A3979">
            <v>320204</v>
          </cell>
          <cell r="B3979" t="str">
            <v>LAVACABEZAS SUKI FUJI</v>
          </cell>
          <cell r="C3979" t="str">
            <v>TKM111</v>
          </cell>
        </row>
        <row r="3980">
          <cell r="A3980">
            <v>320204</v>
          </cell>
          <cell r="B3980" t="str">
            <v>LAVACABEZAS SUKI FUJI</v>
          </cell>
          <cell r="C3980" t="str">
            <v>320204</v>
          </cell>
        </row>
        <row r="3981">
          <cell r="A3981">
            <v>320205</v>
          </cell>
          <cell r="B3981" t="str">
            <v>TIJERA GEMINIS 5.5"</v>
          </cell>
          <cell r="C3981" t="str">
            <v>TIGE55</v>
          </cell>
        </row>
        <row r="3982">
          <cell r="A3982">
            <v>320205</v>
          </cell>
          <cell r="B3982" t="str">
            <v>TIJERA GEMINIS 5.5"</v>
          </cell>
          <cell r="C3982" t="str">
            <v>8435057055260</v>
          </cell>
        </row>
        <row r="3983">
          <cell r="A3983">
            <v>320206</v>
          </cell>
          <cell r="B3983" t="str">
            <v>TIJERA CORTE DUAL 5.5"</v>
          </cell>
          <cell r="C3983" t="str">
            <v>TIDU55</v>
          </cell>
        </row>
        <row r="3984">
          <cell r="A3984">
            <v>320206</v>
          </cell>
          <cell r="B3984" t="str">
            <v>TIJERA CORTE DUAL 5.5"</v>
          </cell>
          <cell r="C3984" t="str">
            <v>8435037131380</v>
          </cell>
        </row>
        <row r="3985">
          <cell r="A3985">
            <v>320207</v>
          </cell>
          <cell r="B3985" t="str">
            <v>LAVACABEZAS UMIKO KIBO</v>
          </cell>
          <cell r="C3985" t="str">
            <v>LAUMKI</v>
          </cell>
        </row>
        <row r="3986">
          <cell r="A3986">
            <v>320207</v>
          </cell>
          <cell r="B3986" t="str">
            <v>LAVACABEZAS UMIKO KIBO</v>
          </cell>
          <cell r="C3986" t="str">
            <v>TKM101</v>
          </cell>
        </row>
        <row r="3987">
          <cell r="A3987">
            <v>320207</v>
          </cell>
          <cell r="B3987" t="str">
            <v>LAVACABEZAS UMIKO KIBO</v>
          </cell>
          <cell r="C3987" t="str">
            <v>320207</v>
          </cell>
        </row>
        <row r="3988">
          <cell r="A3988">
            <v>320208</v>
          </cell>
          <cell r="B3988" t="str">
            <v>SEPARADOR LAVACABEZAS KUMI</v>
          </cell>
          <cell r="C3988" t="str">
            <v>SEKUUM</v>
          </cell>
        </row>
        <row r="3989">
          <cell r="A3989">
            <v>320208</v>
          </cell>
          <cell r="B3989" t="str">
            <v>SEPARADOR LAVACABEZAS KUMI</v>
          </cell>
          <cell r="C3989" t="str">
            <v>TKM120</v>
          </cell>
        </row>
        <row r="3990">
          <cell r="A3990">
            <v>320208</v>
          </cell>
          <cell r="B3990" t="str">
            <v>SEPARADOR LAVACABEZAS KUMI</v>
          </cell>
          <cell r="C3990" t="str">
            <v>8435057055291</v>
          </cell>
        </row>
        <row r="3991">
          <cell r="A3991">
            <v>320209</v>
          </cell>
          <cell r="B3991" t="str">
            <v>CARRO MANICURA MISUKE</v>
          </cell>
          <cell r="C3991" t="str">
            <v>CAMAMISU</v>
          </cell>
        </row>
        <row r="3992">
          <cell r="A3992">
            <v>320209</v>
          </cell>
          <cell r="B3992" t="str">
            <v>CARRO MANICURA MISUKE</v>
          </cell>
          <cell r="C3992" t="str">
            <v>TKM300</v>
          </cell>
        </row>
        <row r="3993">
          <cell r="A3993">
            <v>320209</v>
          </cell>
          <cell r="B3993" t="str">
            <v>CARRO MANICURA MISUKE</v>
          </cell>
          <cell r="C3993" t="str">
            <v>8435057055307</v>
          </cell>
        </row>
        <row r="3994">
          <cell r="A3994">
            <v>320210</v>
          </cell>
          <cell r="B3994" t="str">
            <v>REVISTERO SAKKA</v>
          </cell>
          <cell r="C3994" t="str">
            <v>RESAKA</v>
          </cell>
        </row>
        <row r="3995">
          <cell r="A3995">
            <v>320210</v>
          </cell>
          <cell r="B3995" t="str">
            <v>REVISTERO SAKKA</v>
          </cell>
          <cell r="C3995" t="str">
            <v>320210</v>
          </cell>
        </row>
        <row r="3996">
          <cell r="A3996">
            <v>320211</v>
          </cell>
          <cell r="B3996" t="str">
            <v>MUEBLE AUXILIAR "YOKO"</v>
          </cell>
          <cell r="C3996" t="str">
            <v>MAYOKO</v>
          </cell>
        </row>
        <row r="3997">
          <cell r="A3997">
            <v>320211</v>
          </cell>
          <cell r="B3997" t="str">
            <v>MUEBLE AUXILIAR "YOKO"</v>
          </cell>
          <cell r="C3997" t="str">
            <v>320211</v>
          </cell>
        </row>
        <row r="3998">
          <cell r="A3998">
            <v>320212</v>
          </cell>
          <cell r="B3998" t="str">
            <v>BASCULA GRAVITY</v>
          </cell>
          <cell r="C3998" t="str">
            <v>BAGRAV</v>
          </cell>
        </row>
        <row r="3999">
          <cell r="A3999">
            <v>320212</v>
          </cell>
          <cell r="B3999" t="str">
            <v>BASCULA GRAVITY</v>
          </cell>
          <cell r="C3999" t="str">
            <v>8435057055406</v>
          </cell>
        </row>
        <row r="4000">
          <cell r="A4000">
            <v>320213</v>
          </cell>
          <cell r="B4000" t="str">
            <v>SOPORTE PLANCHA TERMICO</v>
          </cell>
          <cell r="C4000" t="str">
            <v>SOPOPL</v>
          </cell>
        </row>
        <row r="4001">
          <cell r="A4001">
            <v>320213</v>
          </cell>
          <cell r="B4001" t="str">
            <v>SOPORTE PLANCHA TERMICO</v>
          </cell>
          <cell r="C4001" t="str">
            <v>8435037113133</v>
          </cell>
        </row>
        <row r="4002">
          <cell r="A4002">
            <v>320214</v>
          </cell>
          <cell r="B4002" t="str">
            <v>MINI PLANCHA NIKITA VIOLETA</v>
          </cell>
          <cell r="C4002" t="str">
            <v>MIPLNIVI</v>
          </cell>
        </row>
        <row r="4003">
          <cell r="A4003">
            <v>320214</v>
          </cell>
          <cell r="B4003" t="str">
            <v>MINI PLANCHA NIKITA VIOLETA</v>
          </cell>
          <cell r="C4003" t="str">
            <v>8435037165309</v>
          </cell>
        </row>
        <row r="4004">
          <cell r="A4004">
            <v>320215</v>
          </cell>
          <cell r="B4004" t="str">
            <v>MINI PLANCHA NIKITA NARANJA</v>
          </cell>
          <cell r="C4004" t="str">
            <v>MIPLNINA</v>
          </cell>
        </row>
        <row r="4005">
          <cell r="A4005">
            <v>320215</v>
          </cell>
          <cell r="B4005" t="str">
            <v>MINI PLANCHA NIKITA NARANJA</v>
          </cell>
          <cell r="C4005" t="str">
            <v>8435057055420</v>
          </cell>
        </row>
        <row r="4006">
          <cell r="A4006">
            <v>320216</v>
          </cell>
          <cell r="B4006" t="str">
            <v>MINI PLANCHA NIKITA ROSA</v>
          </cell>
          <cell r="C4006" t="str">
            <v>MIPLNIRO</v>
          </cell>
        </row>
        <row r="4007">
          <cell r="A4007">
            <v>320216</v>
          </cell>
          <cell r="B4007" t="str">
            <v>MINI PLANCHA NIKITA ROSA</v>
          </cell>
          <cell r="C4007" t="str">
            <v>8435057055437</v>
          </cell>
        </row>
        <row r="4008">
          <cell r="A4008">
            <v>320217</v>
          </cell>
          <cell r="B4008" t="str">
            <v>MINI PLANCHA NIKITA VERDE</v>
          </cell>
          <cell r="C4008" t="str">
            <v>MIPLNIVE</v>
          </cell>
        </row>
        <row r="4009">
          <cell r="A4009">
            <v>320217</v>
          </cell>
          <cell r="B4009" t="str">
            <v>MINI PLANCHA NIKITA VERDE</v>
          </cell>
          <cell r="C4009" t="str">
            <v>8435057055444</v>
          </cell>
        </row>
        <row r="4010">
          <cell r="A4010">
            <v>320218</v>
          </cell>
          <cell r="B4010" t="str">
            <v>SECADOR NANO 2900 PISTACHO</v>
          </cell>
          <cell r="C4010" t="str">
            <v>SENAPI</v>
          </cell>
        </row>
        <row r="4011">
          <cell r="A4011">
            <v>320218</v>
          </cell>
          <cell r="B4011" t="str">
            <v>SECADOR NANO 2900 PISTACHO</v>
          </cell>
          <cell r="C4011" t="str">
            <v>8435057055451</v>
          </cell>
        </row>
        <row r="4012">
          <cell r="A4012">
            <v>320219</v>
          </cell>
          <cell r="B4012" t="str">
            <v>TIJERA CORTE DIVINE 5"</v>
          </cell>
          <cell r="C4012" t="str">
            <v>TIDI05</v>
          </cell>
        </row>
        <row r="4013">
          <cell r="A4013">
            <v>320219</v>
          </cell>
          <cell r="B4013" t="str">
            <v>TIJERA CORTE DIVINE 5"</v>
          </cell>
          <cell r="C4013" t="str">
            <v>8435037131632</v>
          </cell>
        </row>
        <row r="4014">
          <cell r="A4014">
            <v>320220</v>
          </cell>
          <cell r="B4014" t="str">
            <v>TIJERA CORTE DIVINE 5.5"</v>
          </cell>
          <cell r="C4014" t="str">
            <v>TIDI55</v>
          </cell>
        </row>
        <row r="4015">
          <cell r="A4015">
            <v>320220</v>
          </cell>
          <cell r="B4015" t="str">
            <v>TIJERA CORTE DIVINE 5.5"</v>
          </cell>
          <cell r="C4015" t="str">
            <v>8435037131649</v>
          </cell>
        </row>
        <row r="4016">
          <cell r="A4016">
            <v>320221</v>
          </cell>
          <cell r="B4016" t="str">
            <v>MAQUINA BABYLISS HLD</v>
          </cell>
          <cell r="C4016" t="str">
            <v>MABAHLD</v>
          </cell>
        </row>
        <row r="4017">
          <cell r="A4017">
            <v>320221</v>
          </cell>
          <cell r="B4017" t="str">
            <v>MAQUINA BABYLISS HLD</v>
          </cell>
          <cell r="C4017" t="str">
            <v>8435057055482</v>
          </cell>
        </row>
        <row r="4018">
          <cell r="A4018">
            <v>320222</v>
          </cell>
          <cell r="B4018" t="str">
            <v>MEZCLADOR TINTE ELECTRICO</v>
          </cell>
          <cell r="C4018" t="str">
            <v>METIEL</v>
          </cell>
        </row>
        <row r="4019">
          <cell r="A4019">
            <v>320222</v>
          </cell>
          <cell r="B4019" t="str">
            <v>MEZCLADOR TINTE ELECTRICO</v>
          </cell>
          <cell r="C4019" t="str">
            <v>8435057055499</v>
          </cell>
        </row>
        <row r="4020">
          <cell r="A4020">
            <v>320223</v>
          </cell>
          <cell r="B4020" t="str">
            <v>TIJERA GEMINIS 5"</v>
          </cell>
          <cell r="C4020" t="str">
            <v>TIGE05</v>
          </cell>
        </row>
        <row r="4021">
          <cell r="A4021">
            <v>320223</v>
          </cell>
          <cell r="B4021" t="str">
            <v>TIJERA GEMINIS 5"</v>
          </cell>
          <cell r="C4021" t="str">
            <v>8435057055505</v>
          </cell>
        </row>
        <row r="4022">
          <cell r="A4022">
            <v>320224</v>
          </cell>
          <cell r="B4022" t="str">
            <v>TIJERA GEMINIS 6"</v>
          </cell>
          <cell r="C4022" t="str">
            <v>TIGE06</v>
          </cell>
        </row>
        <row r="4023">
          <cell r="A4023">
            <v>320224</v>
          </cell>
          <cell r="B4023" t="str">
            <v>TIJERA GEMINIS 6"</v>
          </cell>
          <cell r="C4023" t="str">
            <v>8435057055512</v>
          </cell>
        </row>
        <row r="4024">
          <cell r="A4024">
            <v>320225</v>
          </cell>
          <cell r="B4024" t="str">
            <v>TIJERA CORTE GEISHA 6"</v>
          </cell>
          <cell r="C4024" t="str">
            <v>TIJEGE06</v>
          </cell>
        </row>
        <row r="4025">
          <cell r="A4025">
            <v>320225</v>
          </cell>
          <cell r="B4025" t="str">
            <v>TIJERA CORTE GEISHA 6"</v>
          </cell>
          <cell r="C4025" t="str">
            <v>8435037131182</v>
          </cell>
        </row>
        <row r="4026">
          <cell r="A4026">
            <v>320226</v>
          </cell>
          <cell r="B4026" t="str">
            <v>TIJERA CORTE DUAL 5"</v>
          </cell>
          <cell r="C4026" t="str">
            <v>TIDU05</v>
          </cell>
        </row>
        <row r="4027">
          <cell r="A4027">
            <v>320226</v>
          </cell>
          <cell r="B4027" t="str">
            <v>TIJERA CORTE DUAL 5"</v>
          </cell>
          <cell r="C4027" t="str">
            <v>8435037131373</v>
          </cell>
        </row>
        <row r="4028">
          <cell r="A4028">
            <v>320227</v>
          </cell>
          <cell r="B4028" t="str">
            <v>TIJERA CORTE DUAL 6"</v>
          </cell>
          <cell r="C4028" t="str">
            <v>TIDU06</v>
          </cell>
        </row>
        <row r="4029">
          <cell r="A4029">
            <v>320227</v>
          </cell>
          <cell r="B4029" t="str">
            <v>TIJERA CORTE DUAL 6"</v>
          </cell>
          <cell r="C4029" t="str">
            <v>8435057055543</v>
          </cell>
        </row>
        <row r="4030">
          <cell r="A4030">
            <v>320228</v>
          </cell>
          <cell r="B4030" t="str">
            <v>TIJERA BLACK ARTERO 6"</v>
          </cell>
          <cell r="C4030" t="str">
            <v>TIBC06</v>
          </cell>
        </row>
        <row r="4031">
          <cell r="A4031">
            <v>320228</v>
          </cell>
          <cell r="B4031" t="str">
            <v>TIJERA BLACK ARTERO 6"</v>
          </cell>
          <cell r="C4031" t="str">
            <v>8435037130130</v>
          </cell>
        </row>
        <row r="4032">
          <cell r="A4032">
            <v>320229</v>
          </cell>
          <cell r="B4032" t="str">
            <v>TIJERA VAC. PRO ARTERO 5.5"</v>
          </cell>
          <cell r="C4032" t="str">
            <v>TIVP55</v>
          </cell>
        </row>
        <row r="4033">
          <cell r="A4033">
            <v>320229</v>
          </cell>
          <cell r="B4033" t="str">
            <v>TIJERA VAC. PRO ARTERO 5.5"</v>
          </cell>
          <cell r="C4033" t="str">
            <v>8435037131693</v>
          </cell>
        </row>
        <row r="4034">
          <cell r="A4034">
            <v>320230</v>
          </cell>
          <cell r="B4034" t="str">
            <v>TIJERA NOE ARTERO 5"</v>
          </cell>
          <cell r="C4034" t="str">
            <v>TINO05</v>
          </cell>
        </row>
        <row r="4035">
          <cell r="A4035">
            <v>320230</v>
          </cell>
          <cell r="B4035" t="str">
            <v>TIJERA NOE ARTERO 5"</v>
          </cell>
          <cell r="C4035" t="str">
            <v>8435057055574</v>
          </cell>
        </row>
        <row r="4036">
          <cell r="A4036">
            <v>320231</v>
          </cell>
          <cell r="B4036" t="str">
            <v>TIJERA CORTE NOE 5.5"</v>
          </cell>
          <cell r="C4036" t="str">
            <v>TINO55</v>
          </cell>
        </row>
        <row r="4037">
          <cell r="A4037">
            <v>320231</v>
          </cell>
          <cell r="B4037" t="str">
            <v>TIJERA CORTE NOE 5.5"</v>
          </cell>
          <cell r="C4037" t="str">
            <v>8435057055581</v>
          </cell>
        </row>
        <row r="4038">
          <cell r="A4038">
            <v>320232</v>
          </cell>
          <cell r="B4038" t="str">
            <v>SECADOR TH 2900 PROFESSIONAL</v>
          </cell>
          <cell r="C4038" t="str">
            <v>SETH29PR</v>
          </cell>
        </row>
        <row r="4039">
          <cell r="A4039">
            <v>320232</v>
          </cell>
          <cell r="B4039" t="str">
            <v>SECADOR TH 2900 PROFESSIONAL</v>
          </cell>
          <cell r="C4039" t="str">
            <v>8435057055598</v>
          </cell>
        </row>
        <row r="4040">
          <cell r="A4040">
            <v>320233</v>
          </cell>
          <cell r="B4040" t="str">
            <v>TIJERA CORTE TEMPTATION 5"</v>
          </cell>
          <cell r="C4040" t="str">
            <v>TITE05</v>
          </cell>
        </row>
        <row r="4041">
          <cell r="A4041">
            <v>320233</v>
          </cell>
          <cell r="B4041" t="str">
            <v>TIJERA CORTE TEMPTATION 5"</v>
          </cell>
          <cell r="C4041" t="str">
            <v>8435037131120</v>
          </cell>
        </row>
        <row r="4042">
          <cell r="A4042">
            <v>320234</v>
          </cell>
          <cell r="B4042" t="str">
            <v>TIJERA CORTE TEMPTATION 5.5"</v>
          </cell>
          <cell r="C4042" t="str">
            <v>TITE55</v>
          </cell>
        </row>
        <row r="4043">
          <cell r="A4043">
            <v>320234</v>
          </cell>
          <cell r="B4043" t="str">
            <v>TIJERA CORTE TEMPTATION 5.5"</v>
          </cell>
          <cell r="C4043" t="str">
            <v>8435037131137</v>
          </cell>
        </row>
        <row r="4044">
          <cell r="A4044">
            <v>320235</v>
          </cell>
          <cell r="B4044" t="str">
            <v>TIJERA CORTE TEMPTATION 6"</v>
          </cell>
          <cell r="C4044" t="str">
            <v>TITE06</v>
          </cell>
        </row>
        <row r="4045">
          <cell r="A4045">
            <v>320235</v>
          </cell>
          <cell r="B4045" t="str">
            <v>TIJERA CORTE TEMPTATION 6"</v>
          </cell>
          <cell r="C4045" t="str">
            <v>8435037131144</v>
          </cell>
        </row>
        <row r="4046">
          <cell r="A4046">
            <v>320236</v>
          </cell>
          <cell r="B4046" t="str">
            <v>CUCHILLA RECAMBIO Styling razo</v>
          </cell>
          <cell r="C4046" t="str">
            <v>CURE</v>
          </cell>
        </row>
        <row r="4047">
          <cell r="A4047">
            <v>320236</v>
          </cell>
          <cell r="B4047" t="str">
            <v>CUCHILLA RECAMBIO Styling razo</v>
          </cell>
          <cell r="C4047" t="str">
            <v>4902470130040</v>
          </cell>
        </row>
        <row r="4048">
          <cell r="A4048">
            <v>320237</v>
          </cell>
          <cell r="B4048" t="str">
            <v>MÁQUINA CORTE ER1611 K PROFESSIONAL</v>
          </cell>
          <cell r="C4048" t="str">
            <v>MAER1611</v>
          </cell>
        </row>
        <row r="4049">
          <cell r="A4049">
            <v>320237</v>
          </cell>
          <cell r="B4049" t="str">
            <v>MÁQUINA CORTE ER1611 K PROFESSIONAL</v>
          </cell>
          <cell r="C4049" t="str">
            <v>8435057055642</v>
          </cell>
        </row>
        <row r="4050">
          <cell r="A4050">
            <v>320238</v>
          </cell>
          <cell r="B4050" t="str">
            <v>CABEZAL MAQUINA C. ERPA11 PANASONIC</v>
          </cell>
          <cell r="C4050" t="str">
            <v>MAERPA11</v>
          </cell>
        </row>
        <row r="4051">
          <cell r="A4051">
            <v>320238</v>
          </cell>
          <cell r="B4051" t="str">
            <v>CABEZAL MAQUINA C. ERPA11 PANASONIC</v>
          </cell>
          <cell r="C4051" t="str">
            <v>8435057055659</v>
          </cell>
        </row>
        <row r="4052">
          <cell r="A4052">
            <v>320239</v>
          </cell>
          <cell r="B4052" t="str">
            <v>MINIPLANCHA BABYLISS BABYSLEEK</v>
          </cell>
          <cell r="C4052" t="str">
            <v>MIPLBASL</v>
          </cell>
        </row>
        <row r="4053">
          <cell r="A4053">
            <v>320239</v>
          </cell>
          <cell r="B4053" t="str">
            <v>MINIPLANCHA BABYLISS BABYSLEEK</v>
          </cell>
          <cell r="C4053" t="str">
            <v>8435057055666</v>
          </cell>
        </row>
        <row r="4054">
          <cell r="A4054">
            <v>320240</v>
          </cell>
          <cell r="B4054" t="str">
            <v>MINIPLANCHA BABYLISS BABYCRIMP</v>
          </cell>
          <cell r="C4054" t="str">
            <v>MIPLBACR</v>
          </cell>
        </row>
        <row r="4055">
          <cell r="A4055">
            <v>320240</v>
          </cell>
          <cell r="B4055" t="str">
            <v>MINIPLANCHA BABYLISS BABYCRIMP</v>
          </cell>
          <cell r="C4055" t="str">
            <v>8435057055673</v>
          </cell>
        </row>
        <row r="4056">
          <cell r="A4056">
            <v>320241</v>
          </cell>
          <cell r="B4056" t="str">
            <v>PLANCHA BABYLISS NANOTITANIUM</v>
          </cell>
          <cell r="C4056" t="str">
            <v>PLYINA15</v>
          </cell>
        </row>
        <row r="4057">
          <cell r="A4057">
            <v>320241</v>
          </cell>
          <cell r="B4057" t="str">
            <v>PLANCHA BABYLISS NANOTITANIUM</v>
          </cell>
          <cell r="C4057" t="str">
            <v>8435057055680</v>
          </cell>
        </row>
        <row r="4058">
          <cell r="A4058">
            <v>320242</v>
          </cell>
          <cell r="B4058" t="str">
            <v>PLANCHA BABYLISS ULTRA CURL</v>
          </cell>
          <cell r="C4058" t="str">
            <v>PLNAULCU</v>
          </cell>
        </row>
        <row r="4059">
          <cell r="A4059">
            <v>320242</v>
          </cell>
          <cell r="B4059" t="str">
            <v>PLANCHA BABYLISS ULTRA CURL</v>
          </cell>
          <cell r="C4059" t="str">
            <v>8435057055697</v>
          </cell>
        </row>
        <row r="4060">
          <cell r="A4060">
            <v>320243</v>
          </cell>
          <cell r="B4060" t="str">
            <v>PLANCHA BABYLISS DRY&amp;STRAIGHTE</v>
          </cell>
          <cell r="C4060" t="str">
            <v>PLNAWEDR</v>
          </cell>
        </row>
        <row r="4061">
          <cell r="A4061">
            <v>320243</v>
          </cell>
          <cell r="B4061" t="str">
            <v>PLANCHA BABYLISS DRY&amp;STRAIGHTE</v>
          </cell>
          <cell r="C4061" t="str">
            <v>8435057055703</v>
          </cell>
        </row>
        <row r="4062">
          <cell r="A4062">
            <v>320244</v>
          </cell>
          <cell r="B4062" t="str">
            <v>PLANCHA BABYLISS SLEEK EXPERT</v>
          </cell>
          <cell r="C4062" t="str">
            <v>PLTISLEX</v>
          </cell>
        </row>
        <row r="4063">
          <cell r="A4063">
            <v>320244</v>
          </cell>
          <cell r="B4063" t="str">
            <v>PLANCHA BABYLISS SLEEK EXPERT</v>
          </cell>
          <cell r="C4063" t="str">
            <v>8435057055710</v>
          </cell>
        </row>
        <row r="4064">
          <cell r="A4064">
            <v>320245</v>
          </cell>
          <cell r="B4064" t="str">
            <v>PLANCHA BABYLISS XTP ULTRASLIM</v>
          </cell>
          <cell r="C4064" t="str">
            <v>PLSLEXLI</v>
          </cell>
        </row>
        <row r="4065">
          <cell r="A4065">
            <v>320245</v>
          </cell>
          <cell r="B4065" t="str">
            <v>PLANCHA BABYLISS XTP ULTRASLIM</v>
          </cell>
          <cell r="C4065" t="str">
            <v>8435057055727</v>
          </cell>
        </row>
        <row r="4066">
          <cell r="A4066">
            <v>320246</v>
          </cell>
          <cell r="B4066" t="str">
            <v>MAQUINA BABYLISS BABY CLIPPER</v>
          </cell>
          <cell r="C4066" t="str">
            <v>MABABACL</v>
          </cell>
        </row>
        <row r="4067">
          <cell r="A4067">
            <v>320246</v>
          </cell>
          <cell r="B4067" t="str">
            <v>MAQUINA BABYLISS BABY CLIPPER</v>
          </cell>
          <cell r="C4067" t="str">
            <v>8435057055734</v>
          </cell>
        </row>
        <row r="4068">
          <cell r="A4068">
            <v>320247</v>
          </cell>
          <cell r="B4068" t="str">
            <v>SECADOR BABYLISS PORTOFINO</v>
          </cell>
          <cell r="C4068" t="str">
            <v>BAB6610E</v>
          </cell>
        </row>
        <row r="4069">
          <cell r="A4069">
            <v>320247</v>
          </cell>
          <cell r="B4069" t="str">
            <v>SECADOR BABYLISS PORTOFINO</v>
          </cell>
          <cell r="C4069" t="str">
            <v>SEPO20</v>
          </cell>
        </row>
        <row r="4070">
          <cell r="A4070">
            <v>320247</v>
          </cell>
          <cell r="B4070" t="str">
            <v>SECADOR BABYLISS PORTOFINO</v>
          </cell>
          <cell r="C4070" t="str">
            <v>8435057055741</v>
          </cell>
        </row>
        <row r="4071">
          <cell r="A4071">
            <v>320248</v>
          </cell>
          <cell r="B4071" t="str">
            <v>SECADOR BABYLISS SOVEREIGN</v>
          </cell>
          <cell r="C4071" t="str">
            <v>SESO20</v>
          </cell>
        </row>
        <row r="4072">
          <cell r="A4072">
            <v>320248</v>
          </cell>
          <cell r="B4072" t="str">
            <v>SECADOR BABYLISS SOVEREIGN</v>
          </cell>
          <cell r="C4072" t="str">
            <v>8435057055758</v>
          </cell>
        </row>
        <row r="4073">
          <cell r="A4073">
            <v>320249</v>
          </cell>
          <cell r="B4073" t="str">
            <v>TENACILLA CERAMIC 16MM BABYLIS</v>
          </cell>
          <cell r="C4073" t="str">
            <v>TECE16BA</v>
          </cell>
        </row>
        <row r="4074">
          <cell r="A4074">
            <v>320249</v>
          </cell>
          <cell r="B4074" t="str">
            <v>TENACILLA CERAMIC 16MM BABYLIS</v>
          </cell>
          <cell r="C4074" t="str">
            <v>8435057055765</v>
          </cell>
        </row>
        <row r="4075">
          <cell r="A4075">
            <v>320250</v>
          </cell>
          <cell r="B4075" t="str">
            <v>TENACILLA CERAMIC 19MM BABYLIS</v>
          </cell>
          <cell r="C4075" t="str">
            <v>TECE19BA</v>
          </cell>
        </row>
        <row r="4076">
          <cell r="A4076">
            <v>320250</v>
          </cell>
          <cell r="B4076" t="str">
            <v>TENACILLA CERAMIC 19MM BABYLIS</v>
          </cell>
          <cell r="C4076" t="str">
            <v>8435057055772</v>
          </cell>
        </row>
        <row r="4077">
          <cell r="A4077">
            <v>320251</v>
          </cell>
          <cell r="B4077" t="str">
            <v>TENACILLA CERAMIC 25MM BABYLIS</v>
          </cell>
          <cell r="C4077" t="str">
            <v>TECE25BA</v>
          </cell>
        </row>
        <row r="4078">
          <cell r="A4078">
            <v>320251</v>
          </cell>
          <cell r="B4078" t="str">
            <v>TENACILLA CERAMIC 25MM BABYLIS</v>
          </cell>
          <cell r="C4078" t="str">
            <v>8435057055789</v>
          </cell>
        </row>
        <row r="4079">
          <cell r="A4079">
            <v>320252</v>
          </cell>
          <cell r="B4079" t="str">
            <v>SECADOR GARBI 2800 PURPURA</v>
          </cell>
          <cell r="C4079" t="str">
            <v>SEGA28PU</v>
          </cell>
        </row>
        <row r="4080">
          <cell r="A4080">
            <v>320252</v>
          </cell>
          <cell r="B4080" t="str">
            <v>SECADOR GARBI 2800 PURPURA</v>
          </cell>
          <cell r="C4080" t="str">
            <v>8435068401247</v>
          </cell>
        </row>
        <row r="4081">
          <cell r="A4081">
            <v>320253</v>
          </cell>
          <cell r="B4081" t="str">
            <v>SECADOR GARBI 2800 NARANJA</v>
          </cell>
          <cell r="C4081" t="str">
            <v>SEGA28NA</v>
          </cell>
        </row>
        <row r="4082">
          <cell r="A4082">
            <v>320253</v>
          </cell>
          <cell r="B4082" t="str">
            <v>SECADOR GARBI 2800 NARANJA</v>
          </cell>
          <cell r="C4082" t="str">
            <v>8435057055802</v>
          </cell>
        </row>
        <row r="4083">
          <cell r="A4083">
            <v>320254</v>
          </cell>
          <cell r="B4083" t="str">
            <v>SECADOR GARBI 2800 NEGRO</v>
          </cell>
          <cell r="C4083" t="str">
            <v>SEGA28NE</v>
          </cell>
        </row>
        <row r="4084">
          <cell r="A4084">
            <v>320254</v>
          </cell>
          <cell r="B4084" t="str">
            <v>SECADOR GARBI 2800 NEGRO</v>
          </cell>
          <cell r="C4084" t="str">
            <v>8435068401230</v>
          </cell>
        </row>
        <row r="4085">
          <cell r="A4085">
            <v>320255</v>
          </cell>
          <cell r="B4085" t="str">
            <v>SECADOR GREGAL 2900 PROF.</v>
          </cell>
          <cell r="C4085" t="str">
            <v>SEGR29</v>
          </cell>
        </row>
        <row r="4086">
          <cell r="A4086">
            <v>320255</v>
          </cell>
          <cell r="B4086" t="str">
            <v>SECADOR GREGAL 2900 PROF.</v>
          </cell>
          <cell r="C4086" t="str">
            <v>8435057055826</v>
          </cell>
        </row>
        <row r="4087">
          <cell r="A4087">
            <v>320256</v>
          </cell>
          <cell r="B4087" t="str">
            <v>SECADOR NANO 6000 CERAT.NEGRO</v>
          </cell>
          <cell r="C4087" t="str">
            <v>SENA60NE</v>
          </cell>
        </row>
        <row r="4088">
          <cell r="A4088">
            <v>320256</v>
          </cell>
          <cell r="B4088" t="str">
            <v>SECADOR NANO 6000 CERAT.NEGRO</v>
          </cell>
          <cell r="C4088" t="str">
            <v>8435057056021</v>
          </cell>
        </row>
        <row r="4089">
          <cell r="A4089">
            <v>320257</v>
          </cell>
          <cell r="B4089" t="str">
            <v>SECADOR NANO 2900 STAMP.PURPUR</v>
          </cell>
          <cell r="C4089" t="str">
            <v>SENA29STP</v>
          </cell>
        </row>
        <row r="4090">
          <cell r="A4090">
            <v>320257</v>
          </cell>
          <cell r="B4090" t="str">
            <v>SECADOR NANO 2900 STAMP.PURPUR</v>
          </cell>
          <cell r="C4090" t="str">
            <v>8435057055833</v>
          </cell>
        </row>
        <row r="4091">
          <cell r="A4091">
            <v>320258</v>
          </cell>
          <cell r="B4091" t="str">
            <v>FUSOR CERA 800G</v>
          </cell>
          <cell r="C4091" t="str">
            <v>FUCE80</v>
          </cell>
        </row>
        <row r="4092">
          <cell r="A4092">
            <v>320258</v>
          </cell>
          <cell r="B4092" t="str">
            <v>FUSOR CERA 800G</v>
          </cell>
          <cell r="C4092" t="str">
            <v>8435057055840</v>
          </cell>
        </row>
        <row r="4093">
          <cell r="A4093">
            <v>320259</v>
          </cell>
          <cell r="B4093" t="str">
            <v>DIFUSOR UNIVERSAL PISTACHO</v>
          </cell>
          <cell r="C4093" t="str">
            <v>DIFUPI</v>
          </cell>
        </row>
        <row r="4094">
          <cell r="A4094">
            <v>320259</v>
          </cell>
          <cell r="B4094" t="str">
            <v>DIFUSOR UNIVERSAL PISTACHO</v>
          </cell>
          <cell r="C4094" t="str">
            <v>8435057055857</v>
          </cell>
        </row>
        <row r="4095">
          <cell r="A4095">
            <v>320260</v>
          </cell>
          <cell r="B4095" t="str">
            <v>CALENTADOR ROLL-ON</v>
          </cell>
          <cell r="C4095" t="str">
            <v>CAROON</v>
          </cell>
        </row>
        <row r="4096">
          <cell r="A4096">
            <v>320260</v>
          </cell>
          <cell r="B4096" t="str">
            <v>CALENTADOR ROLL-ON</v>
          </cell>
          <cell r="C4096" t="str">
            <v>8435057055864</v>
          </cell>
        </row>
        <row r="4097">
          <cell r="A4097">
            <v>320261</v>
          </cell>
          <cell r="B4097" t="str">
            <v>BASE DE CONEXION</v>
          </cell>
          <cell r="C4097" t="str">
            <v>BASECO</v>
          </cell>
        </row>
        <row r="4098">
          <cell r="A4098">
            <v>320261</v>
          </cell>
          <cell r="B4098" t="str">
            <v>BASE DE CONEXION</v>
          </cell>
          <cell r="C4098" t="str">
            <v>8435057055871</v>
          </cell>
        </row>
        <row r="4099">
          <cell r="A4099">
            <v>320262</v>
          </cell>
          <cell r="B4099" t="str">
            <v>REVISTERO YAMA</v>
          </cell>
          <cell r="C4099" t="str">
            <v>REYAMA</v>
          </cell>
        </row>
        <row r="4100">
          <cell r="A4100">
            <v>320262</v>
          </cell>
          <cell r="B4100" t="str">
            <v>REVISTERO YAMA</v>
          </cell>
          <cell r="C4100" t="str">
            <v>320262</v>
          </cell>
        </row>
        <row r="4101">
          <cell r="A4101">
            <v>320263</v>
          </cell>
          <cell r="B4101" t="str">
            <v>SILLON KIBO.</v>
          </cell>
          <cell r="C4101" t="str">
            <v>SIKIBO</v>
          </cell>
        </row>
        <row r="4102">
          <cell r="A4102">
            <v>320263</v>
          </cell>
          <cell r="B4102" t="str">
            <v>SILLON KIBO.</v>
          </cell>
          <cell r="C4102" t="str">
            <v>TKM001GS</v>
          </cell>
        </row>
        <row r="4103">
          <cell r="A4103">
            <v>320263</v>
          </cell>
          <cell r="B4103" t="str">
            <v>SILLON KIBO.</v>
          </cell>
          <cell r="C4103" t="str">
            <v>320263</v>
          </cell>
        </row>
        <row r="4104">
          <cell r="A4104">
            <v>320264</v>
          </cell>
          <cell r="B4104" t="str">
            <v>SILLON SMOKI</v>
          </cell>
          <cell r="C4104" t="str">
            <v>SISMOK</v>
          </cell>
        </row>
        <row r="4105">
          <cell r="A4105">
            <v>320264</v>
          </cell>
          <cell r="B4105" t="str">
            <v>SILLON SMOKI</v>
          </cell>
          <cell r="C4105" t="str">
            <v>320264</v>
          </cell>
        </row>
        <row r="4106">
          <cell r="A4106">
            <v>320265</v>
          </cell>
          <cell r="B4106" t="str">
            <v>LAVACABEZAS UMIKO KENJI</v>
          </cell>
          <cell r="C4106" t="str">
            <v>LAUMKE</v>
          </cell>
        </row>
        <row r="4107">
          <cell r="A4107">
            <v>320265</v>
          </cell>
          <cell r="B4107" t="str">
            <v>LAVACABEZAS UMIKO KENJI</v>
          </cell>
          <cell r="C4107" t="str">
            <v>TKM104</v>
          </cell>
        </row>
        <row r="4108">
          <cell r="A4108">
            <v>320265</v>
          </cell>
          <cell r="B4108" t="str">
            <v>LAVACABEZAS UMIKO KENJI</v>
          </cell>
          <cell r="C4108" t="str">
            <v>320265</v>
          </cell>
        </row>
        <row r="4109">
          <cell r="A4109">
            <v>320266</v>
          </cell>
          <cell r="B4109" t="str">
            <v>TOCADOR KEI TAPIZADO</v>
          </cell>
          <cell r="C4109" t="str">
            <v>320266</v>
          </cell>
        </row>
        <row r="4110">
          <cell r="A4110">
            <v>320267</v>
          </cell>
          <cell r="B4110" t="str">
            <v>TOCADOR SANGO LAMINADO</v>
          </cell>
          <cell r="C4110" t="str">
            <v>TOSALA</v>
          </cell>
        </row>
        <row r="4111">
          <cell r="A4111">
            <v>320267</v>
          </cell>
          <cell r="B4111" t="str">
            <v>TOCADOR SANGO LAMINADO</v>
          </cell>
          <cell r="C4111" t="str">
            <v>320267</v>
          </cell>
        </row>
        <row r="4112">
          <cell r="A4112">
            <v>320268</v>
          </cell>
          <cell r="B4112" t="str">
            <v>TOCADOR SANGO TAPIZADO</v>
          </cell>
          <cell r="C4112" t="str">
            <v>TOSATA</v>
          </cell>
        </row>
        <row r="4113">
          <cell r="A4113">
            <v>320268</v>
          </cell>
          <cell r="B4113" t="str">
            <v>TOCADOR SANGO TAPIZADO</v>
          </cell>
          <cell r="C4113" t="str">
            <v>320268</v>
          </cell>
        </row>
        <row r="4114">
          <cell r="A4114">
            <v>320269</v>
          </cell>
          <cell r="B4114" t="str">
            <v>EXPOSITOR GISUKA</v>
          </cell>
          <cell r="C4114" t="str">
            <v>EXGISU</v>
          </cell>
        </row>
        <row r="4115">
          <cell r="A4115">
            <v>320269</v>
          </cell>
          <cell r="B4115" t="str">
            <v>EXPOSITOR GISUKA</v>
          </cell>
          <cell r="C4115" t="str">
            <v>320269</v>
          </cell>
        </row>
        <row r="4116">
          <cell r="A4116">
            <v>320270</v>
          </cell>
          <cell r="B4116" t="str">
            <v>SECADOR NANO 6000 CERAT.ROJO</v>
          </cell>
          <cell r="C4116" t="str">
            <v>SENA60RO</v>
          </cell>
        </row>
        <row r="4117">
          <cell r="A4117">
            <v>320270</v>
          </cell>
          <cell r="B4117" t="str">
            <v>SECADOR NANO 6000 CERAT.ROJO</v>
          </cell>
          <cell r="C4117" t="str">
            <v>8435057056038</v>
          </cell>
        </row>
        <row r="4118">
          <cell r="A4118">
            <v>320271</v>
          </cell>
          <cell r="B4118" t="str">
            <v>SECADOR NANO 2900 STAMP.ROSA</v>
          </cell>
          <cell r="C4118" t="str">
            <v>SENA29STRO</v>
          </cell>
        </row>
        <row r="4119">
          <cell r="A4119">
            <v>320271</v>
          </cell>
          <cell r="B4119" t="str">
            <v>SECADOR NANO 2900 STAMP.ROSA</v>
          </cell>
          <cell r="C4119" t="str">
            <v>8435057055888</v>
          </cell>
        </row>
        <row r="4120">
          <cell r="A4120">
            <v>320272</v>
          </cell>
          <cell r="B4120" t="str">
            <v>SECADOR NANO 2900 STAMP.NEGRO</v>
          </cell>
          <cell r="C4120" t="str">
            <v>SENA29STNE</v>
          </cell>
        </row>
        <row r="4121">
          <cell r="A4121">
            <v>320272</v>
          </cell>
          <cell r="B4121" t="str">
            <v>SECADOR NANO 2900 STAMP.NEGRO</v>
          </cell>
          <cell r="C4121" t="str">
            <v>8435057055895</v>
          </cell>
        </row>
        <row r="4122">
          <cell r="A4122">
            <v>320276</v>
          </cell>
          <cell r="B4122" t="str">
            <v>NAVAJA CREATIVE NARANJA</v>
          </cell>
          <cell r="C4122" t="str">
            <v>NAVCNA</v>
          </cell>
        </row>
        <row r="4123">
          <cell r="A4123">
            <v>320276</v>
          </cell>
          <cell r="B4123" t="str">
            <v>NAVAJA CREATIVE NARANJA</v>
          </cell>
          <cell r="C4123" t="str">
            <v>8435057055901</v>
          </cell>
        </row>
        <row r="4124">
          <cell r="A4124">
            <v>320277</v>
          </cell>
          <cell r="B4124" t="str">
            <v>NAVAJA CREATIVE VIOLETA</v>
          </cell>
          <cell r="C4124" t="str">
            <v>NAVCVI</v>
          </cell>
        </row>
        <row r="4125">
          <cell r="A4125">
            <v>320277</v>
          </cell>
          <cell r="B4125" t="str">
            <v>NAVAJA CREATIVE VIOLETA</v>
          </cell>
          <cell r="C4125" t="str">
            <v>8435037140047</v>
          </cell>
        </row>
        <row r="4126">
          <cell r="A4126">
            <v>320278</v>
          </cell>
          <cell r="B4126" t="str">
            <v>ESCURREPOTES TINTE ARTERO</v>
          </cell>
          <cell r="C4126" t="str">
            <v>ESCP2010</v>
          </cell>
        </row>
        <row r="4127">
          <cell r="A4127">
            <v>320278</v>
          </cell>
          <cell r="B4127" t="str">
            <v>ESCURREPOTES TINTE ARTERO</v>
          </cell>
          <cell r="C4127" t="str">
            <v>8435037113119</v>
          </cell>
        </row>
        <row r="4128">
          <cell r="A4128">
            <v>320279</v>
          </cell>
          <cell r="B4128" t="str">
            <v>FLEX+BASE STAR HID.TAPIZ T.45</v>
          </cell>
          <cell r="C4128" t="str">
            <v>320279</v>
          </cell>
        </row>
        <row r="4129">
          <cell r="A4129">
            <v>320280</v>
          </cell>
          <cell r="B4129" t="str">
            <v>SILLON TREX T.45 LILA</v>
          </cell>
          <cell r="C4129" t="str">
            <v>320280</v>
          </cell>
        </row>
        <row r="4130">
          <cell r="A4130">
            <v>320281</v>
          </cell>
          <cell r="B4130" t="str">
            <v>LAVACABEZAS SHINKA PILA BLANCA</v>
          </cell>
          <cell r="C4130" t="str">
            <v>320281</v>
          </cell>
        </row>
        <row r="4131">
          <cell r="A4131">
            <v>320282</v>
          </cell>
          <cell r="B4131" t="str">
            <v>RECEPCION TIKI ANGULAR LAMINAT</v>
          </cell>
          <cell r="C4131" t="str">
            <v>320282</v>
          </cell>
        </row>
        <row r="4132">
          <cell r="A4132">
            <v>320283</v>
          </cell>
          <cell r="B4132" t="str">
            <v>MUEBLE TECNICO L.12</v>
          </cell>
          <cell r="C4132" t="str">
            <v>320283</v>
          </cell>
        </row>
        <row r="4133">
          <cell r="A4133">
            <v>320284</v>
          </cell>
          <cell r="B4133" t="str">
            <v>TOCADOR DOBLE CON APOYAPIES</v>
          </cell>
          <cell r="C4133" t="str">
            <v>320284</v>
          </cell>
        </row>
        <row r="4134">
          <cell r="A4134">
            <v>320285</v>
          </cell>
          <cell r="B4134" t="str">
            <v>TERMOACTIVADOR "SPEED UP" PIE</v>
          </cell>
          <cell r="C4134" t="str">
            <v>320285</v>
          </cell>
        </row>
        <row r="4135">
          <cell r="A4135">
            <v>320286</v>
          </cell>
          <cell r="B4135" t="str">
            <v>TERMOACTIVADOR "SPEED UP" BRAZO</v>
          </cell>
          <cell r="C4135" t="str">
            <v>320286</v>
          </cell>
        </row>
        <row r="4136">
          <cell r="A4136">
            <v>320287</v>
          </cell>
          <cell r="B4136" t="str">
            <v>ESTANTERIAS DEBAJO ESCALERA</v>
          </cell>
          <cell r="C4136" t="str">
            <v>320287</v>
          </cell>
        </row>
        <row r="4137">
          <cell r="A4137">
            <v>320288</v>
          </cell>
          <cell r="B4137" t="str">
            <v>SILLON NIÑOS PEKE</v>
          </cell>
          <cell r="C4137" t="str">
            <v>320288</v>
          </cell>
        </row>
        <row r="4138">
          <cell r="A4138">
            <v>320289</v>
          </cell>
          <cell r="B4138" t="str">
            <v>MESITA PARA NIÑOS</v>
          </cell>
          <cell r="C4138" t="str">
            <v>320289</v>
          </cell>
        </row>
        <row r="4139">
          <cell r="A4139">
            <v>320290</v>
          </cell>
          <cell r="B4139" t="str">
            <v>SILLON ESPERA HARUKA 1S</v>
          </cell>
          <cell r="C4139" t="str">
            <v>320290</v>
          </cell>
        </row>
        <row r="4140">
          <cell r="A4140">
            <v>320291</v>
          </cell>
          <cell r="B4140" t="str">
            <v>SOFA MEDEA TAPICERIA PERSONALIZADA</v>
          </cell>
          <cell r="C4140" t="str">
            <v>320291</v>
          </cell>
        </row>
        <row r="4141">
          <cell r="A4141">
            <v>320292</v>
          </cell>
          <cell r="B4141" t="str">
            <v>RECEPCIÓN BERMUDAS</v>
          </cell>
          <cell r="C4141" t="str">
            <v>320292</v>
          </cell>
        </row>
        <row r="4142">
          <cell r="A4142">
            <v>320293</v>
          </cell>
          <cell r="B4142" t="str">
            <v>ESPERA ATENEA</v>
          </cell>
          <cell r="C4142" t="str">
            <v>320293</v>
          </cell>
        </row>
        <row r="4143">
          <cell r="A4143">
            <v>320294</v>
          </cell>
          <cell r="B4143" t="str">
            <v>LAVACABEZAS MARISMA</v>
          </cell>
          <cell r="C4143" t="str">
            <v>320294</v>
          </cell>
        </row>
        <row r="4144">
          <cell r="A4144">
            <v>320295</v>
          </cell>
          <cell r="B4144" t="str">
            <v>RECEPCIÓN JAMAICA BLANCA</v>
          </cell>
          <cell r="C4144" t="str">
            <v>320295</v>
          </cell>
        </row>
        <row r="4145">
          <cell r="A4145">
            <v>320296</v>
          </cell>
          <cell r="B4145" t="str">
            <v>ASIENTO FLASH NIÑOS</v>
          </cell>
          <cell r="C4145" t="str">
            <v>320296</v>
          </cell>
        </row>
        <row r="4146">
          <cell r="A4146">
            <v>320297</v>
          </cell>
          <cell r="B4146" t="str">
            <v>CABEZAL"ATAMA" TAPIZADO SPIRAL</v>
          </cell>
          <cell r="C4146" t="str">
            <v>320297</v>
          </cell>
        </row>
        <row r="4147">
          <cell r="A4147">
            <v>320298</v>
          </cell>
          <cell r="B4147" t="str">
            <v>CONJUNTO DESAGÜE D70 *Recambio</v>
          </cell>
          <cell r="C4147" t="str">
            <v>320298</v>
          </cell>
        </row>
        <row r="4148">
          <cell r="A4148">
            <v>320299</v>
          </cell>
          <cell r="B4148" t="str">
            <v>CEPILLO RAQUETA GOMOSO TOPOS</v>
          </cell>
          <cell r="C4148" t="str">
            <v>CERATO</v>
          </cell>
        </row>
        <row r="4149">
          <cell r="A4149">
            <v>320299</v>
          </cell>
          <cell r="B4149" t="str">
            <v>CEPILLO RAQUETA GOMOSO TOPOS</v>
          </cell>
          <cell r="C4149" t="str">
            <v>8435057056397</v>
          </cell>
        </row>
        <row r="4150">
          <cell r="A4150">
            <v>320300</v>
          </cell>
          <cell r="B4150" t="str">
            <v>CASCO CLIMAZON  CIX 3000 BRAZO</v>
          </cell>
          <cell r="C4150" t="str">
            <v>8435057056441</v>
          </cell>
        </row>
        <row r="4151">
          <cell r="A4151">
            <v>320301</v>
          </cell>
          <cell r="B4151" t="str">
            <v>BRAZO SECADOR GONG</v>
          </cell>
          <cell r="C4151" t="str">
            <v>8435057056458</v>
          </cell>
        </row>
        <row r="4152">
          <cell r="A4152">
            <v>320302</v>
          </cell>
          <cell r="B4152" t="str">
            <v>CASCO VAPORIZADOR BLITZ</v>
          </cell>
          <cell r="C4152" t="str">
            <v>320302</v>
          </cell>
        </row>
        <row r="4153">
          <cell r="A4153">
            <v>320303</v>
          </cell>
          <cell r="B4153" t="str">
            <v>PIE VAPORIZADOR BLITZ</v>
          </cell>
          <cell r="C4153" t="str">
            <v>320303</v>
          </cell>
        </row>
        <row r="4154">
          <cell r="A4154">
            <v>320304</v>
          </cell>
          <cell r="B4154" t="str">
            <v>BRAZO CLIMAZON CIX 3000 BRAZO</v>
          </cell>
          <cell r="C4154" t="str">
            <v>320304</v>
          </cell>
        </row>
        <row r="4155">
          <cell r="A4155">
            <v>320305</v>
          </cell>
          <cell r="B4155" t="str">
            <v>RECAMBIO  MAQ.BABYLISS FORFEX</v>
          </cell>
          <cell r="C4155" t="str">
            <v>320305</v>
          </cell>
        </row>
        <row r="4156">
          <cell r="A4156">
            <v>320306</v>
          </cell>
          <cell r="B4156" t="str">
            <v>PEINE MAQ.BABYLISS FORFEX 6mm</v>
          </cell>
          <cell r="C4156" t="str">
            <v>320306</v>
          </cell>
        </row>
        <row r="4157">
          <cell r="A4157">
            <v>320307</v>
          </cell>
          <cell r="B4157" t="str">
            <v>PEINE MAQ.BABYLISS FORFEX 9mm</v>
          </cell>
          <cell r="C4157" t="str">
            <v>320307</v>
          </cell>
        </row>
        <row r="4158">
          <cell r="A4158">
            <v>320308</v>
          </cell>
          <cell r="B4158" t="str">
            <v>PEINE MAQ.BABYLISS FORFEX 12mm</v>
          </cell>
          <cell r="C4158" t="str">
            <v>320308</v>
          </cell>
        </row>
        <row r="4159">
          <cell r="A4159">
            <v>320309</v>
          </cell>
          <cell r="B4159" t="str">
            <v>ANILLA SECADOR SUTE TOCADOR</v>
          </cell>
          <cell r="C4159" t="str">
            <v>TKM331</v>
          </cell>
        </row>
        <row r="4160">
          <cell r="A4160">
            <v>320309</v>
          </cell>
          <cell r="B4160" t="str">
            <v>ANILLA SECADOR SUTE TOCADOR</v>
          </cell>
          <cell r="C4160" t="str">
            <v>320309</v>
          </cell>
        </row>
        <row r="4161">
          <cell r="A4161">
            <v>320310</v>
          </cell>
          <cell r="B4161" t="str">
            <v>BASE HIDRÁULICA "Q" COMPLETA</v>
          </cell>
          <cell r="C4161" t="str">
            <v>TKM004Q</v>
          </cell>
        </row>
        <row r="4162">
          <cell r="A4162">
            <v>320310</v>
          </cell>
          <cell r="B4162" t="str">
            <v>BASE HIDRÁULICA "Q" COMPLETA</v>
          </cell>
          <cell r="C4162" t="str">
            <v>320310</v>
          </cell>
        </row>
        <row r="4163">
          <cell r="A4163">
            <v>320311</v>
          </cell>
          <cell r="B4163" t="str">
            <v>LAVACABEZAS UMIKO KENJI.</v>
          </cell>
          <cell r="C4163" t="str">
            <v>TKM104</v>
          </cell>
        </row>
        <row r="4164">
          <cell r="A4164">
            <v>320311</v>
          </cell>
          <cell r="B4164" t="str">
            <v>LAVACABEZAS UMIKO KENJI.</v>
          </cell>
          <cell r="C4164" t="str">
            <v>320311</v>
          </cell>
        </row>
        <row r="4165">
          <cell r="A4165">
            <v>320312</v>
          </cell>
          <cell r="B4165" t="str">
            <v>SILLON ESPERA TAKESHI 3 PLAZAS</v>
          </cell>
          <cell r="C4165" t="str">
            <v>TKM0103</v>
          </cell>
        </row>
        <row r="4166">
          <cell r="A4166">
            <v>320312</v>
          </cell>
          <cell r="B4166" t="str">
            <v>SILLON ESPERA TAKESHI 3 PLAZAS</v>
          </cell>
          <cell r="C4166" t="str">
            <v>320312</v>
          </cell>
        </row>
        <row r="4167">
          <cell r="A4167">
            <v>320313</v>
          </cell>
          <cell r="B4167" t="str">
            <v>TELA TAPIZADO ESPECILA PAHI</v>
          </cell>
          <cell r="C4167" t="str">
            <v>TKMV</v>
          </cell>
        </row>
        <row r="4168">
          <cell r="A4168">
            <v>320313</v>
          </cell>
          <cell r="B4168" t="str">
            <v>TELA TAPIZADO ESPECILA PAHI</v>
          </cell>
          <cell r="C4168" t="str">
            <v>320313</v>
          </cell>
        </row>
        <row r="4169">
          <cell r="A4169">
            <v>320314</v>
          </cell>
          <cell r="B4169" t="str">
            <v>MESA MANICURA Ref. M028</v>
          </cell>
          <cell r="C4169" t="str">
            <v>320314</v>
          </cell>
        </row>
        <row r="4170">
          <cell r="A4170">
            <v>320315</v>
          </cell>
          <cell r="B4170" t="str">
            <v>MAQUINA BABYLISS FX672E</v>
          </cell>
          <cell r="C4170" t="str">
            <v>320315</v>
          </cell>
        </row>
        <row r="4171">
          <cell r="A4171">
            <v>320315</v>
          </cell>
          <cell r="B4171" t="str">
            <v>MAQUINA BABYLISS FX672E</v>
          </cell>
          <cell r="C4171" t="str">
            <v>8435057057998</v>
          </cell>
        </row>
        <row r="4172">
          <cell r="A4172">
            <v>320316</v>
          </cell>
          <cell r="B4172" t="str">
            <v>BASE HIDRAULICA "P" COMPLETA</v>
          </cell>
          <cell r="C4172" t="str">
            <v>320316</v>
          </cell>
        </row>
        <row r="4173">
          <cell r="A4173">
            <v>320318</v>
          </cell>
          <cell r="B4173" t="str">
            <v>FUNDA DE RESPALDO SILLON KENJI</v>
          </cell>
          <cell r="C4173" t="str">
            <v>320318</v>
          </cell>
        </row>
        <row r="4174">
          <cell r="A4174">
            <v>320319</v>
          </cell>
          <cell r="B4174" t="str">
            <v>TOCADOR  "KAP"</v>
          </cell>
          <cell r="C4174" t="str">
            <v>M007</v>
          </cell>
        </row>
        <row r="4175">
          <cell r="A4175">
            <v>320319</v>
          </cell>
          <cell r="B4175" t="str">
            <v>TOCADOR  "KAP"</v>
          </cell>
          <cell r="C4175" t="str">
            <v>320319</v>
          </cell>
        </row>
        <row r="4176">
          <cell r="A4176">
            <v>320320</v>
          </cell>
          <cell r="B4176" t="str">
            <v>LAVACABEZAS "TITAN"</v>
          </cell>
          <cell r="C4176" t="str">
            <v>L04S02</v>
          </cell>
        </row>
        <row r="4177">
          <cell r="A4177">
            <v>320320</v>
          </cell>
          <cell r="B4177" t="str">
            <v>LAVACABEZAS "TITAN"</v>
          </cell>
          <cell r="C4177" t="str">
            <v>320320</v>
          </cell>
        </row>
        <row r="4178">
          <cell r="A4178">
            <v>320321</v>
          </cell>
          <cell r="B4178" t="str">
            <v>SOPORTE DUCHA ESPECIAL ANTIGOTEO</v>
          </cell>
          <cell r="C4178" t="str">
            <v>L04X</v>
          </cell>
        </row>
        <row r="4179">
          <cell r="A4179">
            <v>320321</v>
          </cell>
          <cell r="B4179" t="str">
            <v>SOPORTE DUCHA ESPECIAL ANTIGOTEO</v>
          </cell>
          <cell r="C4179" t="str">
            <v>320321</v>
          </cell>
        </row>
        <row r="4180">
          <cell r="A4180">
            <v>320322</v>
          </cell>
          <cell r="B4180" t="str">
            <v>BLISTER DUCHA HEMBRA NEGRA</v>
          </cell>
          <cell r="C4180" t="str">
            <v>S02HK4</v>
          </cell>
        </row>
        <row r="4181">
          <cell r="A4181">
            <v>320322</v>
          </cell>
          <cell r="B4181" t="str">
            <v>BLISTER DUCHA HEMBRA NEGRA</v>
          </cell>
          <cell r="C4181" t="str">
            <v>320322</v>
          </cell>
        </row>
        <row r="4182">
          <cell r="A4182">
            <v>320323</v>
          </cell>
          <cell r="B4182" t="str">
            <v>MUEBLE "ATLANTIC" COLOR LAMINA</v>
          </cell>
          <cell r="C4182" t="str">
            <v>M014</v>
          </cell>
        </row>
        <row r="4183">
          <cell r="A4183">
            <v>320323</v>
          </cell>
          <cell r="B4183" t="str">
            <v>MUEBLE "ATLANTIC" COLOR LAMINA</v>
          </cell>
          <cell r="C4183" t="str">
            <v>320323</v>
          </cell>
        </row>
        <row r="4184">
          <cell r="A4184">
            <v>320324</v>
          </cell>
          <cell r="B4184" t="str">
            <v>REPOSAPIES "ZURICH"</v>
          </cell>
          <cell r="C4184" t="str">
            <v>C0011</v>
          </cell>
        </row>
        <row r="4185">
          <cell r="A4185">
            <v>320324</v>
          </cell>
          <cell r="B4185" t="str">
            <v>REPOSAPIES "ZURICH"</v>
          </cell>
          <cell r="C4185" t="str">
            <v>320324</v>
          </cell>
        </row>
        <row r="4186">
          <cell r="A4186">
            <v>320325</v>
          </cell>
          <cell r="B4186" t="str">
            <v>TOCADOR "SIREX"</v>
          </cell>
          <cell r="C4186" t="str">
            <v>TKM203</v>
          </cell>
        </row>
        <row r="4187">
          <cell r="A4187">
            <v>320325</v>
          </cell>
          <cell r="B4187" t="str">
            <v>TOCADOR "SIREX"</v>
          </cell>
          <cell r="C4187" t="str">
            <v>320325</v>
          </cell>
        </row>
        <row r="4188">
          <cell r="A4188">
            <v>320326</v>
          </cell>
          <cell r="B4188" t="str">
            <v>RECEPCION "ATLANTIC"</v>
          </cell>
          <cell r="C4188" t="str">
            <v>TKMV</v>
          </cell>
        </row>
        <row r="4189">
          <cell r="A4189">
            <v>320326</v>
          </cell>
          <cell r="B4189" t="str">
            <v>RECEPCION "ATLANTIC"</v>
          </cell>
          <cell r="C4189" t="str">
            <v>320326</v>
          </cell>
        </row>
        <row r="4190">
          <cell r="A4190">
            <v>320354</v>
          </cell>
          <cell r="B4190" t="str">
            <v>WAHL CUCHILLA DETAILER</v>
          </cell>
          <cell r="C4190" t="str">
            <v>4015110009252</v>
          </cell>
        </row>
        <row r="4191">
          <cell r="A4191">
            <v>320355</v>
          </cell>
          <cell r="B4191" t="str">
            <v>PEINE CARBONO CORTE 219 MM</v>
          </cell>
          <cell r="C4191" t="str">
            <v>8435037141099</v>
          </cell>
        </row>
        <row r="4192">
          <cell r="A4192">
            <v>320356</v>
          </cell>
          <cell r="B4192" t="str">
            <v>PEINE CARBONO CORTE 179 MM</v>
          </cell>
          <cell r="C4192" t="str">
            <v>8435037141051</v>
          </cell>
        </row>
        <row r="4193">
          <cell r="A4193">
            <v>320357</v>
          </cell>
          <cell r="B4193" t="str">
            <v>PEINE CARBONO MECHAS 184 MM.</v>
          </cell>
          <cell r="C4193" t="str">
            <v>8435037141075</v>
          </cell>
        </row>
        <row r="4194">
          <cell r="A4194">
            <v>320358</v>
          </cell>
          <cell r="B4194" t="str">
            <v>PEINE CARBONO SEÑORA 189 MM.</v>
          </cell>
          <cell r="C4194" t="str">
            <v>8435037141082</v>
          </cell>
        </row>
        <row r="4195">
          <cell r="A4195">
            <v>320359</v>
          </cell>
          <cell r="B4195" t="str">
            <v>PEINE CARBONO PUA 215 MM</v>
          </cell>
          <cell r="C4195" t="str">
            <v>8435037141105</v>
          </cell>
        </row>
        <row r="4196">
          <cell r="A4196">
            <v>320360</v>
          </cell>
          <cell r="B4196" t="str">
            <v>PLANCHA GO.GO NIGHT(SIN CABLE)</v>
          </cell>
          <cell r="C4196" t="str">
            <v>0000000320360</v>
          </cell>
        </row>
        <row r="4197">
          <cell r="A4197">
            <v>320362</v>
          </cell>
          <cell r="B4197" t="str">
            <v>PLANCHA PC 27 TITANIO</v>
          </cell>
          <cell r="C4197" t="str">
            <v>8435068400387</v>
          </cell>
        </row>
        <row r="4198">
          <cell r="A4198">
            <v>320365</v>
          </cell>
          <cell r="B4198" t="str">
            <v>TIJERA PRO 5"</v>
          </cell>
          <cell r="C4198" t="str">
            <v>8435037130369</v>
          </cell>
        </row>
        <row r="4199">
          <cell r="A4199">
            <v>320366</v>
          </cell>
          <cell r="B4199" t="str">
            <v>TIJERA PRO 5.5"</v>
          </cell>
          <cell r="C4199" t="str">
            <v>8435037130376</v>
          </cell>
        </row>
        <row r="4200">
          <cell r="A4200">
            <v>320367</v>
          </cell>
          <cell r="B4200" t="str">
            <v>TIJERA PRO 6"</v>
          </cell>
          <cell r="C4200" t="str">
            <v>8435037130383</v>
          </cell>
        </row>
        <row r="4201">
          <cell r="A4201">
            <v>320368</v>
          </cell>
          <cell r="B4201" t="str">
            <v>TIJERA PRO 6.5"</v>
          </cell>
          <cell r="C4201" t="str">
            <v>8435037131755</v>
          </cell>
        </row>
        <row r="4202">
          <cell r="A4202">
            <v>320369</v>
          </cell>
          <cell r="B4202" t="str">
            <v>TIJERA BLACK ARTERO 6.5"</v>
          </cell>
          <cell r="C4202" t="str">
            <v>8435037131731</v>
          </cell>
        </row>
        <row r="4203">
          <cell r="A4203">
            <v>320370</v>
          </cell>
          <cell r="B4203" t="str">
            <v>TIJERA CORTE BLACK 7"</v>
          </cell>
          <cell r="C4203" t="str">
            <v>8435037131748</v>
          </cell>
        </row>
        <row r="4204">
          <cell r="A4204">
            <v>320371</v>
          </cell>
          <cell r="B4204" t="str">
            <v>TIJERA QUEEN PLUS 5"</v>
          </cell>
          <cell r="C4204" t="str">
            <v>8435037130857</v>
          </cell>
        </row>
        <row r="4205">
          <cell r="A4205">
            <v>320372</v>
          </cell>
          <cell r="B4205" t="str">
            <v>TIJERA QUEEN PLUS 5.5"</v>
          </cell>
          <cell r="C4205" t="str">
            <v>8435037160700</v>
          </cell>
        </row>
        <row r="4206">
          <cell r="A4206">
            <v>320373</v>
          </cell>
          <cell r="B4206" t="str">
            <v>TIJERA QUEEN PLUS 6"</v>
          </cell>
          <cell r="C4206" t="str">
            <v>8435037130871</v>
          </cell>
        </row>
        <row r="4207">
          <cell r="A4207">
            <v>320374</v>
          </cell>
          <cell r="B4207" t="str">
            <v>TIJERA VAC. BLACK 40D 6.5"</v>
          </cell>
          <cell r="C4207" t="str">
            <v>8435037163282</v>
          </cell>
        </row>
        <row r="4208">
          <cell r="A4208">
            <v>320378</v>
          </cell>
          <cell r="B4208" t="str">
            <v>MÁQUINA CORTE 1871 CHROMSTYLE</v>
          </cell>
          <cell r="C4208" t="str">
            <v>4015110006565</v>
          </cell>
        </row>
        <row r="4209">
          <cell r="A4209">
            <v>320379</v>
          </cell>
          <cell r="B4209" t="str">
            <v>MÁQUINA CORTE MACHINE X-TRON</v>
          </cell>
          <cell r="C4209" t="str">
            <v>8435037160755</v>
          </cell>
        </row>
        <row r="4210">
          <cell r="A4210">
            <v>320380</v>
          </cell>
          <cell r="B4210" t="str">
            <v>CLIP KAYMAN</v>
          </cell>
          <cell r="C4210" t="str">
            <v>8435037113232</v>
          </cell>
        </row>
        <row r="4211">
          <cell r="A4211">
            <v>320381</v>
          </cell>
          <cell r="B4211" t="str">
            <v>CLIP CLASSIC</v>
          </cell>
          <cell r="C4211" t="str">
            <v>8435037113218</v>
          </cell>
        </row>
        <row r="4212">
          <cell r="A4212">
            <v>320382</v>
          </cell>
          <cell r="B4212" t="str">
            <v>CEPILLO RAQUETA</v>
          </cell>
          <cell r="C4212" t="str">
            <v>8435037160847</v>
          </cell>
        </row>
        <row r="4213">
          <cell r="A4213">
            <v>320384</v>
          </cell>
          <cell r="B4213" t="str">
            <v>CEPILLO TANGLIM NEGRO</v>
          </cell>
          <cell r="C4213" t="str">
            <v>0000000320384</v>
          </cell>
        </row>
        <row r="4214">
          <cell r="A4214">
            <v>320385</v>
          </cell>
          <cell r="B4214" t="str">
            <v>CEPILLO TANGLIM FUCSIA</v>
          </cell>
          <cell r="C4214" t="str">
            <v>8435068400677</v>
          </cell>
        </row>
        <row r="4215">
          <cell r="A4215">
            <v>320386</v>
          </cell>
          <cell r="B4215" t="str">
            <v>CEPILLO TANGLIM PURPURA</v>
          </cell>
          <cell r="C4215" t="str">
            <v>8435068400684</v>
          </cell>
        </row>
        <row r="4216">
          <cell r="A4216">
            <v>320387</v>
          </cell>
          <cell r="B4216" t="str">
            <v>SECADOR CASCO HONDA 3V BRAZO</v>
          </cell>
          <cell r="C4216" t="str">
            <v>0000000320387</v>
          </cell>
        </row>
        <row r="4217">
          <cell r="A4217">
            <v>320388</v>
          </cell>
          <cell r="B4217" t="str">
            <v>CEPILLO TANGLIM ECON PURPURA</v>
          </cell>
          <cell r="C4217" t="str">
            <v>8435068400653</v>
          </cell>
        </row>
        <row r="4218">
          <cell r="A4218">
            <v>320398</v>
          </cell>
          <cell r="B4218" t="str">
            <v>PEINE GUÍA G45 YS PARK BLANCO</v>
          </cell>
          <cell r="C4218" t="str">
            <v>4981104364259</v>
          </cell>
        </row>
        <row r="4219">
          <cell r="A4219">
            <v>320401</v>
          </cell>
          <cell r="B4219" t="str">
            <v>TIJERA EXCALIBUR 7.5"</v>
          </cell>
          <cell r="C4219" t="str">
            <v>8435037130239</v>
          </cell>
        </row>
        <row r="4220">
          <cell r="A4220">
            <v>320402</v>
          </cell>
          <cell r="B4220" t="str">
            <v>CEPILLO TANGLIM ECON FUCSIA</v>
          </cell>
          <cell r="C4220" t="str">
            <v>8435068400981</v>
          </cell>
        </row>
        <row r="4221">
          <cell r="A4221">
            <v>320404</v>
          </cell>
          <cell r="B4221" t="str">
            <v>MAQUINA CORTE MOSER CHROMINI</v>
          </cell>
          <cell r="C4221" t="str">
            <v>4015110006596</v>
          </cell>
        </row>
        <row r="4222">
          <cell r="A4222">
            <v>320409</v>
          </cell>
          <cell r="B4222" t="str">
            <v>PLANCHA PC VOL</v>
          </cell>
          <cell r="C4222" t="str">
            <v>8435068400837</v>
          </cell>
        </row>
        <row r="4223">
          <cell r="A4223">
            <v>320414</v>
          </cell>
          <cell r="B4223" t="str">
            <v>MAQUINA NARIZ SAKE</v>
          </cell>
          <cell r="C4223" t="str">
            <v>8435037165675</v>
          </cell>
        </row>
        <row r="4224">
          <cell r="A4224">
            <v>320416</v>
          </cell>
          <cell r="B4224" t="str">
            <v>CEPILLO ESQUELETO ARTERO</v>
          </cell>
          <cell r="C4224" t="str">
            <v>8435037160830</v>
          </cell>
        </row>
        <row r="4225">
          <cell r="A4225">
            <v>320418</v>
          </cell>
          <cell r="B4225" t="str">
            <v>CAPA CORTE MAGNETICA</v>
          </cell>
          <cell r="C4225" t="str">
            <v>8436007230119</v>
          </cell>
        </row>
        <row r="4226">
          <cell r="A4226">
            <v>320419</v>
          </cell>
          <cell r="B4226" t="str">
            <v>CEPILLO BROCHA CUELLO</v>
          </cell>
          <cell r="C4226" t="str">
            <v>8436007230034</v>
          </cell>
        </row>
        <row r="4227">
          <cell r="A4227">
            <v>320424</v>
          </cell>
          <cell r="B4227" t="str">
            <v>CARRO AYUDANTE CODISARPEL</v>
          </cell>
          <cell r="C4227" t="str">
            <v>00000000320424</v>
          </cell>
        </row>
        <row r="4228">
          <cell r="A4228">
            <v>320425</v>
          </cell>
          <cell r="B4228" t="str">
            <v>CARRO MULTIUSOS</v>
          </cell>
          <cell r="C4228" t="str">
            <v>0000000320425</v>
          </cell>
        </row>
        <row r="4229">
          <cell r="A4229">
            <v>320426</v>
          </cell>
          <cell r="B4229" t="str">
            <v>CARRO SWING N</v>
          </cell>
          <cell r="C4229" t="str">
            <v>0000000320426</v>
          </cell>
        </row>
        <row r="4230">
          <cell r="A4230">
            <v>320429</v>
          </cell>
          <cell r="B4230" t="str">
            <v>DIFUSOR UNIV. PLEGABLE LIM NEGRO</v>
          </cell>
          <cell r="C4230" t="str">
            <v>8435068401322</v>
          </cell>
        </row>
        <row r="4231">
          <cell r="A4231">
            <v>320430</v>
          </cell>
          <cell r="B4231" t="str">
            <v>PLANCHA PC 30</v>
          </cell>
          <cell r="C4231" t="str">
            <v>8435068400882</v>
          </cell>
        </row>
        <row r="4232">
          <cell r="A4232">
            <v>320433</v>
          </cell>
          <cell r="B4232" t="str">
            <v>DIFUSOR UNIV. PLEGABLE PÚRPURA</v>
          </cell>
          <cell r="C4232" t="str">
            <v>8435068401339</v>
          </cell>
        </row>
        <row r="4233">
          <cell r="A4233">
            <v>320435</v>
          </cell>
          <cell r="B4233" t="str">
            <v>DIFUSOR UNIV. PLEGABLE LIM ROSA</v>
          </cell>
          <cell r="C4233" t="str">
            <v>8435068401490</v>
          </cell>
        </row>
        <row r="4234">
          <cell r="A4234">
            <v>320437</v>
          </cell>
          <cell r="B4234" t="str">
            <v>TIJERA EVO BLACK TITANIUM 6"</v>
          </cell>
          <cell r="C4234" t="str">
            <v>8435037165590</v>
          </cell>
        </row>
        <row r="4235">
          <cell r="A4235">
            <v>320438</v>
          </cell>
          <cell r="B4235" t="str">
            <v>TIJERA DIVINE</v>
          </cell>
          <cell r="C4235" t="str">
            <v>8435037131625</v>
          </cell>
        </row>
        <row r="4236">
          <cell r="A4236">
            <v>320442</v>
          </cell>
          <cell r="B4236" t="str">
            <v>RECAMBIO CUCHILLA NAV. WILKINSON</v>
          </cell>
          <cell r="C4236" t="str">
            <v>4027800810208</v>
          </cell>
        </row>
        <row r="4237">
          <cell r="A4237">
            <v>320447</v>
          </cell>
          <cell r="B4237" t="str">
            <v>TIJERA KAI IMPRESSION 6"</v>
          </cell>
          <cell r="C4237" t="str">
            <v>4901601267549</v>
          </cell>
        </row>
        <row r="4238">
          <cell r="A4238">
            <v>320448</v>
          </cell>
          <cell r="B4238" t="str">
            <v>FUSOR CERA ECON 250 LIM</v>
          </cell>
          <cell r="C4238" t="str">
            <v>8435068400721</v>
          </cell>
        </row>
        <row r="4239">
          <cell r="A4239">
            <v>320450</v>
          </cell>
          <cell r="B4239" t="str">
            <v>PLANCHA ALISADORA PC 25</v>
          </cell>
          <cell r="C4239" t="str">
            <v>8435068400806</v>
          </cell>
        </row>
        <row r="4240">
          <cell r="A4240">
            <v>320456</v>
          </cell>
          <cell r="B4240" t="str">
            <v>PLANCHA ALISADORA PC 28</v>
          </cell>
          <cell r="C4240" t="str">
            <v>8435068400813</v>
          </cell>
        </row>
        <row r="4241">
          <cell r="A4241">
            <v>320457</v>
          </cell>
          <cell r="B4241" t="str">
            <v>TIJERA EVO BLACK TITANIUM 5.5"</v>
          </cell>
          <cell r="C4241" t="str">
            <v>8435037165583</v>
          </cell>
        </row>
        <row r="4242">
          <cell r="A4242">
            <v>320465</v>
          </cell>
          <cell r="B4242" t="str">
            <v>CARRO PRACTICO</v>
          </cell>
          <cell r="C4242" t="str">
            <v>0000000320465</v>
          </cell>
        </row>
        <row r="4243">
          <cell r="A4243">
            <v>320466</v>
          </cell>
          <cell r="B4243" t="str">
            <v>CARRO CLASSIC N CODISARPEL</v>
          </cell>
          <cell r="C4243" t="str">
            <v>0000000320466</v>
          </cell>
        </row>
        <row r="4244">
          <cell r="A4244">
            <v>320467</v>
          </cell>
          <cell r="B4244" t="str">
            <v>CARRO NEW STYLE NEGRO</v>
          </cell>
          <cell r="C4244" t="str">
            <v>0000000320467</v>
          </cell>
        </row>
        <row r="4245">
          <cell r="A4245">
            <v>320491</v>
          </cell>
          <cell r="B4245" t="str">
            <v>TIJERA ARTERO MYSTERY 6"</v>
          </cell>
          <cell r="C4245" t="str">
            <v>8435037166092</v>
          </cell>
        </row>
        <row r="4246">
          <cell r="A4246">
            <v>320493</v>
          </cell>
          <cell r="B4246" t="str">
            <v>TIJERA ARTERO SATIN 6"</v>
          </cell>
          <cell r="C4246" t="str">
            <v>8435037166627</v>
          </cell>
        </row>
        <row r="4247">
          <cell r="A4247">
            <v>320494</v>
          </cell>
          <cell r="B4247" t="str">
            <v>TIJERA ARTERO MYSTERY ESCULPIR 30D 6"</v>
          </cell>
          <cell r="C4247" t="str">
            <v>8435037166108</v>
          </cell>
        </row>
        <row r="4248">
          <cell r="A4248">
            <v>320497</v>
          </cell>
          <cell r="B4248" t="str">
            <v>TIJERA ARTERO QUEEN MICRO 5.5"</v>
          </cell>
          <cell r="C4248" t="str">
            <v>8435037130963</v>
          </cell>
        </row>
        <row r="4249">
          <cell r="A4249">
            <v>320498</v>
          </cell>
          <cell r="B4249" t="str">
            <v>TIJERA ARTERO QUEEN MICRO 6"</v>
          </cell>
          <cell r="C4249" t="str">
            <v>8435037130970</v>
          </cell>
        </row>
        <row r="4250">
          <cell r="A4250">
            <v>320507</v>
          </cell>
          <cell r="B4250" t="str">
            <v>NAVAJA BLACK RAZOR STANDARD</v>
          </cell>
          <cell r="C4250" t="str">
            <v>8435037168089</v>
          </cell>
        </row>
        <row r="4251">
          <cell r="A4251">
            <v>320514</v>
          </cell>
          <cell r="B4251" t="str">
            <v>MÁQUINA CORTE DETAILER WAHL</v>
          </cell>
          <cell r="C4251" t="str">
            <v>5037127007884</v>
          </cell>
        </row>
        <row r="4252">
          <cell r="A4252">
            <v>320515</v>
          </cell>
          <cell r="B4252" t="str">
            <v>MÁQUINA CORTE SUPER TAPER WAHL</v>
          </cell>
          <cell r="C4252" t="str">
            <v>4015110005964</v>
          </cell>
        </row>
        <row r="4253">
          <cell r="A4253">
            <v>320518</v>
          </cell>
          <cell r="B4253" t="str">
            <v>PLANCHA 2.0 NANO LIM NEGRA</v>
          </cell>
          <cell r="C4253" t="str">
            <v>8435068401353</v>
          </cell>
        </row>
        <row r="4254">
          <cell r="A4254">
            <v>320520</v>
          </cell>
          <cell r="B4254" t="str">
            <v>PLANCHA 2.0 NANO FUCSIA</v>
          </cell>
          <cell r="C4254" t="str">
            <v>8435068401377</v>
          </cell>
        </row>
        <row r="4255">
          <cell r="A4255">
            <v>320521</v>
          </cell>
          <cell r="B4255" t="str">
            <v>PLANCHA 8.0 LIM NEGRA</v>
          </cell>
          <cell r="C4255" t="str">
            <v>8435068401384</v>
          </cell>
        </row>
        <row r="4256">
          <cell r="A4256">
            <v>320522</v>
          </cell>
          <cell r="B4256" t="str">
            <v>PLANCHA 8.0 FUCSIA</v>
          </cell>
          <cell r="C4256" t="str">
            <v>8435068401391</v>
          </cell>
        </row>
        <row r="4257">
          <cell r="A4257">
            <v>320523</v>
          </cell>
          <cell r="B4257" t="str">
            <v>PACK TANGLIM+TR 1.0 FLOWERS</v>
          </cell>
          <cell r="C4257" t="str">
            <v>8435068401407</v>
          </cell>
        </row>
        <row r="4258">
          <cell r="A4258">
            <v>320524</v>
          </cell>
          <cell r="B4258" t="str">
            <v>PACK TANGLIM+ TR 1.0 CUORE</v>
          </cell>
          <cell r="C4258" t="str">
            <v>8435068401414</v>
          </cell>
        </row>
        <row r="4259">
          <cell r="A4259">
            <v>320527</v>
          </cell>
          <cell r="B4259" t="str">
            <v>PLANCHA ARTERO ADDICTION</v>
          </cell>
          <cell r="C4259" t="str">
            <v>8435037167426</v>
          </cell>
        </row>
        <row r="4260">
          <cell r="A4260">
            <v>320528</v>
          </cell>
          <cell r="B4260" t="str">
            <v>RIZADOR ARTERO LOOPY 25 MM</v>
          </cell>
          <cell r="C4260" t="str">
            <v>8435037167037</v>
          </cell>
        </row>
        <row r="4261">
          <cell r="A4261">
            <v>320529</v>
          </cell>
          <cell r="B4261" t="str">
            <v>MÁQUINA CORTE BAMBINA ARTERO</v>
          </cell>
          <cell r="C4261" t="str">
            <v>8435037168072</v>
          </cell>
        </row>
        <row r="4262">
          <cell r="A4262">
            <v>320532</v>
          </cell>
          <cell r="B4262" t="str">
            <v>MINI SECADOR WM 2.0 CUORE</v>
          </cell>
          <cell r="C4262" t="str">
            <v>8435068400073</v>
          </cell>
        </row>
        <row r="4263">
          <cell r="A4263">
            <v>320537</v>
          </cell>
          <cell r="B4263" t="str">
            <v>MINI SECADOR WM 2.0 DROPS</v>
          </cell>
          <cell r="C4263" t="str">
            <v>8435068400059</v>
          </cell>
        </row>
        <row r="4264">
          <cell r="A4264">
            <v>320538</v>
          </cell>
          <cell r="B4264" t="str">
            <v>MINI SECADOR WM 2.0 FLOWERS</v>
          </cell>
          <cell r="C4264" t="str">
            <v>8435068400066</v>
          </cell>
        </row>
        <row r="4265">
          <cell r="A4265">
            <v>320539</v>
          </cell>
          <cell r="B4265" t="str">
            <v>SECADOR MINI WM 2.0 TRENCADÍS</v>
          </cell>
          <cell r="C4265" t="str">
            <v>8435068400295</v>
          </cell>
        </row>
        <row r="4266">
          <cell r="A4266">
            <v>320541</v>
          </cell>
          <cell r="B4266" t="str">
            <v>GUANTE TERMICO</v>
          </cell>
          <cell r="C4266" t="str">
            <v>8435037167167</v>
          </cell>
        </row>
        <row r="4267">
          <cell r="A4267">
            <v>320542</v>
          </cell>
          <cell r="B4267" t="str">
            <v>ACEITE MANTENIMIENTO OIL FRESH</v>
          </cell>
          <cell r="C4267" t="str">
            <v>8435037100126</v>
          </cell>
        </row>
        <row r="4268">
          <cell r="A4268">
            <v>320543</v>
          </cell>
          <cell r="B4268" t="str">
            <v>TIJERA EVOQUE TITANIUM 6"</v>
          </cell>
          <cell r="C4268" t="str">
            <v>8435037166283</v>
          </cell>
        </row>
        <row r="4269">
          <cell r="A4269">
            <v>320544</v>
          </cell>
          <cell r="B4269" t="str">
            <v>TIJERA EVOQUE TITANIUM 7"</v>
          </cell>
          <cell r="C4269" t="str">
            <v>8435037167624</v>
          </cell>
        </row>
        <row r="4270">
          <cell r="A4270">
            <v>320545</v>
          </cell>
          <cell r="B4270" t="str">
            <v>TIJERA EVOQUE TITANIUM 8"</v>
          </cell>
          <cell r="C4270" t="str">
            <v>8435037167617</v>
          </cell>
        </row>
        <row r="4271">
          <cell r="A4271">
            <v>320546</v>
          </cell>
          <cell r="B4271" t="str">
            <v>TIJERA NEBULA 6"</v>
          </cell>
          <cell r="C4271" t="str">
            <v>8435037168690</v>
          </cell>
        </row>
        <row r="4272">
          <cell r="A4272">
            <v>320547</v>
          </cell>
          <cell r="B4272" t="str">
            <v>TIJERA ONE ARTERO 5.5"</v>
          </cell>
          <cell r="C4272" t="str">
            <v>8435037168614</v>
          </cell>
        </row>
        <row r="4273">
          <cell r="A4273">
            <v>320548</v>
          </cell>
          <cell r="B4273" t="str">
            <v>TIJERA ONE ARTERO 6"</v>
          </cell>
          <cell r="C4273" t="str">
            <v>8435037168249</v>
          </cell>
        </row>
        <row r="4274">
          <cell r="A4274">
            <v>320549</v>
          </cell>
          <cell r="B4274" t="str">
            <v>TIJERA ONE ARTERO 7"</v>
          </cell>
          <cell r="C4274" t="str">
            <v>8435037168621</v>
          </cell>
        </row>
        <row r="4275">
          <cell r="A4275">
            <v>320550</v>
          </cell>
          <cell r="B4275" t="str">
            <v>TIJERA ONE ARTERO 8"</v>
          </cell>
          <cell r="C4275" t="str">
            <v>8435037168638</v>
          </cell>
        </row>
        <row r="4276">
          <cell r="A4276">
            <v>320551</v>
          </cell>
          <cell r="B4276" t="str">
            <v>TIJERA VAC. ONE ARTERO 6"</v>
          </cell>
          <cell r="C4276" t="str">
            <v>8435037168256</v>
          </cell>
        </row>
        <row r="4277">
          <cell r="A4277">
            <v>320552</v>
          </cell>
          <cell r="B4277" t="str">
            <v>TIJERA VAC. ONE ARTERO 7.5"</v>
          </cell>
          <cell r="C4277" t="str">
            <v>8435037168645</v>
          </cell>
        </row>
        <row r="4278">
          <cell r="A4278">
            <v>320553</v>
          </cell>
          <cell r="B4278" t="str">
            <v>PULSERA MAGNETICA</v>
          </cell>
          <cell r="C4278" t="str">
            <v>8435037163169</v>
          </cell>
        </row>
        <row r="4279">
          <cell r="A4279">
            <v>320559</v>
          </cell>
          <cell r="B4279" t="str">
            <v>SECADOR LIM TH 2900</v>
          </cell>
          <cell r="C4279" t="str">
            <v>8435068400448</v>
          </cell>
        </row>
        <row r="4280">
          <cell r="A4280">
            <v>320560</v>
          </cell>
          <cell r="B4280" t="str">
            <v>SECADOR HP 3.7 LIM FUCSIA</v>
          </cell>
          <cell r="C4280" t="str">
            <v>8435068400035</v>
          </cell>
        </row>
        <row r="4281">
          <cell r="A4281">
            <v>320561</v>
          </cell>
          <cell r="B4281" t="str">
            <v>CEPILLO TANGLIM ECON TURQUESA</v>
          </cell>
          <cell r="C4281" t="str">
            <v>8435068401513</v>
          </cell>
        </row>
        <row r="4282">
          <cell r="A4282">
            <v>320562</v>
          </cell>
          <cell r="B4282" t="str">
            <v>SECADOR LIM HP 3.7 NEGRO</v>
          </cell>
          <cell r="C4282" t="str">
            <v>8435068401223</v>
          </cell>
        </row>
        <row r="4283">
          <cell r="A4283">
            <v>320565</v>
          </cell>
          <cell r="B4283" t="str">
            <v>PLANCHA ZENIT ZIRCONIUM</v>
          </cell>
          <cell r="C4283" t="str">
            <v>8435037167181</v>
          </cell>
        </row>
        <row r="4284">
          <cell r="A4284">
            <v>320575</v>
          </cell>
          <cell r="B4284" t="str">
            <v>CEPILLO TANGLIM FREE PÚRPURA</v>
          </cell>
          <cell r="C4284" t="str">
            <v>8435068401452</v>
          </cell>
        </row>
        <row r="4285">
          <cell r="A4285">
            <v>320576</v>
          </cell>
          <cell r="B4285" t="str">
            <v>CEPILLO TANGLIM FREE TURQUESA</v>
          </cell>
          <cell r="C4285" t="str">
            <v>8435068401476</v>
          </cell>
        </row>
        <row r="4286">
          <cell r="A4286">
            <v>320577</v>
          </cell>
          <cell r="B4286" t="str">
            <v>PLANCHA LIM PC 4.0 TITANIUM NEGRA</v>
          </cell>
          <cell r="C4286" t="str">
            <v>8435068401629</v>
          </cell>
        </row>
        <row r="4287">
          <cell r="A4287">
            <v>320578</v>
          </cell>
          <cell r="B4287" t="str">
            <v>PLANCHA PC 4.0 TITANIUM TURQUESA</v>
          </cell>
          <cell r="C4287" t="str">
            <v>8435068401636</v>
          </cell>
        </row>
        <row r="4288">
          <cell r="A4288">
            <v>320579</v>
          </cell>
          <cell r="B4288" t="str">
            <v>PLANCHA SILVER XL ARTERO</v>
          </cell>
          <cell r="C4288" t="str">
            <v>8435037169161</v>
          </cell>
        </row>
        <row r="4289">
          <cell r="A4289">
            <v>320580</v>
          </cell>
          <cell r="B4289" t="str">
            <v>TIJERA HERITAGE ARTERO 6"</v>
          </cell>
          <cell r="C4289" t="str">
            <v>8435037171782</v>
          </cell>
        </row>
        <row r="4290">
          <cell r="A4290">
            <v>320581</v>
          </cell>
          <cell r="B4290" t="str">
            <v>TIJERA STAGE ARTERO 5.75"</v>
          </cell>
          <cell r="C4290" t="str">
            <v>8435037171812</v>
          </cell>
        </row>
        <row r="4291">
          <cell r="A4291">
            <v>320582</v>
          </cell>
          <cell r="B4291" t="str">
            <v>TIJERA STAGE ARTERO 6.25"</v>
          </cell>
          <cell r="C4291" t="str">
            <v>8435037171829</v>
          </cell>
        </row>
        <row r="4292">
          <cell r="A4292">
            <v>320583</v>
          </cell>
          <cell r="B4292" t="str">
            <v>TIJERA VAC. HERITAGE ARTERO 6"</v>
          </cell>
          <cell r="C4292" t="str">
            <v>8435037171799</v>
          </cell>
        </row>
        <row r="4293">
          <cell r="A4293">
            <v>320584</v>
          </cell>
          <cell r="B4293" t="str">
            <v>TIJERA VAC. STAGE ARTERO 6"</v>
          </cell>
          <cell r="C4293" t="str">
            <v>8435037171775</v>
          </cell>
        </row>
        <row r="4294">
          <cell r="A4294">
            <v>320585</v>
          </cell>
          <cell r="B4294" t="str">
            <v>NAVAJA BARBER RAZOR ARTERO</v>
          </cell>
          <cell r="C4294" t="str">
            <v>8435037172581</v>
          </cell>
        </row>
        <row r="4295">
          <cell r="A4295">
            <v>320586</v>
          </cell>
          <cell r="B4295" t="str">
            <v>PEINE DOBLE PUA 336 LARGO</v>
          </cell>
          <cell r="C4295" t="str">
            <v>4981104353215</v>
          </cell>
        </row>
        <row r="4296">
          <cell r="A4296">
            <v>320587</v>
          </cell>
          <cell r="B4296" t="str">
            <v>PEINE DOBLE PUA 339 NORMAL</v>
          </cell>
          <cell r="C4296" t="str">
            <v>4981104350351</v>
          </cell>
        </row>
        <row r="4297">
          <cell r="A4297">
            <v>320588</v>
          </cell>
          <cell r="B4297" t="str">
            <v>PEINE CREPADO 150 YS PARK</v>
          </cell>
          <cell r="C4297" t="str">
            <v>4981104365331</v>
          </cell>
        </row>
        <row r="4298">
          <cell r="A4298">
            <v>320589</v>
          </cell>
          <cell r="B4298" t="str">
            <v>FUSOR CERA ECON 1000 LIM</v>
          </cell>
          <cell r="C4298" t="str">
            <v>8435068400760</v>
          </cell>
        </row>
        <row r="4299">
          <cell r="A4299">
            <v>320590</v>
          </cell>
          <cell r="B4299" t="str">
            <v>PLANCHA PC 5.2 L TOURMALINE</v>
          </cell>
          <cell r="C4299" t="str">
            <v>8435068401667</v>
          </cell>
        </row>
        <row r="4300">
          <cell r="A4300">
            <v>320591</v>
          </cell>
          <cell r="B4300" t="str">
            <v>CEPILLO TERMIX C·R COLOR ROSA 23</v>
          </cell>
          <cell r="C4300" t="str">
            <v>8436007243904</v>
          </cell>
        </row>
        <row r="4301">
          <cell r="A4301">
            <v>320592</v>
          </cell>
          <cell r="B4301" t="str">
            <v>CEPILLO TERMIX C·R COLOR ROSA 32</v>
          </cell>
          <cell r="C4301" t="str">
            <v>8436007243928</v>
          </cell>
        </row>
        <row r="4302">
          <cell r="A4302">
            <v>320593</v>
          </cell>
          <cell r="B4302" t="str">
            <v>CEPILLO C·RAMIC ROSE TERMIX 43</v>
          </cell>
          <cell r="C4302" t="str">
            <v>8436007243935</v>
          </cell>
        </row>
        <row r="4303">
          <cell r="A4303">
            <v>320670</v>
          </cell>
          <cell r="B4303" t="str">
            <v>CEPILLO FINGERBRUSH LAVANDA</v>
          </cell>
          <cell r="C4303" t="str">
            <v>5414343014078</v>
          </cell>
        </row>
        <row r="4304">
          <cell r="A4304">
            <v>320671</v>
          </cell>
          <cell r="B4304" t="str">
            <v>CEPILLO FINGERBRUSH LILLY</v>
          </cell>
          <cell r="C4304" t="str">
            <v>5414343014085</v>
          </cell>
        </row>
        <row r="4305">
          <cell r="A4305">
            <v>320672</v>
          </cell>
          <cell r="B4305" t="str">
            <v>CEPILLO FINGERBRUSH LOTO</v>
          </cell>
          <cell r="C4305" t="str">
            <v>5414343014115</v>
          </cell>
        </row>
        <row r="4306">
          <cell r="A4306">
            <v>320673</v>
          </cell>
          <cell r="B4306" t="str">
            <v>CEPILLO FINGERBRUSH PEACH</v>
          </cell>
          <cell r="C4306" t="str">
            <v>5414343014108</v>
          </cell>
        </row>
        <row r="4307">
          <cell r="A4307">
            <v>330001</v>
          </cell>
          <cell r="B4307" t="str">
            <v>RELOJ SEÑORA GUESS CIRCONITA</v>
          </cell>
          <cell r="C4307" t="str">
            <v>REGUES</v>
          </cell>
        </row>
        <row r="4308">
          <cell r="A4308">
            <v>330001</v>
          </cell>
          <cell r="B4308" t="str">
            <v>RELOJ SEÑORA GUESS CIRCONITA</v>
          </cell>
          <cell r="C4308" t="str">
            <v>330001</v>
          </cell>
        </row>
        <row r="4309">
          <cell r="A4309">
            <v>330002</v>
          </cell>
          <cell r="B4309" t="str">
            <v>RELOJ SEÑOR TIME FORCE</v>
          </cell>
          <cell r="C4309" t="str">
            <v>PRSRLJ21183</v>
          </cell>
        </row>
        <row r="4310">
          <cell r="A4310">
            <v>330002</v>
          </cell>
          <cell r="B4310" t="str">
            <v>RELOJ SEÑOR TIME FORCE</v>
          </cell>
          <cell r="C4310" t="str">
            <v>330002</v>
          </cell>
        </row>
        <row r="4311">
          <cell r="A4311">
            <v>330003</v>
          </cell>
          <cell r="B4311" t="str">
            <v>cafetera nesp. delonghi nadal</v>
          </cell>
          <cell r="C4311" t="str">
            <v>CANEDE</v>
          </cell>
        </row>
        <row r="4312">
          <cell r="A4312">
            <v>330003</v>
          </cell>
          <cell r="B4312" t="str">
            <v>cafetera nesp. delonghi nadal</v>
          </cell>
          <cell r="C4312" t="str">
            <v>330003</v>
          </cell>
        </row>
        <row r="4313">
          <cell r="A4313">
            <v>330004</v>
          </cell>
          <cell r="B4313" t="str">
            <v>CAMARA FOTOS DIG. LUMIX 12 MP</v>
          </cell>
          <cell r="C4313" t="str">
            <v>MGNCMR22482</v>
          </cell>
        </row>
        <row r="4314">
          <cell r="A4314">
            <v>330004</v>
          </cell>
          <cell r="B4314" t="str">
            <v>CAMARA FOTOS DIG. LUMIX 12 MP</v>
          </cell>
          <cell r="C4314" t="str">
            <v>330004</v>
          </cell>
        </row>
        <row r="4315">
          <cell r="A4315">
            <v>330005</v>
          </cell>
          <cell r="B4315" t="str">
            <v>ipod nano 8GB APPLE</v>
          </cell>
          <cell r="C4315" t="str">
            <v>MGNRMP20676</v>
          </cell>
        </row>
        <row r="4316">
          <cell r="A4316">
            <v>330005</v>
          </cell>
          <cell r="B4316" t="str">
            <v>ipod nano 8GB APPLE</v>
          </cell>
          <cell r="C4316" t="str">
            <v>330005</v>
          </cell>
        </row>
        <row r="4317">
          <cell r="A4317">
            <v>330006</v>
          </cell>
          <cell r="B4317" t="str">
            <v>microcadena SONY</v>
          </cell>
          <cell r="C4317" t="str">
            <v>MICASO</v>
          </cell>
        </row>
        <row r="4318">
          <cell r="A4318">
            <v>330006</v>
          </cell>
          <cell r="B4318" t="str">
            <v>microcadena SONY</v>
          </cell>
          <cell r="C4318" t="str">
            <v>330006</v>
          </cell>
        </row>
        <row r="4319">
          <cell r="A4319">
            <v>330007</v>
          </cell>
          <cell r="B4319" t="str">
            <v>consola nintendo DS LITE</v>
          </cell>
          <cell r="C4319" t="str">
            <v>NIDSLI</v>
          </cell>
        </row>
        <row r="4320">
          <cell r="A4320">
            <v>330007</v>
          </cell>
          <cell r="B4320" t="str">
            <v>consola nintendo DS LITE</v>
          </cell>
          <cell r="C4320" t="str">
            <v>330007</v>
          </cell>
        </row>
        <row r="4321">
          <cell r="A4321">
            <v>330008</v>
          </cell>
          <cell r="B4321" t="str">
            <v>videocamara  samsung</v>
          </cell>
          <cell r="C4321" t="str">
            <v>VICASA</v>
          </cell>
        </row>
        <row r="4322">
          <cell r="A4322">
            <v>330008</v>
          </cell>
          <cell r="B4322" t="str">
            <v>videocamara  samsung</v>
          </cell>
          <cell r="C4322" t="str">
            <v>330008</v>
          </cell>
        </row>
        <row r="4323">
          <cell r="A4323">
            <v>330009</v>
          </cell>
          <cell r="B4323" t="str">
            <v>PLAY STATION 3 SLIM SONY</v>
          </cell>
          <cell r="C4323" t="str">
            <v>NFNJGT21833</v>
          </cell>
        </row>
        <row r="4324">
          <cell r="A4324">
            <v>330009</v>
          </cell>
          <cell r="B4324" t="str">
            <v>PLAY STATION 3 SLIM SONY</v>
          </cell>
          <cell r="C4324" t="str">
            <v>330009</v>
          </cell>
        </row>
        <row r="4325">
          <cell r="A4325">
            <v>330010</v>
          </cell>
          <cell r="B4325" t="str">
            <v>tv lcd samsung 22" hd ready</v>
          </cell>
          <cell r="C4325" t="str">
            <v>MGNTLV22758</v>
          </cell>
        </row>
        <row r="4326">
          <cell r="A4326">
            <v>330010</v>
          </cell>
          <cell r="B4326" t="str">
            <v>tv lcd samsung 22" hd ready</v>
          </cell>
          <cell r="C4326" t="str">
            <v>330010</v>
          </cell>
        </row>
        <row r="4327">
          <cell r="A4327">
            <v>330011</v>
          </cell>
          <cell r="B4327" t="str">
            <v>PULSERA KIN</v>
          </cell>
          <cell r="C4327" t="str">
            <v>8435057054751</v>
          </cell>
        </row>
        <row r="4328">
          <cell r="A4328">
            <v>330011</v>
          </cell>
          <cell r="B4328" t="str">
            <v>PULSERA KIN</v>
          </cell>
          <cell r="C4328" t="str">
            <v>PULKIN</v>
          </cell>
        </row>
        <row r="4329">
          <cell r="A4329">
            <v>330011</v>
          </cell>
          <cell r="B4329" t="str">
            <v>PULSERA KIN</v>
          </cell>
          <cell r="C4329" t="str">
            <v>330011</v>
          </cell>
        </row>
        <row r="4330">
          <cell r="A4330">
            <v>330012</v>
          </cell>
          <cell r="B4330" t="str">
            <v>pulsera lotus</v>
          </cell>
          <cell r="C4330" t="str">
            <v>330012</v>
          </cell>
        </row>
        <row r="4331">
          <cell r="A4331">
            <v>330013</v>
          </cell>
          <cell r="B4331" t="str">
            <v>pulsera de majorica</v>
          </cell>
          <cell r="C4331" t="str">
            <v>PRSJYR20194</v>
          </cell>
        </row>
        <row r="4332">
          <cell r="A4332">
            <v>330013</v>
          </cell>
          <cell r="B4332" t="str">
            <v>pulsera de majorica</v>
          </cell>
          <cell r="C4332" t="str">
            <v>330013</v>
          </cell>
        </row>
        <row r="4333">
          <cell r="A4333">
            <v>330014</v>
          </cell>
          <cell r="B4333" t="str">
            <v>pulsera TRIPLE MAJORICA</v>
          </cell>
          <cell r="C4333" t="str">
            <v>PRSJYR20228</v>
          </cell>
        </row>
        <row r="4334">
          <cell r="A4334">
            <v>330014</v>
          </cell>
          <cell r="B4334" t="str">
            <v>pulsera TRIPLE MAJORICA</v>
          </cell>
          <cell r="C4334" t="str">
            <v>330014</v>
          </cell>
        </row>
        <row r="4335">
          <cell r="A4335">
            <v>330015</v>
          </cell>
          <cell r="B4335" t="str">
            <v>colgante MAJORICA</v>
          </cell>
          <cell r="C4335" t="str">
            <v>PRSJYR20200</v>
          </cell>
        </row>
        <row r="4336">
          <cell r="A4336">
            <v>330015</v>
          </cell>
          <cell r="B4336" t="str">
            <v>colgante MAJORICA</v>
          </cell>
          <cell r="C4336" t="str">
            <v>330015</v>
          </cell>
        </row>
        <row r="4337">
          <cell r="A4337">
            <v>330016</v>
          </cell>
          <cell r="B4337" t="str">
            <v>colgante TRIPLE MAJORICA</v>
          </cell>
          <cell r="C4337" t="str">
            <v>PRSJYR20228</v>
          </cell>
        </row>
        <row r="4338">
          <cell r="A4338">
            <v>330016</v>
          </cell>
          <cell r="B4338" t="str">
            <v>colgante TRIPLE MAJORICA</v>
          </cell>
          <cell r="C4338" t="str">
            <v>330016</v>
          </cell>
        </row>
        <row r="4339">
          <cell r="A4339">
            <v>330017</v>
          </cell>
          <cell r="B4339" t="str">
            <v>reloj SEÑORA GUESS PLATEADO</v>
          </cell>
          <cell r="C4339" t="str">
            <v>PRSRLJ10053</v>
          </cell>
        </row>
        <row r="4340">
          <cell r="A4340">
            <v>330017</v>
          </cell>
          <cell r="B4340" t="str">
            <v>reloj SEÑORA GUESS PLATEADO</v>
          </cell>
          <cell r="C4340" t="str">
            <v>330017</v>
          </cell>
        </row>
        <row r="4341">
          <cell r="A4341">
            <v>330018</v>
          </cell>
          <cell r="B4341" t="str">
            <v>reloj CABALLERO LOTUS</v>
          </cell>
          <cell r="C4341" t="str">
            <v>PRSRLJ21217</v>
          </cell>
        </row>
        <row r="4342">
          <cell r="A4342">
            <v>330018</v>
          </cell>
          <cell r="B4342" t="str">
            <v>reloj CABALLERO LOTUS</v>
          </cell>
          <cell r="C4342" t="str">
            <v>330018</v>
          </cell>
        </row>
        <row r="4343">
          <cell r="A4343">
            <v>330019</v>
          </cell>
          <cell r="B4343" t="str">
            <v>reloj UNISEX TIME FORCE</v>
          </cell>
          <cell r="C4343" t="str">
            <v>PRSRLJ10284</v>
          </cell>
        </row>
        <row r="4344">
          <cell r="A4344">
            <v>330019</v>
          </cell>
          <cell r="B4344" t="str">
            <v>reloj UNISEX TIME FORCE</v>
          </cell>
          <cell r="C4344" t="str">
            <v>330019</v>
          </cell>
        </row>
        <row r="4345">
          <cell r="A4345">
            <v>330020</v>
          </cell>
          <cell r="B4345" t="str">
            <v>pendiente ORO BL. 18k SUNFIELD</v>
          </cell>
          <cell r="C4345" t="str">
            <v>JYRPRS00213</v>
          </cell>
        </row>
        <row r="4346">
          <cell r="A4346">
            <v>330020</v>
          </cell>
          <cell r="B4346" t="str">
            <v>pendiente ORO BL. 18k SUNFIELD</v>
          </cell>
          <cell r="C4346" t="str">
            <v>330020</v>
          </cell>
        </row>
        <row r="4347">
          <cell r="A4347">
            <v>330021</v>
          </cell>
          <cell r="B4347" t="str">
            <v>colgante ORO BL 18k SUNFIELD</v>
          </cell>
          <cell r="C4347" t="str">
            <v>JYRPRS00231</v>
          </cell>
        </row>
        <row r="4348">
          <cell r="A4348">
            <v>330021</v>
          </cell>
          <cell r="B4348" t="str">
            <v>colgante ORO BL 18k SUNFIELD</v>
          </cell>
          <cell r="C4348" t="str">
            <v>330021</v>
          </cell>
        </row>
        <row r="4349">
          <cell r="A4349">
            <v>330022</v>
          </cell>
          <cell r="B4349" t="str">
            <v>TROLLEY SEMIR.55 CM. SAMSONITE</v>
          </cell>
          <cell r="C4349" t="str">
            <v>VJSTRL20827</v>
          </cell>
        </row>
        <row r="4350">
          <cell r="A4350">
            <v>330022</v>
          </cell>
          <cell r="B4350" t="str">
            <v>TROLLEY SEMIR.55 CM. SAMSONITE</v>
          </cell>
          <cell r="C4350" t="str">
            <v>330022</v>
          </cell>
        </row>
        <row r="4351">
          <cell r="A4351">
            <v>330023</v>
          </cell>
          <cell r="B4351" t="str">
            <v>TROLLEY SEMIR.66 CM. SAMSONITE</v>
          </cell>
          <cell r="C4351" t="str">
            <v>VJSTRL20836</v>
          </cell>
        </row>
        <row r="4352">
          <cell r="A4352">
            <v>330023</v>
          </cell>
          <cell r="B4352" t="str">
            <v>TROLLEY SEMIR.66 CM. SAMSONITE</v>
          </cell>
          <cell r="C4352" t="str">
            <v>330023</v>
          </cell>
        </row>
        <row r="4353">
          <cell r="A4353">
            <v>330024</v>
          </cell>
          <cell r="B4353" t="str">
            <v>TROLLEY SEMIR.78 CM. SAMSONITE</v>
          </cell>
          <cell r="C4353" t="str">
            <v>VJSTRL20845</v>
          </cell>
        </row>
        <row r="4354">
          <cell r="A4354">
            <v>330024</v>
          </cell>
          <cell r="B4354" t="str">
            <v>TROLLEY SEMIR.78 CM. SAMSONITE</v>
          </cell>
          <cell r="C4354" t="str">
            <v>330024</v>
          </cell>
        </row>
        <row r="4355">
          <cell r="A4355">
            <v>330025</v>
          </cell>
          <cell r="B4355" t="str">
            <v>MALETA PEQ.RIGIDA SAMSONITE</v>
          </cell>
          <cell r="C4355" t="str">
            <v>VJSTRL21127</v>
          </cell>
        </row>
        <row r="4356">
          <cell r="A4356">
            <v>330025</v>
          </cell>
          <cell r="B4356" t="str">
            <v>MALETA PEQ.RIGIDA SAMSONITE</v>
          </cell>
          <cell r="C4356" t="str">
            <v>330025</v>
          </cell>
        </row>
        <row r="4357">
          <cell r="A4357">
            <v>330026</v>
          </cell>
          <cell r="B4357" t="str">
            <v>MALETA MEDIA.RIGIDA SAMSONITE</v>
          </cell>
          <cell r="C4357" t="str">
            <v>VJSTRL21136</v>
          </cell>
        </row>
        <row r="4358">
          <cell r="A4358">
            <v>330026</v>
          </cell>
          <cell r="B4358" t="str">
            <v>MALETA MEDIA.RIGIDA SAMSONITE</v>
          </cell>
          <cell r="C4358" t="str">
            <v>330026</v>
          </cell>
        </row>
        <row r="4359">
          <cell r="A4359">
            <v>330027</v>
          </cell>
          <cell r="B4359" t="str">
            <v>MALETA GDE.RIGIDA SAMSONITE</v>
          </cell>
          <cell r="C4359" t="str">
            <v>VJSTRL21145</v>
          </cell>
        </row>
        <row r="4360">
          <cell r="A4360">
            <v>330027</v>
          </cell>
          <cell r="B4360" t="str">
            <v>MALETA GDE.RIGIDA SAMSONITE</v>
          </cell>
          <cell r="C4360" t="str">
            <v>330027</v>
          </cell>
        </row>
        <row r="4361">
          <cell r="A4361">
            <v>330028</v>
          </cell>
          <cell r="B4361" t="str">
            <v>NECESER VIAJE SAMSONITE</v>
          </cell>
          <cell r="C4361" t="str">
            <v>VJSMLT21692</v>
          </cell>
        </row>
        <row r="4362">
          <cell r="A4362">
            <v>330028</v>
          </cell>
          <cell r="B4362" t="str">
            <v>NECESER VIAJE SAMSONITE</v>
          </cell>
          <cell r="C4362" t="str">
            <v>330028</v>
          </cell>
        </row>
        <row r="4363">
          <cell r="A4363">
            <v>330029</v>
          </cell>
          <cell r="B4363" t="str">
            <v>bolsa MANO VIAJE SAMSONITE</v>
          </cell>
          <cell r="C4363" t="str">
            <v>VJSTRL21118</v>
          </cell>
        </row>
        <row r="4364">
          <cell r="A4364">
            <v>330029</v>
          </cell>
          <cell r="B4364" t="str">
            <v>bolsa MANO VIAJE SAMSONITE</v>
          </cell>
          <cell r="C4364" t="str">
            <v>330029</v>
          </cell>
        </row>
        <row r="4365">
          <cell r="A4365">
            <v>330030</v>
          </cell>
          <cell r="B4365" t="str">
            <v>bicicleta MOUNTAIN BIKE MEGAMO</v>
          </cell>
          <cell r="C4365" t="str">
            <v>DPRBCC20167</v>
          </cell>
        </row>
        <row r="4366">
          <cell r="A4366">
            <v>330030</v>
          </cell>
          <cell r="B4366" t="str">
            <v>bicicleta MOUNTAIN BIKE MEGAMO</v>
          </cell>
          <cell r="C4366" t="str">
            <v>330030</v>
          </cell>
        </row>
        <row r="4367">
          <cell r="A4367">
            <v>330031</v>
          </cell>
          <cell r="B4367" t="str">
            <v>APARATO TONIFICADOR GIMNASIO</v>
          </cell>
          <cell r="C4367" t="str">
            <v>DPRGMN20143</v>
          </cell>
        </row>
        <row r="4368">
          <cell r="A4368">
            <v>330031</v>
          </cell>
          <cell r="B4368" t="str">
            <v>APARATO TONIFICADOR GIMNASIO</v>
          </cell>
          <cell r="C4368" t="str">
            <v>330031</v>
          </cell>
        </row>
        <row r="4369">
          <cell r="A4369">
            <v>330032</v>
          </cell>
          <cell r="B4369" t="str">
            <v>envasadora AL VACIO DOMO</v>
          </cell>
          <cell r="C4369" t="str">
            <v>HGRVRS20534</v>
          </cell>
        </row>
        <row r="4370">
          <cell r="A4370">
            <v>330032</v>
          </cell>
          <cell r="B4370" t="str">
            <v>envasadora AL VACIO DOMO</v>
          </cell>
          <cell r="C4370" t="str">
            <v>330032</v>
          </cell>
        </row>
        <row r="4371">
          <cell r="A4371">
            <v>330033</v>
          </cell>
          <cell r="B4371" t="str">
            <v>BATIDORA SOLAC</v>
          </cell>
          <cell r="C4371" t="str">
            <v>HGRBTD20418</v>
          </cell>
        </row>
        <row r="4372">
          <cell r="A4372">
            <v>330033</v>
          </cell>
          <cell r="B4372" t="str">
            <v>BATIDORA SOLAC</v>
          </cell>
          <cell r="C4372" t="str">
            <v>330033</v>
          </cell>
        </row>
        <row r="4373">
          <cell r="A4373">
            <v>330034</v>
          </cell>
          <cell r="B4373" t="str">
            <v>CUBERTERIA 51 PZAS.INOX ZANETI</v>
          </cell>
          <cell r="C4373" t="str">
            <v>MNJCBR0007</v>
          </cell>
        </row>
        <row r="4374">
          <cell r="A4374">
            <v>330034</v>
          </cell>
          <cell r="B4374" t="str">
            <v>CUBERTERIA 51 PZAS.INOX ZANETI</v>
          </cell>
          <cell r="C4374" t="str">
            <v>330034</v>
          </cell>
        </row>
        <row r="4375">
          <cell r="A4375">
            <v>330035</v>
          </cell>
          <cell r="B4375" t="str">
            <v>vajilla 20 PIEZAS LUMINARC</v>
          </cell>
          <cell r="C4375" t="str">
            <v>HGRCCM21135</v>
          </cell>
        </row>
        <row r="4376">
          <cell r="A4376">
            <v>330035</v>
          </cell>
          <cell r="B4376" t="str">
            <v>vajilla 20 PIEZAS LUMINARC</v>
          </cell>
          <cell r="C4376" t="str">
            <v>330035</v>
          </cell>
        </row>
        <row r="4377">
          <cell r="A4377">
            <v>330036</v>
          </cell>
          <cell r="B4377" t="str">
            <v>CENTRAL PLANCHADO TAURUS</v>
          </cell>
          <cell r="C4377" t="str">
            <v>HGRPLN20409</v>
          </cell>
        </row>
        <row r="4378">
          <cell r="A4378">
            <v>330036</v>
          </cell>
          <cell r="B4378" t="str">
            <v>CENTRAL PLANCHADO TAURUS</v>
          </cell>
          <cell r="C4378" t="str">
            <v>330036</v>
          </cell>
        </row>
        <row r="4379">
          <cell r="A4379">
            <v>330037</v>
          </cell>
          <cell r="B4379" t="str">
            <v>ASPIRADOR SOLAC</v>
          </cell>
          <cell r="C4379" t="str">
            <v>HGRSPR20233</v>
          </cell>
        </row>
        <row r="4380">
          <cell r="A4380">
            <v>330037</v>
          </cell>
          <cell r="B4380" t="str">
            <v>ASPIRADOR SOLAC</v>
          </cell>
          <cell r="C4380" t="str">
            <v>330037</v>
          </cell>
        </row>
        <row r="4381">
          <cell r="A4381">
            <v>330038</v>
          </cell>
          <cell r="B4381" t="str">
            <v>LIMPIADOR ALTA PRESION KÄRCHER</v>
          </cell>
          <cell r="C4381" t="str">
            <v>HGRSPR20677</v>
          </cell>
        </row>
        <row r="4382">
          <cell r="A4382">
            <v>330038</v>
          </cell>
          <cell r="B4382" t="str">
            <v>LIMPIADOR ALTA PRESION KÄRCHER</v>
          </cell>
          <cell r="C4382" t="str">
            <v>330038</v>
          </cell>
        </row>
        <row r="4383">
          <cell r="A4383">
            <v>330039</v>
          </cell>
          <cell r="B4383" t="str">
            <v>ENFRIADOR-DISP.CERVEZA PRINCES</v>
          </cell>
          <cell r="C4383" t="str">
            <v>HGRVRS20279</v>
          </cell>
        </row>
        <row r="4384">
          <cell r="A4384">
            <v>330039</v>
          </cell>
          <cell r="B4384" t="str">
            <v>ENFRIADOR-DISP.CERVEZA PRINCES</v>
          </cell>
          <cell r="C4384" t="str">
            <v>330039</v>
          </cell>
        </row>
        <row r="4385">
          <cell r="A4385">
            <v>330040</v>
          </cell>
          <cell r="B4385" t="str">
            <v>BODEGA TERMOELECT. PEQUEÑA</v>
          </cell>
          <cell r="C4385" t="str">
            <v>HGRLBL20609</v>
          </cell>
        </row>
        <row r="4386">
          <cell r="A4386">
            <v>330040</v>
          </cell>
          <cell r="B4386" t="str">
            <v>BODEGA TERMOELECT. PEQUEÑA</v>
          </cell>
          <cell r="C4386" t="str">
            <v>330040</v>
          </cell>
        </row>
        <row r="4387">
          <cell r="A4387">
            <v>330041</v>
          </cell>
          <cell r="B4387" t="str">
            <v>BODEGA TERMOELEC. GRANDE</v>
          </cell>
          <cell r="C4387" t="str">
            <v>HGRLBL20618</v>
          </cell>
        </row>
        <row r="4388">
          <cell r="A4388">
            <v>330041</v>
          </cell>
          <cell r="B4388" t="str">
            <v>BODEGA TERMOELEC. GRANDE</v>
          </cell>
          <cell r="C4388" t="str">
            <v>330041</v>
          </cell>
        </row>
        <row r="4389">
          <cell r="A4389">
            <v>330042</v>
          </cell>
          <cell r="B4389" t="str">
            <v>CAFETERA NESPRESSO KRUPS</v>
          </cell>
          <cell r="C4389" t="str">
            <v>HGRCFT20626</v>
          </cell>
        </row>
        <row r="4390">
          <cell r="A4390">
            <v>330042</v>
          </cell>
          <cell r="B4390" t="str">
            <v>CAFETERA NESPRESSO KRUPS</v>
          </cell>
          <cell r="C4390" t="str">
            <v>330042</v>
          </cell>
        </row>
        <row r="4391">
          <cell r="A4391">
            <v>330043</v>
          </cell>
          <cell r="B4391" t="str">
            <v>CAFET. TWIN NESPRESSO DELONGHI</v>
          </cell>
          <cell r="C4391" t="str">
            <v>HGRCFT20459</v>
          </cell>
        </row>
        <row r="4392">
          <cell r="A4392">
            <v>330043</v>
          </cell>
          <cell r="B4392" t="str">
            <v>CAFET. TWIN NESPRESSO DELONGHI</v>
          </cell>
          <cell r="C4392" t="str">
            <v>330043</v>
          </cell>
        </row>
        <row r="4393">
          <cell r="A4393">
            <v>330044</v>
          </cell>
          <cell r="B4393" t="str">
            <v>PLANCHA ASAR ECOLOG. JATA</v>
          </cell>
          <cell r="C4393" t="str">
            <v>HGRBRB20294</v>
          </cell>
        </row>
        <row r="4394">
          <cell r="A4394">
            <v>330044</v>
          </cell>
          <cell r="B4394" t="str">
            <v>PLANCHA ASAR ECOLOG. JATA</v>
          </cell>
          <cell r="C4394" t="str">
            <v>330044</v>
          </cell>
        </row>
        <row r="4395">
          <cell r="A4395">
            <v>330045</v>
          </cell>
          <cell r="B4395" t="str">
            <v>PLANCHA ASAR VITROCER. JATA</v>
          </cell>
          <cell r="C4395" t="str">
            <v>PLCPLN00696</v>
          </cell>
        </row>
        <row r="4396">
          <cell r="A4396">
            <v>330045</v>
          </cell>
          <cell r="B4396" t="str">
            <v>PLANCHA ASAR VITROCER. JATA</v>
          </cell>
          <cell r="C4396" t="str">
            <v>330045</v>
          </cell>
        </row>
        <row r="4397">
          <cell r="A4397">
            <v>330046</v>
          </cell>
          <cell r="B4397" t="str">
            <v>FONDUE ELECTRICA PRINCESS</v>
          </cell>
          <cell r="C4397" t="str">
            <v>HGRCCM20710</v>
          </cell>
        </row>
        <row r="4398">
          <cell r="A4398">
            <v>330046</v>
          </cell>
          <cell r="B4398" t="str">
            <v>FONDUE ELECTRICA PRINCESS</v>
          </cell>
          <cell r="C4398" t="str">
            <v>330046</v>
          </cell>
        </row>
        <row r="4399">
          <cell r="A4399">
            <v>330047</v>
          </cell>
          <cell r="B4399" t="str">
            <v>MICROONDAS-GRILL SANYO</v>
          </cell>
          <cell r="C4399" t="str">
            <v>HGRHRN20250</v>
          </cell>
        </row>
        <row r="4400">
          <cell r="A4400">
            <v>330047</v>
          </cell>
          <cell r="B4400" t="str">
            <v>MICROONDAS-GRILL SANYO</v>
          </cell>
          <cell r="C4400" t="str">
            <v>330047</v>
          </cell>
        </row>
        <row r="4401">
          <cell r="A4401">
            <v>330048</v>
          </cell>
          <cell r="B4401" t="str">
            <v>ROBOT DE COCINA TAURUS</v>
          </cell>
          <cell r="C4401" t="str">
            <v>HGRBTD10165</v>
          </cell>
        </row>
        <row r="4402">
          <cell r="A4402">
            <v>330048</v>
          </cell>
          <cell r="B4402" t="str">
            <v>ROBOT DE COCINA TAURUS</v>
          </cell>
          <cell r="C4402" t="str">
            <v>330048</v>
          </cell>
        </row>
        <row r="4403">
          <cell r="A4403">
            <v>330049</v>
          </cell>
          <cell r="B4403" t="str">
            <v>MARCO FOTOS DIG. 7'' ELBE</v>
          </cell>
          <cell r="C4403" t="str">
            <v>HGRCDC20504</v>
          </cell>
        </row>
        <row r="4404">
          <cell r="A4404">
            <v>330049</v>
          </cell>
          <cell r="B4404" t="str">
            <v>MARCO FOTOS DIG. 7'' ELBE</v>
          </cell>
          <cell r="C4404" t="str">
            <v>330049</v>
          </cell>
        </row>
        <row r="4405">
          <cell r="A4405">
            <v>330050</v>
          </cell>
          <cell r="B4405" t="str">
            <v>TELEFONO INALAMB.DIG.PANASONIC</v>
          </cell>
          <cell r="C4405" t="str">
            <v>TLFNLM20984</v>
          </cell>
        </row>
        <row r="4406">
          <cell r="A4406">
            <v>330050</v>
          </cell>
          <cell r="B4406" t="str">
            <v>TELEFONO INALAMB.DIG.PANASONIC</v>
          </cell>
          <cell r="C4406" t="str">
            <v>330050</v>
          </cell>
        </row>
        <row r="4407">
          <cell r="A4407">
            <v>330051</v>
          </cell>
          <cell r="B4407" t="str">
            <v>GPS TOMTOM ONE</v>
          </cell>
          <cell r="C4407" t="str">
            <v>TMVGPS20610</v>
          </cell>
        </row>
        <row r="4408">
          <cell r="A4408">
            <v>330051</v>
          </cell>
          <cell r="B4408" t="str">
            <v>GPS TOMTOM ONE</v>
          </cell>
          <cell r="C4408" t="str">
            <v>330051</v>
          </cell>
        </row>
        <row r="4409">
          <cell r="A4409">
            <v>330052</v>
          </cell>
          <cell r="B4409" t="str">
            <v>DETECTOR RADARES CDP</v>
          </cell>
          <cell r="C4409" t="str">
            <v>TMVGPS20647</v>
          </cell>
        </row>
        <row r="4410">
          <cell r="A4410">
            <v>330052</v>
          </cell>
          <cell r="B4410" t="str">
            <v>DETECTOR RADARES CDP</v>
          </cell>
          <cell r="C4410" t="str">
            <v>330052</v>
          </cell>
        </row>
        <row r="4411">
          <cell r="A4411">
            <v>330053</v>
          </cell>
          <cell r="B4411" t="str">
            <v>DISCO DURO EXTERNO IOMEGA</v>
          </cell>
          <cell r="C4411" t="str">
            <v>NFRCCS21372</v>
          </cell>
        </row>
        <row r="4412">
          <cell r="A4412">
            <v>330053</v>
          </cell>
          <cell r="B4412" t="str">
            <v>DISCO DURO EXTERNO IOMEGA</v>
          </cell>
          <cell r="C4412" t="str">
            <v>330053</v>
          </cell>
        </row>
        <row r="4413">
          <cell r="A4413">
            <v>330054</v>
          </cell>
          <cell r="B4413" t="str">
            <v>CAMARA FOTOS DIG. OLYMPUS</v>
          </cell>
          <cell r="C4413" t="str">
            <v>MGNCMR22233</v>
          </cell>
        </row>
        <row r="4414">
          <cell r="A4414">
            <v>330054</v>
          </cell>
          <cell r="B4414" t="str">
            <v>CAMARA FOTOS DIG. OLYMPUS</v>
          </cell>
          <cell r="C4414" t="str">
            <v>330054</v>
          </cell>
        </row>
        <row r="4415">
          <cell r="A4415">
            <v>330055</v>
          </cell>
          <cell r="B4415" t="str">
            <v>CAMARA FOT. DIG.SEMI REFLEX</v>
          </cell>
          <cell r="C4415" t="str">
            <v>MGNCMR22251</v>
          </cell>
        </row>
        <row r="4416">
          <cell r="A4416">
            <v>330055</v>
          </cell>
          <cell r="B4416" t="str">
            <v>CAMARA FOT. DIG.SEMI REFLEX</v>
          </cell>
          <cell r="C4416" t="str">
            <v>330055</v>
          </cell>
        </row>
        <row r="4417">
          <cell r="A4417">
            <v>330056</v>
          </cell>
          <cell r="B4417" t="str">
            <v>VIDEOCAMARA SD PANASONIC</v>
          </cell>
          <cell r="C4417" t="str">
            <v>KIT00023186</v>
          </cell>
        </row>
        <row r="4418">
          <cell r="A4418">
            <v>330056</v>
          </cell>
          <cell r="B4418" t="str">
            <v>VIDEOCAMARA SD PANASONIC</v>
          </cell>
          <cell r="C4418" t="str">
            <v>330056</v>
          </cell>
        </row>
        <row r="4419">
          <cell r="A4419">
            <v>330057</v>
          </cell>
          <cell r="B4419" t="str">
            <v>VIDEOCAMARA SD FULL HD PANAS.</v>
          </cell>
          <cell r="C4419" t="str">
            <v>KIT00022974</v>
          </cell>
        </row>
        <row r="4420">
          <cell r="A4420">
            <v>330057</v>
          </cell>
          <cell r="B4420" t="str">
            <v>VIDEOCAMARA SD FULL HD PANAS.</v>
          </cell>
          <cell r="C4420" t="str">
            <v>330057</v>
          </cell>
        </row>
        <row r="4421">
          <cell r="A4421">
            <v>330058</v>
          </cell>
          <cell r="B4421" t="str">
            <v>IPOD SHUFFLE MP3 4GB APPLE</v>
          </cell>
          <cell r="C4421" t="str">
            <v>MGNRMP20603</v>
          </cell>
        </row>
        <row r="4422">
          <cell r="A4422">
            <v>330058</v>
          </cell>
          <cell r="B4422" t="str">
            <v>IPOD SHUFFLE MP3 4GB APPLE</v>
          </cell>
          <cell r="C4422" t="str">
            <v>330058</v>
          </cell>
        </row>
        <row r="4423">
          <cell r="A4423">
            <v>330059</v>
          </cell>
          <cell r="B4423" t="str">
            <v>IPOD TOUCH 32GB MP4 APPLE</v>
          </cell>
          <cell r="C4423" t="str">
            <v>MGNRMP20667</v>
          </cell>
        </row>
        <row r="4424">
          <cell r="A4424">
            <v>330059</v>
          </cell>
          <cell r="B4424" t="str">
            <v>IPOD TOUCH 32GB MP4 APPLE</v>
          </cell>
          <cell r="C4424" t="str">
            <v>330059</v>
          </cell>
        </row>
        <row r="4425">
          <cell r="A4425">
            <v>330060</v>
          </cell>
          <cell r="B4425" t="str">
            <v>ORDENADOR NETBOOK SONY</v>
          </cell>
          <cell r="C4425" t="str">
            <v>NFRRDN22217</v>
          </cell>
        </row>
        <row r="4426">
          <cell r="A4426">
            <v>330060</v>
          </cell>
          <cell r="B4426" t="str">
            <v>ORDENADOR NETBOOK SONY</v>
          </cell>
          <cell r="C4426" t="str">
            <v>330060</v>
          </cell>
        </row>
        <row r="4427">
          <cell r="A4427">
            <v>330061</v>
          </cell>
          <cell r="B4427" t="str">
            <v>ORD. PORTATIL SONY VAIO 15.5"</v>
          </cell>
          <cell r="C4427" t="str">
            <v>NFRRDN22040</v>
          </cell>
        </row>
        <row r="4428">
          <cell r="A4428">
            <v>330061</v>
          </cell>
          <cell r="B4428" t="str">
            <v>ORD. PORTATIL SONY VAIO 15.5"</v>
          </cell>
          <cell r="C4428" t="str">
            <v>330061</v>
          </cell>
        </row>
        <row r="4429">
          <cell r="A4429">
            <v>330062</v>
          </cell>
          <cell r="B4429" t="str">
            <v>CONSOLA DSI NINTENDO</v>
          </cell>
          <cell r="C4429" t="str">
            <v>NFNJGT21578</v>
          </cell>
        </row>
        <row r="4430">
          <cell r="A4430">
            <v>330062</v>
          </cell>
          <cell r="B4430" t="str">
            <v>CONSOLA DSI NINTENDO</v>
          </cell>
          <cell r="C4430" t="str">
            <v>330062</v>
          </cell>
        </row>
        <row r="4431">
          <cell r="A4431">
            <v>330063</v>
          </cell>
          <cell r="B4431" t="str">
            <v>PSP GO 16 GB DE SONY</v>
          </cell>
          <cell r="C4431" t="str">
            <v>NFNJGT21897</v>
          </cell>
        </row>
        <row r="4432">
          <cell r="A4432">
            <v>330063</v>
          </cell>
          <cell r="B4432" t="str">
            <v>PSP GO 16 GB DE SONY</v>
          </cell>
          <cell r="C4432" t="str">
            <v>330063</v>
          </cell>
        </row>
        <row r="4433">
          <cell r="A4433">
            <v>330064</v>
          </cell>
          <cell r="B4433" t="str">
            <v>CONSOLA WII NINTENDO</v>
          </cell>
          <cell r="C4433" t="str">
            <v>NFNJGT10970</v>
          </cell>
        </row>
        <row r="4434">
          <cell r="A4434">
            <v>330064</v>
          </cell>
          <cell r="B4434" t="str">
            <v>CONSOLA WII NINTENDO</v>
          </cell>
          <cell r="C4434" t="str">
            <v>330064</v>
          </cell>
        </row>
        <row r="4435">
          <cell r="A4435">
            <v>330065</v>
          </cell>
          <cell r="B4435" t="str">
            <v>TABLA EJERCICIO WII FIT NINTEN</v>
          </cell>
          <cell r="C4435" t="str">
            <v>NFNJGT22124</v>
          </cell>
        </row>
        <row r="4436">
          <cell r="A4436">
            <v>330065</v>
          </cell>
          <cell r="B4436" t="str">
            <v>TABLA EJERCICIO WII FIT NINTEN</v>
          </cell>
          <cell r="C4436" t="str">
            <v>330065</v>
          </cell>
        </row>
        <row r="4437">
          <cell r="A4437">
            <v>330066</v>
          </cell>
          <cell r="B4437" t="str">
            <v>REPRODUCTOR DVD DIVX SANSUNG</v>
          </cell>
          <cell r="C4437" t="str">
            <v>MGNDVD21416</v>
          </cell>
        </row>
        <row r="4438">
          <cell r="A4438">
            <v>330066</v>
          </cell>
          <cell r="B4438" t="str">
            <v>REPRODUCTOR DVD DIVX SANSUNG</v>
          </cell>
          <cell r="C4438" t="str">
            <v>330066</v>
          </cell>
        </row>
        <row r="4439">
          <cell r="A4439">
            <v>330067</v>
          </cell>
          <cell r="B4439" t="str">
            <v>REPRODUCTOR DVD BLU-RAY PANASO</v>
          </cell>
          <cell r="C4439" t="str">
            <v>MGNDVD21373</v>
          </cell>
        </row>
        <row r="4440">
          <cell r="A4440">
            <v>330067</v>
          </cell>
          <cell r="B4440" t="str">
            <v>REPRODUCTOR DVD BLU-RAY PANASO</v>
          </cell>
          <cell r="C4440" t="str">
            <v>330067</v>
          </cell>
        </row>
        <row r="4441">
          <cell r="A4441">
            <v>330068</v>
          </cell>
          <cell r="B4441" t="str">
            <v>microcadena panasonic</v>
          </cell>
          <cell r="C4441" t="str">
            <v>MGNCDN20546</v>
          </cell>
        </row>
        <row r="4442">
          <cell r="A4442">
            <v>330068</v>
          </cell>
          <cell r="B4442" t="str">
            <v>microcadena panasonic</v>
          </cell>
          <cell r="C4442" t="str">
            <v>330068</v>
          </cell>
        </row>
        <row r="4443">
          <cell r="A4443">
            <v>330069</v>
          </cell>
          <cell r="B4443" t="str">
            <v>home cinem  5.1 samsung</v>
          </cell>
          <cell r="C4443" t="str">
            <v>MGNDVD21072</v>
          </cell>
        </row>
        <row r="4444">
          <cell r="A4444">
            <v>330069</v>
          </cell>
          <cell r="B4444" t="str">
            <v>home cinem  5.1 samsung</v>
          </cell>
          <cell r="C4444" t="str">
            <v>330069</v>
          </cell>
        </row>
        <row r="4445">
          <cell r="A4445">
            <v>330070</v>
          </cell>
          <cell r="B4445" t="str">
            <v>TV LCD 32'' SAMSUNG</v>
          </cell>
          <cell r="C4445" t="str">
            <v>MGNTLV22369</v>
          </cell>
        </row>
        <row r="4446">
          <cell r="A4446">
            <v>330070</v>
          </cell>
          <cell r="B4446" t="str">
            <v>TV LCD 32'' SAMSUNG</v>
          </cell>
          <cell r="C4446" t="str">
            <v>330070</v>
          </cell>
        </row>
        <row r="4447">
          <cell r="A4447">
            <v>330071</v>
          </cell>
          <cell r="B4447" t="str">
            <v>TV LCD 37'' HD SAMSUNG</v>
          </cell>
          <cell r="C4447" t="str">
            <v>LE37C550</v>
          </cell>
        </row>
        <row r="4448">
          <cell r="A4448">
            <v>330071</v>
          </cell>
          <cell r="B4448" t="str">
            <v>TV LCD 37'' HD SAMSUNG</v>
          </cell>
          <cell r="C4448" t="str">
            <v>330071</v>
          </cell>
        </row>
        <row r="4449">
          <cell r="A4449">
            <v>330072</v>
          </cell>
          <cell r="B4449" t="str">
            <v>TV PANORAMIC 40'' FULL HD SONY</v>
          </cell>
          <cell r="C4449" t="str">
            <v>MGNTLV22624</v>
          </cell>
        </row>
        <row r="4450">
          <cell r="A4450">
            <v>330072</v>
          </cell>
          <cell r="B4450" t="str">
            <v>TV PANORAMIC 40'' FULL HD SONY</v>
          </cell>
          <cell r="C4450" t="str">
            <v>330072</v>
          </cell>
        </row>
        <row r="4451">
          <cell r="A4451">
            <v>330073</v>
          </cell>
          <cell r="B4451" t="str">
            <v>REVISTA SABER VIVIR</v>
          </cell>
          <cell r="C4451" t="str">
            <v>TLBRVS20205</v>
          </cell>
        </row>
        <row r="4452">
          <cell r="A4452">
            <v>330073</v>
          </cell>
          <cell r="B4452" t="str">
            <v>REVISTA SABER VIVIR</v>
          </cell>
          <cell r="C4452" t="str">
            <v>330073</v>
          </cell>
        </row>
        <row r="4453">
          <cell r="A4453">
            <v>330074</v>
          </cell>
          <cell r="B4453" t="str">
            <v>MANTA PROMO PACK ANTICAIDA</v>
          </cell>
          <cell r="C4453" t="str">
            <v>HGRTXT21332</v>
          </cell>
        </row>
        <row r="4454">
          <cell r="A4454">
            <v>330074</v>
          </cell>
          <cell r="B4454" t="str">
            <v>MANTA PROMO PACK ANTICAIDA</v>
          </cell>
          <cell r="C4454" t="str">
            <v>330074</v>
          </cell>
        </row>
        <row r="4455">
          <cell r="A4455">
            <v>330075</v>
          </cell>
          <cell r="B4455" t="str">
            <v>COLGANTE SRA. LOTUS STYLE</v>
          </cell>
          <cell r="C4455" t="str">
            <v>PRSJYR20316</v>
          </cell>
        </row>
        <row r="4456">
          <cell r="A4456">
            <v>330075</v>
          </cell>
          <cell r="B4456" t="str">
            <v>COLGANTE SRA. LOTUS STYLE</v>
          </cell>
          <cell r="C4456" t="str">
            <v>330075</v>
          </cell>
        </row>
        <row r="4457">
          <cell r="A4457">
            <v>330076</v>
          </cell>
          <cell r="B4457" t="str">
            <v>PLANCHA DE ASAR  LAUSON</v>
          </cell>
          <cell r="C4457" t="str">
            <v>HGRBRB20267</v>
          </cell>
        </row>
        <row r="4458">
          <cell r="A4458">
            <v>330076</v>
          </cell>
          <cell r="B4458" t="str">
            <v>PLANCHA DE ASAR  LAUSON</v>
          </cell>
          <cell r="C4458" t="str">
            <v>330076</v>
          </cell>
        </row>
        <row r="4459">
          <cell r="A4459">
            <v>330077</v>
          </cell>
          <cell r="B4459" t="str">
            <v>TOALLA JUEGO 3  PROM.PACK ANT.</v>
          </cell>
          <cell r="C4459" t="str">
            <v>HGRTXT21174</v>
          </cell>
        </row>
        <row r="4460">
          <cell r="A4460">
            <v>330077</v>
          </cell>
          <cell r="B4460" t="str">
            <v>TOALLA JUEGO 3  PROM.PACK ANT.</v>
          </cell>
          <cell r="C4460" t="str">
            <v>330077</v>
          </cell>
        </row>
        <row r="4461">
          <cell r="A4461">
            <v>330078</v>
          </cell>
          <cell r="B4461" t="str">
            <v>JUEGO SARTENES MONIX "PACK ANT</v>
          </cell>
          <cell r="C4461" t="str">
            <v>HGRSRT20280</v>
          </cell>
        </row>
        <row r="4462">
          <cell r="A4462">
            <v>330078</v>
          </cell>
          <cell r="B4462" t="str">
            <v>JUEGO SARTENES MONIX "PACK ANT</v>
          </cell>
          <cell r="C4462" t="str">
            <v>330078</v>
          </cell>
        </row>
        <row r="4463">
          <cell r="A4463">
            <v>330079</v>
          </cell>
          <cell r="B4463" t="str">
            <v>PULSERA LOTUS "STYLE"</v>
          </cell>
          <cell r="C4463" t="str">
            <v>PRSJYR20325</v>
          </cell>
        </row>
        <row r="4464">
          <cell r="A4464">
            <v>330079</v>
          </cell>
          <cell r="B4464" t="str">
            <v>PULSERA LOTUS "STYLE"</v>
          </cell>
          <cell r="C4464" t="str">
            <v>330079</v>
          </cell>
        </row>
        <row r="4465">
          <cell r="A4465">
            <v>330080</v>
          </cell>
          <cell r="B4465" t="str">
            <v>CAFETERA DOLCE GUSTO KRUPS</v>
          </cell>
          <cell r="C4465" t="str">
            <v>HGRCFT20592</v>
          </cell>
        </row>
        <row r="4466">
          <cell r="A4466">
            <v>330080</v>
          </cell>
          <cell r="B4466" t="str">
            <v>CAFETERA DOLCE GUSTO KRUPS</v>
          </cell>
          <cell r="C4466" t="str">
            <v>330080</v>
          </cell>
        </row>
        <row r="4467">
          <cell r="A4467">
            <v>330081</v>
          </cell>
          <cell r="B4467" t="str">
            <v>CONSOLA DSI HW XL NINTENDO</v>
          </cell>
          <cell r="C4467" t="str">
            <v>NFNJGT22346</v>
          </cell>
        </row>
        <row r="4468">
          <cell r="A4468">
            <v>330081</v>
          </cell>
          <cell r="B4468" t="str">
            <v>CONSOLA DSI HW XL NINTENDO</v>
          </cell>
          <cell r="C4468" t="str">
            <v>330081</v>
          </cell>
        </row>
        <row r="4469">
          <cell r="A4469">
            <v>330082</v>
          </cell>
          <cell r="B4469" t="str">
            <v>IROBOT ASPIRADOR "ROOMBA"</v>
          </cell>
          <cell r="C4469" t="str">
            <v>HGRSPR20525</v>
          </cell>
        </row>
        <row r="4470">
          <cell r="A4470">
            <v>330082</v>
          </cell>
          <cell r="B4470" t="str">
            <v>IROBOT ASPIRADOR "ROOMBA"</v>
          </cell>
          <cell r="C4470" t="str">
            <v>330082</v>
          </cell>
        </row>
        <row r="4471">
          <cell r="A4471">
            <v>330083</v>
          </cell>
          <cell r="B4471" t="str">
            <v>CAMARA DIG.FOTOS "SAMSUNG"</v>
          </cell>
          <cell r="C4471" t="str">
            <v>MGNCMR22552</v>
          </cell>
        </row>
        <row r="4472">
          <cell r="A4472">
            <v>330083</v>
          </cell>
          <cell r="B4472" t="str">
            <v>CAMARA DIG.FOTOS "SAMSUNG"</v>
          </cell>
          <cell r="C4472" t="str">
            <v>330083</v>
          </cell>
        </row>
        <row r="4473">
          <cell r="A4473">
            <v>330084</v>
          </cell>
          <cell r="B4473" t="str">
            <v>RELOJ SEÑORA GUESS</v>
          </cell>
          <cell r="C4473" t="str">
            <v>80332L1</v>
          </cell>
        </row>
        <row r="4474">
          <cell r="A4474">
            <v>330084</v>
          </cell>
          <cell r="B4474" t="str">
            <v>RELOJ SEÑORA GUESS</v>
          </cell>
          <cell r="C4474" t="str">
            <v>330084</v>
          </cell>
        </row>
        <row r="4475">
          <cell r="A4475">
            <v>330085</v>
          </cell>
          <cell r="B4475" t="str">
            <v>CAFETERA DOLCE GUSTO</v>
          </cell>
          <cell r="C4475" t="str">
            <v>HGRCFT20592</v>
          </cell>
        </row>
        <row r="4476">
          <cell r="A4476">
            <v>330085</v>
          </cell>
          <cell r="B4476" t="str">
            <v>CAFETERA DOLCE GUSTO</v>
          </cell>
          <cell r="C4476" t="str">
            <v>330085</v>
          </cell>
        </row>
        <row r="4477">
          <cell r="A4477">
            <v>330086</v>
          </cell>
          <cell r="B4477" t="str">
            <v>CAFET. NESPRESSO ESSENZA</v>
          </cell>
          <cell r="C4477" t="str">
            <v>HGRCFT20653</v>
          </cell>
        </row>
        <row r="4478">
          <cell r="A4478">
            <v>330086</v>
          </cell>
          <cell r="B4478" t="str">
            <v>CAFET. NESPRESSO ESSENZA</v>
          </cell>
          <cell r="C4478" t="str">
            <v>330086</v>
          </cell>
        </row>
        <row r="4479">
          <cell r="A4479">
            <v>330087</v>
          </cell>
          <cell r="B4479" t="str">
            <v>MICROCADENA DISEÑO PANASONIC</v>
          </cell>
          <cell r="C4479" t="str">
            <v>330087</v>
          </cell>
        </row>
        <row r="4480">
          <cell r="A4480">
            <v>330088</v>
          </cell>
          <cell r="B4480" t="str">
            <v>CONSOLA WII HW BLANCA NINTENDO</v>
          </cell>
          <cell r="C4480" t="str">
            <v>NFNJGT22850</v>
          </cell>
        </row>
        <row r="4481">
          <cell r="A4481">
            <v>330088</v>
          </cell>
          <cell r="B4481" t="str">
            <v>CONSOLA WII HW BLANCA NINTENDO</v>
          </cell>
          <cell r="C4481" t="str">
            <v>330088</v>
          </cell>
        </row>
        <row r="4482">
          <cell r="A4482">
            <v>330089</v>
          </cell>
          <cell r="B4482" t="str">
            <v>TV LCD 22" TDT HD SAMSUNG</v>
          </cell>
          <cell r="C4482" t="str">
            <v>MGNTLV22749</v>
          </cell>
        </row>
        <row r="4483">
          <cell r="A4483">
            <v>330089</v>
          </cell>
          <cell r="B4483" t="str">
            <v>TV LCD 22" TDT HD SAMSUNG</v>
          </cell>
          <cell r="C4483" t="str">
            <v>330089</v>
          </cell>
        </row>
        <row r="4484">
          <cell r="A4484">
            <v>330090</v>
          </cell>
          <cell r="B4484" t="str">
            <v>TV LCD 32" TDT HD SAMSUNG</v>
          </cell>
          <cell r="C4484" t="str">
            <v>MGNTLV22767</v>
          </cell>
        </row>
        <row r="4485">
          <cell r="A4485">
            <v>330090</v>
          </cell>
          <cell r="B4485" t="str">
            <v>TV LCD 32" TDT HD SAMSUNG</v>
          </cell>
          <cell r="C4485" t="str">
            <v>330090</v>
          </cell>
        </row>
        <row r="4486">
          <cell r="A4486">
            <v>330091</v>
          </cell>
          <cell r="B4486" t="str">
            <v>REVISTA VIAJES</v>
          </cell>
          <cell r="C4486" t="str">
            <v>RVSSSC00033</v>
          </cell>
        </row>
        <row r="4487">
          <cell r="A4487">
            <v>330092</v>
          </cell>
          <cell r="B4487" t="str">
            <v>REVISTA CLARA</v>
          </cell>
          <cell r="C4487" t="str">
            <v>TLBRVS20214</v>
          </cell>
        </row>
        <row r="4488">
          <cell r="A4488">
            <v>330093</v>
          </cell>
          <cell r="B4488" t="str">
            <v>REVISTA INSTYLE</v>
          </cell>
          <cell r="C4488" t="str">
            <v>TLBRVS20199</v>
          </cell>
        </row>
        <row r="4489">
          <cell r="A4489">
            <v>330094</v>
          </cell>
          <cell r="B4489" t="str">
            <v>REVISTA EL MUEBLE</v>
          </cell>
          <cell r="C4489" t="str">
            <v>RVSSSC00024</v>
          </cell>
        </row>
        <row r="4490">
          <cell r="A4490">
            <v>330095</v>
          </cell>
          <cell r="B4490" t="str">
            <v>TV LED 40" SAMSUNG</v>
          </cell>
          <cell r="C4490" t="str">
            <v>UE40C5100</v>
          </cell>
        </row>
        <row r="4491">
          <cell r="A4491">
            <v>330096</v>
          </cell>
          <cell r="B4491" t="str">
            <v>ASPIRADOR "DELONGHI"</v>
          </cell>
          <cell r="C4491" t="str">
            <v>HGRSPR20446</v>
          </cell>
        </row>
        <row r="4492">
          <cell r="A4492">
            <v>330097</v>
          </cell>
          <cell r="B4492" t="str">
            <v>TV SAMSUNG LED ULTRA SLIM 19"</v>
          </cell>
          <cell r="C4492" t="str">
            <v>MGNTLV23225</v>
          </cell>
        </row>
        <row r="4493">
          <cell r="A4493">
            <v>330098</v>
          </cell>
          <cell r="B4493" t="str">
            <v>PULSERA 1 MAJORICA</v>
          </cell>
          <cell r="C4493" t="str">
            <v>PRSJYR20352</v>
          </cell>
        </row>
        <row r="4494">
          <cell r="A4494">
            <v>330099</v>
          </cell>
          <cell r="B4494" t="str">
            <v>PULSERA 2 MAJORICA</v>
          </cell>
          <cell r="C4494" t="str">
            <v>PRSJYR20343</v>
          </cell>
        </row>
        <row r="4495">
          <cell r="A4495">
            <v>330100</v>
          </cell>
          <cell r="B4495" t="str">
            <v>AGUA PERFUME THE ONE D&amp;G 75 ML</v>
          </cell>
          <cell r="C4495" t="str">
            <v>PRSPRF20012</v>
          </cell>
        </row>
        <row r="4496">
          <cell r="A4496">
            <v>330101</v>
          </cell>
          <cell r="B4496" t="str">
            <v>AGUA COL. BOSS BOTTLED 100 ML.</v>
          </cell>
          <cell r="C4496" t="str">
            <v>PRSPRF20067</v>
          </cell>
        </row>
        <row r="4497">
          <cell r="A4497">
            <v>330102</v>
          </cell>
          <cell r="B4497" t="str">
            <v>RELOJ SRA. GUESS ACERO ZIRCON.</v>
          </cell>
          <cell r="C4497" t="str">
            <v>PRSRLJ21518</v>
          </cell>
        </row>
        <row r="4498">
          <cell r="A4498">
            <v>330103</v>
          </cell>
          <cell r="B4498" t="str">
            <v>RELOJ CABALLERO ACERO LOTUS</v>
          </cell>
          <cell r="C4498" t="str">
            <v>PRSRLJ21448</v>
          </cell>
        </row>
        <row r="4499">
          <cell r="A4499">
            <v>330104</v>
          </cell>
          <cell r="B4499" t="str">
            <v>CINE PACK 12 ENTRADAS MOVI BUT</v>
          </cell>
          <cell r="C4499" t="str">
            <v>KIT00022105</v>
          </cell>
        </row>
        <row r="4500">
          <cell r="A4500">
            <v>330105</v>
          </cell>
          <cell r="B4500" t="str">
            <v>SMARTBOX ESTANCIA RUSTICA</v>
          </cell>
          <cell r="C4500" t="str">
            <v>PRSTLB00201</v>
          </cell>
        </row>
        <row r="4501">
          <cell r="A4501">
            <v>330106</v>
          </cell>
          <cell r="B4501" t="str">
            <v>SMARTBOX GASTRONOMIA</v>
          </cell>
          <cell r="C4501" t="str">
            <v>VJSVJS20372</v>
          </cell>
        </row>
        <row r="4502">
          <cell r="A4502">
            <v>330107</v>
          </cell>
          <cell r="B4502" t="str">
            <v>SMARTBOX ESTANCIA PINTORESCA</v>
          </cell>
          <cell r="C4502" t="str">
            <v>PRSTLB00113</v>
          </cell>
        </row>
        <row r="4503">
          <cell r="A4503">
            <v>330108</v>
          </cell>
          <cell r="B4503" t="str">
            <v>BICICLETA MOUNT. BIKE INFANTIL</v>
          </cell>
          <cell r="C4503" t="str">
            <v>DPRBCC20486</v>
          </cell>
        </row>
        <row r="4504">
          <cell r="A4504">
            <v>330109</v>
          </cell>
          <cell r="B4504" t="str">
            <v>BICICLETA MOUNT BIKE MEGAMO</v>
          </cell>
          <cell r="C4504" t="str">
            <v>DPRBCC20529</v>
          </cell>
        </row>
        <row r="4505">
          <cell r="A4505">
            <v>330110</v>
          </cell>
          <cell r="B4505" t="str">
            <v>VAJILLA 20 PIEZAS SONAL BY SOG</v>
          </cell>
          <cell r="C4505" t="str">
            <v>MNJVJL00302</v>
          </cell>
        </row>
        <row r="4506">
          <cell r="A4506">
            <v>330111</v>
          </cell>
          <cell r="B4506" t="str">
            <v>CUBERTERIA 24 PIEZAS MAGEFESA</v>
          </cell>
          <cell r="C4506" t="str">
            <v>HGRCCM21490</v>
          </cell>
        </row>
        <row r="4507">
          <cell r="A4507">
            <v>330112</v>
          </cell>
          <cell r="B4507" t="str">
            <v>BATIDORA TAURUS</v>
          </cell>
          <cell r="C4507" t="str">
            <v>HGRBTD20773</v>
          </cell>
        </row>
        <row r="4508">
          <cell r="A4508">
            <v>330113</v>
          </cell>
          <cell r="B4508" t="str">
            <v>CENTRO PLANCHADO SOLAC</v>
          </cell>
          <cell r="C4508" t="str">
            <v>HGRPLN20560</v>
          </cell>
        </row>
        <row r="4509">
          <cell r="A4509">
            <v>330114</v>
          </cell>
          <cell r="B4509" t="str">
            <v>PIEDRA RACLETTE PRINCESS</v>
          </cell>
          <cell r="C4509" t="str">
            <v>HGRBRB20355</v>
          </cell>
        </row>
        <row r="4510">
          <cell r="A4510">
            <v>330115</v>
          </cell>
          <cell r="B4510" t="str">
            <v>PLANCHA ASAR TEFAL</v>
          </cell>
          <cell r="C4510" t="str">
            <v>HGRPLN20515</v>
          </cell>
        </row>
        <row r="4511">
          <cell r="A4511">
            <v>330116</v>
          </cell>
          <cell r="B4511" t="str">
            <v>BATERIA COCINA 5 PZAS. BRA</v>
          </cell>
          <cell r="C4511" t="str">
            <v>HGRBTR20469</v>
          </cell>
        </row>
        <row r="4512">
          <cell r="A4512">
            <v>330117</v>
          </cell>
          <cell r="B4512" t="str">
            <v>MICROONDAS DELONGHI</v>
          </cell>
          <cell r="C4512" t="str">
            <v>HGRHRN20269</v>
          </cell>
        </row>
        <row r="4513">
          <cell r="A4513">
            <v>330118</v>
          </cell>
          <cell r="B4513" t="str">
            <v>FREIDORA ACTIFRY TEFAL</v>
          </cell>
          <cell r="C4513" t="str">
            <v>HGRFRD20191</v>
          </cell>
        </row>
        <row r="4514">
          <cell r="A4514">
            <v>330119</v>
          </cell>
          <cell r="B4514" t="str">
            <v>LAVADORA SECADORA BOSCH</v>
          </cell>
          <cell r="C4514" t="str">
            <v>HGRLBL10277</v>
          </cell>
        </row>
        <row r="4515">
          <cell r="A4515">
            <v>330120</v>
          </cell>
          <cell r="B4515" t="str">
            <v>FRIGORIFICO BOSCH</v>
          </cell>
          <cell r="C4515" t="str">
            <v>HGRLBL20690</v>
          </cell>
        </row>
        <row r="4516">
          <cell r="A4516">
            <v>330121</v>
          </cell>
          <cell r="B4516" t="str">
            <v>DVD BLU-RAY SAMSUNG</v>
          </cell>
          <cell r="C4516" t="str">
            <v>MGNDVD21559</v>
          </cell>
        </row>
        <row r="4517">
          <cell r="A4517">
            <v>330122</v>
          </cell>
          <cell r="B4517" t="str">
            <v>TV LED ULTRA SLIM 27" SAMSUNG</v>
          </cell>
          <cell r="C4517" t="str">
            <v>MGNTLV23021</v>
          </cell>
        </row>
        <row r="4518">
          <cell r="A4518">
            <v>330123</v>
          </cell>
          <cell r="B4518" t="str">
            <v>TV LED 32" SLIM SAMSUNG</v>
          </cell>
          <cell r="C4518" t="str">
            <v>MGNTLV23304</v>
          </cell>
        </row>
        <row r="4519">
          <cell r="A4519">
            <v>330124</v>
          </cell>
          <cell r="B4519" t="str">
            <v>IROBOT ASPIRADOR 531 ROOMBA</v>
          </cell>
          <cell r="C4519" t="str">
            <v>HGRSPR20598</v>
          </cell>
        </row>
        <row r="4520">
          <cell r="A4520">
            <v>330125</v>
          </cell>
          <cell r="B4520" t="str">
            <v>IROBOT ASPIRADOR 581 ROOMBA</v>
          </cell>
          <cell r="C4520" t="str">
            <v>HGRSPR20552</v>
          </cell>
        </row>
        <row r="4521">
          <cell r="A4521">
            <v>330126</v>
          </cell>
          <cell r="B4521" t="str">
            <v>LAVAVAJILLAS BOSCH</v>
          </cell>
          <cell r="C4521" t="str">
            <v>HGRLBL20706</v>
          </cell>
        </row>
        <row r="4522">
          <cell r="A4522">
            <v>330127</v>
          </cell>
          <cell r="B4522" t="str">
            <v>LAVADORA BOSCH</v>
          </cell>
          <cell r="C4522" t="str">
            <v>HGRLBL20681</v>
          </cell>
        </row>
        <row r="4523">
          <cell r="A4523">
            <v>330128</v>
          </cell>
          <cell r="B4523" t="str">
            <v>SECADORA BOSCH</v>
          </cell>
          <cell r="C4523" t="str">
            <v>HGRLBL20645</v>
          </cell>
        </row>
        <row r="4524">
          <cell r="A4524">
            <v>330129</v>
          </cell>
          <cell r="B4524" t="str">
            <v>TV LED 40" SLIM SAMSUNG</v>
          </cell>
          <cell r="C4524" t="str">
            <v>MGNTLV23243</v>
          </cell>
        </row>
        <row r="4525">
          <cell r="A4525">
            <v>330130</v>
          </cell>
          <cell r="B4525" t="str">
            <v>CONSOLA PS3 160 GB</v>
          </cell>
          <cell r="C4525" t="str">
            <v>TLBJGS20402</v>
          </cell>
        </row>
        <row r="4526">
          <cell r="A4526">
            <v>330131</v>
          </cell>
          <cell r="B4526" t="str">
            <v>XIAOMI MI BAND 2</v>
          </cell>
          <cell r="C4526" t="str">
            <v>MGNCMR22297</v>
          </cell>
        </row>
        <row r="4527">
          <cell r="A4527">
            <v>330132</v>
          </cell>
          <cell r="B4527" t="str">
            <v>CAMARA FOTOS DIG VG110 OLYMPUS</v>
          </cell>
          <cell r="C4527" t="str">
            <v>MGNCMR22914</v>
          </cell>
        </row>
        <row r="4528">
          <cell r="A4528">
            <v>330133</v>
          </cell>
          <cell r="B4528" t="str">
            <v>CAMARA FOTOS DIG SP-610UZ OLYM</v>
          </cell>
          <cell r="C4528" t="str">
            <v>MGNCMR22932</v>
          </cell>
        </row>
        <row r="4529">
          <cell r="A4529">
            <v>330134</v>
          </cell>
          <cell r="B4529" t="str">
            <v>IMPRESORA MULTIFUNC. HP</v>
          </cell>
          <cell r="C4529" t="str">
            <v>NFRMPR21037</v>
          </cell>
        </row>
        <row r="4530">
          <cell r="A4530">
            <v>330135</v>
          </cell>
          <cell r="B4530" t="str">
            <v>VIDEOCAMARA FULL HD SD PANASON</v>
          </cell>
          <cell r="C4530" t="str">
            <v>MNGCVD20621</v>
          </cell>
        </row>
        <row r="4531">
          <cell r="A4531">
            <v>330136</v>
          </cell>
          <cell r="B4531" t="str">
            <v>VIDEOCAMARA TARJ SD SAMSUNG F5</v>
          </cell>
          <cell r="C4531" t="str">
            <v>MGNCVD20649</v>
          </cell>
        </row>
        <row r="4532">
          <cell r="A4532">
            <v>330137</v>
          </cell>
          <cell r="B4532" t="str">
            <v>ORDENADOR PORTATIL 13,3" APPLE</v>
          </cell>
          <cell r="C4532" t="str">
            <v>NFRRDN23313</v>
          </cell>
        </row>
        <row r="4533">
          <cell r="A4533">
            <v>330138</v>
          </cell>
          <cell r="B4533" t="str">
            <v>ORDENADOR PORTATIL VAIO SONY</v>
          </cell>
          <cell r="C4533" t="str">
            <v>VPC-EH2K1E</v>
          </cell>
        </row>
        <row r="4534">
          <cell r="A4534">
            <v>330139</v>
          </cell>
          <cell r="B4534" t="str">
            <v>ORDENADOR PORTATIL PACKARD BEL</v>
          </cell>
          <cell r="C4534" t="str">
            <v>NFRRDN23304</v>
          </cell>
        </row>
        <row r="4535">
          <cell r="A4535">
            <v>330140</v>
          </cell>
          <cell r="B4535" t="str">
            <v>IPOD SHUFFLE 2GB  APPLE</v>
          </cell>
          <cell r="C4535" t="str">
            <v>MGNRMP20816</v>
          </cell>
        </row>
        <row r="4536">
          <cell r="A4536">
            <v>330141</v>
          </cell>
          <cell r="B4536" t="str">
            <v>IPOD NANO 8GB APPLE</v>
          </cell>
          <cell r="C4536" t="str">
            <v>MGNRMP20834</v>
          </cell>
        </row>
        <row r="4537">
          <cell r="A4537">
            <v>330142</v>
          </cell>
          <cell r="B4537" t="str">
            <v>IPOD CLASSIC 160GB APPLE</v>
          </cell>
          <cell r="C4537" t="str">
            <v>MGNRMP20685</v>
          </cell>
        </row>
        <row r="4538">
          <cell r="A4538">
            <v>330143</v>
          </cell>
          <cell r="B4538" t="str">
            <v>IPAD 2017 9.7 WIFI 128 GB ORO</v>
          </cell>
          <cell r="C4538" t="str">
            <v>NFRVRS20111</v>
          </cell>
        </row>
        <row r="4539">
          <cell r="A4539">
            <v>330144</v>
          </cell>
          <cell r="B4539" t="str">
            <v>HOME CINEMA 5.1 330W SAMSUNG</v>
          </cell>
          <cell r="C4539" t="str">
            <v>MGNHMC00392</v>
          </cell>
        </row>
        <row r="4540">
          <cell r="A4540">
            <v>330145</v>
          </cell>
          <cell r="B4540" t="str">
            <v>DISCO DURO EXT.IOMEGA2157329</v>
          </cell>
          <cell r="C4540" t="str">
            <v>NFRCCS21804</v>
          </cell>
        </row>
        <row r="4541">
          <cell r="A4541">
            <v>330146</v>
          </cell>
          <cell r="B4541" t="str">
            <v>REPROD. DVD PORTATIL AVANTIA</v>
          </cell>
          <cell r="C4541" t="str">
            <v>MGNDVD21647</v>
          </cell>
        </row>
        <row r="4542">
          <cell r="A4542">
            <v>330147</v>
          </cell>
          <cell r="B4542" t="str">
            <v>GPS START2 IBERIA TOM TOM</v>
          </cell>
          <cell r="C4542" t="str">
            <v>TMVGPS20692</v>
          </cell>
        </row>
        <row r="4543">
          <cell r="A4543">
            <v>330148</v>
          </cell>
          <cell r="B4543" t="str">
            <v>PLAY STATION PS3 160 GB J</v>
          </cell>
          <cell r="C4543" t="str">
            <v>TLBJGS20402</v>
          </cell>
        </row>
        <row r="4544">
          <cell r="A4544">
            <v>330161</v>
          </cell>
          <cell r="B4544" t="str">
            <v>MICROCADENA PANASONIC SC-HC18</v>
          </cell>
          <cell r="C4544" t="str">
            <v>MGNCDN21217</v>
          </cell>
        </row>
        <row r="4545">
          <cell r="A4545">
            <v>330162</v>
          </cell>
          <cell r="B4545" t="str">
            <v>CONSOLA NINTENDO 3DS XL</v>
          </cell>
          <cell r="C4545" t="str">
            <v>NFNJGT23433</v>
          </cell>
        </row>
        <row r="4546">
          <cell r="A4546">
            <v>330163</v>
          </cell>
          <cell r="B4546" t="str">
            <v>TELEV. LED 32" TX-L32B6E PANAS</v>
          </cell>
          <cell r="C4546" t="str">
            <v>MGNTLV24695</v>
          </cell>
        </row>
        <row r="4547">
          <cell r="A4547">
            <v>330164</v>
          </cell>
          <cell r="B4547" t="str">
            <v>IPAD MINI 16GB APPLE</v>
          </cell>
          <cell r="C4547" t="str">
            <v>NFRVRS21031</v>
          </cell>
        </row>
        <row r="4548">
          <cell r="A4548">
            <v>330164</v>
          </cell>
          <cell r="B4548" t="str">
            <v>IPAD MINI 16GB APPLE</v>
          </cell>
          <cell r="C4548" t="str">
            <v>0000000330164</v>
          </cell>
        </row>
        <row r="4549">
          <cell r="A4549">
            <v>330165</v>
          </cell>
          <cell r="B4549" t="str">
            <v>ORD.PORT.SONY VAIO 15,5" 4GB R</v>
          </cell>
          <cell r="C4549" t="str">
            <v>NFRRDN24057</v>
          </cell>
        </row>
        <row r="4550">
          <cell r="A4550">
            <v>330166</v>
          </cell>
          <cell r="B4550" t="str">
            <v>IROBOT ASPIRAD. ROOMBA 775/780</v>
          </cell>
          <cell r="C4550" t="str">
            <v>HGRSPR20826</v>
          </cell>
        </row>
        <row r="4551">
          <cell r="A4551">
            <v>330167</v>
          </cell>
          <cell r="B4551" t="str">
            <v>CAFETERA KRUPS PERLA NESPRESSO</v>
          </cell>
          <cell r="C4551" t="str">
            <v>HGRCFT20875</v>
          </cell>
        </row>
        <row r="4552">
          <cell r="A4552">
            <v>330168</v>
          </cell>
          <cell r="B4552" t="str">
            <v>GOPRO HERO 5 BLACK</v>
          </cell>
          <cell r="C4552" t="str">
            <v>MGNTLV24914</v>
          </cell>
        </row>
        <row r="4553">
          <cell r="A4553">
            <v>340001</v>
          </cell>
          <cell r="B4553" t="str">
            <v>TM VISUAL PAPEL 70 x 100 cm</v>
          </cell>
          <cell r="C4553" t="str">
            <v>340001</v>
          </cell>
        </row>
        <row r="4554">
          <cell r="A4554">
            <v>340002</v>
          </cell>
          <cell r="B4554" t="str">
            <v>TM VISUAL PAPEL 100 x 140 cm.</v>
          </cell>
          <cell r="C4554" t="str">
            <v>340002</v>
          </cell>
        </row>
        <row r="4555">
          <cell r="A4555">
            <v>340003</v>
          </cell>
          <cell r="B4555" t="str">
            <v>TM VISUAL TEXTIL 70 x 100 cm.</v>
          </cell>
          <cell r="C4555" t="str">
            <v>340003</v>
          </cell>
        </row>
        <row r="4556">
          <cell r="A4556">
            <v>340004</v>
          </cell>
          <cell r="B4556" t="str">
            <v>TM VISUAL TEXTIL 100 x 140 cm.</v>
          </cell>
          <cell r="C4556" t="str">
            <v>340004</v>
          </cell>
        </row>
        <row r="4557">
          <cell r="A4557">
            <v>340005</v>
          </cell>
          <cell r="B4557" t="str">
            <v>TM CAMISETA CHICA BLANCA "MC"</v>
          </cell>
          <cell r="C4557" t="str">
            <v>340005</v>
          </cell>
        </row>
        <row r="4558">
          <cell r="A4558">
            <v>340006</v>
          </cell>
          <cell r="B4558" t="str">
            <v>TM CAMISETA CHICO BLANCA "MC"</v>
          </cell>
          <cell r="C4558" t="str">
            <v>340006</v>
          </cell>
        </row>
        <row r="4559">
          <cell r="A4559">
            <v>340007</v>
          </cell>
          <cell r="B4559" t="str">
            <v>TM CAMISETA CHICA NEGRA "MC"</v>
          </cell>
          <cell r="C4559" t="str">
            <v>340007</v>
          </cell>
        </row>
        <row r="4560">
          <cell r="A4560">
            <v>340008</v>
          </cell>
          <cell r="B4560" t="str">
            <v>TM CAMISETA CHICO NEGRA "MC"</v>
          </cell>
          <cell r="C4560" t="str">
            <v>340008</v>
          </cell>
        </row>
        <row r="4561">
          <cell r="A4561">
            <v>340009</v>
          </cell>
          <cell r="B4561" t="str">
            <v>TM POSTER PROMOC. SERVICIO 1</v>
          </cell>
          <cell r="C4561" t="str">
            <v>340009</v>
          </cell>
        </row>
        <row r="4562">
          <cell r="A4562">
            <v>340010</v>
          </cell>
          <cell r="B4562" t="str">
            <v>TM POSTER PROMOC. SERVICIO 2</v>
          </cell>
          <cell r="C4562" t="str">
            <v>340010</v>
          </cell>
        </row>
        <row r="4563">
          <cell r="A4563">
            <v>340011</v>
          </cell>
          <cell r="B4563" t="str">
            <v>TM POSTER PROMOC. SERVICIO 3</v>
          </cell>
          <cell r="C4563" t="str">
            <v>340011</v>
          </cell>
        </row>
        <row r="4564">
          <cell r="A4564">
            <v>340015</v>
          </cell>
          <cell r="B4564" t="str">
            <v>TM VISUAL FOAM 70 x 100 cm.</v>
          </cell>
          <cell r="C4564" t="str">
            <v>340015</v>
          </cell>
        </row>
        <row r="4565">
          <cell r="A4565">
            <v>340016</v>
          </cell>
          <cell r="B4565" t="str">
            <v>TM VISUAL FOAM 100 x 140 cm.</v>
          </cell>
          <cell r="C4565" t="str">
            <v>340016</v>
          </cell>
        </row>
        <row r="4566">
          <cell r="A4566">
            <v>340017</v>
          </cell>
          <cell r="B4566" t="str">
            <v>TM VISUAL FOAM  PERSONALIZADO</v>
          </cell>
          <cell r="C4566" t="str">
            <v>340017</v>
          </cell>
        </row>
        <row r="4567">
          <cell r="A4567">
            <v>340018</v>
          </cell>
          <cell r="B4567" t="str">
            <v>TM MARCO ALUMINIO 70 x 100 cm.</v>
          </cell>
          <cell r="C4567" t="str">
            <v>340018</v>
          </cell>
        </row>
        <row r="4568">
          <cell r="A4568">
            <v>340019</v>
          </cell>
          <cell r="B4568" t="str">
            <v>TM MARCO ALUMINIO 100 x 140 cm</v>
          </cell>
          <cell r="C4568" t="str">
            <v>340019</v>
          </cell>
        </row>
        <row r="4569">
          <cell r="A4569">
            <v>340020</v>
          </cell>
          <cell r="B4569" t="str">
            <v>TM ESCAPARATE DOB.CARA 70x100</v>
          </cell>
          <cell r="C4569" t="str">
            <v>340020</v>
          </cell>
        </row>
        <row r="4570">
          <cell r="A4570">
            <v>340021</v>
          </cell>
          <cell r="B4570" t="str">
            <v>TM ESCAPARAT DOB.CARA 100x140</v>
          </cell>
          <cell r="C4570" t="str">
            <v>340021</v>
          </cell>
        </row>
        <row r="4571">
          <cell r="A4571">
            <v>340022</v>
          </cell>
          <cell r="B4571" t="str">
            <v>TM MARCO DE LUZ 70 x 100 cm.</v>
          </cell>
          <cell r="C4571" t="str">
            <v>340022</v>
          </cell>
        </row>
        <row r="4572">
          <cell r="A4572">
            <v>340023</v>
          </cell>
          <cell r="B4572" t="str">
            <v>TM MARCO DE LUZ 100 x 140 cm.</v>
          </cell>
          <cell r="C4572" t="str">
            <v>340023</v>
          </cell>
        </row>
        <row r="4573">
          <cell r="A4573">
            <v>340024</v>
          </cell>
          <cell r="B4573" t="str">
            <v>TM MARCO LUZ DOB.CARA 70x100</v>
          </cell>
          <cell r="C4573" t="str">
            <v>340024</v>
          </cell>
        </row>
        <row r="4574">
          <cell r="A4574">
            <v>340025</v>
          </cell>
          <cell r="B4574" t="str">
            <v>TM MARCO LUZ DOB.CARA 100x140</v>
          </cell>
          <cell r="C4574" t="str">
            <v>340025</v>
          </cell>
        </row>
        <row r="4575">
          <cell r="A4575">
            <v>340026</v>
          </cell>
          <cell r="B4575" t="str">
            <v>TM TOTEM LUMINOSO 80 x 170 cm</v>
          </cell>
          <cell r="C4575" t="str">
            <v>340026</v>
          </cell>
        </row>
        <row r="4576">
          <cell r="A4576">
            <v>340027</v>
          </cell>
          <cell r="B4576" t="str">
            <v>TM POSTER PAPEL PERSONALIZADO</v>
          </cell>
          <cell r="C4576" t="str">
            <v>340027</v>
          </cell>
        </row>
        <row r="4577">
          <cell r="A4577">
            <v>340028</v>
          </cell>
          <cell r="B4577" t="str">
            <v>TM VISUAL MEDIDA ESPECIAL</v>
          </cell>
          <cell r="C4577" t="str">
            <v>340028</v>
          </cell>
        </row>
        <row r="4578">
          <cell r="A4578">
            <v>340029</v>
          </cell>
          <cell r="B4578" t="str">
            <v>TM PANTALON PETO NEGRO</v>
          </cell>
          <cell r="C4578" t="str">
            <v>340029</v>
          </cell>
        </row>
        <row r="4579">
          <cell r="A4579">
            <v>340030</v>
          </cell>
          <cell r="B4579" t="str">
            <v>TM CAMISETA MANGA LARGA CHICA</v>
          </cell>
          <cell r="C4579" t="str">
            <v>340030</v>
          </cell>
        </row>
        <row r="4580">
          <cell r="A4580">
            <v>340031</v>
          </cell>
          <cell r="B4580" t="str">
            <v>TM VINILO FURGONETA LOGO KIN</v>
          </cell>
          <cell r="C4580" t="str">
            <v>340031</v>
          </cell>
        </row>
        <row r="4581">
          <cell r="A4581">
            <v>340032</v>
          </cell>
          <cell r="B4581" t="str">
            <v>TM VINIL FACIL APLICAC.150*60</v>
          </cell>
          <cell r="C4581" t="str">
            <v>340032</v>
          </cell>
        </row>
        <row r="4582">
          <cell r="A4582">
            <v>340033</v>
          </cell>
          <cell r="B4582" t="str">
            <v>TM ESCAPARATE DOBLE CAR 150*60</v>
          </cell>
          <cell r="C4582" t="str">
            <v>340033</v>
          </cell>
        </row>
        <row r="4583">
          <cell r="A4583">
            <v>340034</v>
          </cell>
          <cell r="B4583" t="str">
            <v>TM VINILO PARED</v>
          </cell>
          <cell r="C4583" t="str">
            <v>340034</v>
          </cell>
        </row>
        <row r="4584">
          <cell r="A4584">
            <v>340035</v>
          </cell>
          <cell r="B4584" t="str">
            <v>TM TARJETA BEAUTY CARD</v>
          </cell>
          <cell r="C4584" t="str">
            <v>340035</v>
          </cell>
        </row>
        <row r="4585">
          <cell r="A4585">
            <v>340036</v>
          </cell>
          <cell r="B4585" t="str">
            <v>TARJETA WELLCOME CARD BCN KIN EXPERIENCE</v>
          </cell>
          <cell r="C4585" t="str">
            <v>340036</v>
          </cell>
        </row>
        <row r="4586">
          <cell r="A4586">
            <v>340037</v>
          </cell>
          <cell r="B4586" t="str">
            <v>TM VINIL SILUETA CHICO</v>
          </cell>
          <cell r="C4586" t="str">
            <v>340037</v>
          </cell>
        </row>
        <row r="4587">
          <cell r="A4587">
            <v>340038</v>
          </cell>
          <cell r="B4587" t="str">
            <v>TM VINIL SILUETA CHICA</v>
          </cell>
          <cell r="C4587" t="str">
            <v>340038</v>
          </cell>
        </row>
        <row r="4588">
          <cell r="A4588">
            <v>340039</v>
          </cell>
          <cell r="B4588" t="str">
            <v>TM VINIL FACIL APLICAC.170*100</v>
          </cell>
          <cell r="C4588" t="str">
            <v>340039</v>
          </cell>
        </row>
        <row r="4589">
          <cell r="A4589">
            <v>340040</v>
          </cell>
          <cell r="B4589" t="str">
            <v>TM VISUAL A4 PEANA</v>
          </cell>
          <cell r="C4589" t="str">
            <v>340040</v>
          </cell>
        </row>
        <row r="4590">
          <cell r="A4590">
            <v>340041</v>
          </cell>
          <cell r="B4590" t="str">
            <v>TM VISUAL DISPLAY PEANA</v>
          </cell>
          <cell r="C4590" t="str">
            <v>340041</v>
          </cell>
        </row>
        <row r="4591">
          <cell r="A4591">
            <v>340042</v>
          </cell>
          <cell r="B4591" t="str">
            <v>TM RETOL EXT. PVC 10 mm299*84</v>
          </cell>
          <cell r="C4591" t="str">
            <v>340042</v>
          </cell>
        </row>
        <row r="4592">
          <cell r="A4592">
            <v>340043</v>
          </cell>
          <cell r="B4592" t="str">
            <v>TM CORTINA CADENETA IM.105*274</v>
          </cell>
          <cell r="C4592" t="str">
            <v>340043</v>
          </cell>
        </row>
        <row r="4593">
          <cell r="A4593">
            <v>340044</v>
          </cell>
          <cell r="B4593" t="str">
            <v>TM CORTINA CADENETA IM.227*277</v>
          </cell>
          <cell r="C4593" t="str">
            <v>340044</v>
          </cell>
        </row>
        <row r="4594">
          <cell r="A4594">
            <v>340045</v>
          </cell>
          <cell r="B4594" t="str">
            <v>TM LONA TEXTIL PERSONALIZADA</v>
          </cell>
          <cell r="C4594" t="str">
            <v>340045</v>
          </cell>
        </row>
        <row r="4595">
          <cell r="A4595">
            <v>340046</v>
          </cell>
          <cell r="B4595" t="str">
            <v>TM VISUAL MISSIO KIN</v>
          </cell>
          <cell r="C4595" t="str">
            <v>340046</v>
          </cell>
        </row>
        <row r="4596">
          <cell r="A4596">
            <v>340047</v>
          </cell>
          <cell r="B4596" t="str">
            <v>TM VINIL FACIL APLIC. 70*100</v>
          </cell>
          <cell r="C4596" t="str">
            <v>340047</v>
          </cell>
        </row>
        <row r="4597">
          <cell r="A4597">
            <v>340048</v>
          </cell>
          <cell r="B4597" t="str">
            <v>TM VINIL TRANSP. LOGO  21 cms.</v>
          </cell>
          <cell r="C4597" t="str">
            <v>340048</v>
          </cell>
        </row>
        <row r="4598">
          <cell r="A4598">
            <v>340049</v>
          </cell>
          <cell r="B4598" t="str">
            <v>TM VINIL TRANSP. LOGO 10 cms.</v>
          </cell>
          <cell r="C4598" t="str">
            <v>340049</v>
          </cell>
        </row>
        <row r="4599">
          <cell r="A4599">
            <v>340050</v>
          </cell>
          <cell r="B4599" t="str">
            <v>TM TOTEM LUMINOSO DOS CARAS</v>
          </cell>
          <cell r="C4599" t="str">
            <v>340050</v>
          </cell>
        </row>
        <row r="4600">
          <cell r="A4600">
            <v>390004</v>
          </cell>
          <cell r="B4600" t="str">
            <v>PACK 2 PALETINAS BALAYAGE</v>
          </cell>
          <cell r="C4600" t="str">
            <v>794180910135</v>
          </cell>
        </row>
        <row r="4601">
          <cell r="A4601">
            <v>390005</v>
          </cell>
          <cell r="B4601" t="str">
            <v>PACK 2 BOLES PARA COLORACIÓN</v>
          </cell>
          <cell r="C4601" t="str">
            <v>794180910081</v>
          </cell>
        </row>
        <row r="4602">
          <cell r="A4602">
            <v>390006</v>
          </cell>
          <cell r="B4602" t="str">
            <v>DISPENSADOR ALUMINIO FRAMAR</v>
          </cell>
          <cell r="C4602" t="str">
            <v>791480960068</v>
          </cell>
        </row>
        <row r="4603">
          <cell r="A4603">
            <v>390007</v>
          </cell>
          <cell r="B4603" t="str">
            <v>PACK 3 PALETINAS COLORACIÓN TRICOLOR</v>
          </cell>
          <cell r="C4603" t="str">
            <v>680343910121</v>
          </cell>
        </row>
        <row r="4604">
          <cell r="A4604">
            <v>390007</v>
          </cell>
          <cell r="B4604" t="str">
            <v>PACK 3 PALETINAS COLORACIÓN TRICOLOR</v>
          </cell>
          <cell r="C4604" t="str">
            <v>794180910128</v>
          </cell>
        </row>
        <row r="4605">
          <cell r="A4605">
            <v>390008</v>
          </cell>
          <cell r="B4605" t="str">
            <v>PACK 3 PALETINAS COLORACIÓN NEGRO</v>
          </cell>
          <cell r="C4605" t="str">
            <v>794180910098</v>
          </cell>
        </row>
        <row r="4606">
          <cell r="A4606">
            <v>390009</v>
          </cell>
          <cell r="B4606" t="str">
            <v>PALETINA COLORACIÓN INDIVIDUAL</v>
          </cell>
          <cell r="C4606" t="str">
            <v>680343910107</v>
          </cell>
        </row>
        <row r="4607">
          <cell r="A4607">
            <v>390009</v>
          </cell>
          <cell r="B4607" t="str">
            <v>PALETINA COLORACIÓN INDIVIDUAL</v>
          </cell>
          <cell r="C4607" t="str">
            <v>794180910104</v>
          </cell>
        </row>
        <row r="4608">
          <cell r="A4608">
            <v>390010</v>
          </cell>
          <cell r="B4608" t="str">
            <v>LÁMINAS TRANSP. MANIAC MESH</v>
          </cell>
          <cell r="C4608" t="str">
            <v>794180910258</v>
          </cell>
        </row>
        <row r="4609">
          <cell r="A4609">
            <v>390011</v>
          </cell>
          <cell r="B4609" t="str">
            <v>PACK TABLA Y PALETA MECHAS/BALAYAGE</v>
          </cell>
          <cell r="C4609" t="str">
            <v>390011</v>
          </cell>
        </row>
        <row r="4610">
          <cell r="A4610">
            <v>390011</v>
          </cell>
          <cell r="B4610" t="str">
            <v>PACK TABLA Y PALETA MECHAS/BALAYAGE</v>
          </cell>
          <cell r="C4610" t="str">
            <v>680343910145</v>
          </cell>
        </row>
        <row r="4611">
          <cell r="A4611">
            <v>390012</v>
          </cell>
          <cell r="B4611" t="str">
            <v>PACK 2 PALETINAS POWER PAINTER</v>
          </cell>
          <cell r="C4611" t="str">
            <v>794180910296</v>
          </cell>
        </row>
        <row r="4612">
          <cell r="A4612">
            <v>390013</v>
          </cell>
          <cell r="B4612" t="str">
            <v>HOJAS ALUMINIO RELIEVE FRAMAR</v>
          </cell>
          <cell r="C4612" t="str">
            <v>680343130024</v>
          </cell>
        </row>
        <row r="4613">
          <cell r="A4613">
            <v>390013</v>
          </cell>
          <cell r="B4613" t="str">
            <v>HOJAS ALUMINIO RELIEVE FRAMAR</v>
          </cell>
          <cell r="C4613" t="str">
            <v>794180130021</v>
          </cell>
        </row>
        <row r="4614">
          <cell r="A4614">
            <v>390014</v>
          </cell>
          <cell r="B4614" t="str">
            <v>PACK 4 PINZAS SILICONA NEGRO</v>
          </cell>
          <cell r="C4614" t="str">
            <v>794180910005</v>
          </cell>
        </row>
        <row r="4615">
          <cell r="A4615">
            <v>390015</v>
          </cell>
          <cell r="B4615" t="str">
            <v>PACK 4 PINZAS SILICONA ROSA</v>
          </cell>
          <cell r="C4615" t="str">
            <v>794180910012</v>
          </cell>
        </row>
        <row r="4616">
          <cell r="A4616">
            <v>390016</v>
          </cell>
          <cell r="B4616" t="str">
            <v>ROLLO ALUMINIO RELIEVE FRAMAR</v>
          </cell>
          <cell r="C4616" t="str">
            <v>794180120176</v>
          </cell>
        </row>
        <row r="4617">
          <cell r="A4617">
            <v>390017</v>
          </cell>
          <cell r="B4617" t="str">
            <v>PACK 4 PINZAS GOMA DIENTES NEGRO</v>
          </cell>
          <cell r="C4617" t="str">
            <v>794180910029</v>
          </cell>
        </row>
        <row r="4618">
          <cell r="A4618">
            <v>390018</v>
          </cell>
          <cell r="B4618" t="str">
            <v>PACK 4 PINZAS GOMA DIENTES ROSA</v>
          </cell>
          <cell r="C4618" t="str">
            <v>794180910036</v>
          </cell>
        </row>
        <row r="4619">
          <cell r="A4619">
            <v>390019</v>
          </cell>
          <cell r="B4619" t="str">
            <v>CAPAS PROTECTORAS TRANSPARENTES</v>
          </cell>
          <cell r="C4619" t="str">
            <v>794180910265</v>
          </cell>
        </row>
        <row r="4620">
          <cell r="A4620">
            <v>390022</v>
          </cell>
          <cell r="B4620" t="str">
            <v>MUESTRA HOJAS PAPEL ALUMINIO RELIEVE</v>
          </cell>
          <cell r="C4620" t="str">
            <v>794180130410</v>
          </cell>
        </row>
        <row r="4621">
          <cell r="A4621">
            <v>390023</v>
          </cell>
          <cell r="B4621" t="str">
            <v>MUESTRA TOALLITAS KOLOR KILLER</v>
          </cell>
          <cell r="C4621" t="str">
            <v>680343990161</v>
          </cell>
        </row>
        <row r="4622">
          <cell r="A4622">
            <v>390026</v>
          </cell>
          <cell r="B4622" t="str">
            <v>TOALLITAS FRAMAR KOLOR KILLER</v>
          </cell>
          <cell r="C4622" t="str">
            <v>794180910166</v>
          </cell>
        </row>
        <row r="4623">
          <cell r="A4623">
            <v>390027</v>
          </cell>
          <cell r="B4623" t="str">
            <v>GUANTES NITRILO NEGROS (TALLA P)</v>
          </cell>
          <cell r="C4623" t="str">
            <v>794180900136</v>
          </cell>
        </row>
        <row r="4624">
          <cell r="A4624">
            <v>390028</v>
          </cell>
          <cell r="B4624" t="str">
            <v>GUANTES NITRILO NEGROS (TALLA M)</v>
          </cell>
          <cell r="C4624" t="str">
            <v>794180900143</v>
          </cell>
        </row>
        <row r="4625">
          <cell r="A4625">
            <v>390029</v>
          </cell>
          <cell r="B4625" t="str">
            <v>GUANTES NITRILO NEGROS (TALLA G)</v>
          </cell>
          <cell r="C4625" t="str">
            <v>794180900150</v>
          </cell>
        </row>
        <row r="4626">
          <cell r="A4626">
            <v>390035</v>
          </cell>
          <cell r="B4626" t="str">
            <v>PAPEL FILM TRANSP. BIODEG. FRAMAR</v>
          </cell>
          <cell r="C4626" t="str">
            <v>680343910176</v>
          </cell>
        </row>
        <row r="4627">
          <cell r="A4627">
            <v>390035</v>
          </cell>
          <cell r="B4627" t="str">
            <v>PAPEL FILM TRANSP. BIODEG. FRAMAR</v>
          </cell>
          <cell r="C4627" t="str">
            <v>794180910173</v>
          </cell>
        </row>
        <row r="4628">
          <cell r="A4628">
            <v>390036</v>
          </cell>
          <cell r="B4628" t="str">
            <v>MEZCLADOR MIGHTY MIXER FRAMAR</v>
          </cell>
          <cell r="C4628" t="str">
            <v>794180910180</v>
          </cell>
        </row>
        <row r="4629">
          <cell r="A4629">
            <v>390037</v>
          </cell>
          <cell r="B4629" t="str">
            <v>HOJAS ALUMINIO RELIEVE STAR STRUCK</v>
          </cell>
          <cell r="C4629" t="str">
            <v>794180140099</v>
          </cell>
        </row>
        <row r="4630">
          <cell r="A4630">
            <v>390038</v>
          </cell>
          <cell r="B4630" t="str">
            <v>MUESTRA GUANTES NITRILO</v>
          </cell>
          <cell r="C4630" t="str">
            <v>680343900191</v>
          </cell>
        </row>
        <row r="4631">
          <cell r="A4631">
            <v>390038</v>
          </cell>
          <cell r="B4631" t="str">
            <v>MUESTRA GUANTES NITRILO</v>
          </cell>
          <cell r="C4631" t="str">
            <v>794180900198</v>
          </cell>
        </row>
        <row r="4632">
          <cell r="A4632">
            <v>390039</v>
          </cell>
          <cell r="B4632" t="str">
            <v>PALETINA INDIVIDUAL EMPEROR</v>
          </cell>
          <cell r="C4632" t="str">
            <v>680343910190</v>
          </cell>
        </row>
        <row r="4633">
          <cell r="A4633">
            <v>390040</v>
          </cell>
          <cell r="B4633" t="str">
            <v>PROTECTOR DE GAFAS NEGRO FRAMAR</v>
          </cell>
          <cell r="C4633" t="str">
            <v>680343910053</v>
          </cell>
        </row>
        <row r="4634">
          <cell r="A4634">
            <v>390041</v>
          </cell>
          <cell r="B4634" t="str">
            <v>PALETINA INDIVIDUAL PUA METÁLICA</v>
          </cell>
          <cell r="C4634" t="str">
            <v>680343910114</v>
          </cell>
        </row>
        <row r="4635">
          <cell r="A4635">
            <v>390042</v>
          </cell>
          <cell r="B4635" t="str">
            <v>GUANTES NITRILO ROSAS (TALLA P)</v>
          </cell>
          <cell r="C4635" t="str">
            <v>680343900160</v>
          </cell>
        </row>
        <row r="4636">
          <cell r="A4636">
            <v>390043</v>
          </cell>
          <cell r="B4636" t="str">
            <v>GUANTES NITRILO ROSAS (TALLA M)</v>
          </cell>
          <cell r="C4636" t="str">
            <v>680343900177</v>
          </cell>
        </row>
        <row r="4637">
          <cell r="A4637">
            <v>390046</v>
          </cell>
          <cell r="B4637" t="str">
            <v>BOL COLORACIÓN SURE GRIP SUCTION</v>
          </cell>
          <cell r="C4637" t="str">
            <v>390046</v>
          </cell>
        </row>
        <row r="4638">
          <cell r="A4638">
            <v>390046</v>
          </cell>
          <cell r="B4638" t="str">
            <v>BOL COLORACIÓN SURE GRIP SUCTION</v>
          </cell>
          <cell r="C4638" t="str">
            <v>794180910074</v>
          </cell>
        </row>
        <row r="4639">
          <cell r="A4639">
            <v>500001</v>
          </cell>
          <cell r="B4639" t="str">
            <v>KINBLOND DECOLORANTE</v>
          </cell>
          <cell r="C4639" t="str">
            <v>OXK00</v>
          </cell>
        </row>
        <row r="4640">
          <cell r="A4640">
            <v>500001</v>
          </cell>
          <cell r="B4640" t="str">
            <v>KINBLOND DECOLORANTE</v>
          </cell>
          <cell r="C4640" t="str">
            <v>8435057004091</v>
          </cell>
        </row>
        <row r="4641">
          <cell r="A4641">
            <v>500002</v>
          </cell>
          <cell r="B4641" t="str">
            <v>KINCREM CONTRAST Nº C44</v>
          </cell>
          <cell r="C4641" t="str">
            <v>KCC44</v>
          </cell>
        </row>
        <row r="4642">
          <cell r="A4642">
            <v>500002</v>
          </cell>
          <cell r="B4642" t="str">
            <v>KINCREM CONTRAST Nº C44</v>
          </cell>
          <cell r="C4642" t="str">
            <v>8435057001212</v>
          </cell>
        </row>
        <row r="4643">
          <cell r="A4643">
            <v>500003</v>
          </cell>
          <cell r="B4643" t="str">
            <v>KINCREM CONTRAST Nº C55</v>
          </cell>
          <cell r="C4643" t="str">
            <v>KCC55</v>
          </cell>
        </row>
        <row r="4644">
          <cell r="A4644">
            <v>500003</v>
          </cell>
          <cell r="B4644" t="str">
            <v>KINCREM CONTRAST Nº C55</v>
          </cell>
          <cell r="C4644" t="str">
            <v>8435057001229</v>
          </cell>
        </row>
        <row r="4645">
          <cell r="A4645">
            <v>500004</v>
          </cell>
          <cell r="B4645" t="str">
            <v>KINCREM CONTRAST Nº C66</v>
          </cell>
          <cell r="C4645" t="str">
            <v>KCC66</v>
          </cell>
        </row>
        <row r="4646">
          <cell r="A4646">
            <v>500004</v>
          </cell>
          <cell r="B4646" t="str">
            <v>KINCREM CONTRAST Nº C66</v>
          </cell>
          <cell r="C4646" t="str">
            <v>8435057001236</v>
          </cell>
        </row>
        <row r="4647">
          <cell r="A4647">
            <v>500005</v>
          </cell>
          <cell r="B4647" t="str">
            <v>KINCREM CONTRAST Nº C77</v>
          </cell>
          <cell r="C4647" t="str">
            <v>KCC77</v>
          </cell>
        </row>
        <row r="4648">
          <cell r="A4648">
            <v>500005</v>
          </cell>
          <cell r="B4648" t="str">
            <v>KINCREM CONTRAST Nº C77</v>
          </cell>
          <cell r="C4648" t="str">
            <v>8435057001243</v>
          </cell>
        </row>
        <row r="4649">
          <cell r="A4649">
            <v>500006</v>
          </cell>
          <cell r="B4649" t="str">
            <v>K. CONTRAST EST. 1 TUBO Nº C44</v>
          </cell>
          <cell r="C4649" t="str">
            <v>ECC44</v>
          </cell>
        </row>
        <row r="4650">
          <cell r="A4650">
            <v>500007</v>
          </cell>
          <cell r="B4650" t="str">
            <v>K. CONTRAST EST. 1 TUBO Nº C55</v>
          </cell>
          <cell r="C4650" t="str">
            <v>ECC55</v>
          </cell>
        </row>
        <row r="4651">
          <cell r="A4651">
            <v>500008</v>
          </cell>
          <cell r="B4651" t="str">
            <v>K. CONTRAST EST. 1 TUBO Nº C66</v>
          </cell>
          <cell r="C4651" t="str">
            <v>ECC66</v>
          </cell>
        </row>
        <row r="4652">
          <cell r="A4652">
            <v>500009</v>
          </cell>
          <cell r="B4652" t="str">
            <v>K. CONTRAST EST. 1 TUBO Nº C77</v>
          </cell>
          <cell r="C4652" t="str">
            <v>ECC77</v>
          </cell>
        </row>
        <row r="4653">
          <cell r="A4653">
            <v>500010</v>
          </cell>
          <cell r="B4653" t="str">
            <v>KINCREM PRESTIGE Nº 1</v>
          </cell>
          <cell r="C4653" t="str">
            <v>KP0001</v>
          </cell>
        </row>
        <row r="4654">
          <cell r="A4654">
            <v>500010</v>
          </cell>
          <cell r="B4654" t="str">
            <v>KINCREM PRESTIGE Nº 1</v>
          </cell>
          <cell r="C4654" t="str">
            <v>8435057000161</v>
          </cell>
        </row>
        <row r="4655">
          <cell r="A4655">
            <v>500011</v>
          </cell>
          <cell r="B4655" t="str">
            <v>KINCREM PRESTIGE Nº 2</v>
          </cell>
          <cell r="C4655" t="str">
            <v>KP0002</v>
          </cell>
        </row>
        <row r="4656">
          <cell r="A4656">
            <v>500011</v>
          </cell>
          <cell r="B4656" t="str">
            <v>KINCREM PRESTIGE Nº 2</v>
          </cell>
          <cell r="C4656" t="str">
            <v>8435057000154</v>
          </cell>
        </row>
        <row r="4657">
          <cell r="A4657">
            <v>500012</v>
          </cell>
          <cell r="B4657" t="str">
            <v>KINCREM PRESTIGE Nº 3</v>
          </cell>
          <cell r="C4657" t="str">
            <v>KP0003</v>
          </cell>
        </row>
        <row r="4658">
          <cell r="A4658">
            <v>500012</v>
          </cell>
          <cell r="B4658" t="str">
            <v>KINCREM PRESTIGE Nº 3</v>
          </cell>
          <cell r="C4658" t="str">
            <v>8435057000130</v>
          </cell>
        </row>
        <row r="4659">
          <cell r="A4659">
            <v>500013</v>
          </cell>
          <cell r="B4659" t="str">
            <v>KINCREM PRESTIGE Nº 4</v>
          </cell>
          <cell r="C4659" t="str">
            <v>KP0004</v>
          </cell>
        </row>
        <row r="4660">
          <cell r="A4660">
            <v>500013</v>
          </cell>
          <cell r="B4660" t="str">
            <v>KINCREM PRESTIGE Nº 4</v>
          </cell>
          <cell r="C4660" t="str">
            <v>8435057000116</v>
          </cell>
        </row>
        <row r="4661">
          <cell r="A4661">
            <v>500014</v>
          </cell>
          <cell r="B4661" t="str">
            <v>KINCREM PRESTIGE Nº 5</v>
          </cell>
          <cell r="C4661" t="str">
            <v>KP0005</v>
          </cell>
        </row>
        <row r="4662">
          <cell r="A4662">
            <v>500014</v>
          </cell>
          <cell r="B4662" t="str">
            <v>KINCREM PRESTIGE Nº 5</v>
          </cell>
          <cell r="C4662" t="str">
            <v>8435057000093</v>
          </cell>
        </row>
        <row r="4663">
          <cell r="A4663">
            <v>500015</v>
          </cell>
          <cell r="B4663" t="str">
            <v>KINCREM PRESTIGE Nº 6</v>
          </cell>
          <cell r="C4663" t="str">
            <v>KP0006</v>
          </cell>
        </row>
        <row r="4664">
          <cell r="A4664">
            <v>500015</v>
          </cell>
          <cell r="B4664" t="str">
            <v>KINCREM PRESTIGE Nº 6</v>
          </cell>
          <cell r="C4664" t="str">
            <v>8435057000079</v>
          </cell>
        </row>
        <row r="4665">
          <cell r="A4665">
            <v>500016</v>
          </cell>
          <cell r="B4665" t="str">
            <v>KINCREM PRESTIGE Nº 7</v>
          </cell>
          <cell r="C4665" t="str">
            <v>KP0007</v>
          </cell>
        </row>
        <row r="4666">
          <cell r="A4666">
            <v>500016</v>
          </cell>
          <cell r="B4666" t="str">
            <v>KINCREM PRESTIGE Nº 7</v>
          </cell>
          <cell r="C4666" t="str">
            <v>8435057000055</v>
          </cell>
        </row>
        <row r="4667">
          <cell r="A4667">
            <v>500017</v>
          </cell>
          <cell r="B4667" t="str">
            <v>KINCREM PRESTIGE Nº 8</v>
          </cell>
          <cell r="C4667" t="str">
            <v>KP0008</v>
          </cell>
        </row>
        <row r="4668">
          <cell r="A4668">
            <v>500017</v>
          </cell>
          <cell r="B4668" t="str">
            <v>KINCREM PRESTIGE Nº 8</v>
          </cell>
          <cell r="C4668" t="str">
            <v>8435057000031</v>
          </cell>
        </row>
        <row r="4669">
          <cell r="A4669">
            <v>500018</v>
          </cell>
          <cell r="B4669" t="str">
            <v>KINCREM PRESTIGE Nº 9</v>
          </cell>
          <cell r="C4669" t="str">
            <v>KP0009</v>
          </cell>
        </row>
        <row r="4670">
          <cell r="A4670">
            <v>500018</v>
          </cell>
          <cell r="B4670" t="str">
            <v>KINCREM PRESTIGE Nº 9</v>
          </cell>
          <cell r="C4670" t="str">
            <v>8435057000017</v>
          </cell>
        </row>
        <row r="4671">
          <cell r="A4671">
            <v>500019</v>
          </cell>
          <cell r="B4671" t="str">
            <v>KINCREM PRESTIGE Nº 10</v>
          </cell>
          <cell r="C4671" t="str">
            <v>KP0010</v>
          </cell>
        </row>
        <row r="4672">
          <cell r="A4672">
            <v>500019</v>
          </cell>
          <cell r="B4672" t="str">
            <v>KINCREM PRESTIGE Nº 10</v>
          </cell>
          <cell r="C4672" t="str">
            <v>8435057000741</v>
          </cell>
        </row>
        <row r="4673">
          <cell r="A4673">
            <v>500020</v>
          </cell>
          <cell r="B4673" t="str">
            <v>KINCREM PRESTIGE Nº 1.1</v>
          </cell>
          <cell r="C4673" t="str">
            <v>KP0011</v>
          </cell>
        </row>
        <row r="4674">
          <cell r="A4674">
            <v>500020</v>
          </cell>
          <cell r="B4674" t="str">
            <v>KINCREM PRESTIGE Nº 1.1</v>
          </cell>
          <cell r="C4674" t="str">
            <v>8435057000307</v>
          </cell>
        </row>
        <row r="4675">
          <cell r="A4675">
            <v>500021</v>
          </cell>
          <cell r="B4675" t="str">
            <v>KINCREM PRESTIGE Nº 3.5</v>
          </cell>
          <cell r="C4675" t="str">
            <v>KP0035</v>
          </cell>
        </row>
        <row r="4676">
          <cell r="A4676">
            <v>500021</v>
          </cell>
          <cell r="B4676" t="str">
            <v>KINCREM PRESTIGE Nº 3.5</v>
          </cell>
          <cell r="C4676" t="str">
            <v>8435057000734</v>
          </cell>
        </row>
        <row r="4677">
          <cell r="A4677">
            <v>500022</v>
          </cell>
          <cell r="B4677" t="str">
            <v>KINCREM PRESTIGE Nº 4.3</v>
          </cell>
          <cell r="C4677" t="str">
            <v>KP0043</v>
          </cell>
        </row>
        <row r="4678">
          <cell r="A4678">
            <v>500022</v>
          </cell>
          <cell r="B4678" t="str">
            <v>KINCREM PRESTIGE Nº 4.3</v>
          </cell>
          <cell r="C4678" t="str">
            <v>8435057000482</v>
          </cell>
        </row>
        <row r="4679">
          <cell r="A4679">
            <v>500023</v>
          </cell>
          <cell r="B4679" t="str">
            <v>KINCREM PRESTIGE Nº 4.5</v>
          </cell>
          <cell r="C4679" t="str">
            <v>KP0045</v>
          </cell>
        </row>
        <row r="4680">
          <cell r="A4680">
            <v>500023</v>
          </cell>
          <cell r="B4680" t="str">
            <v>KINCREM PRESTIGE Nº 4.5</v>
          </cell>
          <cell r="C4680" t="str">
            <v>8435057000727</v>
          </cell>
        </row>
        <row r="4681">
          <cell r="A4681">
            <v>500024</v>
          </cell>
          <cell r="B4681" t="str">
            <v>KINCREM PRESTIGE Nº 5.1</v>
          </cell>
          <cell r="C4681" t="str">
            <v>KP0051</v>
          </cell>
        </row>
        <row r="4682">
          <cell r="A4682">
            <v>500024</v>
          </cell>
          <cell r="B4682" t="str">
            <v>KINCREM PRESTIGE Nº 5.1</v>
          </cell>
          <cell r="C4682" t="str">
            <v>8435057000291</v>
          </cell>
        </row>
        <row r="4683">
          <cell r="A4683">
            <v>500025</v>
          </cell>
          <cell r="B4683" t="str">
            <v>KINCREM PRESTIGE Nº 5.3</v>
          </cell>
          <cell r="C4683" t="str">
            <v>KP0053</v>
          </cell>
        </row>
        <row r="4684">
          <cell r="A4684">
            <v>500025</v>
          </cell>
          <cell r="B4684" t="str">
            <v>KINCREM PRESTIGE Nº 5.3</v>
          </cell>
          <cell r="C4684" t="str">
            <v>8435057000475</v>
          </cell>
        </row>
        <row r="4685">
          <cell r="A4685">
            <v>500026</v>
          </cell>
          <cell r="B4685" t="str">
            <v>KINCREM PRESTIGE Nº 5.4</v>
          </cell>
          <cell r="C4685" t="str">
            <v>KP0054</v>
          </cell>
        </row>
        <row r="4686">
          <cell r="A4686">
            <v>500026</v>
          </cell>
          <cell r="B4686" t="str">
            <v>KINCREM PRESTIGE Nº 5.4</v>
          </cell>
          <cell r="C4686" t="str">
            <v>8435057000567</v>
          </cell>
        </row>
        <row r="4687">
          <cell r="A4687">
            <v>500027</v>
          </cell>
          <cell r="B4687" t="str">
            <v>KINCREM PRESTIGE Nº 5.5</v>
          </cell>
          <cell r="C4687" t="str">
            <v>KP0055</v>
          </cell>
        </row>
        <row r="4688">
          <cell r="A4688">
            <v>500027</v>
          </cell>
          <cell r="B4688" t="str">
            <v>KINCREM PRESTIGE Nº 5.5</v>
          </cell>
          <cell r="C4688" t="str">
            <v>8435057000710</v>
          </cell>
        </row>
        <row r="4689">
          <cell r="A4689">
            <v>500028</v>
          </cell>
          <cell r="B4689" t="str">
            <v>KINCREM PRESTIGE Nº 6.1</v>
          </cell>
          <cell r="C4689" t="str">
            <v>KP0061</v>
          </cell>
        </row>
        <row r="4690">
          <cell r="A4690">
            <v>500028</v>
          </cell>
          <cell r="B4690" t="str">
            <v>KINCREM PRESTIGE Nº 6.1</v>
          </cell>
          <cell r="C4690" t="str">
            <v>8435057000277</v>
          </cell>
        </row>
        <row r="4691">
          <cell r="A4691">
            <v>500029</v>
          </cell>
          <cell r="B4691" t="str">
            <v>KINCREM PRESTIGE Nº 6.3</v>
          </cell>
          <cell r="C4691" t="str">
            <v>KP0063</v>
          </cell>
        </row>
        <row r="4692">
          <cell r="A4692">
            <v>500029</v>
          </cell>
          <cell r="B4692" t="str">
            <v>KINCREM PRESTIGE Nº 6.3</v>
          </cell>
          <cell r="C4692" t="str">
            <v>8435057000451</v>
          </cell>
        </row>
        <row r="4693">
          <cell r="A4693">
            <v>500030</v>
          </cell>
          <cell r="B4693" t="str">
            <v>KINCREM PRESTIGE Nº 6.5</v>
          </cell>
          <cell r="C4693" t="str">
            <v>KP0065</v>
          </cell>
        </row>
        <row r="4694">
          <cell r="A4694">
            <v>500030</v>
          </cell>
          <cell r="B4694" t="str">
            <v>KINCREM PRESTIGE Nº 6.5</v>
          </cell>
          <cell r="C4694" t="str">
            <v>8435057000703</v>
          </cell>
        </row>
        <row r="4695">
          <cell r="A4695">
            <v>500031</v>
          </cell>
          <cell r="B4695" t="str">
            <v>KINCREM PRESTIGE Nº 6.6</v>
          </cell>
          <cell r="C4695" t="str">
            <v>KP0066</v>
          </cell>
        </row>
        <row r="4696">
          <cell r="A4696">
            <v>500031</v>
          </cell>
          <cell r="B4696" t="str">
            <v>KINCREM PRESTIGE Nº 6.6</v>
          </cell>
          <cell r="C4696" t="str">
            <v>8435057000376</v>
          </cell>
        </row>
        <row r="4697">
          <cell r="A4697">
            <v>500032</v>
          </cell>
          <cell r="B4697" t="str">
            <v>KINCREM PRESTIGE Nº 7.1</v>
          </cell>
          <cell r="C4697" t="str">
            <v>KP0071</v>
          </cell>
        </row>
        <row r="4698">
          <cell r="A4698">
            <v>500032</v>
          </cell>
          <cell r="B4698" t="str">
            <v>KINCREM PRESTIGE Nº 7.1</v>
          </cell>
          <cell r="C4698" t="str">
            <v>8435057000253</v>
          </cell>
        </row>
        <row r="4699">
          <cell r="A4699">
            <v>500033</v>
          </cell>
          <cell r="B4699" t="str">
            <v>KINCREM PRESTIGE Nº 7.3</v>
          </cell>
          <cell r="C4699" t="str">
            <v>KP0073</v>
          </cell>
        </row>
        <row r="4700">
          <cell r="A4700">
            <v>500033</v>
          </cell>
          <cell r="B4700" t="str">
            <v>KINCREM PRESTIGE Nº 7.3</v>
          </cell>
          <cell r="C4700" t="str">
            <v>8435057000437</v>
          </cell>
        </row>
        <row r="4701">
          <cell r="A4701">
            <v>500034</v>
          </cell>
          <cell r="B4701" t="str">
            <v>KINCREM PRESTIGE Nº 7.4</v>
          </cell>
          <cell r="C4701" t="str">
            <v>KP0074</v>
          </cell>
        </row>
        <row r="4702">
          <cell r="A4702">
            <v>500034</v>
          </cell>
          <cell r="B4702" t="str">
            <v>KINCREM PRESTIGE Nº 7.4</v>
          </cell>
          <cell r="C4702" t="str">
            <v>8435057000512</v>
          </cell>
        </row>
        <row r="4703">
          <cell r="A4703">
            <v>500035</v>
          </cell>
          <cell r="B4703" t="str">
            <v>KINCREM PRESTIGE Nº 7.5</v>
          </cell>
          <cell r="C4703" t="str">
            <v>KP0075</v>
          </cell>
        </row>
        <row r="4704">
          <cell r="A4704">
            <v>500035</v>
          </cell>
          <cell r="B4704" t="str">
            <v>KINCREM PRESTIGE Nº 7.5</v>
          </cell>
          <cell r="C4704" t="str">
            <v>8435057000697</v>
          </cell>
        </row>
        <row r="4705">
          <cell r="A4705">
            <v>500036</v>
          </cell>
          <cell r="B4705" t="str">
            <v>KINCREM PRESTIGE Nº 7.6</v>
          </cell>
          <cell r="C4705" t="str">
            <v>KP0076</v>
          </cell>
        </row>
        <row r="4706">
          <cell r="A4706">
            <v>500036</v>
          </cell>
          <cell r="B4706" t="str">
            <v>KINCREM PRESTIGE Nº 7.6</v>
          </cell>
          <cell r="C4706" t="str">
            <v>8435057000352</v>
          </cell>
        </row>
        <row r="4707">
          <cell r="A4707">
            <v>500037</v>
          </cell>
          <cell r="B4707" t="str">
            <v>KINCREM PRESTIGE Nº 7.9</v>
          </cell>
          <cell r="C4707" t="str">
            <v>KP0079</v>
          </cell>
        </row>
        <row r="4708">
          <cell r="A4708">
            <v>500037</v>
          </cell>
          <cell r="B4708" t="str">
            <v>KINCREM PRESTIGE Nº 7.9</v>
          </cell>
          <cell r="C4708" t="str">
            <v>8435057000826</v>
          </cell>
        </row>
        <row r="4709">
          <cell r="A4709">
            <v>500038</v>
          </cell>
          <cell r="B4709" t="str">
            <v>KINCREM PRESTIGE Nº 8.1</v>
          </cell>
          <cell r="C4709" t="str">
            <v>KP0081</v>
          </cell>
        </row>
        <row r="4710">
          <cell r="A4710">
            <v>500038</v>
          </cell>
          <cell r="B4710" t="str">
            <v>KINCREM PRESTIGE Nº 8.1</v>
          </cell>
          <cell r="C4710" t="str">
            <v>8435057000239</v>
          </cell>
        </row>
        <row r="4711">
          <cell r="A4711">
            <v>500039</v>
          </cell>
          <cell r="B4711" t="str">
            <v>KINCREM PRESTIGE Nº 8.2</v>
          </cell>
          <cell r="C4711" t="str">
            <v>KP0082</v>
          </cell>
        </row>
        <row r="4712">
          <cell r="A4712">
            <v>500039</v>
          </cell>
          <cell r="B4712" t="str">
            <v>KINCREM PRESTIGE Nº 8.2</v>
          </cell>
          <cell r="C4712" t="str">
            <v>8435057000222</v>
          </cell>
        </row>
        <row r="4713">
          <cell r="A4713">
            <v>500040</v>
          </cell>
          <cell r="B4713" t="str">
            <v>KINCREM PRESTIGE Nº 8.3</v>
          </cell>
          <cell r="C4713" t="str">
            <v>KP0083</v>
          </cell>
        </row>
        <row r="4714">
          <cell r="A4714">
            <v>500040</v>
          </cell>
          <cell r="B4714" t="str">
            <v>KINCREM PRESTIGE Nº 8.3</v>
          </cell>
          <cell r="C4714" t="str">
            <v>8435057000413</v>
          </cell>
        </row>
        <row r="4715">
          <cell r="A4715">
            <v>500041</v>
          </cell>
          <cell r="B4715" t="str">
            <v>KINCREM PRESTIGE Nº 8.6</v>
          </cell>
          <cell r="C4715" t="str">
            <v>KP0086</v>
          </cell>
        </row>
        <row r="4716">
          <cell r="A4716">
            <v>500041</v>
          </cell>
          <cell r="B4716" t="str">
            <v>KINCREM PRESTIGE Nº 8.6</v>
          </cell>
          <cell r="C4716" t="str">
            <v>8435057000338</v>
          </cell>
        </row>
        <row r="4717">
          <cell r="A4717">
            <v>500042</v>
          </cell>
          <cell r="B4717" t="str">
            <v>KINCREM PRESTIGE Nº 9.1</v>
          </cell>
          <cell r="C4717" t="str">
            <v>KP0091</v>
          </cell>
        </row>
        <row r="4718">
          <cell r="A4718">
            <v>500042</v>
          </cell>
          <cell r="B4718" t="str">
            <v>KINCREM PRESTIGE Nº 9.1</v>
          </cell>
          <cell r="C4718" t="str">
            <v>8435057000192</v>
          </cell>
        </row>
        <row r="4719">
          <cell r="A4719">
            <v>500043</v>
          </cell>
          <cell r="B4719" t="str">
            <v>KINCREM PRESTIGE Nº 9.3</v>
          </cell>
          <cell r="C4719" t="str">
            <v>KP0093</v>
          </cell>
        </row>
        <row r="4720">
          <cell r="A4720">
            <v>500043</v>
          </cell>
          <cell r="B4720" t="str">
            <v>KINCREM PRESTIGE Nº 9.3</v>
          </cell>
          <cell r="C4720" t="str">
            <v>8435057000390</v>
          </cell>
        </row>
        <row r="4721">
          <cell r="A4721">
            <v>500044</v>
          </cell>
          <cell r="B4721" t="str">
            <v>KINCREM PRESTIGE Nº 9.6</v>
          </cell>
          <cell r="C4721" t="str">
            <v>KP0096</v>
          </cell>
        </row>
        <row r="4722">
          <cell r="A4722">
            <v>500044</v>
          </cell>
          <cell r="B4722" t="str">
            <v>KINCREM PRESTIGE Nº 9.6</v>
          </cell>
          <cell r="C4722" t="str">
            <v>8435057000314</v>
          </cell>
        </row>
        <row r="4723">
          <cell r="A4723">
            <v>500045</v>
          </cell>
          <cell r="B4723" t="str">
            <v>KINCREM PRESTIGE Nº 9.9</v>
          </cell>
          <cell r="C4723" t="str">
            <v>KP0099</v>
          </cell>
        </row>
        <row r="4724">
          <cell r="A4724">
            <v>500045</v>
          </cell>
          <cell r="B4724" t="str">
            <v>KINCREM PRESTIGE Nº 9.9</v>
          </cell>
          <cell r="C4724" t="str">
            <v>8435057000819</v>
          </cell>
        </row>
        <row r="4725">
          <cell r="A4725">
            <v>500046</v>
          </cell>
          <cell r="B4725" t="str">
            <v>KINCREM PRESTIGE Nº M1</v>
          </cell>
          <cell r="C4725" t="str">
            <v>KP00M1</v>
          </cell>
        </row>
        <row r="4726">
          <cell r="A4726">
            <v>500046</v>
          </cell>
          <cell r="B4726" t="str">
            <v>KINCREM PRESTIGE Nº M1</v>
          </cell>
          <cell r="C4726" t="str">
            <v>8435057000833</v>
          </cell>
        </row>
        <row r="4727">
          <cell r="A4727">
            <v>500047</v>
          </cell>
          <cell r="B4727" t="str">
            <v>KINCREM PRESTIGE Nº M2</v>
          </cell>
          <cell r="C4727" t="str">
            <v>KP00M2</v>
          </cell>
        </row>
        <row r="4728">
          <cell r="A4728">
            <v>500047</v>
          </cell>
          <cell r="B4728" t="str">
            <v>KINCREM PRESTIGE Nº M2</v>
          </cell>
          <cell r="C4728" t="str">
            <v>8435057000840</v>
          </cell>
        </row>
        <row r="4729">
          <cell r="A4729">
            <v>500048</v>
          </cell>
          <cell r="B4729" t="str">
            <v>KINCREM PRESTIGE Nº M3</v>
          </cell>
          <cell r="C4729" t="str">
            <v>KP00M3</v>
          </cell>
        </row>
        <row r="4730">
          <cell r="A4730">
            <v>500048</v>
          </cell>
          <cell r="B4730" t="str">
            <v>KINCREM PRESTIGE Nº M3</v>
          </cell>
          <cell r="C4730" t="str">
            <v>8435057000857</v>
          </cell>
        </row>
        <row r="4731">
          <cell r="A4731">
            <v>500049</v>
          </cell>
          <cell r="B4731" t="str">
            <v>KINCREM PRESTIGE Nº M4</v>
          </cell>
          <cell r="C4731" t="str">
            <v>KP00M4</v>
          </cell>
        </row>
        <row r="4732">
          <cell r="A4732">
            <v>500049</v>
          </cell>
          <cell r="B4732" t="str">
            <v>KINCREM PRESTIGE Nº M4</v>
          </cell>
          <cell r="C4732" t="str">
            <v>8435057000864</v>
          </cell>
        </row>
        <row r="4733">
          <cell r="A4733">
            <v>500050</v>
          </cell>
          <cell r="B4733" t="str">
            <v>KINCREM PRESTIGE Nº M5</v>
          </cell>
          <cell r="C4733" t="str">
            <v>KP00M5</v>
          </cell>
        </row>
        <row r="4734">
          <cell r="A4734">
            <v>500050</v>
          </cell>
          <cell r="B4734" t="str">
            <v>KINCREM PRESTIGE Nº M5</v>
          </cell>
          <cell r="C4734" t="str">
            <v>8435057000871</v>
          </cell>
        </row>
        <row r="4735">
          <cell r="A4735">
            <v>500051</v>
          </cell>
          <cell r="B4735" t="str">
            <v>KINCREM PRESTIGE Nº M6</v>
          </cell>
          <cell r="C4735" t="str">
            <v>KP00M6</v>
          </cell>
        </row>
        <row r="4736">
          <cell r="A4736">
            <v>500051</v>
          </cell>
          <cell r="B4736" t="str">
            <v>KINCREM PRESTIGE Nº M6</v>
          </cell>
          <cell r="C4736" t="str">
            <v>8435057000888</v>
          </cell>
        </row>
        <row r="4737">
          <cell r="A4737">
            <v>500052</v>
          </cell>
          <cell r="B4737" t="str">
            <v>KINCREM PRESTIGE Nº M7</v>
          </cell>
          <cell r="C4737" t="str">
            <v>KP00M7</v>
          </cell>
        </row>
        <row r="4738">
          <cell r="A4738">
            <v>500052</v>
          </cell>
          <cell r="B4738" t="str">
            <v>KINCREM PRESTIGE Nº M7</v>
          </cell>
          <cell r="C4738" t="str">
            <v>8435057000895</v>
          </cell>
        </row>
        <row r="4739">
          <cell r="A4739">
            <v>500053</v>
          </cell>
          <cell r="B4739" t="str">
            <v>KINCREM PRESTIGE Nº 10.1</v>
          </cell>
          <cell r="C4739" t="str">
            <v>KP0101</v>
          </cell>
        </row>
        <row r="4740">
          <cell r="A4740">
            <v>500053</v>
          </cell>
          <cell r="B4740" t="str">
            <v>KINCREM PRESTIGE Nº 10.1</v>
          </cell>
          <cell r="C4740" t="str">
            <v>8435057000765</v>
          </cell>
        </row>
        <row r="4741">
          <cell r="A4741">
            <v>500054</v>
          </cell>
          <cell r="B4741" t="str">
            <v>KINCREM PRESTIGE Nº 10.3</v>
          </cell>
          <cell r="C4741" t="str">
            <v>KP0103</v>
          </cell>
        </row>
        <row r="4742">
          <cell r="A4742">
            <v>500054</v>
          </cell>
          <cell r="B4742" t="str">
            <v>KINCREM PRESTIGE Nº 10.3</v>
          </cell>
          <cell r="C4742" t="str">
            <v>8435057000789</v>
          </cell>
        </row>
        <row r="4743">
          <cell r="A4743">
            <v>500055</v>
          </cell>
          <cell r="B4743" t="str">
            <v>KINCREM PRESTIGE Nº 10.6</v>
          </cell>
          <cell r="C4743" t="str">
            <v>KP0106</v>
          </cell>
        </row>
        <row r="4744">
          <cell r="A4744">
            <v>500055</v>
          </cell>
          <cell r="B4744" t="str">
            <v>KINCREM PRESTIGE Nº 10.6</v>
          </cell>
          <cell r="C4744" t="str">
            <v>8435057000802</v>
          </cell>
        </row>
        <row r="4745">
          <cell r="A4745">
            <v>500056</v>
          </cell>
          <cell r="B4745" t="str">
            <v>KINCREM PRESTIGE Nº 11.0</v>
          </cell>
          <cell r="C4745" t="str">
            <v>KP0110</v>
          </cell>
        </row>
        <row r="4746">
          <cell r="A4746">
            <v>500056</v>
          </cell>
          <cell r="B4746" t="str">
            <v>KINCREM PRESTIGE Nº 11.0</v>
          </cell>
          <cell r="C4746" t="str">
            <v>8435057000925</v>
          </cell>
        </row>
        <row r="4747">
          <cell r="A4747">
            <v>500057</v>
          </cell>
          <cell r="B4747" t="str">
            <v>KINCREM PRESTIGE Nº 11.1</v>
          </cell>
          <cell r="C4747" t="str">
            <v>KP0111</v>
          </cell>
        </row>
        <row r="4748">
          <cell r="A4748">
            <v>500057</v>
          </cell>
          <cell r="B4748" t="str">
            <v>KINCREM PRESTIGE Nº 11.1</v>
          </cell>
          <cell r="C4748" t="str">
            <v>8435057000932</v>
          </cell>
        </row>
        <row r="4749">
          <cell r="A4749">
            <v>500058</v>
          </cell>
          <cell r="B4749" t="str">
            <v>KINCREM PRESTIGE Nº 11.3</v>
          </cell>
          <cell r="C4749" t="str">
            <v>KP0113</v>
          </cell>
        </row>
        <row r="4750">
          <cell r="A4750">
            <v>500058</v>
          </cell>
          <cell r="B4750" t="str">
            <v>KINCREM PRESTIGE Nº 11.3</v>
          </cell>
          <cell r="C4750" t="str">
            <v>8435057000970</v>
          </cell>
        </row>
        <row r="4751">
          <cell r="A4751">
            <v>500059</v>
          </cell>
          <cell r="B4751" t="str">
            <v>KINCREM PRESTIGE Nº 11.6</v>
          </cell>
          <cell r="C4751" t="str">
            <v>KP0116</v>
          </cell>
        </row>
        <row r="4752">
          <cell r="A4752">
            <v>500059</v>
          </cell>
          <cell r="B4752" t="str">
            <v>KINCREM PRESTIGE Nº 11.6</v>
          </cell>
          <cell r="C4752" t="str">
            <v>8435057000963</v>
          </cell>
        </row>
        <row r="4753">
          <cell r="A4753">
            <v>500060</v>
          </cell>
          <cell r="B4753" t="str">
            <v>KINCREM PRESTIGE Nº 12.0</v>
          </cell>
          <cell r="C4753" t="str">
            <v>KP0120</v>
          </cell>
        </row>
        <row r="4754">
          <cell r="A4754">
            <v>500060</v>
          </cell>
          <cell r="B4754" t="str">
            <v>KINCREM PRESTIGE Nº 12.0</v>
          </cell>
          <cell r="C4754" t="str">
            <v>8435057000901</v>
          </cell>
        </row>
        <row r="4755">
          <cell r="A4755">
            <v>500061</v>
          </cell>
          <cell r="B4755" t="str">
            <v>KINCREM PRESTIGE Nº 12.1</v>
          </cell>
          <cell r="C4755" t="str">
            <v>KP0121</v>
          </cell>
        </row>
        <row r="4756">
          <cell r="A4756">
            <v>500061</v>
          </cell>
          <cell r="B4756" t="str">
            <v>KINCREM PRESTIGE Nº 12.1</v>
          </cell>
          <cell r="C4756" t="str">
            <v>8435057000918</v>
          </cell>
        </row>
        <row r="4757">
          <cell r="A4757">
            <v>500062</v>
          </cell>
          <cell r="B4757" t="str">
            <v>KINCREM PRESTIGE Nº 3.00</v>
          </cell>
          <cell r="C4757" t="str">
            <v>KP0300</v>
          </cell>
        </row>
        <row r="4758">
          <cell r="A4758">
            <v>500062</v>
          </cell>
          <cell r="B4758" t="str">
            <v>KINCREM PRESTIGE Nº 3.00</v>
          </cell>
          <cell r="C4758" t="str">
            <v>8435057000147</v>
          </cell>
        </row>
        <row r="4759">
          <cell r="A4759">
            <v>500063</v>
          </cell>
          <cell r="B4759" t="str">
            <v>KINCREM PRESTIGE Nº 4.00</v>
          </cell>
          <cell r="C4759" t="str">
            <v>KP0400</v>
          </cell>
        </row>
        <row r="4760">
          <cell r="A4760">
            <v>500063</v>
          </cell>
          <cell r="B4760" t="str">
            <v>KINCREM PRESTIGE Nº 4.00</v>
          </cell>
          <cell r="C4760" t="str">
            <v>8435057000123</v>
          </cell>
        </row>
        <row r="4761">
          <cell r="A4761">
            <v>500064</v>
          </cell>
          <cell r="B4761" t="str">
            <v>KINCREM PRESTIGE Nº 4.42</v>
          </cell>
          <cell r="C4761" t="str">
            <v>KP0442</v>
          </cell>
        </row>
        <row r="4762">
          <cell r="A4762">
            <v>500064</v>
          </cell>
          <cell r="B4762" t="str">
            <v>KINCREM PRESTIGE Nº 4.42</v>
          </cell>
          <cell r="C4762" t="str">
            <v>8435057000574</v>
          </cell>
        </row>
        <row r="4763">
          <cell r="A4763">
            <v>500065</v>
          </cell>
          <cell r="B4763" t="str">
            <v>KINCREM PRESTIGE Nº 4.80</v>
          </cell>
          <cell r="C4763" t="str">
            <v>KP0480</v>
          </cell>
        </row>
        <row r="4764">
          <cell r="A4764">
            <v>500065</v>
          </cell>
          <cell r="B4764" t="str">
            <v>KINCREM PRESTIGE Nº 4.80</v>
          </cell>
          <cell r="C4764" t="str">
            <v>8435057001083</v>
          </cell>
        </row>
        <row r="4765">
          <cell r="A4765">
            <v>500066</v>
          </cell>
          <cell r="B4765" t="str">
            <v>KINCREM PRESTIGE Nº 5.00</v>
          </cell>
          <cell r="C4765" t="str">
            <v>KP0500</v>
          </cell>
        </row>
        <row r="4766">
          <cell r="A4766">
            <v>500066</v>
          </cell>
          <cell r="B4766" t="str">
            <v>KINCREM PRESTIGE Nº 5.00</v>
          </cell>
          <cell r="C4766" t="str">
            <v>8435057000109</v>
          </cell>
        </row>
        <row r="4767">
          <cell r="A4767">
            <v>500067</v>
          </cell>
          <cell r="B4767" t="str">
            <v>KINCREM PRESTIGE Nº 5.51</v>
          </cell>
          <cell r="C4767" t="str">
            <v>KP0551</v>
          </cell>
        </row>
        <row r="4768">
          <cell r="A4768">
            <v>500067</v>
          </cell>
          <cell r="B4768" t="str">
            <v>KINCREM PRESTIGE Nº 5.51</v>
          </cell>
          <cell r="C4768" t="str">
            <v>8435057000666</v>
          </cell>
        </row>
        <row r="4769">
          <cell r="A4769">
            <v>500068</v>
          </cell>
          <cell r="B4769" t="str">
            <v>KINCREM PRESTIGE Nº 5.52</v>
          </cell>
          <cell r="C4769" t="str">
            <v>KP0552</v>
          </cell>
        </row>
        <row r="4770">
          <cell r="A4770">
            <v>500068</v>
          </cell>
          <cell r="B4770" t="str">
            <v>KINCREM PRESTIGE Nº 5.52</v>
          </cell>
          <cell r="C4770" t="str">
            <v>8435057000673</v>
          </cell>
        </row>
        <row r="4771">
          <cell r="A4771">
            <v>500069</v>
          </cell>
          <cell r="B4771" t="str">
            <v>KINCREM PRESTIGE Nº 5.53</v>
          </cell>
          <cell r="C4771" t="str">
            <v>KP0553</v>
          </cell>
        </row>
        <row r="4772">
          <cell r="A4772">
            <v>500069</v>
          </cell>
          <cell r="B4772" t="str">
            <v>KINCREM PRESTIGE Nº 5.53</v>
          </cell>
          <cell r="C4772" t="str">
            <v>8435057000680</v>
          </cell>
        </row>
        <row r="4773">
          <cell r="A4773">
            <v>500070</v>
          </cell>
          <cell r="B4773" t="str">
            <v>KINCREM PRESTIGE Nº 5.57</v>
          </cell>
          <cell r="C4773" t="str">
            <v>KP0557</v>
          </cell>
        </row>
        <row r="4774">
          <cell r="A4774">
            <v>500070</v>
          </cell>
          <cell r="B4774" t="str">
            <v>KINCREM PRESTIGE Nº 5.57</v>
          </cell>
          <cell r="C4774" t="str">
            <v>8435057001069</v>
          </cell>
        </row>
        <row r="4775">
          <cell r="A4775">
            <v>500071</v>
          </cell>
          <cell r="B4775" t="str">
            <v>KINCREM PRESTIGE Nº 5.72</v>
          </cell>
          <cell r="C4775" t="str">
            <v>KP0572</v>
          </cell>
        </row>
        <row r="4776">
          <cell r="A4776">
            <v>500071</v>
          </cell>
          <cell r="B4776" t="str">
            <v>KINCREM PRESTIGE Nº 5.72</v>
          </cell>
          <cell r="C4776" t="str">
            <v>8435057001076</v>
          </cell>
        </row>
        <row r="4777">
          <cell r="A4777">
            <v>500072</v>
          </cell>
          <cell r="B4777" t="str">
            <v>KINCREM PRESTIGE Nº 6.00</v>
          </cell>
          <cell r="C4777" t="str">
            <v>KP0600</v>
          </cell>
        </row>
        <row r="4778">
          <cell r="A4778">
            <v>500072</v>
          </cell>
          <cell r="B4778" t="str">
            <v>KINCREM PRESTIGE Nº 6.00</v>
          </cell>
          <cell r="C4778" t="str">
            <v>8435057000086</v>
          </cell>
        </row>
        <row r="4779">
          <cell r="A4779">
            <v>500073</v>
          </cell>
          <cell r="B4779" t="str">
            <v>KINCREM PRESTIGE Nº 6.01</v>
          </cell>
          <cell r="C4779" t="str">
            <v>KP0601</v>
          </cell>
        </row>
        <row r="4780">
          <cell r="A4780">
            <v>500073</v>
          </cell>
          <cell r="B4780" t="str">
            <v>KINCREM PRESTIGE Nº 6.01</v>
          </cell>
          <cell r="C4780" t="str">
            <v>8435057000260</v>
          </cell>
        </row>
        <row r="4781">
          <cell r="A4781">
            <v>500074</v>
          </cell>
          <cell r="B4781" t="str">
            <v>KINCREM PRESTIGE Nº 6.12</v>
          </cell>
          <cell r="C4781" t="str">
            <v>KP0612</v>
          </cell>
        </row>
        <row r="4782">
          <cell r="A4782">
            <v>500074</v>
          </cell>
          <cell r="B4782" t="str">
            <v>KINCREM PRESTIGE Nº 6.12</v>
          </cell>
          <cell r="C4782" t="str">
            <v>8435057000284</v>
          </cell>
        </row>
        <row r="4783">
          <cell r="A4783">
            <v>500075</v>
          </cell>
          <cell r="B4783" t="str">
            <v>KINCREM PRESTIGE Nº 6.31</v>
          </cell>
          <cell r="C4783" t="str">
            <v>KP0631</v>
          </cell>
        </row>
        <row r="4784">
          <cell r="A4784">
            <v>500075</v>
          </cell>
          <cell r="B4784" t="str">
            <v>KINCREM PRESTIGE Nº 6.31</v>
          </cell>
          <cell r="C4784" t="str">
            <v>8435057000383</v>
          </cell>
        </row>
        <row r="4785">
          <cell r="A4785">
            <v>500076</v>
          </cell>
          <cell r="B4785" t="str">
            <v>KINCREM PRESTIGE Nº 6.34</v>
          </cell>
          <cell r="C4785" t="str">
            <v>KP0634</v>
          </cell>
        </row>
        <row r="4786">
          <cell r="A4786">
            <v>500076</v>
          </cell>
          <cell r="B4786" t="str">
            <v>KINCREM PRESTIGE Nº 6.34</v>
          </cell>
          <cell r="C4786" t="str">
            <v>8435057000468</v>
          </cell>
        </row>
        <row r="4787">
          <cell r="A4787">
            <v>500077</v>
          </cell>
          <cell r="B4787" t="str">
            <v>KINCREM PRESTIGE Nº 6.42</v>
          </cell>
          <cell r="C4787" t="str">
            <v>KP0642</v>
          </cell>
        </row>
        <row r="4788">
          <cell r="A4788">
            <v>500077</v>
          </cell>
          <cell r="B4788" t="str">
            <v>KINCREM PRESTIGE Nº 6.42</v>
          </cell>
          <cell r="C4788" t="str">
            <v>8435057000543</v>
          </cell>
        </row>
        <row r="4789">
          <cell r="A4789">
            <v>500078</v>
          </cell>
          <cell r="B4789" t="str">
            <v>KINCREM PRESTIGE Nº 6.43</v>
          </cell>
          <cell r="C4789" t="str">
            <v>KP0643</v>
          </cell>
        </row>
        <row r="4790">
          <cell r="A4790">
            <v>500078</v>
          </cell>
          <cell r="B4790" t="str">
            <v>KINCREM PRESTIGE Nº 6.43</v>
          </cell>
          <cell r="C4790" t="str">
            <v>8435057000536</v>
          </cell>
        </row>
        <row r="4791">
          <cell r="A4791">
            <v>500079</v>
          </cell>
          <cell r="B4791" t="str">
            <v>KINCREM PRESTIGE Nº 6.45</v>
          </cell>
          <cell r="C4791" t="str">
            <v>KP0645</v>
          </cell>
        </row>
        <row r="4792">
          <cell r="A4792">
            <v>500079</v>
          </cell>
          <cell r="B4792" t="str">
            <v>KINCREM PRESTIGE Nº 6.45</v>
          </cell>
          <cell r="C4792" t="str">
            <v>8435057000550</v>
          </cell>
        </row>
        <row r="4793">
          <cell r="A4793">
            <v>500080</v>
          </cell>
          <cell r="B4793" t="str">
            <v>KINCREM PRESTIGE Nº 6.51</v>
          </cell>
          <cell r="C4793" t="str">
            <v>KP0651</v>
          </cell>
        </row>
        <row r="4794">
          <cell r="A4794">
            <v>500080</v>
          </cell>
          <cell r="B4794" t="str">
            <v>KINCREM PRESTIGE Nº 6.51</v>
          </cell>
          <cell r="C4794" t="str">
            <v>8435057000635</v>
          </cell>
        </row>
        <row r="4795">
          <cell r="A4795">
            <v>500081</v>
          </cell>
          <cell r="B4795" t="str">
            <v>KINCREM PRESTIGE Nº 6.53</v>
          </cell>
          <cell r="C4795" t="str">
            <v>KP0653</v>
          </cell>
        </row>
        <row r="4796">
          <cell r="A4796">
            <v>500081</v>
          </cell>
          <cell r="B4796" t="str">
            <v>KINCREM PRESTIGE Nº 6.53</v>
          </cell>
          <cell r="C4796" t="str">
            <v>8435057000642</v>
          </cell>
        </row>
        <row r="4797">
          <cell r="A4797">
            <v>500082</v>
          </cell>
          <cell r="B4797" t="str">
            <v>KINCREM PRESTIGE Nº 6.54</v>
          </cell>
          <cell r="C4797" t="str">
            <v>KP0654</v>
          </cell>
        </row>
        <row r="4798">
          <cell r="A4798">
            <v>500082</v>
          </cell>
          <cell r="B4798" t="str">
            <v>KINCREM PRESTIGE Nº 6.54</v>
          </cell>
          <cell r="C4798" t="str">
            <v>8435057000659</v>
          </cell>
        </row>
        <row r="4799">
          <cell r="A4799">
            <v>500083</v>
          </cell>
          <cell r="B4799" t="str">
            <v>KINCREM PRESTIGE Nº 6.70</v>
          </cell>
          <cell r="C4799" t="str">
            <v>KP0670</v>
          </cell>
        </row>
        <row r="4800">
          <cell r="A4800">
            <v>500083</v>
          </cell>
          <cell r="B4800" t="str">
            <v>KINCREM PRESTIGE Nº 6.70</v>
          </cell>
          <cell r="C4800" t="str">
            <v>8435057001021</v>
          </cell>
        </row>
        <row r="4801">
          <cell r="A4801">
            <v>500084</v>
          </cell>
          <cell r="B4801" t="str">
            <v>KINCREM PRESTIGE Nº 6.72</v>
          </cell>
          <cell r="C4801" t="str">
            <v>KP0672</v>
          </cell>
        </row>
        <row r="4802">
          <cell r="A4802">
            <v>500084</v>
          </cell>
          <cell r="B4802" t="str">
            <v>KINCREM PRESTIGE Nº 6.72</v>
          </cell>
          <cell r="C4802" t="str">
            <v>8435057001045</v>
          </cell>
        </row>
        <row r="4803">
          <cell r="A4803">
            <v>500085</v>
          </cell>
          <cell r="B4803" t="str">
            <v>KINCREM PRESTIGE Nº 6.74</v>
          </cell>
          <cell r="C4803" t="str">
            <v>KP0674</v>
          </cell>
        </row>
        <row r="4804">
          <cell r="A4804">
            <v>500085</v>
          </cell>
          <cell r="B4804" t="str">
            <v>KINCREM PRESTIGE Nº 6.74</v>
          </cell>
          <cell r="C4804" t="str">
            <v>8435057001038</v>
          </cell>
        </row>
        <row r="4805">
          <cell r="A4805">
            <v>500086</v>
          </cell>
          <cell r="B4805" t="str">
            <v>KINCREM PRESTIGE Nº 6.87</v>
          </cell>
          <cell r="C4805" t="str">
            <v>KP0687</v>
          </cell>
        </row>
        <row r="4806">
          <cell r="A4806">
            <v>500086</v>
          </cell>
          <cell r="B4806" t="str">
            <v>KINCREM PRESTIGE Nº 6.87</v>
          </cell>
          <cell r="C4806" t="str">
            <v>8435057001052</v>
          </cell>
        </row>
        <row r="4807">
          <cell r="A4807">
            <v>500087</v>
          </cell>
          <cell r="B4807" t="str">
            <v>KINCREM PRESTIGE Nº 7.00</v>
          </cell>
          <cell r="C4807" t="str">
            <v>KP0700</v>
          </cell>
        </row>
        <row r="4808">
          <cell r="A4808">
            <v>500087</v>
          </cell>
          <cell r="B4808" t="str">
            <v>KINCREM PRESTIGE Nº 7.00</v>
          </cell>
          <cell r="C4808" t="str">
            <v>8435057000062</v>
          </cell>
        </row>
        <row r="4809">
          <cell r="A4809">
            <v>500088</v>
          </cell>
          <cell r="B4809" t="str">
            <v>KINCREM PRESTIGE Nº 7.01</v>
          </cell>
          <cell r="C4809" t="str">
            <v>KP0701</v>
          </cell>
        </row>
        <row r="4810">
          <cell r="A4810">
            <v>500088</v>
          </cell>
          <cell r="B4810" t="str">
            <v>KINCREM PRESTIGE Nº 7.01</v>
          </cell>
          <cell r="C4810" t="str">
            <v>8435057000246</v>
          </cell>
        </row>
        <row r="4811">
          <cell r="A4811">
            <v>500089</v>
          </cell>
          <cell r="B4811" t="str">
            <v>KINCREM PRESTIGE Nº 7.31</v>
          </cell>
          <cell r="C4811" t="str">
            <v>KP0731</v>
          </cell>
        </row>
        <row r="4812">
          <cell r="A4812">
            <v>500089</v>
          </cell>
          <cell r="B4812" t="str">
            <v>KINCREM PRESTIGE Nº 7.31</v>
          </cell>
          <cell r="C4812" t="str">
            <v>8435057000369</v>
          </cell>
        </row>
        <row r="4813">
          <cell r="A4813">
            <v>500090</v>
          </cell>
          <cell r="B4813" t="str">
            <v>KINCREM PRESTIGE Nº 7.34</v>
          </cell>
          <cell r="C4813" t="str">
            <v>KP0734</v>
          </cell>
        </row>
        <row r="4814">
          <cell r="A4814">
            <v>500090</v>
          </cell>
          <cell r="B4814" t="str">
            <v>KINCREM PRESTIGE Nº 7.34</v>
          </cell>
          <cell r="C4814" t="str">
            <v>8435057000444</v>
          </cell>
        </row>
        <row r="4815">
          <cell r="A4815">
            <v>500091</v>
          </cell>
          <cell r="B4815" t="str">
            <v>KINCREM PRESTIGE Nº 7.44</v>
          </cell>
          <cell r="C4815" t="str">
            <v>KP0744</v>
          </cell>
        </row>
        <row r="4816">
          <cell r="A4816">
            <v>500091</v>
          </cell>
          <cell r="B4816" t="str">
            <v>KINCREM PRESTIGE Nº 7.44</v>
          </cell>
          <cell r="C4816" t="str">
            <v>8435057000529</v>
          </cell>
        </row>
        <row r="4817">
          <cell r="A4817">
            <v>500092</v>
          </cell>
          <cell r="B4817" t="str">
            <v>KINCREM PRESTIGE Nº 7.47</v>
          </cell>
          <cell r="C4817" t="str">
            <v>KP0747</v>
          </cell>
        </row>
        <row r="4818">
          <cell r="A4818">
            <v>500092</v>
          </cell>
          <cell r="B4818" t="str">
            <v>KINCREM PRESTIGE Nº 7.47</v>
          </cell>
          <cell r="C4818" t="str">
            <v>8435057001014</v>
          </cell>
        </row>
        <row r="4819">
          <cell r="A4819">
            <v>500093</v>
          </cell>
          <cell r="B4819" t="str">
            <v>KINCREM PRESTIGE Nº 7.51</v>
          </cell>
          <cell r="C4819" t="str">
            <v>KP0751</v>
          </cell>
        </row>
        <row r="4820">
          <cell r="A4820">
            <v>500093</v>
          </cell>
          <cell r="B4820" t="str">
            <v>KINCREM PRESTIGE Nº 7.51</v>
          </cell>
          <cell r="C4820" t="str">
            <v>8435057000604</v>
          </cell>
        </row>
        <row r="4821">
          <cell r="A4821">
            <v>500094</v>
          </cell>
          <cell r="B4821" t="str">
            <v>KINCREM PRESTIGE Nº 7.52</v>
          </cell>
          <cell r="C4821" t="str">
            <v>KP0752</v>
          </cell>
        </row>
        <row r="4822">
          <cell r="A4822">
            <v>500094</v>
          </cell>
          <cell r="B4822" t="str">
            <v>KINCREM PRESTIGE Nº 7.52</v>
          </cell>
          <cell r="C4822" t="str">
            <v>8435057000611</v>
          </cell>
        </row>
        <row r="4823">
          <cell r="A4823">
            <v>500095</v>
          </cell>
          <cell r="B4823" t="str">
            <v>KINCREM PRESTIGE Nº 7.53</v>
          </cell>
          <cell r="C4823" t="str">
            <v>KP0753</v>
          </cell>
        </row>
        <row r="4824">
          <cell r="A4824">
            <v>500095</v>
          </cell>
          <cell r="B4824" t="str">
            <v>KINCREM PRESTIGE Nº 7.53</v>
          </cell>
          <cell r="C4824" t="str">
            <v>8435057000628</v>
          </cell>
        </row>
        <row r="4825">
          <cell r="A4825">
            <v>500096</v>
          </cell>
          <cell r="B4825" t="str">
            <v>KINCREM PRESTIGE Nº 7.70</v>
          </cell>
          <cell r="C4825" t="str">
            <v>KP0770</v>
          </cell>
        </row>
        <row r="4826">
          <cell r="A4826">
            <v>500096</v>
          </cell>
          <cell r="B4826" t="str">
            <v>KINCREM PRESTIGE Nº 7.70</v>
          </cell>
          <cell r="C4826" t="str">
            <v>8435057001892</v>
          </cell>
        </row>
        <row r="4827">
          <cell r="A4827">
            <v>500097</v>
          </cell>
          <cell r="B4827" t="str">
            <v>KINCREM PRESTIGE Nº 7.77</v>
          </cell>
          <cell r="C4827" t="str">
            <v>KP0777</v>
          </cell>
        </row>
        <row r="4828">
          <cell r="A4828">
            <v>500097</v>
          </cell>
          <cell r="B4828" t="str">
            <v>KINCREM PRESTIGE Nº 7.77</v>
          </cell>
          <cell r="C4828" t="str">
            <v>8435057001007</v>
          </cell>
        </row>
        <row r="4829">
          <cell r="A4829">
            <v>500098</v>
          </cell>
          <cell r="B4829" t="str">
            <v>KINCREM PRESTIGE Nº 8.00</v>
          </cell>
          <cell r="C4829" t="str">
            <v>KP0800</v>
          </cell>
        </row>
        <row r="4830">
          <cell r="A4830">
            <v>500098</v>
          </cell>
          <cell r="B4830" t="str">
            <v>KINCREM PRESTIGE Nº 8.00</v>
          </cell>
          <cell r="C4830" t="str">
            <v>8435057000048</v>
          </cell>
        </row>
        <row r="4831">
          <cell r="A4831">
            <v>500099</v>
          </cell>
          <cell r="B4831" t="str">
            <v>KINCREM PRESTIGE Nº 8.01</v>
          </cell>
          <cell r="C4831" t="str">
            <v>KP0801</v>
          </cell>
        </row>
        <row r="4832">
          <cell r="A4832">
            <v>500099</v>
          </cell>
          <cell r="B4832" t="str">
            <v>KINCREM PRESTIGE Nº 8.01</v>
          </cell>
          <cell r="C4832" t="str">
            <v>8435057000215</v>
          </cell>
        </row>
        <row r="4833">
          <cell r="A4833">
            <v>500100</v>
          </cell>
          <cell r="B4833" t="str">
            <v>KINCREM PRESTIGE Nº 8.31</v>
          </cell>
          <cell r="C4833" t="str">
            <v>KP0831</v>
          </cell>
        </row>
        <row r="4834">
          <cell r="A4834">
            <v>500100</v>
          </cell>
          <cell r="B4834" t="str">
            <v>KINCREM PRESTIGE Nº 8.31</v>
          </cell>
          <cell r="C4834" t="str">
            <v>8435057000345</v>
          </cell>
        </row>
        <row r="4835">
          <cell r="A4835">
            <v>500101</v>
          </cell>
          <cell r="B4835" t="str">
            <v>KINCREM PRESTIGE Nº 8.33</v>
          </cell>
          <cell r="C4835" t="str">
            <v>KP0833</v>
          </cell>
        </row>
        <row r="4836">
          <cell r="A4836">
            <v>500101</v>
          </cell>
          <cell r="B4836" t="str">
            <v>KINCREM PRESTIGE Nº 8.33</v>
          </cell>
          <cell r="C4836" t="str">
            <v>8435057000406</v>
          </cell>
        </row>
        <row r="4837">
          <cell r="A4837">
            <v>500102</v>
          </cell>
          <cell r="B4837" t="str">
            <v>KINCREM PRESTIGE Nº 8.34</v>
          </cell>
          <cell r="C4837" t="str">
            <v>KP0834</v>
          </cell>
        </row>
        <row r="4838">
          <cell r="A4838">
            <v>500102</v>
          </cell>
          <cell r="B4838" t="str">
            <v>KINCREM PRESTIGE Nº 8.34</v>
          </cell>
          <cell r="C4838" t="str">
            <v>8435057000420</v>
          </cell>
        </row>
        <row r="4839">
          <cell r="A4839">
            <v>500103</v>
          </cell>
          <cell r="B4839" t="str">
            <v>KINCREM PRESTIGE Nº 8.43</v>
          </cell>
          <cell r="C4839" t="str">
            <v>KP0843</v>
          </cell>
        </row>
        <row r="4840">
          <cell r="A4840">
            <v>500103</v>
          </cell>
          <cell r="B4840" t="str">
            <v>KINCREM PRESTIGE Nº 8.43</v>
          </cell>
          <cell r="C4840" t="str">
            <v>8435057000499</v>
          </cell>
        </row>
        <row r="4841">
          <cell r="A4841">
            <v>500104</v>
          </cell>
          <cell r="B4841" t="str">
            <v>KINCREM PRESTIGE Nº 8.45</v>
          </cell>
          <cell r="C4841" t="str">
            <v>KP0845</v>
          </cell>
        </row>
        <row r="4842">
          <cell r="A4842">
            <v>500104</v>
          </cell>
          <cell r="B4842" t="str">
            <v>KINCREM PRESTIGE Nº 8.45</v>
          </cell>
          <cell r="C4842" t="str">
            <v>8435057000505</v>
          </cell>
        </row>
        <row r="4843">
          <cell r="A4843">
            <v>500105</v>
          </cell>
          <cell r="B4843" t="str">
            <v>KINCREM PRESTIGE Nº 8.53</v>
          </cell>
          <cell r="C4843" t="str">
            <v>KP0853</v>
          </cell>
        </row>
        <row r="4844">
          <cell r="A4844">
            <v>500105</v>
          </cell>
          <cell r="B4844" t="str">
            <v>KINCREM PRESTIGE Nº 8.53</v>
          </cell>
          <cell r="C4844" t="str">
            <v>8435057000581</v>
          </cell>
        </row>
        <row r="4845">
          <cell r="A4845">
            <v>500106</v>
          </cell>
          <cell r="B4845" t="str">
            <v>KINCREM PRESTIGE Nº 8.54</v>
          </cell>
          <cell r="C4845" t="str">
            <v>KP0854</v>
          </cell>
        </row>
        <row r="4846">
          <cell r="A4846">
            <v>500106</v>
          </cell>
          <cell r="B4846" t="str">
            <v>KINCREM PRESTIGE Nº 8.54</v>
          </cell>
          <cell r="C4846" t="str">
            <v>8435057000598</v>
          </cell>
        </row>
        <row r="4847">
          <cell r="A4847">
            <v>500107</v>
          </cell>
          <cell r="B4847" t="str">
            <v>KINCREM PRESTIGE Nº 8.74</v>
          </cell>
          <cell r="C4847" t="str">
            <v>KP0874</v>
          </cell>
        </row>
        <row r="4848">
          <cell r="A4848">
            <v>500107</v>
          </cell>
          <cell r="B4848" t="str">
            <v>KINCREM PRESTIGE Nº 8.74</v>
          </cell>
          <cell r="C4848" t="str">
            <v>8435057000994</v>
          </cell>
        </row>
        <row r="4849">
          <cell r="A4849">
            <v>500108</v>
          </cell>
          <cell r="B4849" t="str">
            <v>KINCREM PRESTIGE Nº 9.00</v>
          </cell>
          <cell r="C4849" t="str">
            <v>KP0900</v>
          </cell>
        </row>
        <row r="4850">
          <cell r="A4850">
            <v>500108</v>
          </cell>
          <cell r="B4850" t="str">
            <v>KINCREM PRESTIGE Nº 9.00</v>
          </cell>
          <cell r="C4850" t="str">
            <v>8435057000024</v>
          </cell>
        </row>
        <row r="4851">
          <cell r="A4851">
            <v>500109</v>
          </cell>
          <cell r="B4851" t="str">
            <v>KINCREM PRESTIGE Nº 9.01</v>
          </cell>
          <cell r="C4851" t="str">
            <v>KP0901</v>
          </cell>
        </row>
        <row r="4852">
          <cell r="A4852">
            <v>500109</v>
          </cell>
          <cell r="B4852" t="str">
            <v>KINCREM PRESTIGE Nº 9.01</v>
          </cell>
          <cell r="C4852" t="str">
            <v>8435057000178</v>
          </cell>
        </row>
        <row r="4853">
          <cell r="A4853">
            <v>500110</v>
          </cell>
          <cell r="B4853" t="str">
            <v>KINCREM PRESTIGE Nº 9.02</v>
          </cell>
          <cell r="C4853" t="str">
            <v>KP0902</v>
          </cell>
        </row>
        <row r="4854">
          <cell r="A4854">
            <v>500110</v>
          </cell>
          <cell r="B4854" t="str">
            <v>KINCREM PRESTIGE Nº 9.02</v>
          </cell>
          <cell r="C4854" t="str">
            <v>8435057000185</v>
          </cell>
        </row>
        <row r="4855">
          <cell r="A4855">
            <v>500111</v>
          </cell>
          <cell r="B4855" t="str">
            <v>KINCREM PRESTIGE Nº 9.12</v>
          </cell>
          <cell r="C4855" t="str">
            <v>KP0912</v>
          </cell>
        </row>
        <row r="4856">
          <cell r="A4856">
            <v>500111</v>
          </cell>
          <cell r="B4856" t="str">
            <v>KINCREM PRESTIGE Nº 9.12</v>
          </cell>
          <cell r="C4856" t="str">
            <v>8435057000208</v>
          </cell>
        </row>
        <row r="4857">
          <cell r="A4857">
            <v>500112</v>
          </cell>
          <cell r="B4857" t="str">
            <v>KINCREM PRESTIGE Nº 9.31</v>
          </cell>
          <cell r="C4857" t="str">
            <v>KP0931</v>
          </cell>
        </row>
        <row r="4858">
          <cell r="A4858">
            <v>500112</v>
          </cell>
          <cell r="B4858" t="str">
            <v>KINCREM PRESTIGE Nº 9.31</v>
          </cell>
          <cell r="C4858" t="str">
            <v>8435057000321</v>
          </cell>
        </row>
        <row r="4859">
          <cell r="A4859">
            <v>500113</v>
          </cell>
          <cell r="B4859" t="str">
            <v>KINCREM PRESTIGE Nº 10.00</v>
          </cell>
          <cell r="C4859" t="str">
            <v>KP1000</v>
          </cell>
        </row>
        <row r="4860">
          <cell r="A4860">
            <v>500113</v>
          </cell>
          <cell r="B4860" t="str">
            <v>KINCREM PRESTIGE Nº 10.00</v>
          </cell>
          <cell r="C4860" t="str">
            <v>8435057000758</v>
          </cell>
        </row>
        <row r="4861">
          <cell r="A4861">
            <v>500114</v>
          </cell>
          <cell r="B4861" t="str">
            <v>KINCREM PRESTIGE Nº 10.01</v>
          </cell>
          <cell r="C4861" t="str">
            <v>KP1001</v>
          </cell>
        </row>
        <row r="4862">
          <cell r="A4862">
            <v>500114</v>
          </cell>
          <cell r="B4862" t="str">
            <v>KINCREM PRESTIGE Nº 10.01</v>
          </cell>
          <cell r="C4862" t="str">
            <v>8435057000772</v>
          </cell>
        </row>
        <row r="4863">
          <cell r="A4863">
            <v>500115</v>
          </cell>
          <cell r="B4863" t="str">
            <v>KINCREM PRESTIGE Nº 10.34</v>
          </cell>
          <cell r="C4863" t="str">
            <v>KP1034</v>
          </cell>
        </row>
        <row r="4864">
          <cell r="A4864">
            <v>500115</v>
          </cell>
          <cell r="B4864" t="str">
            <v>KINCREM PRESTIGE Nº 10.34</v>
          </cell>
          <cell r="C4864" t="str">
            <v>8435057000796</v>
          </cell>
        </row>
        <row r="4865">
          <cell r="A4865">
            <v>500116</v>
          </cell>
          <cell r="B4865" t="str">
            <v>KINCREM PRESTIGE Nº 11.02</v>
          </cell>
          <cell r="C4865" t="str">
            <v>KP1102</v>
          </cell>
        </row>
        <row r="4866">
          <cell r="A4866">
            <v>500116</v>
          </cell>
          <cell r="B4866" t="str">
            <v>KINCREM PRESTIGE Nº 11.02</v>
          </cell>
          <cell r="C4866" t="str">
            <v>8435057000956</v>
          </cell>
        </row>
        <row r="4867">
          <cell r="A4867">
            <v>500117</v>
          </cell>
          <cell r="B4867" t="str">
            <v>KINCREM PRESTIGE Nº 11.12</v>
          </cell>
          <cell r="C4867" t="str">
            <v>KP1112</v>
          </cell>
        </row>
        <row r="4868">
          <cell r="A4868">
            <v>500117</v>
          </cell>
          <cell r="B4868" t="str">
            <v>KINCREM PRESTIGE Nº 11.12</v>
          </cell>
          <cell r="C4868" t="str">
            <v>8435057000949</v>
          </cell>
        </row>
        <row r="4869">
          <cell r="A4869">
            <v>500118</v>
          </cell>
          <cell r="B4869" t="str">
            <v>KINCREM PRESTIGE Nº 11.34</v>
          </cell>
          <cell r="C4869" t="str">
            <v>KP1134</v>
          </cell>
        </row>
        <row r="4870">
          <cell r="A4870">
            <v>500118</v>
          </cell>
          <cell r="B4870" t="str">
            <v>KINCREM PRESTIGE Nº 11.34</v>
          </cell>
          <cell r="C4870" t="str">
            <v>8435057000987</v>
          </cell>
        </row>
        <row r="4871">
          <cell r="A4871">
            <v>500119</v>
          </cell>
          <cell r="B4871" t="str">
            <v>K. PRESTIGE EST. 1 TUBO Nº 1</v>
          </cell>
          <cell r="C4871" t="str">
            <v>EP0001</v>
          </cell>
        </row>
        <row r="4872">
          <cell r="A4872">
            <v>500120</v>
          </cell>
          <cell r="B4872" t="str">
            <v>K. PRESTIGE EST. 1 TUBO Nº 2</v>
          </cell>
          <cell r="C4872" t="str">
            <v>EP0002</v>
          </cell>
        </row>
        <row r="4873">
          <cell r="A4873">
            <v>500121</v>
          </cell>
          <cell r="B4873" t="str">
            <v>K. PRESTIGE EST. 1 TUBO Nº 3</v>
          </cell>
          <cell r="C4873" t="str">
            <v>EP0003</v>
          </cell>
        </row>
        <row r="4874">
          <cell r="A4874">
            <v>500122</v>
          </cell>
          <cell r="B4874" t="str">
            <v>K. PRESTIGE EST. 1 TUBO Nº 4</v>
          </cell>
          <cell r="C4874" t="str">
            <v>EP0004</v>
          </cell>
        </row>
        <row r="4875">
          <cell r="A4875">
            <v>500123</v>
          </cell>
          <cell r="B4875" t="str">
            <v>K. PRESTIGE EST. 1 TUBO Nº 5</v>
          </cell>
          <cell r="C4875" t="str">
            <v>EP0005</v>
          </cell>
        </row>
        <row r="4876">
          <cell r="A4876">
            <v>500124</v>
          </cell>
          <cell r="B4876" t="str">
            <v>K. PRESTIGE EST. 1 TUBO Nº 6</v>
          </cell>
          <cell r="C4876" t="str">
            <v>EP0006</v>
          </cell>
        </row>
        <row r="4877">
          <cell r="A4877">
            <v>500125</v>
          </cell>
          <cell r="B4877" t="str">
            <v>K. PRESTIGE EST. 1 TUBO Nº 7</v>
          </cell>
          <cell r="C4877" t="str">
            <v>EP0007</v>
          </cell>
        </row>
        <row r="4878">
          <cell r="A4878">
            <v>500126</v>
          </cell>
          <cell r="B4878" t="str">
            <v>K. PRESTIGE EST. 1 TUBO Nº 8</v>
          </cell>
          <cell r="C4878" t="str">
            <v>EP0008</v>
          </cell>
        </row>
        <row r="4879">
          <cell r="A4879">
            <v>500127</v>
          </cell>
          <cell r="B4879" t="str">
            <v>K. PRESTIGE EST. 1 TUBO Nº 9</v>
          </cell>
          <cell r="C4879" t="str">
            <v>EP0009</v>
          </cell>
        </row>
        <row r="4880">
          <cell r="A4880">
            <v>500128</v>
          </cell>
          <cell r="B4880" t="str">
            <v>K. PRESTIGE EST. 1 TUBO Nº 10</v>
          </cell>
          <cell r="C4880" t="str">
            <v>EP0010</v>
          </cell>
        </row>
        <row r="4881">
          <cell r="A4881">
            <v>500129</v>
          </cell>
          <cell r="B4881" t="str">
            <v>K. PRESTIGE EST. 1 TUBO Nº 1.1</v>
          </cell>
          <cell r="C4881" t="str">
            <v>EP0011</v>
          </cell>
        </row>
        <row r="4882">
          <cell r="A4882">
            <v>500130</v>
          </cell>
          <cell r="B4882" t="str">
            <v>K. PRESTIGE EST. 1 TUBO Nº 3.5</v>
          </cell>
          <cell r="C4882" t="str">
            <v>EP0035</v>
          </cell>
        </row>
        <row r="4883">
          <cell r="A4883">
            <v>500131</v>
          </cell>
          <cell r="B4883" t="str">
            <v>K. PRESTIGE EST. 1 TUBO Nº 4.3</v>
          </cell>
          <cell r="C4883" t="str">
            <v>EP0043</v>
          </cell>
        </row>
        <row r="4884">
          <cell r="A4884">
            <v>500132</v>
          </cell>
          <cell r="B4884" t="str">
            <v>K. PRESTIGE EST. 1 TUBO Nº 4.5</v>
          </cell>
          <cell r="C4884" t="str">
            <v>EP0045</v>
          </cell>
        </row>
        <row r="4885">
          <cell r="A4885">
            <v>500133</v>
          </cell>
          <cell r="B4885" t="str">
            <v>K. PRESTIGE EST. 1 TUBO Nº 5.1</v>
          </cell>
          <cell r="C4885" t="str">
            <v>EP0051</v>
          </cell>
        </row>
        <row r="4886">
          <cell r="A4886">
            <v>500134</v>
          </cell>
          <cell r="B4886" t="str">
            <v>K. PRESTIGE EST. 1 TUBO Nº 5.3</v>
          </cell>
          <cell r="C4886" t="str">
            <v>EP0053</v>
          </cell>
        </row>
        <row r="4887">
          <cell r="A4887">
            <v>500135</v>
          </cell>
          <cell r="B4887" t="str">
            <v>K. PRESTIGE EST. 1 TUBO Nº 5.4</v>
          </cell>
          <cell r="C4887" t="str">
            <v>EP0054</v>
          </cell>
        </row>
        <row r="4888">
          <cell r="A4888">
            <v>500136</v>
          </cell>
          <cell r="B4888" t="str">
            <v>K. PRESTIGE EST. 1 TUBO Nº 5.5</v>
          </cell>
          <cell r="C4888" t="str">
            <v>EP0055</v>
          </cell>
        </row>
        <row r="4889">
          <cell r="A4889">
            <v>500137</v>
          </cell>
          <cell r="B4889" t="str">
            <v>K. PRESTIGE EST. 1 TUBO Nº 6.1</v>
          </cell>
          <cell r="C4889" t="str">
            <v>EP0061</v>
          </cell>
        </row>
        <row r="4890">
          <cell r="A4890">
            <v>500138</v>
          </cell>
          <cell r="B4890" t="str">
            <v>K. PRESTIGE EST. 1 TUBO Nº 6.3</v>
          </cell>
          <cell r="C4890" t="str">
            <v>EP0063</v>
          </cell>
        </row>
        <row r="4891">
          <cell r="A4891">
            <v>500139</v>
          </cell>
          <cell r="B4891" t="str">
            <v>K. PRESTIGE EST. 1 TUBO Nº 6.5</v>
          </cell>
          <cell r="C4891" t="str">
            <v>EP0065</v>
          </cell>
        </row>
        <row r="4892">
          <cell r="A4892">
            <v>500140</v>
          </cell>
          <cell r="B4892" t="str">
            <v>K. PRESTIGE EST. 1 TUBO Nº 6.6</v>
          </cell>
          <cell r="C4892" t="str">
            <v>EP0066</v>
          </cell>
        </row>
        <row r="4893">
          <cell r="A4893">
            <v>500141</v>
          </cell>
          <cell r="B4893" t="str">
            <v>K. PRESTIGE EST. 1 TUBO Nº 7.1</v>
          </cell>
          <cell r="C4893" t="str">
            <v>EP0071</v>
          </cell>
        </row>
        <row r="4894">
          <cell r="A4894">
            <v>500142</v>
          </cell>
          <cell r="B4894" t="str">
            <v>K. PRESTIGE EST. 1 TUBO Nº 7.3</v>
          </cell>
          <cell r="C4894" t="str">
            <v>EP0073</v>
          </cell>
        </row>
        <row r="4895">
          <cell r="A4895">
            <v>500143</v>
          </cell>
          <cell r="B4895" t="str">
            <v>K. PRESTIGE EST. 1 TUBO Nº 7.4</v>
          </cell>
          <cell r="C4895" t="str">
            <v>EP0074</v>
          </cell>
        </row>
        <row r="4896">
          <cell r="A4896">
            <v>500144</v>
          </cell>
          <cell r="B4896" t="str">
            <v>K. PRESTIGE EST. 1 TUBO Nº 7.5</v>
          </cell>
          <cell r="C4896" t="str">
            <v>EP0075</v>
          </cell>
        </row>
        <row r="4897">
          <cell r="A4897">
            <v>500145</v>
          </cell>
          <cell r="B4897" t="str">
            <v>K. PRESTIGE EST. 1 TUBO Nº 7.6</v>
          </cell>
          <cell r="C4897" t="str">
            <v>EP0076</v>
          </cell>
        </row>
        <row r="4898">
          <cell r="A4898">
            <v>500146</v>
          </cell>
          <cell r="B4898" t="str">
            <v>K. PRESTIGE EST. 1 TUBO Nº 7.9</v>
          </cell>
          <cell r="C4898" t="str">
            <v>EP0079</v>
          </cell>
        </row>
        <row r="4899">
          <cell r="A4899">
            <v>500147</v>
          </cell>
          <cell r="B4899" t="str">
            <v>K. PRESTIGE EST. 1 TUBO Nº 8.1</v>
          </cell>
          <cell r="C4899" t="str">
            <v>EP0081</v>
          </cell>
        </row>
        <row r="4900">
          <cell r="A4900">
            <v>500148</v>
          </cell>
          <cell r="B4900" t="str">
            <v>K. PRESTIGE EST. 1 TUBO Nº 8.2</v>
          </cell>
          <cell r="C4900" t="str">
            <v>EP0082</v>
          </cell>
        </row>
        <row r="4901">
          <cell r="A4901">
            <v>500149</v>
          </cell>
          <cell r="B4901" t="str">
            <v>K. PRESTIGE EST. 1 TUBO Nº 8.3</v>
          </cell>
          <cell r="C4901" t="str">
            <v>EP0083</v>
          </cell>
        </row>
        <row r="4902">
          <cell r="A4902">
            <v>500150</v>
          </cell>
          <cell r="B4902" t="str">
            <v>K. PRESTIGE EST. 1 TUBO Nº 8.6</v>
          </cell>
          <cell r="C4902" t="str">
            <v>EP0086</v>
          </cell>
        </row>
        <row r="4903">
          <cell r="A4903">
            <v>500151</v>
          </cell>
          <cell r="B4903" t="str">
            <v>K. PRESTIGE EST. 1 TUBO Nº 9.1</v>
          </cell>
          <cell r="C4903" t="str">
            <v>EP0091</v>
          </cell>
        </row>
        <row r="4904">
          <cell r="A4904">
            <v>500152</v>
          </cell>
          <cell r="B4904" t="str">
            <v>K. PRESTIGE EST. 1 TUBO Nº 9.3</v>
          </cell>
          <cell r="C4904" t="str">
            <v>EP0093</v>
          </cell>
        </row>
        <row r="4905">
          <cell r="A4905">
            <v>500153</v>
          </cell>
          <cell r="B4905" t="str">
            <v>K. PRESTIGE EST. 1 TUBO Nº 9.6</v>
          </cell>
          <cell r="C4905" t="str">
            <v>EP0096</v>
          </cell>
        </row>
        <row r="4906">
          <cell r="A4906">
            <v>500154</v>
          </cell>
          <cell r="B4906" t="str">
            <v>K. PRESTIGE EST. 1 TUBO Nº 9.9</v>
          </cell>
          <cell r="C4906" t="str">
            <v>EP0099</v>
          </cell>
        </row>
        <row r="4907">
          <cell r="A4907">
            <v>500155</v>
          </cell>
          <cell r="B4907" t="str">
            <v>K. PRESTIGE EST. 1 TUBO Nº M1</v>
          </cell>
          <cell r="C4907" t="str">
            <v>EP00M1</v>
          </cell>
        </row>
        <row r="4908">
          <cell r="A4908">
            <v>500156</v>
          </cell>
          <cell r="B4908" t="str">
            <v>K. PRESTIGE EST. 1 TUBO Nº M2</v>
          </cell>
          <cell r="C4908" t="str">
            <v>EP00M2</v>
          </cell>
        </row>
        <row r="4909">
          <cell r="A4909">
            <v>500157</v>
          </cell>
          <cell r="B4909" t="str">
            <v>K. PRESTIGE EST. 1 TUBO Nº M3</v>
          </cell>
          <cell r="C4909" t="str">
            <v>EP00M3</v>
          </cell>
        </row>
        <row r="4910">
          <cell r="A4910">
            <v>500158</v>
          </cell>
          <cell r="B4910" t="str">
            <v>K. PRESTIGE EST. 1 TUBO Nº M4</v>
          </cell>
          <cell r="C4910" t="str">
            <v>EP00M4</v>
          </cell>
        </row>
        <row r="4911">
          <cell r="A4911">
            <v>500159</v>
          </cell>
          <cell r="B4911" t="str">
            <v>K. PRESTIGE EST. 1 TUBO Nº M5</v>
          </cell>
          <cell r="C4911" t="str">
            <v>EP00M5</v>
          </cell>
        </row>
        <row r="4912">
          <cell r="A4912">
            <v>500160</v>
          </cell>
          <cell r="B4912" t="str">
            <v>K. PRESTIGE EST. 1 TUBO Nº M6</v>
          </cell>
          <cell r="C4912" t="str">
            <v>EP00M6</v>
          </cell>
        </row>
        <row r="4913">
          <cell r="A4913">
            <v>500161</v>
          </cell>
          <cell r="B4913" t="str">
            <v>K. PRESTIGE EST. 1 TUBO Nº M7</v>
          </cell>
          <cell r="C4913" t="str">
            <v>EP00M7</v>
          </cell>
        </row>
        <row r="4914">
          <cell r="A4914">
            <v>500162</v>
          </cell>
          <cell r="B4914" t="str">
            <v>K. PRESTIGE EST 1 TUBO Nº 10.1</v>
          </cell>
          <cell r="C4914" t="str">
            <v>EP0101</v>
          </cell>
        </row>
        <row r="4915">
          <cell r="A4915">
            <v>500163</v>
          </cell>
          <cell r="B4915" t="str">
            <v>K. PRESTIGE EST 1 TUBO Nº 10.3</v>
          </cell>
          <cell r="C4915" t="str">
            <v>EP0103</v>
          </cell>
        </row>
        <row r="4916">
          <cell r="A4916">
            <v>500164</v>
          </cell>
          <cell r="B4916" t="str">
            <v>K. PRESTIGE EST 1 TUBO Nº 10.6</v>
          </cell>
          <cell r="C4916" t="str">
            <v>EP0106</v>
          </cell>
        </row>
        <row r="4917">
          <cell r="A4917">
            <v>500165</v>
          </cell>
          <cell r="B4917" t="str">
            <v>K. PRESTIGE EST 1 TUBO Nº 11.0</v>
          </cell>
          <cell r="C4917" t="str">
            <v>EP0110</v>
          </cell>
        </row>
        <row r="4918">
          <cell r="A4918">
            <v>500166</v>
          </cell>
          <cell r="B4918" t="str">
            <v>K. PRESTIGE EST 1 TUBO Nº 11.1</v>
          </cell>
          <cell r="C4918" t="str">
            <v>EP0111</v>
          </cell>
        </row>
        <row r="4919">
          <cell r="A4919">
            <v>500167</v>
          </cell>
          <cell r="B4919" t="str">
            <v>K. PRESTIGE EST 1 TUBO Nº 11.3</v>
          </cell>
          <cell r="C4919" t="str">
            <v>EP0113</v>
          </cell>
        </row>
        <row r="4920">
          <cell r="A4920">
            <v>500168</v>
          </cell>
          <cell r="B4920" t="str">
            <v>K. PRESTIGE EST 1 TUBO Nº 11.6</v>
          </cell>
          <cell r="C4920" t="str">
            <v>EP0116</v>
          </cell>
        </row>
        <row r="4921">
          <cell r="A4921">
            <v>500169</v>
          </cell>
          <cell r="B4921" t="str">
            <v>K. PRESTIGE EST 1 TUBO Nº 12.0</v>
          </cell>
          <cell r="C4921" t="str">
            <v>EP0120</v>
          </cell>
        </row>
        <row r="4922">
          <cell r="A4922">
            <v>500170</v>
          </cell>
          <cell r="B4922" t="str">
            <v>K. PRESTIGE EST 1 TUBO Nº 12.1</v>
          </cell>
          <cell r="C4922" t="str">
            <v>EP0121</v>
          </cell>
        </row>
        <row r="4923">
          <cell r="A4923">
            <v>500171</v>
          </cell>
          <cell r="B4923" t="str">
            <v>K. PRESTIGE EST 1 TUBO Nº 3.00</v>
          </cell>
          <cell r="C4923" t="str">
            <v>EP0300</v>
          </cell>
        </row>
        <row r="4924">
          <cell r="A4924">
            <v>500172</v>
          </cell>
          <cell r="B4924" t="str">
            <v>K. PRESTIGE EST 1 TUBO Nº 4.00</v>
          </cell>
          <cell r="C4924" t="str">
            <v>EP0400</v>
          </cell>
        </row>
        <row r="4925">
          <cell r="A4925">
            <v>500173</v>
          </cell>
          <cell r="B4925" t="str">
            <v>K. PRESTIGE EST 1 TUBO Nº 4.42</v>
          </cell>
          <cell r="C4925" t="str">
            <v>EP0442</v>
          </cell>
        </row>
        <row r="4926">
          <cell r="A4926">
            <v>500174</v>
          </cell>
          <cell r="B4926" t="str">
            <v>K. PRESTIGE EST 1 TUBO Nº 4.80</v>
          </cell>
          <cell r="C4926" t="str">
            <v>EP0480</v>
          </cell>
        </row>
        <row r="4927">
          <cell r="A4927">
            <v>500175</v>
          </cell>
          <cell r="B4927" t="str">
            <v>K. PRESTIGE EST 1 TUBO Nº 5.00</v>
          </cell>
          <cell r="C4927" t="str">
            <v>EP0500</v>
          </cell>
        </row>
        <row r="4928">
          <cell r="A4928">
            <v>500176</v>
          </cell>
          <cell r="B4928" t="str">
            <v>K. PRESTIGE EST 1 TUBO Nº 5.51</v>
          </cell>
          <cell r="C4928" t="str">
            <v>EP0551</v>
          </cell>
        </row>
        <row r="4929">
          <cell r="A4929">
            <v>500177</v>
          </cell>
          <cell r="B4929" t="str">
            <v>K. PRESTIGE EST 1 TUBO Nº 5.52</v>
          </cell>
          <cell r="C4929" t="str">
            <v>EP0552</v>
          </cell>
        </row>
        <row r="4930">
          <cell r="A4930">
            <v>500178</v>
          </cell>
          <cell r="B4930" t="str">
            <v>K. PRESTIGE EST 1 TUBO Nº 5.53</v>
          </cell>
          <cell r="C4930" t="str">
            <v>EP0553</v>
          </cell>
        </row>
        <row r="4931">
          <cell r="A4931">
            <v>500179</v>
          </cell>
          <cell r="B4931" t="str">
            <v>K. PRESTIGE EST 1 TUBO Nº 5.57</v>
          </cell>
          <cell r="C4931" t="str">
            <v>EP0557</v>
          </cell>
        </row>
        <row r="4932">
          <cell r="A4932">
            <v>500180</v>
          </cell>
          <cell r="B4932" t="str">
            <v>K. PRESTIGE EST 1 TUBO Nº 5.72</v>
          </cell>
          <cell r="C4932" t="str">
            <v>EP0572</v>
          </cell>
        </row>
        <row r="4933">
          <cell r="A4933">
            <v>500181</v>
          </cell>
          <cell r="B4933" t="str">
            <v>K. PRESTIGE EST 1 TUBO Nº 6.00</v>
          </cell>
          <cell r="C4933" t="str">
            <v>EP0600</v>
          </cell>
        </row>
        <row r="4934">
          <cell r="A4934">
            <v>500182</v>
          </cell>
          <cell r="B4934" t="str">
            <v>K. PRESTIGE EST 1 TUBO Nº 6.01</v>
          </cell>
          <cell r="C4934" t="str">
            <v>EP0601</v>
          </cell>
        </row>
        <row r="4935">
          <cell r="A4935">
            <v>500183</v>
          </cell>
          <cell r="B4935" t="str">
            <v>K. PRESTIGE EST 1 TUBO Nº 6.12</v>
          </cell>
          <cell r="C4935" t="str">
            <v>EP0612</v>
          </cell>
        </row>
        <row r="4936">
          <cell r="A4936">
            <v>500184</v>
          </cell>
          <cell r="B4936" t="str">
            <v>K. PRESTIGE EST 1 TUBO Nº 6.31</v>
          </cell>
          <cell r="C4936" t="str">
            <v>EP0631</v>
          </cell>
        </row>
        <row r="4937">
          <cell r="A4937">
            <v>500185</v>
          </cell>
          <cell r="B4937" t="str">
            <v>K. PRESTIGE EST 1 TUBO Nº 6.34</v>
          </cell>
          <cell r="C4937" t="str">
            <v>EP0634</v>
          </cell>
        </row>
        <row r="4938">
          <cell r="A4938">
            <v>500186</v>
          </cell>
          <cell r="B4938" t="str">
            <v>K. PRESTIGE EST 1 TUBO Nº 6.42</v>
          </cell>
          <cell r="C4938" t="str">
            <v>EP0642</v>
          </cell>
        </row>
        <row r="4939">
          <cell r="A4939">
            <v>500187</v>
          </cell>
          <cell r="B4939" t="str">
            <v>K. PRESTIGE EST 1 TUBO Nº 6.43</v>
          </cell>
          <cell r="C4939" t="str">
            <v>EP0643</v>
          </cell>
        </row>
        <row r="4940">
          <cell r="A4940">
            <v>500188</v>
          </cell>
          <cell r="B4940" t="str">
            <v>K. PRESTIGE EST 1 TUBO Nº 6.45</v>
          </cell>
          <cell r="C4940" t="str">
            <v>EP0645</v>
          </cell>
        </row>
        <row r="4941">
          <cell r="A4941">
            <v>500189</v>
          </cell>
          <cell r="B4941" t="str">
            <v>K. PRESTIGE EST 1 TUBO Nº 6.51</v>
          </cell>
          <cell r="C4941" t="str">
            <v>EP0651</v>
          </cell>
        </row>
        <row r="4942">
          <cell r="A4942">
            <v>500190</v>
          </cell>
          <cell r="B4942" t="str">
            <v>K. PRESTIGE EST 1 TUBO Nº 6.53</v>
          </cell>
          <cell r="C4942" t="str">
            <v>EP0653</v>
          </cell>
        </row>
        <row r="4943">
          <cell r="A4943">
            <v>500191</v>
          </cell>
          <cell r="B4943" t="str">
            <v>K. PRESTIGE EST 1 TUBO Nº 6.54</v>
          </cell>
          <cell r="C4943" t="str">
            <v>EP0654</v>
          </cell>
        </row>
        <row r="4944">
          <cell r="A4944">
            <v>500192</v>
          </cell>
          <cell r="B4944" t="str">
            <v>K. PRESTIGE EST 1 TUBO Nº 6.70</v>
          </cell>
          <cell r="C4944" t="str">
            <v>EP0670</v>
          </cell>
        </row>
        <row r="4945">
          <cell r="A4945">
            <v>500193</v>
          </cell>
          <cell r="B4945" t="str">
            <v>K. PRESTIGE EST 1 TUBO Nº 6.72</v>
          </cell>
          <cell r="C4945" t="str">
            <v>EP0672</v>
          </cell>
        </row>
        <row r="4946">
          <cell r="A4946">
            <v>500194</v>
          </cell>
          <cell r="B4946" t="str">
            <v>K. PRESTIGE EST 1 TUBO Nº 6.74</v>
          </cell>
          <cell r="C4946" t="str">
            <v>EP0674</v>
          </cell>
        </row>
        <row r="4947">
          <cell r="A4947">
            <v>500195</v>
          </cell>
          <cell r="B4947" t="str">
            <v>K. PRESTIGE EST 1 TUBO Nº 6.87</v>
          </cell>
          <cell r="C4947" t="str">
            <v>EP0687</v>
          </cell>
        </row>
        <row r="4948">
          <cell r="A4948">
            <v>500196</v>
          </cell>
          <cell r="B4948" t="str">
            <v>K. PRESTIGE EST 1 TUBO Nº 7.00</v>
          </cell>
          <cell r="C4948" t="str">
            <v>EP0700</v>
          </cell>
        </row>
        <row r="4949">
          <cell r="A4949">
            <v>500197</v>
          </cell>
          <cell r="B4949" t="str">
            <v>K. PRESTIGE EST 1 TUBO Nº 7.01</v>
          </cell>
          <cell r="C4949" t="str">
            <v>EP0701</v>
          </cell>
        </row>
        <row r="4950">
          <cell r="A4950">
            <v>500198</v>
          </cell>
          <cell r="B4950" t="str">
            <v>K. PRESTIGE EST 1 TUBO Nº 7.31</v>
          </cell>
          <cell r="C4950" t="str">
            <v>EP0731</v>
          </cell>
        </row>
        <row r="4951">
          <cell r="A4951">
            <v>500199</v>
          </cell>
          <cell r="B4951" t="str">
            <v>K. PRESTIGE EST 1 TUBO Nº 7.34</v>
          </cell>
          <cell r="C4951" t="str">
            <v>EP0734</v>
          </cell>
        </row>
        <row r="4952">
          <cell r="A4952">
            <v>500200</v>
          </cell>
          <cell r="B4952" t="str">
            <v>K. PRESTIGE EST 1 TUBO Nº 7.44</v>
          </cell>
          <cell r="C4952" t="str">
            <v>EP0744</v>
          </cell>
        </row>
        <row r="4953">
          <cell r="A4953">
            <v>500201</v>
          </cell>
          <cell r="B4953" t="str">
            <v>K. PRESTIGE EST 1 TUBO Nº 7.47</v>
          </cell>
          <cell r="C4953" t="str">
            <v>EP0747</v>
          </cell>
        </row>
        <row r="4954">
          <cell r="A4954">
            <v>500202</v>
          </cell>
          <cell r="B4954" t="str">
            <v>K. PRESTIGE EST 1 TUBO Nº 7.51</v>
          </cell>
          <cell r="C4954" t="str">
            <v>EP0751</v>
          </cell>
        </row>
        <row r="4955">
          <cell r="A4955">
            <v>500203</v>
          </cell>
          <cell r="B4955" t="str">
            <v>K. PRESTIGE EST 1 TUBO Nº 7.52</v>
          </cell>
          <cell r="C4955" t="str">
            <v>EP0752</v>
          </cell>
        </row>
        <row r="4956">
          <cell r="A4956">
            <v>500204</v>
          </cell>
          <cell r="B4956" t="str">
            <v>K. PRESTIGE EST 1 TUBO Nº 7.53</v>
          </cell>
          <cell r="C4956" t="str">
            <v>EP0753</v>
          </cell>
        </row>
        <row r="4957">
          <cell r="A4957">
            <v>500205</v>
          </cell>
          <cell r="B4957" t="str">
            <v>K. PRESTIGE EST 1 TUBO Nº 7.70</v>
          </cell>
          <cell r="C4957" t="str">
            <v>EP0770</v>
          </cell>
        </row>
        <row r="4958">
          <cell r="A4958">
            <v>500206</v>
          </cell>
          <cell r="B4958" t="str">
            <v>K. PRESTIGE EST 1 TUBO Nº 7.77</v>
          </cell>
          <cell r="C4958" t="str">
            <v>EP0777</v>
          </cell>
        </row>
        <row r="4959">
          <cell r="A4959">
            <v>500207</v>
          </cell>
          <cell r="B4959" t="str">
            <v>K. PRESTIGE EST 1 TUBO Nº 8.00</v>
          </cell>
          <cell r="C4959" t="str">
            <v>EP0800</v>
          </cell>
        </row>
        <row r="4960">
          <cell r="A4960">
            <v>500208</v>
          </cell>
          <cell r="B4960" t="str">
            <v>K. PRESTIGE EST 1 TUBO Nº 8.01</v>
          </cell>
          <cell r="C4960" t="str">
            <v>EP0801</v>
          </cell>
        </row>
        <row r="4961">
          <cell r="A4961">
            <v>500209</v>
          </cell>
          <cell r="B4961" t="str">
            <v>K. PRESTIGE EST 1 TUBO Nº 8.31</v>
          </cell>
          <cell r="C4961" t="str">
            <v>EP0831</v>
          </cell>
        </row>
        <row r="4962">
          <cell r="A4962">
            <v>500210</v>
          </cell>
          <cell r="B4962" t="str">
            <v>K. PRESTIGE EST 1 TUBO Nº 8.33</v>
          </cell>
          <cell r="C4962" t="str">
            <v>EP0833</v>
          </cell>
        </row>
        <row r="4963">
          <cell r="A4963">
            <v>500211</v>
          </cell>
          <cell r="B4963" t="str">
            <v>K. PRESTIGE EST 1 TUBO Nº 8.34</v>
          </cell>
          <cell r="C4963" t="str">
            <v>EP0834</v>
          </cell>
        </row>
        <row r="4964">
          <cell r="A4964">
            <v>500212</v>
          </cell>
          <cell r="B4964" t="str">
            <v>K. PRESTIGE EST 1 TUBO Nº 8.43</v>
          </cell>
          <cell r="C4964" t="str">
            <v>EP0843</v>
          </cell>
        </row>
        <row r="4965">
          <cell r="A4965">
            <v>500213</v>
          </cell>
          <cell r="B4965" t="str">
            <v>K. PRESTIGE EST 1 TUBO Nº 8.45</v>
          </cell>
          <cell r="C4965" t="str">
            <v>EP0845</v>
          </cell>
        </row>
        <row r="4966">
          <cell r="A4966">
            <v>500214</v>
          </cell>
          <cell r="B4966" t="str">
            <v>K. PRESTIGE EST 1 TUBO Nº 8.53</v>
          </cell>
          <cell r="C4966" t="str">
            <v>EP0853</v>
          </cell>
        </row>
        <row r="4967">
          <cell r="A4967">
            <v>500215</v>
          </cell>
          <cell r="B4967" t="str">
            <v>K. PRESTIGE EST 1 TUBO Nº 8.54</v>
          </cell>
          <cell r="C4967" t="str">
            <v>EP0854</v>
          </cell>
        </row>
        <row r="4968">
          <cell r="A4968">
            <v>500216</v>
          </cell>
          <cell r="B4968" t="str">
            <v>K. PRESTIGE EST 1 TUBO Nº 8.74</v>
          </cell>
          <cell r="C4968" t="str">
            <v>EP0874</v>
          </cell>
        </row>
        <row r="4969">
          <cell r="A4969">
            <v>500217</v>
          </cell>
          <cell r="B4969" t="str">
            <v>K. PRESTIGE EST 1 TUBO Nº 9.00</v>
          </cell>
          <cell r="C4969" t="str">
            <v>EP0900</v>
          </cell>
        </row>
        <row r="4970">
          <cell r="A4970">
            <v>500218</v>
          </cell>
          <cell r="B4970" t="str">
            <v>K. PRESTIGE EST 1 TUBO Nº 9.01</v>
          </cell>
          <cell r="C4970" t="str">
            <v>EP0901</v>
          </cell>
        </row>
        <row r="4971">
          <cell r="A4971">
            <v>500219</v>
          </cell>
          <cell r="B4971" t="str">
            <v>K. PRESTIGE EST 1 TUBO Nº 9.02</v>
          </cell>
          <cell r="C4971" t="str">
            <v>EP0902</v>
          </cell>
        </row>
        <row r="4972">
          <cell r="A4972">
            <v>500220</v>
          </cell>
          <cell r="B4972" t="str">
            <v>K. PRESTIGE EST 1 TUBO Nº 9.12</v>
          </cell>
          <cell r="C4972" t="str">
            <v>EP0912</v>
          </cell>
        </row>
        <row r="4973">
          <cell r="A4973">
            <v>500221</v>
          </cell>
          <cell r="B4973" t="str">
            <v>K. PRESTIGE EST 1 TUBO Nº 9.31</v>
          </cell>
          <cell r="C4973" t="str">
            <v>EP0931</v>
          </cell>
        </row>
        <row r="4974">
          <cell r="A4974">
            <v>500222</v>
          </cell>
          <cell r="B4974" t="str">
            <v>K. PRESTIG EST 1 TUBO Nº 10.00</v>
          </cell>
          <cell r="C4974" t="str">
            <v>EP1000</v>
          </cell>
        </row>
        <row r="4975">
          <cell r="A4975">
            <v>500223</v>
          </cell>
          <cell r="B4975" t="str">
            <v>K. PRESTIG EST 1 TUBO Nº 10.01</v>
          </cell>
          <cell r="C4975" t="str">
            <v>EP1001</v>
          </cell>
        </row>
        <row r="4976">
          <cell r="A4976">
            <v>500224</v>
          </cell>
          <cell r="B4976" t="str">
            <v>K. PRESTIG EST 1 TUBO Nº 10.34</v>
          </cell>
          <cell r="C4976" t="str">
            <v>EP1034</v>
          </cell>
        </row>
        <row r="4977">
          <cell r="A4977">
            <v>500225</v>
          </cell>
          <cell r="B4977" t="str">
            <v>K. PRESTIG EST 1 TUBO Nº 11.02</v>
          </cell>
          <cell r="C4977" t="str">
            <v>EP1102</v>
          </cell>
        </row>
        <row r="4978">
          <cell r="A4978">
            <v>500226</v>
          </cell>
          <cell r="B4978" t="str">
            <v>K. PRESTIG EST 1 TUBO Nº 11.12</v>
          </cell>
          <cell r="C4978" t="str">
            <v>EP1112</v>
          </cell>
        </row>
        <row r="4979">
          <cell r="A4979">
            <v>500227</v>
          </cell>
          <cell r="B4979" t="str">
            <v>K. PRESTIG EST 1 TUBO Nº 11.34</v>
          </cell>
          <cell r="C4979" t="str">
            <v>EP1134</v>
          </cell>
        </row>
        <row r="4980">
          <cell r="A4980">
            <v>500228</v>
          </cell>
          <cell r="B4980" t="str">
            <v>KINCREM P. BASICS 'KF' nº 1.0</v>
          </cell>
          <cell r="C4980" t="str">
            <v>KF0010</v>
          </cell>
        </row>
        <row r="4981">
          <cell r="A4981">
            <v>500228</v>
          </cell>
          <cell r="B4981" t="str">
            <v>KINCREM P. BASICS 'KF' nº 1.0</v>
          </cell>
          <cell r="C4981" t="str">
            <v>8435057004190</v>
          </cell>
        </row>
        <row r="4982">
          <cell r="A4982">
            <v>500229</v>
          </cell>
          <cell r="B4982" t="str">
            <v>KINCREM P. BASICS 'KF' nº 1.1</v>
          </cell>
          <cell r="C4982" t="str">
            <v>KF0011</v>
          </cell>
        </row>
        <row r="4983">
          <cell r="A4983">
            <v>500229</v>
          </cell>
          <cell r="B4983" t="str">
            <v>KINCREM P. BASICS 'KF' nº 1.1</v>
          </cell>
          <cell r="C4983" t="str">
            <v>8435057004428</v>
          </cell>
        </row>
        <row r="4984">
          <cell r="A4984">
            <v>500230</v>
          </cell>
          <cell r="B4984" t="str">
            <v>KINCREM P. BASICS 'KF' nº 2.0</v>
          </cell>
          <cell r="C4984" t="str">
            <v>KF0020</v>
          </cell>
        </row>
        <row r="4985">
          <cell r="A4985">
            <v>500230</v>
          </cell>
          <cell r="B4985" t="str">
            <v>KINCREM P. BASICS 'KF' nº 2.0</v>
          </cell>
          <cell r="C4985" t="str">
            <v>8435057004183</v>
          </cell>
        </row>
        <row r="4986">
          <cell r="A4986">
            <v>500231</v>
          </cell>
          <cell r="B4986" t="str">
            <v>KINCREM P. BASICS 'KF' nº 3.0</v>
          </cell>
          <cell r="C4986" t="str">
            <v>KF0030</v>
          </cell>
        </row>
        <row r="4987">
          <cell r="A4987">
            <v>500231</v>
          </cell>
          <cell r="B4987" t="str">
            <v>KINCREM P. BASICS 'KF' nº 3.0</v>
          </cell>
          <cell r="C4987" t="str">
            <v>8435057004176</v>
          </cell>
        </row>
        <row r="4988">
          <cell r="A4988">
            <v>500232</v>
          </cell>
          <cell r="B4988" t="str">
            <v>KINCREM P. BASICS 'KF' nº 4.0</v>
          </cell>
          <cell r="C4988" t="str">
            <v>KF0040</v>
          </cell>
        </row>
        <row r="4989">
          <cell r="A4989">
            <v>500232</v>
          </cell>
          <cell r="B4989" t="str">
            <v>KINCREM P. BASICS 'KF' nº 4.0</v>
          </cell>
          <cell r="C4989" t="str">
            <v>8435057004169</v>
          </cell>
        </row>
        <row r="4990">
          <cell r="A4990">
            <v>500233</v>
          </cell>
          <cell r="B4990" t="str">
            <v>KINCREM P. BASICS 'KF' nº 4.3</v>
          </cell>
          <cell r="C4990" t="str">
            <v>KF0043</v>
          </cell>
        </row>
        <row r="4991">
          <cell r="A4991">
            <v>500233</v>
          </cell>
          <cell r="B4991" t="str">
            <v>KINCREM P. BASICS 'KF' nº 4.3</v>
          </cell>
          <cell r="C4991" t="str">
            <v>8435057004633</v>
          </cell>
        </row>
        <row r="4992">
          <cell r="A4992">
            <v>500234</v>
          </cell>
          <cell r="B4992" t="str">
            <v>KINCREM P. BASICS 'KF' nº 5.0</v>
          </cell>
          <cell r="C4992" t="str">
            <v>KF0050</v>
          </cell>
        </row>
        <row r="4993">
          <cell r="A4993">
            <v>500234</v>
          </cell>
          <cell r="B4993" t="str">
            <v>KINCREM P. BASICS 'KF' nº 5.0</v>
          </cell>
          <cell r="C4993" t="str">
            <v>8435057004152</v>
          </cell>
        </row>
        <row r="4994">
          <cell r="A4994">
            <v>500235</v>
          </cell>
          <cell r="B4994" t="str">
            <v>KINCREM P. BASICS 'KF' nº 5.1</v>
          </cell>
          <cell r="C4994" t="str">
            <v>KF0051</v>
          </cell>
        </row>
        <row r="4995">
          <cell r="A4995">
            <v>500235</v>
          </cell>
          <cell r="B4995" t="str">
            <v>KINCREM P. BASICS 'KF' nº 5.1</v>
          </cell>
          <cell r="C4995" t="str">
            <v>8435057004411</v>
          </cell>
        </row>
        <row r="4996">
          <cell r="A4996">
            <v>500236</v>
          </cell>
          <cell r="B4996" t="str">
            <v>KINCREM P. BASICS 'KF' nº 5.3</v>
          </cell>
          <cell r="C4996" t="str">
            <v>KF0053</v>
          </cell>
        </row>
        <row r="4997">
          <cell r="A4997">
            <v>500236</v>
          </cell>
          <cell r="B4997" t="str">
            <v>KINCREM P. BASICS 'KF' nº 5.3</v>
          </cell>
          <cell r="C4997" t="str">
            <v>8435057004626</v>
          </cell>
        </row>
        <row r="4998">
          <cell r="A4998">
            <v>500237</v>
          </cell>
          <cell r="B4998" t="str">
            <v>KINCREM P. BASICS 'KF' nº 6.0</v>
          </cell>
          <cell r="C4998" t="str">
            <v>KF0060</v>
          </cell>
        </row>
        <row r="4999">
          <cell r="A4999">
            <v>500237</v>
          </cell>
          <cell r="B4999" t="str">
            <v>KINCREM P. BASICS 'KF' nº 6.0</v>
          </cell>
          <cell r="C4999" t="str">
            <v>8435057004145</v>
          </cell>
        </row>
        <row r="5000">
          <cell r="A5000">
            <v>500238</v>
          </cell>
          <cell r="B5000" t="str">
            <v>KINCREM P. BASICS 'KF' nº 6.1</v>
          </cell>
          <cell r="C5000" t="str">
            <v>KF0061</v>
          </cell>
        </row>
        <row r="5001">
          <cell r="A5001">
            <v>500238</v>
          </cell>
          <cell r="B5001" t="str">
            <v>KINCREM P. BASICS 'KF' nº 6.1</v>
          </cell>
          <cell r="C5001" t="str">
            <v>8435057004398</v>
          </cell>
        </row>
        <row r="5002">
          <cell r="A5002">
            <v>500239</v>
          </cell>
          <cell r="B5002" t="str">
            <v>KINCREM P. BASICS 'KF' nº 6.3</v>
          </cell>
          <cell r="C5002" t="str">
            <v>KF0063</v>
          </cell>
        </row>
        <row r="5003">
          <cell r="A5003">
            <v>500239</v>
          </cell>
          <cell r="B5003" t="str">
            <v>KINCREM P. BASICS 'KF' nº 6.3</v>
          </cell>
          <cell r="C5003" t="str">
            <v>8435057004602</v>
          </cell>
        </row>
        <row r="5004">
          <cell r="A5004">
            <v>500240</v>
          </cell>
          <cell r="B5004" t="str">
            <v>KINCREM P. BASICS 'KF' nº 7.0</v>
          </cell>
          <cell r="C5004" t="str">
            <v>KF0070</v>
          </cell>
        </row>
        <row r="5005">
          <cell r="A5005">
            <v>500240</v>
          </cell>
          <cell r="B5005" t="str">
            <v>KINCREM P. BASICS 'KF' nº 7.0</v>
          </cell>
          <cell r="C5005" t="str">
            <v>8435057004138</v>
          </cell>
        </row>
        <row r="5006">
          <cell r="A5006">
            <v>500241</v>
          </cell>
          <cell r="B5006" t="str">
            <v>KINCREM P. BASICS 'KF' nº 7.1</v>
          </cell>
          <cell r="C5006" t="str">
            <v>KF0071</v>
          </cell>
        </row>
        <row r="5007">
          <cell r="A5007">
            <v>500241</v>
          </cell>
          <cell r="B5007" t="str">
            <v>KINCREM P. BASICS 'KF' nº 7.1</v>
          </cell>
          <cell r="C5007" t="str">
            <v>8435057004381</v>
          </cell>
        </row>
        <row r="5008">
          <cell r="A5008">
            <v>500242</v>
          </cell>
          <cell r="B5008" t="str">
            <v>KINCREM P. BASICS 'KF' nº 7.3</v>
          </cell>
          <cell r="C5008" t="str">
            <v>KF0073</v>
          </cell>
        </row>
        <row r="5009">
          <cell r="A5009">
            <v>500242</v>
          </cell>
          <cell r="B5009" t="str">
            <v>KINCREM P. BASICS 'KF' nº 7.3</v>
          </cell>
          <cell r="C5009" t="str">
            <v>8435057004572</v>
          </cell>
        </row>
        <row r="5010">
          <cell r="A5010">
            <v>500243</v>
          </cell>
          <cell r="B5010" t="str">
            <v>KINCREM P. BASICS 'KF' nº 7.9</v>
          </cell>
          <cell r="C5010" t="str">
            <v>KF0079</v>
          </cell>
        </row>
        <row r="5011">
          <cell r="A5011">
            <v>500243</v>
          </cell>
          <cell r="B5011" t="str">
            <v>KINCREM P. BASICS 'KF' nº 7.9</v>
          </cell>
          <cell r="C5011" t="str">
            <v>8435057005074</v>
          </cell>
        </row>
        <row r="5012">
          <cell r="A5012">
            <v>500244</v>
          </cell>
          <cell r="B5012" t="str">
            <v>KINCREM P. BASICS 'KF' nº 8.0</v>
          </cell>
          <cell r="C5012" t="str">
            <v>KF0080</v>
          </cell>
        </row>
        <row r="5013">
          <cell r="A5013">
            <v>500244</v>
          </cell>
          <cell r="B5013" t="str">
            <v>KINCREM P. BASICS 'KF' nº 8.0</v>
          </cell>
          <cell r="C5013" t="str">
            <v>8435057004121</v>
          </cell>
        </row>
        <row r="5014">
          <cell r="A5014">
            <v>500245</v>
          </cell>
          <cell r="B5014" t="str">
            <v>KINCREM P. BASICS 'KF' nº 8.1</v>
          </cell>
          <cell r="C5014" t="str">
            <v>KF0081</v>
          </cell>
        </row>
        <row r="5015">
          <cell r="A5015">
            <v>500245</v>
          </cell>
          <cell r="B5015" t="str">
            <v>KINCREM P. BASICS 'KF' nº 8.1</v>
          </cell>
          <cell r="C5015" t="str">
            <v>8435057004367</v>
          </cell>
        </row>
        <row r="5016">
          <cell r="A5016">
            <v>500246</v>
          </cell>
          <cell r="B5016" t="str">
            <v>KINCREM P. BASICS 'KF' nº 8.2</v>
          </cell>
          <cell r="C5016" t="str">
            <v>KF0082</v>
          </cell>
        </row>
        <row r="5017">
          <cell r="A5017">
            <v>500246</v>
          </cell>
          <cell r="B5017" t="str">
            <v>KINCREM P. BASICS 'KF' nº 8.2</v>
          </cell>
          <cell r="C5017" t="str">
            <v>8435057004374</v>
          </cell>
        </row>
        <row r="5018">
          <cell r="A5018">
            <v>500247</v>
          </cell>
          <cell r="B5018" t="str">
            <v>KINCREM P. BASICS 'KF' nº 8.3</v>
          </cell>
          <cell r="C5018" t="str">
            <v>KF0083</v>
          </cell>
        </row>
        <row r="5019">
          <cell r="A5019">
            <v>500247</v>
          </cell>
          <cell r="B5019" t="str">
            <v>KINCREM P. BASICS 'KF' nº 8.3</v>
          </cell>
          <cell r="C5019" t="str">
            <v>8435057004541</v>
          </cell>
        </row>
        <row r="5020">
          <cell r="A5020">
            <v>500248</v>
          </cell>
          <cell r="B5020" t="str">
            <v>KINCREM P. BASICS 'KF' nº 9.0</v>
          </cell>
          <cell r="C5020" t="str">
            <v>KF0090</v>
          </cell>
        </row>
        <row r="5021">
          <cell r="A5021">
            <v>500248</v>
          </cell>
          <cell r="B5021" t="str">
            <v>KINCREM P. BASICS 'KF' nº 9.0</v>
          </cell>
          <cell r="C5021" t="str">
            <v>8435057004114</v>
          </cell>
        </row>
        <row r="5022">
          <cell r="A5022">
            <v>500249</v>
          </cell>
          <cell r="B5022" t="str">
            <v>KINCREM P. BASICS 'KF' nº 9.1</v>
          </cell>
          <cell r="C5022" t="str">
            <v>KF0091</v>
          </cell>
        </row>
        <row r="5023">
          <cell r="A5023">
            <v>500249</v>
          </cell>
          <cell r="B5023" t="str">
            <v>KINCREM P. BASICS 'KF' nº 9.1</v>
          </cell>
          <cell r="C5023" t="str">
            <v>8435057004343</v>
          </cell>
        </row>
        <row r="5024">
          <cell r="A5024">
            <v>500250</v>
          </cell>
          <cell r="B5024" t="str">
            <v>KINCREM P. BASICS 'KF' nº 9.3</v>
          </cell>
          <cell r="C5024" t="str">
            <v>KF0093</v>
          </cell>
        </row>
        <row r="5025">
          <cell r="A5025">
            <v>500250</v>
          </cell>
          <cell r="B5025" t="str">
            <v>KINCREM P. BASICS 'KF' nº 9.3</v>
          </cell>
          <cell r="C5025" t="str">
            <v>8435057004534</v>
          </cell>
        </row>
        <row r="5026">
          <cell r="A5026">
            <v>500251</v>
          </cell>
          <cell r="B5026" t="str">
            <v>KINCREM P. BASICS 'KF' nº 9.9</v>
          </cell>
          <cell r="C5026" t="str">
            <v>KF0099</v>
          </cell>
        </row>
        <row r="5027">
          <cell r="A5027">
            <v>500251</v>
          </cell>
          <cell r="B5027" t="str">
            <v>KINCREM P. BASICS 'KF' nº 9.9</v>
          </cell>
          <cell r="C5027" t="str">
            <v>8435057005067</v>
          </cell>
        </row>
        <row r="5028">
          <cell r="A5028">
            <v>500252</v>
          </cell>
          <cell r="B5028" t="str">
            <v>KINCREM P. BASICS 'KF' nº 10.0</v>
          </cell>
          <cell r="C5028" t="str">
            <v>KF0100</v>
          </cell>
        </row>
        <row r="5029">
          <cell r="A5029">
            <v>500252</v>
          </cell>
          <cell r="B5029" t="str">
            <v>KINCREM P. BASICS 'KF' nº 10.0</v>
          </cell>
          <cell r="C5029" t="str">
            <v>8435057004107</v>
          </cell>
        </row>
        <row r="5030">
          <cell r="A5030">
            <v>500253</v>
          </cell>
          <cell r="B5030" t="str">
            <v>KINCREM P. BASICS 'KF' nº 10.1</v>
          </cell>
          <cell r="C5030" t="str">
            <v>KF0101</v>
          </cell>
        </row>
        <row r="5031">
          <cell r="A5031">
            <v>500253</v>
          </cell>
          <cell r="B5031" t="str">
            <v>KINCREM P. BASICS 'KF' nº 10.1</v>
          </cell>
          <cell r="C5031" t="str">
            <v>8435057004336</v>
          </cell>
        </row>
        <row r="5032">
          <cell r="A5032">
            <v>500254</v>
          </cell>
          <cell r="B5032" t="str">
            <v>KINCREM P. BASICS 'KF' nº 10.3</v>
          </cell>
          <cell r="C5032" t="str">
            <v>KF0103</v>
          </cell>
        </row>
        <row r="5033">
          <cell r="A5033">
            <v>500254</v>
          </cell>
          <cell r="B5033" t="str">
            <v>KINCREM P. BASICS 'KF' nº 10.3</v>
          </cell>
          <cell r="C5033" t="str">
            <v>8435057004527</v>
          </cell>
        </row>
        <row r="5034">
          <cell r="A5034">
            <v>500255</v>
          </cell>
          <cell r="B5034" t="str">
            <v>KINCREM P. BASICS 'KF' nº 3.00</v>
          </cell>
          <cell r="C5034" t="str">
            <v>KF0300</v>
          </cell>
        </row>
        <row r="5035">
          <cell r="A5035">
            <v>500255</v>
          </cell>
          <cell r="B5035" t="str">
            <v>KINCREM P. BASICS 'KF' nº 3.00</v>
          </cell>
          <cell r="C5035" t="str">
            <v>8435057004275</v>
          </cell>
        </row>
        <row r="5036">
          <cell r="A5036">
            <v>500256</v>
          </cell>
          <cell r="B5036" t="str">
            <v>KINCREM P. BASICS 'KF' nº 4.00</v>
          </cell>
          <cell r="C5036" t="str">
            <v>KF0400</v>
          </cell>
        </row>
        <row r="5037">
          <cell r="A5037">
            <v>500256</v>
          </cell>
          <cell r="B5037" t="str">
            <v>KINCREM P. BASICS 'KF' nº 4.00</v>
          </cell>
          <cell r="C5037" t="str">
            <v>8435057004268</v>
          </cell>
        </row>
        <row r="5038">
          <cell r="A5038">
            <v>500257</v>
          </cell>
          <cell r="B5038" t="str">
            <v>KINCREM P. BASICS 'KF' nº 5.00</v>
          </cell>
          <cell r="C5038" t="str">
            <v>KF0500</v>
          </cell>
        </row>
        <row r="5039">
          <cell r="A5039">
            <v>500257</v>
          </cell>
          <cell r="B5039" t="str">
            <v>KINCREM P. BASICS 'KF' nº 5.00</v>
          </cell>
          <cell r="C5039" t="str">
            <v>8435057004251</v>
          </cell>
        </row>
        <row r="5040">
          <cell r="A5040">
            <v>500258</v>
          </cell>
          <cell r="B5040" t="str">
            <v>KINCREM P. BASICS 'KF' nº 6.00</v>
          </cell>
          <cell r="C5040" t="str">
            <v>KF0600</v>
          </cell>
        </row>
        <row r="5041">
          <cell r="A5041">
            <v>500258</v>
          </cell>
          <cell r="B5041" t="str">
            <v>KINCREM P. BASICS 'KF' nº 6.00</v>
          </cell>
          <cell r="C5041" t="str">
            <v>8435057004244</v>
          </cell>
        </row>
        <row r="5042">
          <cell r="A5042">
            <v>500259</v>
          </cell>
          <cell r="B5042" t="str">
            <v>KINCREM P. BASICS 'KF' nº 6.01</v>
          </cell>
          <cell r="C5042" t="str">
            <v>KF0601</v>
          </cell>
        </row>
        <row r="5043">
          <cell r="A5043">
            <v>500259</v>
          </cell>
          <cell r="B5043" t="str">
            <v>KINCREM P. BASICS 'KF' nº 6.01</v>
          </cell>
          <cell r="C5043" t="str">
            <v>8435057004329</v>
          </cell>
        </row>
        <row r="5044">
          <cell r="A5044">
            <v>500260</v>
          </cell>
          <cell r="B5044" t="str">
            <v>KINCREM P. BASICS 'KF' nº 6.12</v>
          </cell>
          <cell r="C5044" t="str">
            <v>KF0612</v>
          </cell>
        </row>
        <row r="5045">
          <cell r="A5045">
            <v>500260</v>
          </cell>
          <cell r="B5045" t="str">
            <v>KINCREM P. BASICS 'KF' nº 6.12</v>
          </cell>
          <cell r="C5045" t="str">
            <v>8435057004404</v>
          </cell>
        </row>
        <row r="5046">
          <cell r="A5046">
            <v>500261</v>
          </cell>
          <cell r="B5046" t="str">
            <v>KINCREM P. BASICS 'KF' nº 6.31</v>
          </cell>
          <cell r="C5046" t="str">
            <v>KF0631</v>
          </cell>
        </row>
        <row r="5047">
          <cell r="A5047">
            <v>500261</v>
          </cell>
          <cell r="B5047" t="str">
            <v>KINCREM P. BASICS 'KF' nº 6.31</v>
          </cell>
          <cell r="C5047" t="str">
            <v>8435057004510</v>
          </cell>
        </row>
        <row r="5048">
          <cell r="A5048">
            <v>500262</v>
          </cell>
          <cell r="B5048" t="str">
            <v>KINCREM P. BASICS 'KF' nº 6.32</v>
          </cell>
          <cell r="C5048" t="str">
            <v>KF0632</v>
          </cell>
        </row>
        <row r="5049">
          <cell r="A5049">
            <v>500262</v>
          </cell>
          <cell r="B5049" t="str">
            <v>KINCREM P. BASICS 'KF' nº 6.32</v>
          </cell>
          <cell r="C5049" t="str">
            <v>8435057004473</v>
          </cell>
        </row>
        <row r="5050">
          <cell r="A5050">
            <v>500263</v>
          </cell>
          <cell r="B5050" t="str">
            <v>KINCREM P. BASICS 'KF' nº 6.34</v>
          </cell>
          <cell r="C5050" t="str">
            <v>KF0634</v>
          </cell>
        </row>
        <row r="5051">
          <cell r="A5051">
            <v>500263</v>
          </cell>
          <cell r="B5051" t="str">
            <v>KINCREM P. BASICS 'KF' nº 6.34</v>
          </cell>
          <cell r="C5051" t="str">
            <v>8435057004619</v>
          </cell>
        </row>
        <row r="5052">
          <cell r="A5052">
            <v>500264</v>
          </cell>
          <cell r="B5052" t="str">
            <v>KINCREM P. BASICS 'KF' nº 7.00</v>
          </cell>
          <cell r="C5052" t="str">
            <v>KF0700</v>
          </cell>
        </row>
        <row r="5053">
          <cell r="A5053">
            <v>500264</v>
          </cell>
          <cell r="B5053" t="str">
            <v>KINCREM P. BASICS 'KF' nº 7.00</v>
          </cell>
          <cell r="C5053" t="str">
            <v>8435057004237</v>
          </cell>
        </row>
        <row r="5054">
          <cell r="A5054">
            <v>500265</v>
          </cell>
          <cell r="B5054" t="str">
            <v>KINCREM P. BASICS 'KF' nº 7.01</v>
          </cell>
          <cell r="C5054" t="str">
            <v>KF0701</v>
          </cell>
        </row>
        <row r="5055">
          <cell r="A5055">
            <v>500265</v>
          </cell>
          <cell r="B5055" t="str">
            <v>KINCREM P. BASICS 'KF' nº 7.01</v>
          </cell>
          <cell r="C5055" t="str">
            <v>8435057004312</v>
          </cell>
        </row>
        <row r="5056">
          <cell r="A5056">
            <v>500266</v>
          </cell>
          <cell r="B5056" t="str">
            <v>KINCREM P. BASICS 'KF' nº 7.31</v>
          </cell>
          <cell r="C5056" t="str">
            <v>KF0731</v>
          </cell>
        </row>
        <row r="5057">
          <cell r="A5057">
            <v>500266</v>
          </cell>
          <cell r="B5057" t="str">
            <v>KINCREM P. BASICS 'KF' nº 7.31</v>
          </cell>
          <cell r="C5057" t="str">
            <v>8435057004503</v>
          </cell>
        </row>
        <row r="5058">
          <cell r="A5058">
            <v>500267</v>
          </cell>
          <cell r="B5058" t="str">
            <v>KINCREM P. BASICS 'KF' nº 7.32</v>
          </cell>
          <cell r="C5058" t="str">
            <v>KF0732</v>
          </cell>
        </row>
        <row r="5059">
          <cell r="A5059">
            <v>500267</v>
          </cell>
          <cell r="B5059" t="str">
            <v>KINCREM P. BASICS 'KF' nº 7.32</v>
          </cell>
          <cell r="C5059" t="str">
            <v>8435057004466</v>
          </cell>
        </row>
        <row r="5060">
          <cell r="A5060">
            <v>500268</v>
          </cell>
          <cell r="B5060" t="str">
            <v>KINCREM P. BASICS 'KF' nº 7.33</v>
          </cell>
          <cell r="C5060" t="str">
            <v>KF0733</v>
          </cell>
        </row>
        <row r="5061">
          <cell r="A5061">
            <v>500268</v>
          </cell>
          <cell r="B5061" t="str">
            <v>KINCREM P. BASICS 'KF' nº 7.33</v>
          </cell>
          <cell r="C5061" t="str">
            <v>8435057004589</v>
          </cell>
        </row>
        <row r="5062">
          <cell r="A5062">
            <v>500269</v>
          </cell>
          <cell r="B5062" t="str">
            <v>KINCREM P. BASICS 'KF' nº 7.34</v>
          </cell>
          <cell r="C5062" t="str">
            <v>KF0734</v>
          </cell>
        </row>
        <row r="5063">
          <cell r="A5063">
            <v>500269</v>
          </cell>
          <cell r="B5063" t="str">
            <v>KINCREM P. BASICS 'KF' nº 7.34</v>
          </cell>
          <cell r="C5063" t="str">
            <v>8435057004596</v>
          </cell>
        </row>
        <row r="5064">
          <cell r="A5064">
            <v>500270</v>
          </cell>
          <cell r="B5064" t="str">
            <v>KINCREM P. BASICS 'KF' nº 8.00</v>
          </cell>
          <cell r="C5064" t="str">
            <v>KF0800</v>
          </cell>
        </row>
        <row r="5065">
          <cell r="A5065">
            <v>500270</v>
          </cell>
          <cell r="B5065" t="str">
            <v>KINCREM P. BASICS 'KF' nº 8.00</v>
          </cell>
          <cell r="C5065" t="str">
            <v>8435057004220</v>
          </cell>
        </row>
        <row r="5066">
          <cell r="A5066">
            <v>500271</v>
          </cell>
          <cell r="B5066" t="str">
            <v>KINCREM P. BASICS 'KF' nº 8.01</v>
          </cell>
          <cell r="C5066" t="str">
            <v>KF0801</v>
          </cell>
        </row>
        <row r="5067">
          <cell r="A5067">
            <v>500271</v>
          </cell>
          <cell r="B5067" t="str">
            <v>KINCREM P. BASICS 'KF' nº 8.01</v>
          </cell>
          <cell r="C5067" t="str">
            <v>8435057004305</v>
          </cell>
        </row>
        <row r="5068">
          <cell r="A5068">
            <v>500272</v>
          </cell>
          <cell r="B5068" t="str">
            <v>KINCREM P. BASICS 'KF' nº 8.31</v>
          </cell>
          <cell r="C5068" t="str">
            <v>KF0831</v>
          </cell>
        </row>
        <row r="5069">
          <cell r="A5069">
            <v>500272</v>
          </cell>
          <cell r="B5069" t="str">
            <v>KINCREM P. BASICS 'KF' nº 8.31</v>
          </cell>
          <cell r="C5069" t="str">
            <v>8435057004497</v>
          </cell>
        </row>
        <row r="5070">
          <cell r="A5070">
            <v>500273</v>
          </cell>
          <cell r="B5070" t="str">
            <v>KINCREM P. BASICS 'KF' nº 8.32</v>
          </cell>
          <cell r="C5070" t="str">
            <v>KF0832</v>
          </cell>
        </row>
        <row r="5071">
          <cell r="A5071">
            <v>500273</v>
          </cell>
          <cell r="B5071" t="str">
            <v>KINCREM P. BASICS 'KF' nº 8.32</v>
          </cell>
          <cell r="C5071" t="str">
            <v>8435057004459</v>
          </cell>
        </row>
        <row r="5072">
          <cell r="A5072">
            <v>500274</v>
          </cell>
          <cell r="B5072" t="str">
            <v>KINCREM P. BASICS 'KF' nº 8.33</v>
          </cell>
          <cell r="C5072" t="str">
            <v>KF0833</v>
          </cell>
        </row>
        <row r="5073">
          <cell r="A5073">
            <v>500274</v>
          </cell>
          <cell r="B5073" t="str">
            <v>KINCREM P. BASICS 'KF' nº 8.33</v>
          </cell>
          <cell r="C5073" t="str">
            <v>8435057004558</v>
          </cell>
        </row>
        <row r="5074">
          <cell r="A5074">
            <v>500275</v>
          </cell>
          <cell r="B5074" t="str">
            <v>KINCREM P. BASICS 'KF' nº 8.34</v>
          </cell>
          <cell r="C5074" t="str">
            <v>KF0834</v>
          </cell>
        </row>
        <row r="5075">
          <cell r="A5075">
            <v>500275</v>
          </cell>
          <cell r="B5075" t="str">
            <v>KINCREM P. BASICS 'KF' nº 8.34</v>
          </cell>
          <cell r="C5075" t="str">
            <v>8435057004565</v>
          </cell>
        </row>
        <row r="5076">
          <cell r="A5076">
            <v>500276</v>
          </cell>
          <cell r="B5076" t="str">
            <v>KINCREM P. BASICS 'KF' nº 9.00</v>
          </cell>
          <cell r="C5076" t="str">
            <v>KF0900</v>
          </cell>
        </row>
        <row r="5077">
          <cell r="A5077">
            <v>500276</v>
          </cell>
          <cell r="B5077" t="str">
            <v>KINCREM P. BASICS 'KF' nº 9.00</v>
          </cell>
          <cell r="C5077" t="str">
            <v>8435057004213</v>
          </cell>
        </row>
        <row r="5078">
          <cell r="A5078">
            <v>500277</v>
          </cell>
          <cell r="B5078" t="str">
            <v>KINCREM P. BASICS 'KF' nº 9.01</v>
          </cell>
          <cell r="C5078" t="str">
            <v>KF0901</v>
          </cell>
        </row>
        <row r="5079">
          <cell r="A5079">
            <v>500277</v>
          </cell>
          <cell r="B5079" t="str">
            <v>KINCREM P. BASICS 'KF' nº 9.01</v>
          </cell>
          <cell r="C5079" t="str">
            <v>8435057004299</v>
          </cell>
        </row>
        <row r="5080">
          <cell r="A5080">
            <v>500278</v>
          </cell>
          <cell r="B5080" t="str">
            <v>KINCREM P. BASICS 'KF' nº 9.12</v>
          </cell>
          <cell r="C5080" t="str">
            <v>KF0912</v>
          </cell>
        </row>
        <row r="5081">
          <cell r="A5081">
            <v>500278</v>
          </cell>
          <cell r="B5081" t="str">
            <v>KINCREM P. BASICS 'KF' nº 9.12</v>
          </cell>
          <cell r="C5081" t="str">
            <v>8435057004350</v>
          </cell>
        </row>
        <row r="5082">
          <cell r="A5082">
            <v>500279</v>
          </cell>
          <cell r="B5082" t="str">
            <v>KINCREM P. BASICS 'KF' nº 9.31</v>
          </cell>
          <cell r="C5082" t="str">
            <v>KF0931</v>
          </cell>
        </row>
        <row r="5083">
          <cell r="A5083">
            <v>500279</v>
          </cell>
          <cell r="B5083" t="str">
            <v>KINCREM P. BASICS 'KF' nº 9.31</v>
          </cell>
          <cell r="C5083" t="str">
            <v>8435057004480</v>
          </cell>
        </row>
        <row r="5084">
          <cell r="A5084">
            <v>500280</v>
          </cell>
          <cell r="B5084" t="str">
            <v>KINCREM P. BASICS 'KF' nº 9.32</v>
          </cell>
          <cell r="C5084" t="str">
            <v>KF0932</v>
          </cell>
        </row>
        <row r="5085">
          <cell r="A5085">
            <v>500280</v>
          </cell>
          <cell r="B5085" t="str">
            <v>KINCREM P. BASICS 'KF' nº 9.32</v>
          </cell>
          <cell r="C5085" t="str">
            <v>8435057004442</v>
          </cell>
        </row>
        <row r="5086">
          <cell r="A5086">
            <v>500281</v>
          </cell>
          <cell r="B5086" t="str">
            <v>KINCREM P. BASICS 'KF' nº M/00</v>
          </cell>
          <cell r="C5086" t="str">
            <v>KF0M00</v>
          </cell>
        </row>
        <row r="5087">
          <cell r="A5087">
            <v>500281</v>
          </cell>
          <cell r="B5087" t="str">
            <v>KINCREM P. BASICS 'KF' nº M/00</v>
          </cell>
          <cell r="C5087" t="str">
            <v>8435057005081</v>
          </cell>
        </row>
        <row r="5088">
          <cell r="A5088">
            <v>500282</v>
          </cell>
          <cell r="B5088" t="str">
            <v>KINCREM P. BASICS 'KF' nº M/11</v>
          </cell>
          <cell r="C5088" t="str">
            <v>KF0M11</v>
          </cell>
        </row>
        <row r="5089">
          <cell r="A5089">
            <v>500282</v>
          </cell>
          <cell r="B5089" t="str">
            <v>KINCREM P. BASICS 'KF' nº M/11</v>
          </cell>
          <cell r="C5089" t="str">
            <v>8435057005098</v>
          </cell>
        </row>
        <row r="5090">
          <cell r="A5090">
            <v>500283</v>
          </cell>
          <cell r="B5090" t="str">
            <v>KINCREM P. BASICS 'KF' nº M/33</v>
          </cell>
          <cell r="C5090" t="str">
            <v>KF0M33</v>
          </cell>
        </row>
        <row r="5091">
          <cell r="A5091">
            <v>500283</v>
          </cell>
          <cell r="B5091" t="str">
            <v>KINCREM P. BASICS 'KF' nº M/33</v>
          </cell>
          <cell r="C5091" t="str">
            <v>8435057005104</v>
          </cell>
        </row>
        <row r="5092">
          <cell r="A5092">
            <v>500284</v>
          </cell>
          <cell r="B5092" t="str">
            <v>KINCREM P. BASICS 'KF' nº M/44</v>
          </cell>
          <cell r="C5092" t="str">
            <v>KF0M44</v>
          </cell>
        </row>
        <row r="5093">
          <cell r="A5093">
            <v>500284</v>
          </cell>
          <cell r="B5093" t="str">
            <v>KINCREM P. BASICS 'KF' nº M/44</v>
          </cell>
          <cell r="C5093" t="str">
            <v>8435057005111</v>
          </cell>
        </row>
        <row r="5094">
          <cell r="A5094">
            <v>500285</v>
          </cell>
          <cell r="B5094" t="str">
            <v>KINCREM P. BASICS 'KF' nº M/66</v>
          </cell>
          <cell r="C5094" t="str">
            <v>KF0M66</v>
          </cell>
        </row>
        <row r="5095">
          <cell r="A5095">
            <v>500285</v>
          </cell>
          <cell r="B5095" t="str">
            <v>KINCREM P. BASICS 'KF' nº M/66</v>
          </cell>
          <cell r="C5095" t="str">
            <v>8435057005128</v>
          </cell>
        </row>
        <row r="5096">
          <cell r="A5096">
            <v>500286</v>
          </cell>
          <cell r="B5096" t="str">
            <v>KINCREM P. BASICS 'KF' nº M/77</v>
          </cell>
          <cell r="C5096" t="str">
            <v>KF0M77</v>
          </cell>
        </row>
        <row r="5097">
          <cell r="A5097">
            <v>500286</v>
          </cell>
          <cell r="B5097" t="str">
            <v>KINCREM P. BASICS 'KF' nº M/77</v>
          </cell>
          <cell r="C5097" t="str">
            <v>8435057005135</v>
          </cell>
        </row>
        <row r="5098">
          <cell r="A5098">
            <v>500287</v>
          </cell>
          <cell r="B5098" t="str">
            <v>KINCREM P. BASICS 'KF' nº M/88</v>
          </cell>
          <cell r="C5098" t="str">
            <v>KF0M88</v>
          </cell>
        </row>
        <row r="5099">
          <cell r="A5099">
            <v>500287</v>
          </cell>
          <cell r="B5099" t="str">
            <v>KINCREM P. BASICS 'KF' nº M/88</v>
          </cell>
          <cell r="C5099" t="str">
            <v>8435057005142</v>
          </cell>
        </row>
        <row r="5100">
          <cell r="A5100">
            <v>500288</v>
          </cell>
          <cell r="B5100" t="str">
            <v>KINCREM P. BASICS 'KF' nº M/99</v>
          </cell>
          <cell r="C5100" t="str">
            <v>KF0M99</v>
          </cell>
        </row>
        <row r="5101">
          <cell r="A5101">
            <v>500288</v>
          </cell>
          <cell r="B5101" t="str">
            <v>KINCREM P. BASICS 'KF' nº M/99</v>
          </cell>
          <cell r="C5101" t="str">
            <v>8435057005159</v>
          </cell>
        </row>
        <row r="5102">
          <cell r="A5102">
            <v>500289</v>
          </cell>
          <cell r="B5102" t="str">
            <v>KINCREM P BASICS 'KF' nº 10.00</v>
          </cell>
          <cell r="C5102" t="str">
            <v>KF1000</v>
          </cell>
        </row>
        <row r="5103">
          <cell r="A5103">
            <v>500289</v>
          </cell>
          <cell r="B5103" t="str">
            <v>KINCREM P BASICS 'KF' nº 10.00</v>
          </cell>
          <cell r="C5103" t="str">
            <v>8435057004206</v>
          </cell>
        </row>
        <row r="5104">
          <cell r="A5104">
            <v>500290</v>
          </cell>
          <cell r="B5104" t="str">
            <v>KINCREM P BASICS 'KF' nº 10.01</v>
          </cell>
          <cell r="C5104" t="str">
            <v>KF1001</v>
          </cell>
        </row>
        <row r="5105">
          <cell r="A5105">
            <v>500290</v>
          </cell>
          <cell r="B5105" t="str">
            <v>KINCREM P BASICS 'KF' nº 10.01</v>
          </cell>
          <cell r="C5105" t="str">
            <v>8435057004282</v>
          </cell>
        </row>
        <row r="5106">
          <cell r="A5106">
            <v>500291</v>
          </cell>
          <cell r="B5106" t="str">
            <v>KINCREM P BASICS 'KF' nº 10.32</v>
          </cell>
          <cell r="C5106" t="str">
            <v>KF1032</v>
          </cell>
        </row>
        <row r="5107">
          <cell r="A5107">
            <v>500291</v>
          </cell>
          <cell r="B5107" t="str">
            <v>KINCREM P BASICS 'KF' nº 10.32</v>
          </cell>
          <cell r="C5107" t="str">
            <v>8435057004435</v>
          </cell>
        </row>
        <row r="5108">
          <cell r="A5108">
            <v>500292</v>
          </cell>
          <cell r="B5108" t="str">
            <v>KINCREM P. BLOND 'KF' nº 11.0</v>
          </cell>
          <cell r="C5108" t="str">
            <v>KF0110</v>
          </cell>
        </row>
        <row r="5109">
          <cell r="A5109">
            <v>500292</v>
          </cell>
          <cell r="B5109" t="str">
            <v>KINCREM P. BLOND 'KF' nº 11.0</v>
          </cell>
          <cell r="C5109" t="str">
            <v>8435057004992</v>
          </cell>
        </row>
        <row r="5110">
          <cell r="A5110">
            <v>500293</v>
          </cell>
          <cell r="B5110" t="str">
            <v>KINCREM P. BLOND 'KF' nº 11.1</v>
          </cell>
          <cell r="C5110" t="str">
            <v>KF0111</v>
          </cell>
        </row>
        <row r="5111">
          <cell r="A5111">
            <v>500293</v>
          </cell>
          <cell r="B5111" t="str">
            <v>KINCREM P. BLOND 'KF' nº 11.1</v>
          </cell>
          <cell r="C5111" t="str">
            <v>8435057005005</v>
          </cell>
        </row>
        <row r="5112">
          <cell r="A5112">
            <v>500294</v>
          </cell>
          <cell r="B5112" t="str">
            <v>KINCREM P. BLOND 'KF' nº 11.3</v>
          </cell>
          <cell r="C5112" t="str">
            <v>KF0113</v>
          </cell>
        </row>
        <row r="5113">
          <cell r="A5113">
            <v>500294</v>
          </cell>
          <cell r="B5113" t="str">
            <v>KINCREM P. BLOND 'KF' nº 11.3</v>
          </cell>
          <cell r="C5113" t="str">
            <v>8435057005036</v>
          </cell>
        </row>
        <row r="5114">
          <cell r="A5114">
            <v>500295</v>
          </cell>
          <cell r="B5114" t="str">
            <v>KINCREM P. BLOND 'KF' nº 12.0</v>
          </cell>
          <cell r="C5114" t="str">
            <v>KF0120</v>
          </cell>
        </row>
        <row r="5115">
          <cell r="A5115">
            <v>500295</v>
          </cell>
          <cell r="B5115" t="str">
            <v>KINCREM P. BLOND 'KF' nº 12.0</v>
          </cell>
          <cell r="C5115" t="str">
            <v>8435057004978</v>
          </cell>
        </row>
        <row r="5116">
          <cell r="A5116">
            <v>500296</v>
          </cell>
          <cell r="B5116" t="str">
            <v>KINCREM P. BLOND 'KF' nº 12.1</v>
          </cell>
          <cell r="C5116" t="str">
            <v>KF0121</v>
          </cell>
        </row>
        <row r="5117">
          <cell r="A5117">
            <v>500296</v>
          </cell>
          <cell r="B5117" t="str">
            <v>KINCREM P. BLOND 'KF' nº 12.1</v>
          </cell>
          <cell r="C5117" t="str">
            <v>8435057004985</v>
          </cell>
        </row>
        <row r="5118">
          <cell r="A5118">
            <v>500297</v>
          </cell>
          <cell r="B5118" t="str">
            <v>KINCREM P. BLOND 'KF' nº 11.02</v>
          </cell>
          <cell r="C5118" t="str">
            <v>KF1102</v>
          </cell>
        </row>
        <row r="5119">
          <cell r="A5119">
            <v>500297</v>
          </cell>
          <cell r="B5119" t="str">
            <v>KINCREM P. BLOND 'KF' nº 11.02</v>
          </cell>
          <cell r="C5119" t="str">
            <v>8435057005029</v>
          </cell>
        </row>
        <row r="5120">
          <cell r="A5120">
            <v>500298</v>
          </cell>
          <cell r="B5120" t="str">
            <v>KINCREM P. BLOND 'KF' nº 11.12</v>
          </cell>
          <cell r="C5120" t="str">
            <v>KF1112</v>
          </cell>
        </row>
        <row r="5121">
          <cell r="A5121">
            <v>500298</v>
          </cell>
          <cell r="B5121" t="str">
            <v>KINCREM P. BLOND 'KF' nº 11.12</v>
          </cell>
          <cell r="C5121" t="str">
            <v>8435057005012</v>
          </cell>
        </row>
        <row r="5122">
          <cell r="A5122">
            <v>500299</v>
          </cell>
          <cell r="B5122" t="str">
            <v>KINCREM P. BLOND 'KF' nº 11.32</v>
          </cell>
          <cell r="C5122" t="str">
            <v>KF1132</v>
          </cell>
        </row>
        <row r="5123">
          <cell r="A5123">
            <v>500299</v>
          </cell>
          <cell r="B5123" t="str">
            <v>KINCREM P. BLOND 'KF' nº 11.32</v>
          </cell>
          <cell r="C5123" t="str">
            <v>8435057005043</v>
          </cell>
        </row>
        <row r="5124">
          <cell r="A5124">
            <v>500300</v>
          </cell>
          <cell r="B5124" t="str">
            <v>KINCREM P. BLOND 'KF' nº 11.34</v>
          </cell>
          <cell r="C5124" t="str">
            <v>KF1134</v>
          </cell>
        </row>
        <row r="5125">
          <cell r="A5125">
            <v>500300</v>
          </cell>
          <cell r="B5125" t="str">
            <v>KINCREM P. BLOND 'KF' nº 11.34</v>
          </cell>
          <cell r="C5125" t="str">
            <v>8435057005050</v>
          </cell>
        </row>
        <row r="5126">
          <cell r="A5126">
            <v>500301</v>
          </cell>
          <cell r="B5126" t="str">
            <v>KINCREM P. BROWNS 'KF' nº 3.5</v>
          </cell>
          <cell r="C5126" t="str">
            <v>KF0035</v>
          </cell>
        </row>
        <row r="5127">
          <cell r="A5127">
            <v>500301</v>
          </cell>
          <cell r="B5127" t="str">
            <v>KINCREM P. BROWNS 'KF' nº 3.5</v>
          </cell>
          <cell r="C5127" t="str">
            <v>8435057004961</v>
          </cell>
        </row>
        <row r="5128">
          <cell r="A5128">
            <v>500302</v>
          </cell>
          <cell r="B5128" t="str">
            <v>KINCREM P. BROWNS 'KF' nº 4.5</v>
          </cell>
          <cell r="C5128" t="str">
            <v>KF0045</v>
          </cell>
        </row>
        <row r="5129">
          <cell r="A5129">
            <v>500302</v>
          </cell>
          <cell r="B5129" t="str">
            <v>KINCREM P. BROWNS 'KF' nº 4.5</v>
          </cell>
          <cell r="C5129" t="str">
            <v>8435057004954</v>
          </cell>
        </row>
        <row r="5130">
          <cell r="A5130">
            <v>500303</v>
          </cell>
          <cell r="B5130" t="str">
            <v>KINCREM P. BROWNS 'KF' nº 5.4</v>
          </cell>
          <cell r="C5130" t="str">
            <v>KF0054</v>
          </cell>
        </row>
        <row r="5131">
          <cell r="A5131">
            <v>500303</v>
          </cell>
          <cell r="B5131" t="str">
            <v>KINCREM P. BROWNS 'KF' nº 5.4</v>
          </cell>
          <cell r="C5131" t="str">
            <v>8435057004749</v>
          </cell>
        </row>
        <row r="5132">
          <cell r="A5132">
            <v>500304</v>
          </cell>
          <cell r="B5132" t="str">
            <v>KINCREM P. BROWNS 'KF' nº 5.5</v>
          </cell>
          <cell r="C5132" t="str">
            <v>KF0055</v>
          </cell>
        </row>
        <row r="5133">
          <cell r="A5133">
            <v>500304</v>
          </cell>
          <cell r="B5133" t="str">
            <v>KINCREM P. BROWNS 'KF' nº 5.5</v>
          </cell>
          <cell r="C5133" t="str">
            <v>8435057004947</v>
          </cell>
        </row>
        <row r="5134">
          <cell r="A5134">
            <v>500305</v>
          </cell>
          <cell r="B5134" t="str">
            <v>KINCREM P. BROWNS 'KF' nº 6.5</v>
          </cell>
          <cell r="C5134" t="str">
            <v>KF0065</v>
          </cell>
        </row>
        <row r="5135">
          <cell r="A5135">
            <v>500305</v>
          </cell>
          <cell r="B5135" t="str">
            <v>KINCREM P. BROWNS 'KF' nº 6.5</v>
          </cell>
          <cell r="C5135" t="str">
            <v>8435057004930</v>
          </cell>
        </row>
        <row r="5136">
          <cell r="A5136">
            <v>500306</v>
          </cell>
          <cell r="B5136" t="str">
            <v>KINCREM P. BROWNS 'KF' nº 7.4</v>
          </cell>
          <cell r="C5136" t="str">
            <v>KF0074</v>
          </cell>
        </row>
        <row r="5137">
          <cell r="A5137">
            <v>500306</v>
          </cell>
          <cell r="B5137" t="str">
            <v>KINCREM P. BROWNS 'KF' nº 7.4</v>
          </cell>
          <cell r="C5137" t="str">
            <v>8435057004671</v>
          </cell>
        </row>
        <row r="5138">
          <cell r="A5138">
            <v>500307</v>
          </cell>
          <cell r="B5138" t="str">
            <v>KINCREM P. BROWNS 'KF' nº 7.5</v>
          </cell>
          <cell r="C5138" t="str">
            <v>KF0075</v>
          </cell>
        </row>
        <row r="5139">
          <cell r="A5139">
            <v>500307</v>
          </cell>
          <cell r="B5139" t="str">
            <v>KINCREM P. BROWNS 'KF' nº 7.5</v>
          </cell>
          <cell r="C5139" t="str">
            <v>8435057004923</v>
          </cell>
        </row>
        <row r="5140">
          <cell r="A5140">
            <v>500308</v>
          </cell>
          <cell r="B5140" t="str">
            <v>KINCREM P. BROWNS 'KF' nº 4.42</v>
          </cell>
          <cell r="C5140" t="str">
            <v>KF0442</v>
          </cell>
        </row>
        <row r="5141">
          <cell r="A5141">
            <v>500308</v>
          </cell>
          <cell r="B5141" t="str">
            <v>KINCREM P. BROWNS 'KF' nº 4.42</v>
          </cell>
          <cell r="C5141" t="str">
            <v>8435057004763</v>
          </cell>
        </row>
        <row r="5142">
          <cell r="A5142">
            <v>500309</v>
          </cell>
          <cell r="B5142" t="str">
            <v>KINCREM P. BROWNS 'KF' nº 4.50</v>
          </cell>
          <cell r="C5142" t="str">
            <v>KF0450</v>
          </cell>
        </row>
        <row r="5143">
          <cell r="A5143">
            <v>500309</v>
          </cell>
          <cell r="B5143" t="str">
            <v>KINCREM P. BROWNS 'KF' nº 4.50</v>
          </cell>
          <cell r="C5143" t="str">
            <v>8435057006057</v>
          </cell>
        </row>
        <row r="5144">
          <cell r="A5144">
            <v>500310</v>
          </cell>
          <cell r="B5144" t="str">
            <v>KINCREM P. BROWNS 'KF' nº 4.51</v>
          </cell>
          <cell r="C5144" t="str">
            <v>KF0451</v>
          </cell>
        </row>
        <row r="5145">
          <cell r="A5145">
            <v>500310</v>
          </cell>
          <cell r="B5145" t="str">
            <v>KINCREM P. BROWNS 'KF' nº 4.51</v>
          </cell>
          <cell r="C5145" t="str">
            <v>8435057004909</v>
          </cell>
        </row>
        <row r="5146">
          <cell r="A5146">
            <v>500311</v>
          </cell>
          <cell r="B5146" t="str">
            <v>KINCREM P. BROWNS 'KF' nº 4.53</v>
          </cell>
          <cell r="C5146" t="str">
            <v>KF0453</v>
          </cell>
        </row>
        <row r="5147">
          <cell r="A5147">
            <v>500311</v>
          </cell>
          <cell r="B5147" t="str">
            <v>KINCREM P. BROWNS 'KF' nº 4.53</v>
          </cell>
          <cell r="C5147" t="str">
            <v>8435057004916</v>
          </cell>
        </row>
        <row r="5148">
          <cell r="A5148">
            <v>500312</v>
          </cell>
          <cell r="B5148" t="str">
            <v>KINCREM P. BROWNS 'KF' nº 5.45</v>
          </cell>
          <cell r="C5148" t="str">
            <v>KF0545</v>
          </cell>
        </row>
        <row r="5149">
          <cell r="A5149">
            <v>500312</v>
          </cell>
          <cell r="B5149" t="str">
            <v>KINCREM P. BROWNS 'KF' nº 5.45</v>
          </cell>
          <cell r="C5149" t="str">
            <v>8435057004756</v>
          </cell>
        </row>
        <row r="5150">
          <cell r="A5150">
            <v>500313</v>
          </cell>
          <cell r="B5150" t="str">
            <v>KINCREM P. BROWNS 'KF' nº 5.50</v>
          </cell>
          <cell r="C5150" t="str">
            <v>KF0550</v>
          </cell>
        </row>
        <row r="5151">
          <cell r="A5151">
            <v>500313</v>
          </cell>
          <cell r="B5151" t="str">
            <v>KINCREM P. BROWNS 'KF' nº 5.50</v>
          </cell>
          <cell r="C5151" t="str">
            <v>8435057006064</v>
          </cell>
        </row>
        <row r="5152">
          <cell r="A5152">
            <v>500314</v>
          </cell>
          <cell r="B5152" t="str">
            <v>KINCREM P. BROWNS 'KF' nº 5.51</v>
          </cell>
          <cell r="C5152" t="str">
            <v>KF0551</v>
          </cell>
        </row>
        <row r="5153">
          <cell r="A5153">
            <v>500314</v>
          </cell>
          <cell r="B5153" t="str">
            <v>KINCREM P. BROWNS 'KF' nº 5.51</v>
          </cell>
          <cell r="C5153" t="str">
            <v>8435057004879</v>
          </cell>
        </row>
        <row r="5154">
          <cell r="A5154">
            <v>500315</v>
          </cell>
          <cell r="B5154" t="str">
            <v>KINCREM P. BROWNS 'KF' nº 5.52</v>
          </cell>
          <cell r="C5154" t="str">
            <v>KF0552</v>
          </cell>
        </row>
        <row r="5155">
          <cell r="A5155">
            <v>500315</v>
          </cell>
          <cell r="B5155" t="str">
            <v>KINCREM P. BROWNS 'KF' nº 5.52</v>
          </cell>
          <cell r="C5155" t="str">
            <v>8435057004886</v>
          </cell>
        </row>
        <row r="5156">
          <cell r="A5156">
            <v>500316</v>
          </cell>
          <cell r="B5156" t="str">
            <v>KINCREM P. BROWNS 'KF' nº 5.53</v>
          </cell>
          <cell r="C5156" t="str">
            <v>KF0553</v>
          </cell>
        </row>
        <row r="5157">
          <cell r="A5157">
            <v>500316</v>
          </cell>
          <cell r="B5157" t="str">
            <v>KINCREM P. BROWNS 'KF' nº 5.53</v>
          </cell>
          <cell r="C5157" t="str">
            <v>8435057004893</v>
          </cell>
        </row>
        <row r="5158">
          <cell r="A5158">
            <v>500317</v>
          </cell>
          <cell r="B5158" t="str">
            <v>KINCREM P. BROWNS 'KF' nº 6.42</v>
          </cell>
          <cell r="C5158" t="str">
            <v>KF0642</v>
          </cell>
        </row>
        <row r="5159">
          <cell r="A5159">
            <v>500317</v>
          </cell>
          <cell r="B5159" t="str">
            <v>KINCREM P. BROWNS 'KF' nº 6.42</v>
          </cell>
          <cell r="C5159" t="str">
            <v>8435057004701</v>
          </cell>
        </row>
        <row r="5160">
          <cell r="A5160">
            <v>500318</v>
          </cell>
          <cell r="B5160" t="str">
            <v>KINCREM P. BROWNS 'KF' nº 6.43</v>
          </cell>
          <cell r="C5160" t="str">
            <v>KF0643</v>
          </cell>
        </row>
        <row r="5161">
          <cell r="A5161">
            <v>500318</v>
          </cell>
          <cell r="B5161" t="str">
            <v>KINCREM P. BROWNS 'KF' nº 6.43</v>
          </cell>
          <cell r="C5161" t="str">
            <v>8435057004718</v>
          </cell>
        </row>
        <row r="5162">
          <cell r="A5162">
            <v>500319</v>
          </cell>
          <cell r="B5162" t="str">
            <v>KINCREM P. BROWNS 'KF' nº 6.44</v>
          </cell>
          <cell r="C5162" t="str">
            <v>KF0644</v>
          </cell>
        </row>
        <row r="5163">
          <cell r="A5163">
            <v>500319</v>
          </cell>
          <cell r="B5163" t="str">
            <v>KINCREM P. BROWNS 'KF' nº 6.44</v>
          </cell>
          <cell r="C5163" t="str">
            <v>8435057004725</v>
          </cell>
        </row>
        <row r="5164">
          <cell r="A5164">
            <v>500320</v>
          </cell>
          <cell r="B5164" t="str">
            <v>KINCREM P. BROWNS 'KF' nº 6.45</v>
          </cell>
          <cell r="C5164" t="str">
            <v>KF0645</v>
          </cell>
        </row>
        <row r="5165">
          <cell r="A5165">
            <v>500320</v>
          </cell>
          <cell r="B5165" t="str">
            <v>KINCREM P. BROWNS 'KF' nº 6.45</v>
          </cell>
          <cell r="C5165" t="str">
            <v>8435057004732</v>
          </cell>
        </row>
        <row r="5166">
          <cell r="A5166">
            <v>500321</v>
          </cell>
          <cell r="B5166" t="str">
            <v>KINCREM P. BROWNS 'KF' nº 6.50</v>
          </cell>
          <cell r="C5166" t="str">
            <v>KF0650</v>
          </cell>
        </row>
        <row r="5167">
          <cell r="A5167">
            <v>500321</v>
          </cell>
          <cell r="B5167" t="str">
            <v>KINCREM P. BROWNS 'KF' nº 6.50</v>
          </cell>
          <cell r="C5167" t="str">
            <v>8435057006071</v>
          </cell>
        </row>
        <row r="5168">
          <cell r="A5168">
            <v>500322</v>
          </cell>
          <cell r="B5168" t="str">
            <v>KINCREM P. BROWNS 'KF' nº 6.51</v>
          </cell>
          <cell r="C5168" t="str">
            <v>KF0651</v>
          </cell>
        </row>
        <row r="5169">
          <cell r="A5169">
            <v>500322</v>
          </cell>
          <cell r="B5169" t="str">
            <v>KINCREM P. BROWNS 'KF' nº 6.51</v>
          </cell>
          <cell r="C5169" t="str">
            <v>8435057004831</v>
          </cell>
        </row>
        <row r="5170">
          <cell r="A5170">
            <v>500323</v>
          </cell>
          <cell r="B5170" t="str">
            <v>KINCREM P. BROWNS 'KF' nº 6.52</v>
          </cell>
          <cell r="C5170" t="str">
            <v>KF0652</v>
          </cell>
        </row>
        <row r="5171">
          <cell r="A5171">
            <v>500323</v>
          </cell>
          <cell r="B5171" t="str">
            <v>KINCREM P. BROWNS 'KF' nº 6.52</v>
          </cell>
          <cell r="C5171" t="str">
            <v>8435057004848</v>
          </cell>
        </row>
        <row r="5172">
          <cell r="A5172">
            <v>500324</v>
          </cell>
          <cell r="B5172" t="str">
            <v>KINCREM P. BROWNS 'KF' nº 6.53</v>
          </cell>
          <cell r="C5172" t="str">
            <v>KF0653</v>
          </cell>
        </row>
        <row r="5173">
          <cell r="A5173">
            <v>500324</v>
          </cell>
          <cell r="B5173" t="str">
            <v>KINCREM P. BROWNS 'KF' nº 6.53</v>
          </cell>
          <cell r="C5173" t="str">
            <v>8435057004855</v>
          </cell>
        </row>
        <row r="5174">
          <cell r="A5174">
            <v>500325</v>
          </cell>
          <cell r="B5174" t="str">
            <v>KINCREM P. BROWNS 'KF' nº 6.54</v>
          </cell>
          <cell r="C5174" t="str">
            <v>KF0654</v>
          </cell>
        </row>
        <row r="5175">
          <cell r="A5175">
            <v>500325</v>
          </cell>
          <cell r="B5175" t="str">
            <v>KINCREM P. BROWNS 'KF' nº 6.54</v>
          </cell>
          <cell r="C5175" t="str">
            <v>8435057004862</v>
          </cell>
        </row>
        <row r="5176">
          <cell r="A5176">
            <v>500326</v>
          </cell>
          <cell r="B5176" t="str">
            <v>KINCREM P. BROWNS 'KF' nº 7.44</v>
          </cell>
          <cell r="C5176" t="str">
            <v>KF0744</v>
          </cell>
        </row>
        <row r="5177">
          <cell r="A5177">
            <v>500326</v>
          </cell>
          <cell r="B5177" t="str">
            <v>KINCREM P. BROWNS 'KF' nº 7.44</v>
          </cell>
          <cell r="C5177" t="str">
            <v>8435057004688</v>
          </cell>
        </row>
        <row r="5178">
          <cell r="A5178">
            <v>500327</v>
          </cell>
          <cell r="B5178" t="str">
            <v>KINCREM P. BROWNS 'KF' nº 7.45</v>
          </cell>
          <cell r="C5178" t="str">
            <v>KF0745</v>
          </cell>
        </row>
        <row r="5179">
          <cell r="A5179">
            <v>500327</v>
          </cell>
          <cell r="B5179" t="str">
            <v>KINCREM P. BROWNS 'KF' nº 7.45</v>
          </cell>
          <cell r="C5179" t="str">
            <v>8435057004695</v>
          </cell>
        </row>
        <row r="5180">
          <cell r="A5180">
            <v>500328</v>
          </cell>
          <cell r="B5180" t="str">
            <v>KINCREM P. BROWNS 'KF' nº 7.50</v>
          </cell>
          <cell r="C5180" t="str">
            <v>KF0750</v>
          </cell>
        </row>
        <row r="5181">
          <cell r="A5181">
            <v>500328</v>
          </cell>
          <cell r="B5181" t="str">
            <v>KINCREM P. BROWNS 'KF' nº 7.50</v>
          </cell>
          <cell r="C5181" t="str">
            <v>8435057006088</v>
          </cell>
        </row>
        <row r="5182">
          <cell r="A5182">
            <v>500329</v>
          </cell>
          <cell r="B5182" t="str">
            <v>KINCREM P. BROWNS 'KF' nº 7.51</v>
          </cell>
          <cell r="C5182" t="str">
            <v>KF0751</v>
          </cell>
        </row>
        <row r="5183">
          <cell r="A5183">
            <v>500329</v>
          </cell>
          <cell r="B5183" t="str">
            <v>KINCREM P. BROWNS 'KF' nº 7.51</v>
          </cell>
          <cell r="C5183" t="str">
            <v>8435057004800</v>
          </cell>
        </row>
        <row r="5184">
          <cell r="A5184">
            <v>500330</v>
          </cell>
          <cell r="B5184" t="str">
            <v>KINCREM P. BROWNS 'KF' nº 7.52</v>
          </cell>
          <cell r="C5184" t="str">
            <v>KF0752</v>
          </cell>
        </row>
        <row r="5185">
          <cell r="A5185">
            <v>500330</v>
          </cell>
          <cell r="B5185" t="str">
            <v>KINCREM P. BROWNS 'KF' nº 7.52</v>
          </cell>
          <cell r="C5185" t="str">
            <v>8435057004817</v>
          </cell>
        </row>
        <row r="5186">
          <cell r="A5186">
            <v>500331</v>
          </cell>
          <cell r="B5186" t="str">
            <v>KINCREM P. BROWNS 'KF' nº 7.53</v>
          </cell>
          <cell r="C5186" t="str">
            <v>KF0753</v>
          </cell>
        </row>
        <row r="5187">
          <cell r="A5187">
            <v>500331</v>
          </cell>
          <cell r="B5187" t="str">
            <v>KINCREM P. BROWNS 'KF' nº 7.53</v>
          </cell>
          <cell r="C5187" t="str">
            <v>8435057004824</v>
          </cell>
        </row>
        <row r="5188">
          <cell r="A5188">
            <v>500332</v>
          </cell>
          <cell r="B5188" t="str">
            <v>KINCREM P. BROWNS 'KF' nº 8.43</v>
          </cell>
          <cell r="C5188" t="str">
            <v>KF0843</v>
          </cell>
        </row>
        <row r="5189">
          <cell r="A5189">
            <v>500332</v>
          </cell>
          <cell r="B5189" t="str">
            <v>KINCREM P. BROWNS 'KF' nº 8.43</v>
          </cell>
          <cell r="C5189" t="str">
            <v>8435057004640</v>
          </cell>
        </row>
        <row r="5190">
          <cell r="A5190">
            <v>500333</v>
          </cell>
          <cell r="B5190" t="str">
            <v>KINCREM P. BROWNS 'KF' nº 8.44</v>
          </cell>
          <cell r="C5190" t="str">
            <v>KF0844</v>
          </cell>
        </row>
        <row r="5191">
          <cell r="A5191">
            <v>500333</v>
          </cell>
          <cell r="B5191" t="str">
            <v>KINCREM P. BROWNS 'KF' nº 8.44</v>
          </cell>
          <cell r="C5191" t="str">
            <v>8435057004657</v>
          </cell>
        </row>
        <row r="5192">
          <cell r="A5192">
            <v>500334</v>
          </cell>
          <cell r="B5192" t="str">
            <v>KINCREM P. BROWNS 'KF' nº 8.45</v>
          </cell>
          <cell r="C5192" t="str">
            <v>KF0845</v>
          </cell>
        </row>
        <row r="5193">
          <cell r="A5193">
            <v>500334</v>
          </cell>
          <cell r="B5193" t="str">
            <v>KINCREM P. BROWNS 'KF' nº 8.45</v>
          </cell>
          <cell r="C5193" t="str">
            <v>8435057004664</v>
          </cell>
        </row>
        <row r="5194">
          <cell r="A5194">
            <v>500335</v>
          </cell>
          <cell r="B5194" t="str">
            <v>KINCREM P. BROWNS 'KF' nº 8.51</v>
          </cell>
          <cell r="C5194" t="str">
            <v>KF0851</v>
          </cell>
        </row>
        <row r="5195">
          <cell r="A5195">
            <v>500335</v>
          </cell>
          <cell r="B5195" t="str">
            <v>KINCREM P. BROWNS 'KF' nº 8.51</v>
          </cell>
          <cell r="C5195" t="str">
            <v>8435057004770</v>
          </cell>
        </row>
        <row r="5196">
          <cell r="A5196">
            <v>500336</v>
          </cell>
          <cell r="B5196" t="str">
            <v>KINCREM P. BROWNS 'KF' nº 8.53</v>
          </cell>
          <cell r="C5196" t="str">
            <v>KF0853</v>
          </cell>
        </row>
        <row r="5197">
          <cell r="A5197">
            <v>500336</v>
          </cell>
          <cell r="B5197" t="str">
            <v>KINCREM P. BROWNS 'KF' nº 8.53</v>
          </cell>
          <cell r="C5197" t="str">
            <v>8435057004787</v>
          </cell>
        </row>
        <row r="5198">
          <cell r="A5198">
            <v>500337</v>
          </cell>
          <cell r="B5198" t="str">
            <v>KINCREM P. BROWNS 'KF' nº 8.54</v>
          </cell>
          <cell r="C5198" t="str">
            <v>KF0854</v>
          </cell>
        </row>
        <row r="5199">
          <cell r="A5199">
            <v>500337</v>
          </cell>
          <cell r="B5199" t="str">
            <v>KINCREM P. BROWNS 'KF' nº 8.54</v>
          </cell>
          <cell r="C5199" t="str">
            <v>8435057004794</v>
          </cell>
        </row>
        <row r="5200">
          <cell r="A5200">
            <v>500338</v>
          </cell>
          <cell r="B5200" t="str">
            <v>LOTE LANZAM.1 TONOS MADERA</v>
          </cell>
          <cell r="C5200" t="str">
            <v>KFLOTM1</v>
          </cell>
        </row>
        <row r="5201">
          <cell r="A5201">
            <v>500338</v>
          </cell>
          <cell r="B5201" t="str">
            <v>LOTE LANZAM.1 TONOS MADERA</v>
          </cell>
          <cell r="C5201" t="str">
            <v>8435057054218</v>
          </cell>
        </row>
        <row r="5202">
          <cell r="A5202">
            <v>500339</v>
          </cell>
          <cell r="B5202" t="str">
            <v>LOTE LANZAM.2 TONOS MADERA</v>
          </cell>
          <cell r="C5202" t="str">
            <v>KFLOTM2</v>
          </cell>
        </row>
        <row r="5203">
          <cell r="A5203">
            <v>500339</v>
          </cell>
          <cell r="B5203" t="str">
            <v>LOTE LANZAM.2 TONOS MADERA</v>
          </cell>
          <cell r="C5203" t="str">
            <v>8435057054225</v>
          </cell>
        </row>
        <row r="5204">
          <cell r="A5204">
            <v>500340</v>
          </cell>
          <cell r="B5204" t="str">
            <v>LOTE LANZ. DIST. TONOS MADERA</v>
          </cell>
          <cell r="C5204" t="str">
            <v>KFLOTMD</v>
          </cell>
        </row>
        <row r="5205">
          <cell r="A5205">
            <v>500340</v>
          </cell>
          <cell r="B5205" t="str">
            <v>LOTE LANZ. DIST. TONOS MADERA</v>
          </cell>
          <cell r="C5205" t="str">
            <v>8435057054232</v>
          </cell>
        </row>
        <row r="5206">
          <cell r="A5206">
            <v>500341</v>
          </cell>
          <cell r="B5206" t="str">
            <v>KINCREM P. ROUGES 'KF' nº 4.67</v>
          </cell>
          <cell r="C5206" t="str">
            <v>KF0467</v>
          </cell>
        </row>
        <row r="5207">
          <cell r="A5207">
            <v>500341</v>
          </cell>
          <cell r="B5207" t="str">
            <v>KINCREM P. ROUGES 'KF' nº 4.67</v>
          </cell>
          <cell r="C5207" t="str">
            <v>8435057005258</v>
          </cell>
        </row>
        <row r="5208">
          <cell r="A5208">
            <v>500342</v>
          </cell>
          <cell r="B5208" t="str">
            <v>KINCREM P. ROUGES 'KF' nº 4.77</v>
          </cell>
          <cell r="C5208" t="str">
            <v>KF0477</v>
          </cell>
        </row>
        <row r="5209">
          <cell r="A5209">
            <v>500342</v>
          </cell>
          <cell r="B5209" t="str">
            <v>KINCREM P. ROUGES 'KF' nº 4.77</v>
          </cell>
          <cell r="C5209" t="str">
            <v>8435057005296</v>
          </cell>
        </row>
        <row r="5210">
          <cell r="A5210">
            <v>500343</v>
          </cell>
          <cell r="B5210" t="str">
            <v>KINCREM P. ROUGES 'KF' nº 5.66</v>
          </cell>
          <cell r="C5210" t="str">
            <v>KF0566</v>
          </cell>
        </row>
        <row r="5211">
          <cell r="A5211">
            <v>500343</v>
          </cell>
          <cell r="B5211" t="str">
            <v>KINCREM P. ROUGES 'KF' nº 5.66</v>
          </cell>
          <cell r="C5211" t="str">
            <v>8435057005210</v>
          </cell>
        </row>
        <row r="5212">
          <cell r="A5212">
            <v>500344</v>
          </cell>
          <cell r="B5212" t="str">
            <v>KINCREM P. ROUGES 'KF' nº 5.67</v>
          </cell>
          <cell r="C5212" t="str">
            <v>KF0567</v>
          </cell>
        </row>
        <row r="5213">
          <cell r="A5213">
            <v>500344</v>
          </cell>
          <cell r="B5213" t="str">
            <v>KINCREM P. ROUGES 'KF' nº 5.67</v>
          </cell>
          <cell r="C5213" t="str">
            <v>8435057005241</v>
          </cell>
        </row>
        <row r="5214">
          <cell r="A5214">
            <v>500345</v>
          </cell>
          <cell r="B5214" t="str">
            <v>KINCREM P. ROUGES 'KF' nº 5.77</v>
          </cell>
          <cell r="C5214" t="str">
            <v>KF0577</v>
          </cell>
        </row>
        <row r="5215">
          <cell r="A5215">
            <v>500345</v>
          </cell>
          <cell r="B5215" t="str">
            <v>KINCREM P. ROUGES 'KF' nº 5.77</v>
          </cell>
          <cell r="C5215" t="str">
            <v>8435057005289</v>
          </cell>
        </row>
        <row r="5216">
          <cell r="A5216">
            <v>500346</v>
          </cell>
          <cell r="B5216" t="str">
            <v>KINCREM P. ROUGES 'KF' nº 6.64</v>
          </cell>
          <cell r="C5216" t="str">
            <v>KF0664</v>
          </cell>
        </row>
        <row r="5217">
          <cell r="A5217">
            <v>500346</v>
          </cell>
          <cell r="B5217" t="str">
            <v>KINCREM P. ROUGES 'KF' nº 6.64</v>
          </cell>
          <cell r="C5217" t="str">
            <v>8435057005180</v>
          </cell>
        </row>
        <row r="5218">
          <cell r="A5218">
            <v>500347</v>
          </cell>
          <cell r="B5218" t="str">
            <v>KINCREM P. ROUGES 'KF' nº 6.66</v>
          </cell>
          <cell r="C5218" t="str">
            <v>KF0666</v>
          </cell>
        </row>
        <row r="5219">
          <cell r="A5219">
            <v>500347</v>
          </cell>
          <cell r="B5219" t="str">
            <v>KINCREM P. ROUGES 'KF' nº 6.66</v>
          </cell>
          <cell r="C5219" t="str">
            <v>8435057005203</v>
          </cell>
        </row>
        <row r="5220">
          <cell r="A5220">
            <v>500348</v>
          </cell>
          <cell r="B5220" t="str">
            <v>KINCREM P. ROUGES 'KF' nº 6.67</v>
          </cell>
          <cell r="C5220" t="str">
            <v>KF0667</v>
          </cell>
        </row>
        <row r="5221">
          <cell r="A5221">
            <v>500348</v>
          </cell>
          <cell r="B5221" t="str">
            <v>KINCREM P. ROUGES 'KF' nº 6.67</v>
          </cell>
          <cell r="C5221" t="str">
            <v>8435057005234</v>
          </cell>
        </row>
        <row r="5222">
          <cell r="A5222">
            <v>500349</v>
          </cell>
          <cell r="B5222" t="str">
            <v>KINCREM P. ROUGES 'KF' nº 6.77</v>
          </cell>
          <cell r="C5222" t="str">
            <v>KF0677</v>
          </cell>
        </row>
        <row r="5223">
          <cell r="A5223">
            <v>500349</v>
          </cell>
          <cell r="B5223" t="str">
            <v>KINCREM P. ROUGES 'KF' nº 6.77</v>
          </cell>
          <cell r="C5223" t="str">
            <v>8435057005272</v>
          </cell>
        </row>
        <row r="5224">
          <cell r="A5224">
            <v>500350</v>
          </cell>
          <cell r="B5224" t="str">
            <v>KINCREM P. ROUGES 'KF' nº 7.64</v>
          </cell>
          <cell r="C5224" t="str">
            <v>KF0764</v>
          </cell>
        </row>
        <row r="5225">
          <cell r="A5225">
            <v>500350</v>
          </cell>
          <cell r="B5225" t="str">
            <v>KINCREM P. ROUGES 'KF' nº 7.64</v>
          </cell>
          <cell r="C5225" t="str">
            <v>8435057005173</v>
          </cell>
        </row>
        <row r="5226">
          <cell r="A5226">
            <v>500351</v>
          </cell>
          <cell r="B5226" t="str">
            <v>KINCREM P. ROUGES 'KF' nº 7.66</v>
          </cell>
          <cell r="C5226" t="str">
            <v>KF0766</v>
          </cell>
        </row>
        <row r="5227">
          <cell r="A5227">
            <v>500351</v>
          </cell>
          <cell r="B5227" t="str">
            <v>KINCREM P. ROUGES 'KF' nº 7.66</v>
          </cell>
          <cell r="C5227" t="str">
            <v>8435057005197</v>
          </cell>
        </row>
        <row r="5228">
          <cell r="A5228">
            <v>500352</v>
          </cell>
          <cell r="B5228" t="str">
            <v>KINCREM P. ROUGES 'KF' nº 7.67</v>
          </cell>
          <cell r="C5228" t="str">
            <v>KF0767</v>
          </cell>
        </row>
        <row r="5229">
          <cell r="A5229">
            <v>500352</v>
          </cell>
          <cell r="B5229" t="str">
            <v>KINCREM P. ROUGES 'KF' nº 7.67</v>
          </cell>
          <cell r="C5229" t="str">
            <v>8435057005227</v>
          </cell>
        </row>
        <row r="5230">
          <cell r="A5230">
            <v>500353</v>
          </cell>
          <cell r="B5230" t="str">
            <v>KINCREM P. ROUGES 'KF' nº 7.77</v>
          </cell>
          <cell r="C5230" t="str">
            <v>KF0777</v>
          </cell>
        </row>
        <row r="5231">
          <cell r="A5231">
            <v>500353</v>
          </cell>
          <cell r="B5231" t="str">
            <v>KINCREM P. ROUGES 'KF' nº 7.77</v>
          </cell>
          <cell r="C5231" t="str">
            <v>8435057005265</v>
          </cell>
        </row>
        <row r="5232">
          <cell r="A5232">
            <v>500354</v>
          </cell>
          <cell r="B5232" t="str">
            <v>KINCREM P. ROUGES 'KF' nº 8.64</v>
          </cell>
          <cell r="C5232" t="str">
            <v>KF0864</v>
          </cell>
        </row>
        <row r="5233">
          <cell r="A5233">
            <v>500354</v>
          </cell>
          <cell r="B5233" t="str">
            <v>KINCREM P. ROUGES 'KF' nº 8.64</v>
          </cell>
          <cell r="C5233" t="str">
            <v>8435057005166</v>
          </cell>
        </row>
        <row r="5234">
          <cell r="A5234">
            <v>500355</v>
          </cell>
          <cell r="B5234" t="str">
            <v>LOTE INTRO. COLOR VIBRANCE</v>
          </cell>
          <cell r="C5234" t="str">
            <v>KFLOCV1</v>
          </cell>
        </row>
        <row r="5235">
          <cell r="A5235">
            <v>500355</v>
          </cell>
          <cell r="B5235" t="str">
            <v>LOTE INTRO. COLOR VIBRANCE</v>
          </cell>
          <cell r="C5235" t="str">
            <v>8435057054386</v>
          </cell>
        </row>
        <row r="5236">
          <cell r="A5236">
            <v>500356</v>
          </cell>
          <cell r="B5236" t="str">
            <v>LOTE INTRO. COLOR VIBRANCE</v>
          </cell>
          <cell r="C5236" t="str">
            <v>KFLOCV2</v>
          </cell>
        </row>
        <row r="5237">
          <cell r="A5237">
            <v>500356</v>
          </cell>
          <cell r="B5237" t="str">
            <v>LOTE INTRO. COLOR VIBRANCE</v>
          </cell>
          <cell r="C5237" t="str">
            <v>8435057054393</v>
          </cell>
        </row>
        <row r="5238">
          <cell r="A5238">
            <v>500357</v>
          </cell>
          <cell r="B5238" t="str">
            <v>LOTE INTRO. COLOR VIBRANCE</v>
          </cell>
          <cell r="C5238" t="str">
            <v>KFLOCV3</v>
          </cell>
        </row>
        <row r="5239">
          <cell r="A5239">
            <v>500357</v>
          </cell>
          <cell r="B5239" t="str">
            <v>LOTE INTRO. COLOR VIBRANCE</v>
          </cell>
          <cell r="C5239" t="str">
            <v>8435057054409</v>
          </cell>
        </row>
        <row r="5240">
          <cell r="A5240">
            <v>500358</v>
          </cell>
          <cell r="B5240" t="str">
            <v>LOTE INTRO. COLOR VIBRANCE</v>
          </cell>
          <cell r="C5240" t="str">
            <v>KFLOCVD</v>
          </cell>
        </row>
        <row r="5241">
          <cell r="A5241">
            <v>500358</v>
          </cell>
          <cell r="B5241" t="str">
            <v>LOTE INTRO. COLOR VIBRANCE</v>
          </cell>
          <cell r="C5241" t="str">
            <v>8435057054416</v>
          </cell>
        </row>
        <row r="5242">
          <cell r="A5242">
            <v>500359</v>
          </cell>
          <cell r="B5242" t="str">
            <v>OXYD. BLONDES 'KF' 120 ML.</v>
          </cell>
          <cell r="C5242" t="str">
            <v>KFOB12</v>
          </cell>
        </row>
        <row r="5243">
          <cell r="A5243">
            <v>500359</v>
          </cell>
          <cell r="B5243" t="str">
            <v>OXYD. BLONDES 'KF' 120 ML.</v>
          </cell>
          <cell r="C5243" t="str">
            <v>8435057003995</v>
          </cell>
        </row>
        <row r="5244">
          <cell r="A5244">
            <v>500360</v>
          </cell>
          <cell r="B5244" t="str">
            <v>OXYD.CREME 10 VOL.1000 ML.KF</v>
          </cell>
          <cell r="C5244" t="str">
            <v>KFOC10</v>
          </cell>
        </row>
        <row r="5245">
          <cell r="A5245">
            <v>500360</v>
          </cell>
          <cell r="B5245" t="str">
            <v>OXYD.CREME 10 VOL.1000 ML.KF</v>
          </cell>
          <cell r="C5245" t="str">
            <v>KFOC10</v>
          </cell>
        </row>
        <row r="5246">
          <cell r="A5246">
            <v>500360</v>
          </cell>
          <cell r="B5246" t="str">
            <v>OXYD.CREME 10 VOL.1000 ML.KF</v>
          </cell>
          <cell r="C5246" t="str">
            <v>8435057003902</v>
          </cell>
        </row>
        <row r="5247">
          <cell r="A5247">
            <v>500361</v>
          </cell>
          <cell r="B5247" t="str">
            <v>OXYD.CREME 20 VOL.1000 ML."KF"</v>
          </cell>
          <cell r="C5247" t="str">
            <v>KFOC20</v>
          </cell>
        </row>
        <row r="5248">
          <cell r="A5248">
            <v>500361</v>
          </cell>
          <cell r="B5248" t="str">
            <v>OXYD.CREME 20 VOL.1000 ML."KF"</v>
          </cell>
          <cell r="C5248" t="str">
            <v>8435057003919</v>
          </cell>
        </row>
        <row r="5249">
          <cell r="A5249">
            <v>500362</v>
          </cell>
          <cell r="B5249" t="str">
            <v>OXYD. CREME 20 VOL. 60 ML."KF"</v>
          </cell>
          <cell r="C5249" t="str">
            <v>KFOC20I</v>
          </cell>
        </row>
        <row r="5250">
          <cell r="A5250">
            <v>500362</v>
          </cell>
          <cell r="B5250" t="str">
            <v>OXYD. CREME 20 VOL. 60 ML."KF"</v>
          </cell>
          <cell r="C5250" t="str">
            <v>KFOC20I</v>
          </cell>
        </row>
        <row r="5251">
          <cell r="A5251">
            <v>500362</v>
          </cell>
          <cell r="B5251" t="str">
            <v>OXYD. CREME 20 VOL. 60 ML."KF"</v>
          </cell>
          <cell r="C5251" t="str">
            <v>8435057004008</v>
          </cell>
        </row>
        <row r="5252">
          <cell r="A5252">
            <v>500363</v>
          </cell>
          <cell r="B5252" t="str">
            <v>OXYD.CREME 30 VOL.1000 ML."KF"</v>
          </cell>
          <cell r="C5252" t="str">
            <v>KFOC30</v>
          </cell>
        </row>
        <row r="5253">
          <cell r="A5253">
            <v>500363</v>
          </cell>
          <cell r="B5253" t="str">
            <v>OXYD.CREME 30 VOL.1000 ML."KF"</v>
          </cell>
          <cell r="C5253" t="str">
            <v>KFOC30</v>
          </cell>
        </row>
        <row r="5254">
          <cell r="A5254">
            <v>500363</v>
          </cell>
          <cell r="B5254" t="str">
            <v>OXYD.CREME 30 VOL.1000 ML."KF"</v>
          </cell>
          <cell r="C5254" t="str">
            <v>8435057003926</v>
          </cell>
        </row>
        <row r="5255">
          <cell r="A5255">
            <v>500364</v>
          </cell>
          <cell r="B5255" t="str">
            <v>OXYD. CREME 30 VOL. 60 ML."KF"</v>
          </cell>
          <cell r="C5255" t="str">
            <v>KFOC30I</v>
          </cell>
        </row>
        <row r="5256">
          <cell r="A5256">
            <v>500364</v>
          </cell>
          <cell r="B5256" t="str">
            <v>OXYD. CREME 30 VOL. 60 ML."KF"</v>
          </cell>
          <cell r="C5256" t="str">
            <v>KFOC30I</v>
          </cell>
        </row>
        <row r="5257">
          <cell r="A5257">
            <v>500364</v>
          </cell>
          <cell r="B5257" t="str">
            <v>OXYD. CREME 30 VOL. 60 ML."KF"</v>
          </cell>
          <cell r="C5257" t="str">
            <v>8435057004015</v>
          </cell>
        </row>
        <row r="5258">
          <cell r="A5258">
            <v>500365</v>
          </cell>
          <cell r="B5258" t="str">
            <v>OXYD.CREME 40 VOL. 1000 ML"KF"</v>
          </cell>
          <cell r="C5258" t="str">
            <v>KFOC40</v>
          </cell>
        </row>
        <row r="5259">
          <cell r="A5259">
            <v>500365</v>
          </cell>
          <cell r="B5259" t="str">
            <v>OXYD.CREME 40 VOL. 1000 ML"KF"</v>
          </cell>
          <cell r="C5259" t="str">
            <v>KFOC40</v>
          </cell>
        </row>
        <row r="5260">
          <cell r="A5260">
            <v>500365</v>
          </cell>
          <cell r="B5260" t="str">
            <v>OXYD.CREME 40 VOL. 1000 ML"KF"</v>
          </cell>
          <cell r="C5260" t="str">
            <v>8435057003933</v>
          </cell>
        </row>
        <row r="5261">
          <cell r="A5261">
            <v>500366</v>
          </cell>
          <cell r="B5261" t="str">
            <v>OXYD.CREME 40 VOL. 60 ML. "KF"</v>
          </cell>
          <cell r="C5261" t="str">
            <v>KFOC40I</v>
          </cell>
        </row>
        <row r="5262">
          <cell r="A5262">
            <v>500366</v>
          </cell>
          <cell r="B5262" t="str">
            <v>OXYD.CREME 40 VOL. 60 ML. "KF"</v>
          </cell>
          <cell r="C5262" t="str">
            <v>KFOC40I</v>
          </cell>
        </row>
        <row r="5263">
          <cell r="A5263">
            <v>500366</v>
          </cell>
          <cell r="B5263" t="str">
            <v>OXYD.CREME 40 VOL. 60 ML. "KF"</v>
          </cell>
          <cell r="C5263" t="str">
            <v>8435057004022</v>
          </cell>
        </row>
        <row r="5264">
          <cell r="A5264">
            <v>500367</v>
          </cell>
          <cell r="B5264" t="str">
            <v>OX.C. PLUS 10 VOL. 1000 ML.</v>
          </cell>
          <cell r="C5264" t="str">
            <v>KFOP10</v>
          </cell>
        </row>
        <row r="5265">
          <cell r="A5265">
            <v>500367</v>
          </cell>
          <cell r="B5265" t="str">
            <v>OX.C. PLUS 10 VOL. 1000 ML.</v>
          </cell>
          <cell r="C5265" t="str">
            <v>KFOP10</v>
          </cell>
        </row>
        <row r="5266">
          <cell r="A5266">
            <v>500367</v>
          </cell>
          <cell r="B5266" t="str">
            <v>OX.C. PLUS 10 VOL. 1000 ML.</v>
          </cell>
          <cell r="C5266" t="str">
            <v>8435057003940</v>
          </cell>
        </row>
        <row r="5267">
          <cell r="A5267">
            <v>500368</v>
          </cell>
          <cell r="B5267" t="str">
            <v>OX.C. PLUS 20 VOL. 1000 ML.</v>
          </cell>
          <cell r="C5267" t="str">
            <v>KFOP20</v>
          </cell>
        </row>
        <row r="5268">
          <cell r="A5268">
            <v>500368</v>
          </cell>
          <cell r="B5268" t="str">
            <v>OX.C. PLUS 20 VOL. 1000 ML.</v>
          </cell>
          <cell r="C5268" t="str">
            <v>KFOP20</v>
          </cell>
        </row>
        <row r="5269">
          <cell r="A5269">
            <v>500368</v>
          </cell>
          <cell r="B5269" t="str">
            <v>OX.C. PLUS 20 VOL. 1000 ML.</v>
          </cell>
          <cell r="C5269" t="str">
            <v>8435057003957</v>
          </cell>
        </row>
        <row r="5270">
          <cell r="A5270">
            <v>500369</v>
          </cell>
          <cell r="B5270" t="str">
            <v>OX.COLOR PLUS 20 VOL. 60 ML.</v>
          </cell>
          <cell r="C5270" t="str">
            <v>KFOP20I</v>
          </cell>
        </row>
        <row r="5271">
          <cell r="A5271">
            <v>500369</v>
          </cell>
          <cell r="B5271" t="str">
            <v>OX.COLOR PLUS 20 VOL. 60 ML.</v>
          </cell>
          <cell r="C5271" t="str">
            <v>KFOP20I</v>
          </cell>
        </row>
        <row r="5272">
          <cell r="A5272">
            <v>500369</v>
          </cell>
          <cell r="B5272" t="str">
            <v>OX.COLOR PLUS 20 VOL. 60 ML.</v>
          </cell>
          <cell r="C5272" t="str">
            <v>8435057004039</v>
          </cell>
        </row>
        <row r="5273">
          <cell r="A5273">
            <v>500370</v>
          </cell>
          <cell r="B5273" t="str">
            <v>OX.COLOR PLUS 30 VOL. 1000 ML.</v>
          </cell>
          <cell r="C5273" t="str">
            <v>KFOP30</v>
          </cell>
        </row>
        <row r="5274">
          <cell r="A5274">
            <v>500370</v>
          </cell>
          <cell r="B5274" t="str">
            <v>OX.COLOR PLUS 30 VOL. 1000 ML.</v>
          </cell>
          <cell r="C5274" t="str">
            <v>KFOP30</v>
          </cell>
        </row>
        <row r="5275">
          <cell r="A5275">
            <v>500370</v>
          </cell>
          <cell r="B5275" t="str">
            <v>OX.COLOR PLUS 30 VOL. 1000 ML.</v>
          </cell>
          <cell r="C5275" t="str">
            <v>8435057003964</v>
          </cell>
        </row>
        <row r="5276">
          <cell r="A5276">
            <v>500371</v>
          </cell>
          <cell r="B5276" t="str">
            <v>OX.COLOR PLUS 30 VOL. 60 ML.</v>
          </cell>
          <cell r="C5276" t="str">
            <v>KFOP30I</v>
          </cell>
        </row>
        <row r="5277">
          <cell r="A5277">
            <v>500371</v>
          </cell>
          <cell r="B5277" t="str">
            <v>OX.COLOR PLUS 30 VOL. 60 ML.</v>
          </cell>
          <cell r="C5277" t="str">
            <v>KFOP30I</v>
          </cell>
        </row>
        <row r="5278">
          <cell r="A5278">
            <v>500371</v>
          </cell>
          <cell r="B5278" t="str">
            <v>OX.COLOR PLUS 30 VOL. 60 ML.</v>
          </cell>
          <cell r="C5278" t="str">
            <v>8435057004046</v>
          </cell>
        </row>
        <row r="5279">
          <cell r="A5279">
            <v>500372</v>
          </cell>
          <cell r="B5279" t="str">
            <v>OXYD. BLONDES 'KF' 1000 ML.</v>
          </cell>
          <cell r="C5279" t="str">
            <v>KFOXBL</v>
          </cell>
        </row>
        <row r="5280">
          <cell r="A5280">
            <v>500372</v>
          </cell>
          <cell r="B5280" t="str">
            <v>OXYD. BLONDES 'KF' 1000 ML.</v>
          </cell>
          <cell r="C5280" t="str">
            <v>KFOXBL</v>
          </cell>
        </row>
        <row r="5281">
          <cell r="A5281">
            <v>500372</v>
          </cell>
          <cell r="B5281" t="str">
            <v>OXYD. BLONDES 'KF' 1000 ML.</v>
          </cell>
          <cell r="C5281" t="str">
            <v>8435057003971</v>
          </cell>
        </row>
        <row r="5282">
          <cell r="A5282">
            <v>500373</v>
          </cell>
          <cell r="B5282" t="str">
            <v>COLOR BALANCE EST. 24 x 12 ml.</v>
          </cell>
          <cell r="C5282" t="str">
            <v>KFCOBA</v>
          </cell>
        </row>
        <row r="5283">
          <cell r="A5283">
            <v>500373</v>
          </cell>
          <cell r="B5283" t="str">
            <v>COLOR BALANCE EST. 24 x 12 ml.</v>
          </cell>
          <cell r="C5283" t="str">
            <v>8435057004053</v>
          </cell>
        </row>
        <row r="5284">
          <cell r="A5284">
            <v>500374</v>
          </cell>
          <cell r="B5284" t="str">
            <v>COLOR CLEANSER  75 ml.</v>
          </cell>
          <cell r="C5284" t="str">
            <v>KFCOCL</v>
          </cell>
        </row>
        <row r="5285">
          <cell r="A5285">
            <v>500374</v>
          </cell>
          <cell r="B5285" t="str">
            <v>COLOR CLEANSER  75 ml.</v>
          </cell>
          <cell r="C5285" t="str">
            <v>8435057004077</v>
          </cell>
        </row>
        <row r="5286">
          <cell r="A5286">
            <v>500375</v>
          </cell>
          <cell r="B5286" t="str">
            <v>COLOR REMOVER EST. 2 x 50 ml.</v>
          </cell>
          <cell r="C5286" t="str">
            <v>KFCORE</v>
          </cell>
        </row>
        <row r="5287">
          <cell r="A5287">
            <v>500375</v>
          </cell>
          <cell r="B5287" t="str">
            <v>COLOR REMOVER EST. 2 x 50 ml.</v>
          </cell>
          <cell r="C5287" t="str">
            <v>8435057004084</v>
          </cell>
        </row>
        <row r="5288">
          <cell r="A5288">
            <v>500376</v>
          </cell>
          <cell r="B5288" t="str">
            <v>COLOR SCREEN TARRO 75 ml.</v>
          </cell>
          <cell r="C5288" t="str">
            <v>KFCOSC</v>
          </cell>
        </row>
        <row r="5289">
          <cell r="A5289">
            <v>500376</v>
          </cell>
          <cell r="B5289" t="str">
            <v>COLOR SCREEN TARRO 75 ml.</v>
          </cell>
          <cell r="C5289" t="str">
            <v>8435057004060</v>
          </cell>
        </row>
        <row r="5290">
          <cell r="A5290">
            <v>500377</v>
          </cell>
          <cell r="B5290" t="str">
            <v>COLOR VIBRANCE COPPER V44</v>
          </cell>
          <cell r="C5290" t="str">
            <v>KFCVCO</v>
          </cell>
        </row>
        <row r="5291">
          <cell r="A5291">
            <v>500377</v>
          </cell>
          <cell r="B5291" t="str">
            <v>COLOR VIBRANCE COPPER V44</v>
          </cell>
          <cell r="C5291" t="str">
            <v>KFCVCO</v>
          </cell>
        </row>
        <row r="5292">
          <cell r="A5292">
            <v>500377</v>
          </cell>
          <cell r="B5292" t="str">
            <v>COLOR VIBRANCE COPPER V44</v>
          </cell>
          <cell r="C5292" t="str">
            <v>8435057006095</v>
          </cell>
        </row>
        <row r="5293">
          <cell r="A5293">
            <v>500378</v>
          </cell>
          <cell r="B5293" t="str">
            <v>COLOR VIBRANCE PURPLE V77</v>
          </cell>
          <cell r="C5293" t="str">
            <v>KFCVPU</v>
          </cell>
        </row>
        <row r="5294">
          <cell r="A5294">
            <v>500378</v>
          </cell>
          <cell r="B5294" t="str">
            <v>COLOR VIBRANCE PURPLE V77</v>
          </cell>
          <cell r="C5294" t="str">
            <v>KFCVPU</v>
          </cell>
        </row>
        <row r="5295">
          <cell r="A5295">
            <v>500378</v>
          </cell>
          <cell r="B5295" t="str">
            <v>COLOR VIBRANCE PURPLE V77</v>
          </cell>
          <cell r="C5295" t="str">
            <v>8435057006118</v>
          </cell>
        </row>
        <row r="5296">
          <cell r="A5296">
            <v>500379</v>
          </cell>
          <cell r="B5296" t="str">
            <v>COLOR VIBRANCE RED V66</v>
          </cell>
          <cell r="C5296" t="str">
            <v>KFCVRE</v>
          </cell>
        </row>
        <row r="5297">
          <cell r="A5297">
            <v>500379</v>
          </cell>
          <cell r="B5297" t="str">
            <v>COLOR VIBRANCE RED V66</v>
          </cell>
          <cell r="C5297" t="str">
            <v>KFCVRE</v>
          </cell>
        </row>
        <row r="5298">
          <cell r="A5298">
            <v>500379</v>
          </cell>
          <cell r="B5298" t="str">
            <v>COLOR VIBRANCE RED V66</v>
          </cell>
          <cell r="C5298" t="str">
            <v>8435057006101</v>
          </cell>
        </row>
        <row r="5299">
          <cell r="A5299">
            <v>500380</v>
          </cell>
          <cell r="B5299" t="str">
            <v>SHAMPOO EQUILIBRANT 'KF'</v>
          </cell>
          <cell r="C5299" t="str">
            <v>KFSHEQ</v>
          </cell>
        </row>
        <row r="5300">
          <cell r="A5300">
            <v>500380</v>
          </cell>
          <cell r="B5300" t="str">
            <v>SHAMPOO EQUILIBRANT 'KF'</v>
          </cell>
          <cell r="C5300" t="str">
            <v>8435057003988</v>
          </cell>
        </row>
        <row r="5301">
          <cell r="A5301">
            <v>500381</v>
          </cell>
          <cell r="B5301" t="str">
            <v>Champu Equilibr. K.PRESTIGE</v>
          </cell>
          <cell r="C5301" t="str">
            <v>CHEQKP</v>
          </cell>
        </row>
        <row r="5302">
          <cell r="A5302">
            <v>500381</v>
          </cell>
          <cell r="B5302" t="str">
            <v>Champu Equilibr. K.PRESTIGE</v>
          </cell>
          <cell r="C5302" t="str">
            <v>8435057001205</v>
          </cell>
        </row>
        <row r="5303">
          <cell r="A5303">
            <v>500382</v>
          </cell>
          <cell r="B5303" t="str">
            <v>Oxid. Kinblond 40 VOL. Litro</v>
          </cell>
          <cell r="C5303" t="str">
            <v>OXB40L</v>
          </cell>
        </row>
        <row r="5304">
          <cell r="A5304">
            <v>500382</v>
          </cell>
          <cell r="B5304" t="str">
            <v>Oxid. Kinblond 40 VOL. Litro</v>
          </cell>
          <cell r="C5304" t="str">
            <v>8435057001199</v>
          </cell>
        </row>
        <row r="5305">
          <cell r="A5305">
            <v>500383</v>
          </cell>
          <cell r="B5305" t="str">
            <v>Oxid. Kinblond 180 ml.</v>
          </cell>
          <cell r="C5305" t="str">
            <v>OXBL18</v>
          </cell>
        </row>
        <row r="5306">
          <cell r="A5306">
            <v>500383</v>
          </cell>
          <cell r="B5306" t="str">
            <v>Oxid. Kinblond 180 ml.</v>
          </cell>
          <cell r="C5306" t="str">
            <v>8435057003575</v>
          </cell>
        </row>
        <row r="5307">
          <cell r="A5307">
            <v>500384</v>
          </cell>
          <cell r="B5307" t="str">
            <v>Oxid. Prestige 20 VOL.Litro</v>
          </cell>
          <cell r="C5307" t="str">
            <v>OXP20L</v>
          </cell>
        </row>
        <row r="5308">
          <cell r="A5308">
            <v>500384</v>
          </cell>
          <cell r="B5308" t="str">
            <v>Oxid. Prestige 20 VOL.Litro</v>
          </cell>
          <cell r="C5308" t="str">
            <v>8435057001090</v>
          </cell>
        </row>
        <row r="5309">
          <cell r="A5309">
            <v>500385</v>
          </cell>
          <cell r="B5309" t="str">
            <v>Oxid. Prestige 20 VOL. 120 ml.</v>
          </cell>
          <cell r="C5309" t="str">
            <v>OXP20P</v>
          </cell>
        </row>
        <row r="5310">
          <cell r="A5310">
            <v>500385</v>
          </cell>
          <cell r="B5310" t="str">
            <v>Oxid. Prestige 20 VOL. 120 ml.</v>
          </cell>
          <cell r="C5310" t="str">
            <v>8435057001120</v>
          </cell>
        </row>
        <row r="5311">
          <cell r="A5311">
            <v>500386</v>
          </cell>
          <cell r="B5311" t="str">
            <v>Oxid. Prestige 30 VOL. 60 ml.</v>
          </cell>
          <cell r="C5311" t="str">
            <v>OXP30I</v>
          </cell>
        </row>
        <row r="5312">
          <cell r="A5312">
            <v>500386</v>
          </cell>
          <cell r="B5312" t="str">
            <v>Oxid. Prestige 30 VOL. 60 ml.</v>
          </cell>
          <cell r="C5312" t="str">
            <v>8435057001267</v>
          </cell>
        </row>
        <row r="5313">
          <cell r="A5313">
            <v>500387</v>
          </cell>
          <cell r="B5313" t="str">
            <v>OXID. PRESTIGE 30 VOL. Litro</v>
          </cell>
          <cell r="C5313" t="str">
            <v>OXP30L</v>
          </cell>
        </row>
        <row r="5314">
          <cell r="A5314">
            <v>500387</v>
          </cell>
          <cell r="B5314" t="str">
            <v>OXID. PRESTIGE 30 VOL. Litro</v>
          </cell>
          <cell r="C5314" t="str">
            <v>8435057001106</v>
          </cell>
        </row>
        <row r="5315">
          <cell r="A5315">
            <v>500388</v>
          </cell>
          <cell r="B5315" t="str">
            <v>Oxid. Prestige 30 VOL. 120 ml.</v>
          </cell>
          <cell r="C5315" t="str">
            <v>OXP30P</v>
          </cell>
        </row>
        <row r="5316">
          <cell r="A5316">
            <v>500388</v>
          </cell>
          <cell r="B5316" t="str">
            <v>Oxid. Prestige 30 VOL. 120 ml.</v>
          </cell>
          <cell r="C5316" t="str">
            <v>8435057001137</v>
          </cell>
        </row>
        <row r="5317">
          <cell r="A5317">
            <v>500389</v>
          </cell>
          <cell r="B5317" t="str">
            <v>Oxid. Prestige 40 VOL. 60 ml.</v>
          </cell>
          <cell r="C5317" t="str">
            <v>OXP40I</v>
          </cell>
        </row>
        <row r="5318">
          <cell r="A5318">
            <v>500389</v>
          </cell>
          <cell r="B5318" t="str">
            <v>Oxid. Prestige 40 VOL. 60 ml.</v>
          </cell>
          <cell r="C5318" t="str">
            <v>8435057001274</v>
          </cell>
        </row>
        <row r="5319">
          <cell r="A5319">
            <v>500390</v>
          </cell>
          <cell r="B5319" t="str">
            <v>Oxid. Prestige 40 VOL. Litro</v>
          </cell>
          <cell r="C5319" t="str">
            <v>OXP40L</v>
          </cell>
        </row>
        <row r="5320">
          <cell r="A5320">
            <v>500390</v>
          </cell>
          <cell r="B5320" t="str">
            <v>Oxid. Prestige 40 VOL. Litro</v>
          </cell>
          <cell r="C5320" t="str">
            <v>8435057001113</v>
          </cell>
        </row>
        <row r="5321">
          <cell r="A5321">
            <v>500391</v>
          </cell>
          <cell r="B5321" t="str">
            <v>Ox. Prestige 40 VOL. 120 ml.</v>
          </cell>
          <cell r="C5321" t="str">
            <v>OXP40P</v>
          </cell>
        </row>
        <row r="5322">
          <cell r="A5322">
            <v>500391</v>
          </cell>
          <cell r="B5322" t="str">
            <v>Ox. Prestige 40 VOL. 120 ml.</v>
          </cell>
          <cell r="C5322" t="str">
            <v>8435057001144</v>
          </cell>
        </row>
        <row r="5323">
          <cell r="A5323">
            <v>500392</v>
          </cell>
          <cell r="B5323" t="str">
            <v>Oxid. Rouge 20 VOL. 60 ml.</v>
          </cell>
          <cell r="C5323" t="str">
            <v>OXR20I</v>
          </cell>
        </row>
        <row r="5324">
          <cell r="A5324">
            <v>500392</v>
          </cell>
          <cell r="B5324" t="str">
            <v>Oxid. Rouge 20 VOL. 60 ml.</v>
          </cell>
          <cell r="C5324" t="str">
            <v>8435057001281</v>
          </cell>
        </row>
        <row r="5325">
          <cell r="A5325">
            <v>500393</v>
          </cell>
          <cell r="B5325" t="str">
            <v>Oxid. K.Rouge 20 VOL. Litro</v>
          </cell>
          <cell r="C5325" t="str">
            <v>OXR20L</v>
          </cell>
        </row>
        <row r="5326">
          <cell r="A5326">
            <v>500393</v>
          </cell>
          <cell r="B5326" t="str">
            <v>Oxid. K.Rouge 20 VOL. Litro</v>
          </cell>
          <cell r="C5326" t="str">
            <v>8435057001151</v>
          </cell>
        </row>
        <row r="5327">
          <cell r="A5327">
            <v>500394</v>
          </cell>
          <cell r="B5327" t="str">
            <v>Oxid. K.Rouge 20 VOL. 120 ml.</v>
          </cell>
          <cell r="C5327" t="str">
            <v>OXR20P</v>
          </cell>
        </row>
        <row r="5328">
          <cell r="A5328">
            <v>500394</v>
          </cell>
          <cell r="B5328" t="str">
            <v>Oxid. K.Rouge 20 VOL. 120 ml.</v>
          </cell>
          <cell r="C5328" t="str">
            <v>8435057001175</v>
          </cell>
        </row>
        <row r="5329">
          <cell r="A5329">
            <v>500395</v>
          </cell>
          <cell r="B5329" t="str">
            <v>Oxid. Rouge 30 VOL. 60 ml.</v>
          </cell>
          <cell r="C5329" t="str">
            <v>OXR30I</v>
          </cell>
        </row>
        <row r="5330">
          <cell r="A5330">
            <v>500395</v>
          </cell>
          <cell r="B5330" t="str">
            <v>Oxid. Rouge 30 VOL. 60 ml.</v>
          </cell>
          <cell r="C5330" t="str">
            <v>8435057001298</v>
          </cell>
        </row>
        <row r="5331">
          <cell r="A5331">
            <v>500396</v>
          </cell>
          <cell r="B5331" t="str">
            <v>Oxid. K.Rouge 30 VOL. Litro</v>
          </cell>
          <cell r="C5331" t="str">
            <v>OXR30L</v>
          </cell>
        </row>
        <row r="5332">
          <cell r="A5332">
            <v>500396</v>
          </cell>
          <cell r="B5332" t="str">
            <v>Oxid. K.Rouge 30 VOL. Litro</v>
          </cell>
          <cell r="C5332" t="str">
            <v>8435057001168</v>
          </cell>
        </row>
        <row r="5333">
          <cell r="A5333">
            <v>500397</v>
          </cell>
          <cell r="B5333" t="str">
            <v>Oxid. K.Rouge 30 VOL. 120 ml.</v>
          </cell>
          <cell r="C5333" t="str">
            <v>OXR30P</v>
          </cell>
        </row>
        <row r="5334">
          <cell r="A5334">
            <v>500397</v>
          </cell>
          <cell r="B5334" t="str">
            <v>Oxid. K.Rouge 30 VOL. 120 ml.</v>
          </cell>
          <cell r="C5334" t="str">
            <v>8435057001182</v>
          </cell>
        </row>
        <row r="5335">
          <cell r="A5335">
            <v>500398</v>
          </cell>
          <cell r="B5335" t="str">
            <v>Ox. Prestige 20 V. 60 ML. (E)</v>
          </cell>
          <cell r="C5335" t="str">
            <v>OXP20IV</v>
          </cell>
        </row>
        <row r="5336">
          <cell r="A5336">
            <v>500398</v>
          </cell>
          <cell r="B5336" t="str">
            <v>Ox. Prestige 20 V. 60 ML. (E)</v>
          </cell>
          <cell r="C5336" t="str">
            <v>8435057001908</v>
          </cell>
        </row>
        <row r="5337">
          <cell r="A5337">
            <v>500399</v>
          </cell>
          <cell r="B5337" t="str">
            <v>Ox. Prestige 30 V. 60 ML. (E)</v>
          </cell>
          <cell r="C5337" t="str">
            <v>OXP30IV</v>
          </cell>
        </row>
        <row r="5338">
          <cell r="A5338">
            <v>500399</v>
          </cell>
          <cell r="B5338" t="str">
            <v>Ox. Prestige 30 V. 60 ML. (E)</v>
          </cell>
          <cell r="C5338" t="str">
            <v>8435057001915</v>
          </cell>
        </row>
        <row r="5339">
          <cell r="A5339">
            <v>500400</v>
          </cell>
          <cell r="B5339" t="str">
            <v>Ox. Prestige 40 V. 60 ML. (E)</v>
          </cell>
          <cell r="C5339" t="str">
            <v>OXP40IV</v>
          </cell>
        </row>
        <row r="5340">
          <cell r="A5340">
            <v>500400</v>
          </cell>
          <cell r="B5340" t="str">
            <v>Ox. Prestige 40 V. 60 ML. (E)</v>
          </cell>
          <cell r="C5340" t="str">
            <v>8435057001922</v>
          </cell>
        </row>
        <row r="5341">
          <cell r="A5341">
            <v>500401</v>
          </cell>
          <cell r="B5341" t="str">
            <v>Ox. Rouge 20 VOL. 60 ML. (E)</v>
          </cell>
          <cell r="C5341" t="str">
            <v>OXR20IV</v>
          </cell>
        </row>
        <row r="5342">
          <cell r="A5342">
            <v>500401</v>
          </cell>
          <cell r="B5342" t="str">
            <v>Ox. Rouge 20 VOL. 60 ML. (E)</v>
          </cell>
          <cell r="C5342" t="str">
            <v>8435057001939</v>
          </cell>
        </row>
        <row r="5343">
          <cell r="A5343">
            <v>500402</v>
          </cell>
          <cell r="B5343" t="str">
            <v>Ox. Rouge 30 VOL. 60 ML. (E)</v>
          </cell>
          <cell r="C5343" t="str">
            <v>OXR30IV</v>
          </cell>
        </row>
        <row r="5344">
          <cell r="A5344">
            <v>500402</v>
          </cell>
          <cell r="B5344" t="str">
            <v>Ox. Rouge 30 VOL. 60 ML. (E)</v>
          </cell>
          <cell r="C5344" t="str">
            <v>8435057001946</v>
          </cell>
        </row>
        <row r="5345">
          <cell r="A5345">
            <v>500403</v>
          </cell>
          <cell r="B5345" t="str">
            <v>NEW COLOR 2000 Nº 00 NEUTRO</v>
          </cell>
          <cell r="C5345" t="str">
            <v>MC00</v>
          </cell>
        </row>
        <row r="5346">
          <cell r="A5346">
            <v>500403</v>
          </cell>
          <cell r="B5346" t="str">
            <v>NEW COLOR 2000 Nº 00 NEUTRO</v>
          </cell>
          <cell r="C5346" t="str">
            <v>8435057005302</v>
          </cell>
        </row>
        <row r="5347">
          <cell r="A5347">
            <v>500404</v>
          </cell>
          <cell r="B5347" t="str">
            <v>NEW COLOR 2000 Nº 01 AMARILLO</v>
          </cell>
          <cell r="C5347" t="str">
            <v>MC01</v>
          </cell>
        </row>
        <row r="5348">
          <cell r="A5348">
            <v>500404</v>
          </cell>
          <cell r="B5348" t="str">
            <v>NEW COLOR 2000 Nº 01 AMARILLO</v>
          </cell>
          <cell r="C5348" t="str">
            <v>8435057005319</v>
          </cell>
        </row>
        <row r="5349">
          <cell r="A5349">
            <v>500405</v>
          </cell>
          <cell r="B5349" t="str">
            <v>NEW COLOR 2000 Nº 02 ROJO</v>
          </cell>
          <cell r="C5349" t="str">
            <v>MC02</v>
          </cell>
        </row>
        <row r="5350">
          <cell r="A5350">
            <v>500405</v>
          </cell>
          <cell r="B5350" t="str">
            <v>NEW COLOR 2000 Nº 02 ROJO</v>
          </cell>
          <cell r="C5350" t="str">
            <v>8435057005326</v>
          </cell>
        </row>
        <row r="5351">
          <cell r="A5351">
            <v>500406</v>
          </cell>
          <cell r="B5351" t="str">
            <v>NEW COLOR 2000 Nº 03 MAGENTA</v>
          </cell>
          <cell r="C5351" t="str">
            <v>MC03</v>
          </cell>
        </row>
        <row r="5352">
          <cell r="A5352">
            <v>500406</v>
          </cell>
          <cell r="B5352" t="str">
            <v>NEW COLOR 2000 Nº 03 MAGENTA</v>
          </cell>
          <cell r="C5352" t="str">
            <v>8435057005333</v>
          </cell>
        </row>
        <row r="5353">
          <cell r="A5353">
            <v>500407</v>
          </cell>
          <cell r="B5353" t="str">
            <v>NEW COLOR 2000 Nº 04 VERDE</v>
          </cell>
          <cell r="C5353" t="str">
            <v>MC04</v>
          </cell>
        </row>
        <row r="5354">
          <cell r="A5354">
            <v>500407</v>
          </cell>
          <cell r="B5354" t="str">
            <v>NEW COLOR 2000 Nº 04 VERDE</v>
          </cell>
          <cell r="C5354" t="str">
            <v>8435057005340</v>
          </cell>
        </row>
        <row r="5355">
          <cell r="A5355">
            <v>500408</v>
          </cell>
          <cell r="B5355" t="str">
            <v>NEW COLOR 2000 Nº 05 AZUL</v>
          </cell>
          <cell r="C5355" t="str">
            <v>MC05</v>
          </cell>
        </row>
        <row r="5356">
          <cell r="A5356">
            <v>500408</v>
          </cell>
          <cell r="B5356" t="str">
            <v>NEW COLOR 2000 Nº 05 AZUL</v>
          </cell>
          <cell r="C5356" t="str">
            <v>8435057005357</v>
          </cell>
        </row>
        <row r="5357">
          <cell r="A5357">
            <v>500409</v>
          </cell>
          <cell r="B5357" t="str">
            <v>NEW COLOR 2000 Nº 06 VIOLETA</v>
          </cell>
          <cell r="C5357" t="str">
            <v>MC06</v>
          </cell>
        </row>
        <row r="5358">
          <cell r="A5358">
            <v>500409</v>
          </cell>
          <cell r="B5358" t="str">
            <v>NEW COLOR 2000 Nº 06 VIOLETA</v>
          </cell>
          <cell r="C5358" t="str">
            <v>8435057005364</v>
          </cell>
        </row>
        <row r="5359">
          <cell r="A5359">
            <v>500410</v>
          </cell>
          <cell r="B5359" t="str">
            <v>NEWCOLOR COL.CREAM BEIGE</v>
          </cell>
          <cell r="C5359" t="str">
            <v>NCCRBE</v>
          </cell>
        </row>
        <row r="5360">
          <cell r="A5360">
            <v>500410</v>
          </cell>
          <cell r="B5360" t="str">
            <v>NEWCOLOR COL.CREAM BEIGE</v>
          </cell>
          <cell r="C5360" t="str">
            <v>8435057003810</v>
          </cell>
        </row>
        <row r="5361">
          <cell r="A5361">
            <v>500411</v>
          </cell>
          <cell r="B5361" t="str">
            <v>NEWCOLOR COL.CREAM CACAO</v>
          </cell>
          <cell r="C5361" t="str">
            <v>NCCRCA</v>
          </cell>
        </row>
        <row r="5362">
          <cell r="A5362">
            <v>500411</v>
          </cell>
          <cell r="B5362" t="str">
            <v>NEWCOLOR COL.CREAM CACAO</v>
          </cell>
          <cell r="C5362" t="str">
            <v>8435057003865</v>
          </cell>
        </row>
        <row r="5363">
          <cell r="A5363">
            <v>500412</v>
          </cell>
          <cell r="B5363" t="str">
            <v>NEWCOLOR COL.CREAM CHERRY</v>
          </cell>
          <cell r="C5363" t="str">
            <v>NCCRCH</v>
          </cell>
        </row>
        <row r="5364">
          <cell r="A5364">
            <v>500412</v>
          </cell>
          <cell r="B5364" t="str">
            <v>NEWCOLOR COL.CREAM CHERRY</v>
          </cell>
          <cell r="C5364" t="str">
            <v>8435057003841</v>
          </cell>
        </row>
        <row r="5365">
          <cell r="A5365">
            <v>500413</v>
          </cell>
          <cell r="B5365" t="str">
            <v>NEWCOLOR COL.CREAM COPPER</v>
          </cell>
          <cell r="C5365" t="str">
            <v>NCCRCO</v>
          </cell>
        </row>
        <row r="5366">
          <cell r="A5366">
            <v>500413</v>
          </cell>
          <cell r="B5366" t="str">
            <v>NEWCOLOR COL.CREAM COPPER</v>
          </cell>
          <cell r="C5366" t="str">
            <v>8435057003834</v>
          </cell>
        </row>
        <row r="5367">
          <cell r="A5367">
            <v>500414</v>
          </cell>
          <cell r="B5367" t="str">
            <v>NEWCOLOR COL.CREAM EBONY</v>
          </cell>
          <cell r="C5367" t="str">
            <v>NCCREB</v>
          </cell>
        </row>
        <row r="5368">
          <cell r="A5368">
            <v>500414</v>
          </cell>
          <cell r="B5368" t="str">
            <v>NEWCOLOR COL.CREAM EBONY</v>
          </cell>
          <cell r="C5368" t="str">
            <v>8435057003889</v>
          </cell>
        </row>
        <row r="5369">
          <cell r="A5369">
            <v>500415</v>
          </cell>
          <cell r="B5369" t="str">
            <v>NEWCOLOR COL.CREAM GOLDEN</v>
          </cell>
          <cell r="C5369" t="str">
            <v>NCCRGO</v>
          </cell>
        </row>
        <row r="5370">
          <cell r="A5370">
            <v>500415</v>
          </cell>
          <cell r="B5370" t="str">
            <v>NEWCOLOR COL.CREAM GOLDEN</v>
          </cell>
          <cell r="C5370" t="str">
            <v>8435057003827</v>
          </cell>
        </row>
        <row r="5371">
          <cell r="A5371">
            <v>500416</v>
          </cell>
          <cell r="B5371" t="str">
            <v>NEWCOLOR COL.CREAM MOKA</v>
          </cell>
          <cell r="C5371" t="str">
            <v>NCCRMO</v>
          </cell>
        </row>
        <row r="5372">
          <cell r="A5372">
            <v>500416</v>
          </cell>
          <cell r="B5372" t="str">
            <v>NEWCOLOR COL.CREAM MOKA</v>
          </cell>
          <cell r="C5372" t="str">
            <v>8435057003872</v>
          </cell>
        </row>
        <row r="5373">
          <cell r="A5373">
            <v>500417</v>
          </cell>
          <cell r="B5373" t="str">
            <v>NEWCOLOR COL.CREAM PLATINE</v>
          </cell>
          <cell r="C5373" t="str">
            <v>NCCRPL</v>
          </cell>
        </row>
        <row r="5374">
          <cell r="A5374">
            <v>500417</v>
          </cell>
          <cell r="B5374" t="str">
            <v>NEWCOLOR COL.CREAM PLATINE</v>
          </cell>
          <cell r="C5374" t="str">
            <v>8435057003803</v>
          </cell>
        </row>
        <row r="5375">
          <cell r="A5375">
            <v>500418</v>
          </cell>
          <cell r="B5375" t="str">
            <v>NEWCOLOR COL.CREAM PURPLE</v>
          </cell>
          <cell r="C5375" t="str">
            <v>NCCRPU</v>
          </cell>
        </row>
        <row r="5376">
          <cell r="A5376">
            <v>500418</v>
          </cell>
          <cell r="B5376" t="str">
            <v>NEWCOLOR COL.CREAM PURPLE</v>
          </cell>
          <cell r="C5376" t="str">
            <v>8435057003858</v>
          </cell>
        </row>
        <row r="5377">
          <cell r="A5377">
            <v>500419</v>
          </cell>
          <cell r="B5377" t="str">
            <v>NEWCOLOR C.SHAMPOO BEIGE</v>
          </cell>
          <cell r="C5377" t="str">
            <v>NCSHBE</v>
          </cell>
        </row>
        <row r="5378">
          <cell r="A5378">
            <v>500419</v>
          </cell>
          <cell r="B5378" t="str">
            <v>NEWCOLOR C.SHAMPOO BEIGE</v>
          </cell>
          <cell r="C5378" t="str">
            <v>8435057003728</v>
          </cell>
        </row>
        <row r="5379">
          <cell r="A5379">
            <v>500420</v>
          </cell>
          <cell r="B5379" t="str">
            <v>NEWCOLOR C.SHAMPOO CACAO</v>
          </cell>
          <cell r="C5379" t="str">
            <v>NCSHCA</v>
          </cell>
        </row>
        <row r="5380">
          <cell r="A5380">
            <v>500420</v>
          </cell>
          <cell r="B5380" t="str">
            <v>NEWCOLOR C.SHAMPOO CACAO</v>
          </cell>
          <cell r="C5380" t="str">
            <v>8435057003773</v>
          </cell>
        </row>
        <row r="5381">
          <cell r="A5381">
            <v>500421</v>
          </cell>
          <cell r="B5381" t="str">
            <v>NEWCOLOR C.SHAMPOO CHERRY</v>
          </cell>
          <cell r="C5381" t="str">
            <v>NCSHCH</v>
          </cell>
        </row>
        <row r="5382">
          <cell r="A5382">
            <v>500421</v>
          </cell>
          <cell r="B5382" t="str">
            <v>NEWCOLOR C.SHAMPOO CHERRY</v>
          </cell>
          <cell r="C5382" t="str">
            <v>8435057003759</v>
          </cell>
        </row>
        <row r="5383">
          <cell r="A5383">
            <v>500422</v>
          </cell>
          <cell r="B5383" t="str">
            <v>NEWCOLOR C.SHAMPOO COPPER</v>
          </cell>
          <cell r="C5383" t="str">
            <v>NCSHCO</v>
          </cell>
        </row>
        <row r="5384">
          <cell r="A5384">
            <v>500422</v>
          </cell>
          <cell r="B5384" t="str">
            <v>NEWCOLOR C.SHAMPOO COPPER</v>
          </cell>
          <cell r="C5384" t="str">
            <v>8435057003742</v>
          </cell>
        </row>
        <row r="5385">
          <cell r="A5385">
            <v>500423</v>
          </cell>
          <cell r="B5385" t="str">
            <v>NEWCOLOR C.SHAMPOO EBONY</v>
          </cell>
          <cell r="C5385" t="str">
            <v>NCSHEB</v>
          </cell>
        </row>
        <row r="5386">
          <cell r="A5386">
            <v>500423</v>
          </cell>
          <cell r="B5386" t="str">
            <v>NEWCOLOR C.SHAMPOO EBONY</v>
          </cell>
          <cell r="C5386" t="str">
            <v>8435057003797</v>
          </cell>
        </row>
        <row r="5387">
          <cell r="A5387">
            <v>500424</v>
          </cell>
          <cell r="B5387" t="str">
            <v>NEWCOLOR C.SHAMPOO GOLDEN</v>
          </cell>
          <cell r="C5387" t="str">
            <v>NCSHGO</v>
          </cell>
        </row>
        <row r="5388">
          <cell r="A5388">
            <v>500424</v>
          </cell>
          <cell r="B5388" t="str">
            <v>NEWCOLOR C.SHAMPOO GOLDEN</v>
          </cell>
          <cell r="C5388" t="str">
            <v>8435057003735</v>
          </cell>
        </row>
        <row r="5389">
          <cell r="A5389">
            <v>500425</v>
          </cell>
          <cell r="B5389" t="str">
            <v>NEWCOLOR C.SHAMPOO MOKA</v>
          </cell>
          <cell r="C5389" t="str">
            <v>NCSHMO</v>
          </cell>
        </row>
        <row r="5390">
          <cell r="A5390">
            <v>500425</v>
          </cell>
          <cell r="B5390" t="str">
            <v>NEWCOLOR C.SHAMPOO MOKA</v>
          </cell>
          <cell r="C5390" t="str">
            <v>8435057003780</v>
          </cell>
        </row>
        <row r="5391">
          <cell r="A5391">
            <v>500426</v>
          </cell>
          <cell r="B5391" t="str">
            <v>NEWCOLOR C.SHAMPOO PLATINE</v>
          </cell>
          <cell r="C5391" t="str">
            <v>NCSHPL</v>
          </cell>
        </row>
        <row r="5392">
          <cell r="A5392">
            <v>500426</v>
          </cell>
          <cell r="B5392" t="str">
            <v>NEWCOLOR C.SHAMPOO PLATINE</v>
          </cell>
          <cell r="C5392" t="str">
            <v>8435057003711</v>
          </cell>
        </row>
        <row r="5393">
          <cell r="A5393">
            <v>500427</v>
          </cell>
          <cell r="B5393" t="str">
            <v>NEWCOLOR C.SHAMPOO PURPLE</v>
          </cell>
          <cell r="C5393" t="str">
            <v>NCSHPU</v>
          </cell>
        </row>
        <row r="5394">
          <cell r="A5394">
            <v>500427</v>
          </cell>
          <cell r="B5394" t="str">
            <v>NEWCOLOR C.SHAMPOO PURPLE</v>
          </cell>
          <cell r="C5394" t="str">
            <v>8435057003766</v>
          </cell>
        </row>
        <row r="5395">
          <cell r="A5395">
            <v>500428</v>
          </cell>
          <cell r="B5395" t="str">
            <v>NEW C GLAMOUR nº 1.0 pack</v>
          </cell>
          <cell r="C5395" t="str">
            <v>NG010</v>
          </cell>
        </row>
        <row r="5396">
          <cell r="A5396">
            <v>500428</v>
          </cell>
          <cell r="B5396" t="str">
            <v>NEW C GLAMOUR nº 1.0 pack</v>
          </cell>
          <cell r="C5396" t="str">
            <v>8435057001991</v>
          </cell>
        </row>
        <row r="5397">
          <cell r="A5397">
            <v>500429</v>
          </cell>
          <cell r="B5397" t="str">
            <v>NEW C GLAMOUR nº 3.0 pack</v>
          </cell>
          <cell r="C5397" t="str">
            <v>NG030</v>
          </cell>
        </row>
        <row r="5398">
          <cell r="A5398">
            <v>500429</v>
          </cell>
          <cell r="B5398" t="str">
            <v>NEW C GLAMOUR nº 3.0 pack</v>
          </cell>
          <cell r="C5398" t="str">
            <v>8435057002004</v>
          </cell>
        </row>
        <row r="5399">
          <cell r="A5399">
            <v>500430</v>
          </cell>
          <cell r="B5399" t="str">
            <v>NEW C GLAMOUR nº 4.0 pack</v>
          </cell>
          <cell r="C5399" t="str">
            <v>NG040</v>
          </cell>
        </row>
        <row r="5400">
          <cell r="A5400">
            <v>500430</v>
          </cell>
          <cell r="B5400" t="str">
            <v>NEW C GLAMOUR nº 4.0 pack</v>
          </cell>
          <cell r="C5400" t="str">
            <v>8435057002011</v>
          </cell>
        </row>
        <row r="5401">
          <cell r="A5401">
            <v>500431</v>
          </cell>
          <cell r="B5401" t="str">
            <v>NEW C GLAMOUR nº 5.0 pack</v>
          </cell>
          <cell r="C5401" t="str">
            <v>NG050</v>
          </cell>
        </row>
        <row r="5402">
          <cell r="A5402">
            <v>500431</v>
          </cell>
          <cell r="B5402" t="str">
            <v>NEW C GLAMOUR nº 5.0 pack</v>
          </cell>
          <cell r="C5402" t="str">
            <v>8435057002028</v>
          </cell>
        </row>
        <row r="5403">
          <cell r="A5403">
            <v>500432</v>
          </cell>
          <cell r="B5403" t="str">
            <v>NEW C GLAMOUR nº 6.0 pack</v>
          </cell>
          <cell r="C5403" t="str">
            <v>NG060</v>
          </cell>
        </row>
        <row r="5404">
          <cell r="A5404">
            <v>500432</v>
          </cell>
          <cell r="B5404" t="str">
            <v>NEW C GLAMOUR nº 6.0 pack</v>
          </cell>
          <cell r="C5404" t="str">
            <v>8435057002035</v>
          </cell>
        </row>
        <row r="5405">
          <cell r="A5405">
            <v>500433</v>
          </cell>
          <cell r="B5405" t="str">
            <v>NEW C GLAMOUR nº 7.0 pack</v>
          </cell>
          <cell r="C5405" t="str">
            <v>NG070</v>
          </cell>
        </row>
        <row r="5406">
          <cell r="A5406">
            <v>500433</v>
          </cell>
          <cell r="B5406" t="str">
            <v>NEW C GLAMOUR nº 7.0 pack</v>
          </cell>
          <cell r="C5406" t="str">
            <v>8435057002042</v>
          </cell>
        </row>
        <row r="5407">
          <cell r="A5407">
            <v>500434</v>
          </cell>
          <cell r="B5407" t="str">
            <v>NEW C GLAMOUR nº 7.1 pack</v>
          </cell>
          <cell r="C5407" t="str">
            <v>NG071</v>
          </cell>
        </row>
        <row r="5408">
          <cell r="A5408">
            <v>500434</v>
          </cell>
          <cell r="B5408" t="str">
            <v>NEW C GLAMOUR nº 7.1 pack</v>
          </cell>
          <cell r="C5408" t="str">
            <v>8435057002059</v>
          </cell>
        </row>
        <row r="5409">
          <cell r="A5409">
            <v>500435</v>
          </cell>
          <cell r="B5409" t="str">
            <v>NEW C GLAMOUR nº 8.0 pack</v>
          </cell>
          <cell r="C5409" t="str">
            <v>NG080</v>
          </cell>
        </row>
        <row r="5410">
          <cell r="A5410">
            <v>500435</v>
          </cell>
          <cell r="B5410" t="str">
            <v>NEW C GLAMOUR nº 8.0 pack</v>
          </cell>
          <cell r="C5410" t="str">
            <v>8435057002066</v>
          </cell>
        </row>
        <row r="5411">
          <cell r="A5411">
            <v>500436</v>
          </cell>
          <cell r="B5411" t="str">
            <v>NEW C GLAMOUR nº 8.3 pack</v>
          </cell>
          <cell r="C5411" t="str">
            <v>NG083</v>
          </cell>
        </row>
        <row r="5412">
          <cell r="A5412">
            <v>500436</v>
          </cell>
          <cell r="B5412" t="str">
            <v>NEW C GLAMOUR nº 8.3 pack</v>
          </cell>
          <cell r="C5412" t="str">
            <v>8435057002073</v>
          </cell>
        </row>
        <row r="5413">
          <cell r="A5413">
            <v>500437</v>
          </cell>
          <cell r="B5413" t="str">
            <v>NEW C GLAMOUR nº 9.0 pack</v>
          </cell>
          <cell r="C5413" t="str">
            <v>NG090</v>
          </cell>
        </row>
        <row r="5414">
          <cell r="A5414">
            <v>500437</v>
          </cell>
          <cell r="B5414" t="str">
            <v>NEW C GLAMOUR nº 9.0 pack</v>
          </cell>
          <cell r="C5414" t="str">
            <v>8435057002080</v>
          </cell>
        </row>
        <row r="5415">
          <cell r="A5415">
            <v>500438</v>
          </cell>
          <cell r="B5415" t="str">
            <v>NEW C GLAMOUR nº 2.10 pack</v>
          </cell>
          <cell r="C5415" t="str">
            <v>NG210</v>
          </cell>
        </row>
        <row r="5416">
          <cell r="A5416">
            <v>500438</v>
          </cell>
          <cell r="B5416" t="str">
            <v>NEW C GLAMOUR nº 2.10 pack</v>
          </cell>
          <cell r="C5416" t="str">
            <v>8435057002097</v>
          </cell>
        </row>
        <row r="5417">
          <cell r="A5417">
            <v>500439</v>
          </cell>
          <cell r="B5417" t="str">
            <v>NEW C GLAMOUR nº 3.57 pack</v>
          </cell>
          <cell r="C5417" t="str">
            <v>NG357</v>
          </cell>
        </row>
        <row r="5418">
          <cell r="A5418">
            <v>500439</v>
          </cell>
          <cell r="B5418" t="str">
            <v>NEW C GLAMOUR nº 3.57 pack</v>
          </cell>
          <cell r="C5418" t="str">
            <v>8435057002103</v>
          </cell>
        </row>
        <row r="5419">
          <cell r="A5419">
            <v>500440</v>
          </cell>
          <cell r="B5419" t="str">
            <v>NEW C GLAMOUR nº 4.42 pack</v>
          </cell>
          <cell r="C5419" t="str">
            <v>NG442</v>
          </cell>
        </row>
        <row r="5420">
          <cell r="A5420">
            <v>500440</v>
          </cell>
          <cell r="B5420" t="str">
            <v>NEW C GLAMOUR nº 4.42 pack</v>
          </cell>
          <cell r="C5420" t="str">
            <v>8435057002110</v>
          </cell>
        </row>
        <row r="5421">
          <cell r="A5421">
            <v>500441</v>
          </cell>
          <cell r="B5421" t="str">
            <v>NEW C GLAMOUR nº 4.70 pack</v>
          </cell>
          <cell r="C5421" t="str">
            <v>NG470</v>
          </cell>
        </row>
        <row r="5422">
          <cell r="A5422">
            <v>500441</v>
          </cell>
          <cell r="B5422" t="str">
            <v>NEW C GLAMOUR nº 4.70 pack</v>
          </cell>
          <cell r="C5422" t="str">
            <v>8435057002127</v>
          </cell>
        </row>
        <row r="5423">
          <cell r="A5423">
            <v>500442</v>
          </cell>
          <cell r="B5423" t="str">
            <v>NEW C GLAMOUR nº 5.50 pack</v>
          </cell>
          <cell r="C5423" t="str">
            <v>NG550</v>
          </cell>
        </row>
        <row r="5424">
          <cell r="A5424">
            <v>500442</v>
          </cell>
          <cell r="B5424" t="str">
            <v>NEW C GLAMOUR nº 5.50 pack</v>
          </cell>
          <cell r="C5424" t="str">
            <v>8435057002134</v>
          </cell>
        </row>
        <row r="5425">
          <cell r="A5425">
            <v>500443</v>
          </cell>
          <cell r="B5425" t="str">
            <v>NEW C GLAMOUR nº 5.51 pack</v>
          </cell>
          <cell r="C5425" t="str">
            <v>NG551</v>
          </cell>
        </row>
        <row r="5426">
          <cell r="A5426">
            <v>500443</v>
          </cell>
          <cell r="B5426" t="str">
            <v>NEW C GLAMOUR nº 5.51 pack</v>
          </cell>
          <cell r="C5426" t="str">
            <v>8435057002141</v>
          </cell>
        </row>
        <row r="5427">
          <cell r="A5427">
            <v>500444</v>
          </cell>
          <cell r="B5427" t="str">
            <v>NEW C GLAMOUR nº 5.53 pack</v>
          </cell>
          <cell r="C5427" t="str">
            <v>NG553</v>
          </cell>
        </row>
        <row r="5428">
          <cell r="A5428">
            <v>500444</v>
          </cell>
          <cell r="B5428" t="str">
            <v>NEW C GLAMOUR nº 5.53 pack</v>
          </cell>
          <cell r="C5428" t="str">
            <v>8435057002158</v>
          </cell>
        </row>
        <row r="5429">
          <cell r="A5429">
            <v>500445</v>
          </cell>
          <cell r="B5429" t="str">
            <v>NEW C GLAMOUR nº 5.56 pack</v>
          </cell>
          <cell r="C5429" t="str">
            <v>NG556</v>
          </cell>
        </row>
        <row r="5430">
          <cell r="A5430">
            <v>500445</v>
          </cell>
          <cell r="B5430" t="str">
            <v>NEW C GLAMOUR nº 5.56 pack</v>
          </cell>
          <cell r="C5430" t="str">
            <v>8435057002165</v>
          </cell>
        </row>
        <row r="5431">
          <cell r="A5431">
            <v>500446</v>
          </cell>
          <cell r="B5431" t="str">
            <v>NEW C GLAMOUR nº 5.62 pack</v>
          </cell>
          <cell r="C5431" t="str">
            <v>NG562</v>
          </cell>
        </row>
        <row r="5432">
          <cell r="A5432">
            <v>500446</v>
          </cell>
          <cell r="B5432" t="str">
            <v>NEW C GLAMOUR nº 5.62 pack</v>
          </cell>
          <cell r="C5432" t="str">
            <v>8435057002172</v>
          </cell>
        </row>
        <row r="5433">
          <cell r="A5433">
            <v>500447</v>
          </cell>
          <cell r="B5433" t="str">
            <v>NEW C GLAMOUR nº 6.43 pack</v>
          </cell>
          <cell r="C5433" t="str">
            <v>NG643</v>
          </cell>
        </row>
        <row r="5434">
          <cell r="A5434">
            <v>500447</v>
          </cell>
          <cell r="B5434" t="str">
            <v>NEW C GLAMOUR nº 6.43 pack</v>
          </cell>
          <cell r="C5434" t="str">
            <v>8435057002189</v>
          </cell>
        </row>
        <row r="5435">
          <cell r="A5435">
            <v>500448</v>
          </cell>
          <cell r="B5435" t="str">
            <v>NEW C GLAMOUR nº 6.50 pack</v>
          </cell>
          <cell r="C5435" t="str">
            <v>NG650</v>
          </cell>
        </row>
        <row r="5436">
          <cell r="A5436">
            <v>500448</v>
          </cell>
          <cell r="B5436" t="str">
            <v>NEW C GLAMOUR nº 6.50 pack</v>
          </cell>
          <cell r="C5436" t="str">
            <v>8435057002196</v>
          </cell>
        </row>
        <row r="5437">
          <cell r="A5437">
            <v>500449</v>
          </cell>
          <cell r="B5437" t="str">
            <v>NEW C GLAMOUR nº 6.51 pack</v>
          </cell>
          <cell r="C5437" t="str">
            <v>NG651</v>
          </cell>
        </row>
        <row r="5438">
          <cell r="A5438">
            <v>500449</v>
          </cell>
          <cell r="B5438" t="str">
            <v>NEW C GLAMOUR nº 6.51 pack</v>
          </cell>
          <cell r="C5438" t="str">
            <v>8435057002202</v>
          </cell>
        </row>
        <row r="5439">
          <cell r="A5439">
            <v>500450</v>
          </cell>
          <cell r="B5439" t="str">
            <v>NEW C GLAMOUR nº 6.53 pack</v>
          </cell>
          <cell r="C5439" t="str">
            <v>NG653</v>
          </cell>
        </row>
        <row r="5440">
          <cell r="A5440">
            <v>500450</v>
          </cell>
          <cell r="B5440" t="str">
            <v>NEW C GLAMOUR nº 6.53 pack</v>
          </cell>
          <cell r="C5440" t="str">
            <v>8435057002219</v>
          </cell>
        </row>
        <row r="5441">
          <cell r="A5441">
            <v>500451</v>
          </cell>
          <cell r="B5441" t="str">
            <v>NEW C GLAMOUR nº 6.54 pack</v>
          </cell>
          <cell r="C5441" t="str">
            <v>NG654</v>
          </cell>
        </row>
        <row r="5442">
          <cell r="A5442">
            <v>500451</v>
          </cell>
          <cell r="B5442" t="str">
            <v>NEW C GLAMOUR nº 6.54 pack</v>
          </cell>
          <cell r="C5442" t="str">
            <v>8435057002226</v>
          </cell>
        </row>
        <row r="5443">
          <cell r="A5443">
            <v>500452</v>
          </cell>
          <cell r="B5443" t="str">
            <v>NEW C GLAMOUR nº 6.62 pack</v>
          </cell>
          <cell r="C5443" t="str">
            <v>NG662</v>
          </cell>
        </row>
        <row r="5444">
          <cell r="A5444">
            <v>500452</v>
          </cell>
          <cell r="B5444" t="str">
            <v>NEW C GLAMOUR nº 6.62 pack</v>
          </cell>
          <cell r="C5444" t="str">
            <v>8435057002233</v>
          </cell>
        </row>
        <row r="5445">
          <cell r="A5445">
            <v>500453</v>
          </cell>
          <cell r="B5445" t="str">
            <v>NEW C GLAMOUR nº 6.76 pack</v>
          </cell>
          <cell r="C5445" t="str">
            <v>NG676</v>
          </cell>
        </row>
        <row r="5446">
          <cell r="A5446">
            <v>500453</v>
          </cell>
          <cell r="B5446" t="str">
            <v>NEW C GLAMOUR nº 6.76 pack</v>
          </cell>
          <cell r="C5446" t="str">
            <v>8435057002240</v>
          </cell>
        </row>
        <row r="5447">
          <cell r="A5447">
            <v>500454</v>
          </cell>
          <cell r="B5447" t="str">
            <v>NEW C GLAMOUR nº 7.13 pack</v>
          </cell>
          <cell r="C5447" t="str">
            <v>NG713</v>
          </cell>
        </row>
        <row r="5448">
          <cell r="A5448">
            <v>500454</v>
          </cell>
          <cell r="B5448" t="str">
            <v>NEW C GLAMOUR nº 7.13 pack</v>
          </cell>
          <cell r="C5448" t="str">
            <v>8435057002257</v>
          </cell>
        </row>
        <row r="5449">
          <cell r="A5449">
            <v>500455</v>
          </cell>
          <cell r="B5449" t="str">
            <v>NEW C GLAMOUR nº 7.35 pack</v>
          </cell>
          <cell r="C5449" t="str">
            <v>NG735</v>
          </cell>
        </row>
        <row r="5450">
          <cell r="A5450">
            <v>500455</v>
          </cell>
          <cell r="B5450" t="str">
            <v>NEW C GLAMOUR nº 7.35 pack</v>
          </cell>
          <cell r="C5450" t="str">
            <v>8435057002264</v>
          </cell>
        </row>
        <row r="5451">
          <cell r="A5451">
            <v>500456</v>
          </cell>
          <cell r="B5451" t="str">
            <v>NEW C GLAMOUR nº 7.43 pack</v>
          </cell>
          <cell r="C5451" t="str">
            <v>NG743</v>
          </cell>
        </row>
        <row r="5452">
          <cell r="A5452">
            <v>500456</v>
          </cell>
          <cell r="B5452" t="str">
            <v>NEW C GLAMOUR nº 7.43 pack</v>
          </cell>
          <cell r="C5452" t="str">
            <v>8435057002271</v>
          </cell>
        </row>
        <row r="5453">
          <cell r="A5453">
            <v>500457</v>
          </cell>
          <cell r="B5453" t="str">
            <v>NEW C GLAMOUR nº 7.44 pack</v>
          </cell>
          <cell r="C5453" t="str">
            <v>NG744</v>
          </cell>
        </row>
        <row r="5454">
          <cell r="A5454">
            <v>500457</v>
          </cell>
          <cell r="B5454" t="str">
            <v>NEW C GLAMOUR nº 7.44 pack</v>
          </cell>
          <cell r="C5454" t="str">
            <v>8435057002288</v>
          </cell>
        </row>
        <row r="5455">
          <cell r="A5455">
            <v>500458</v>
          </cell>
          <cell r="B5455" t="str">
            <v>NEW C GLAMOUR nº 7.52 pack</v>
          </cell>
          <cell r="C5455" t="str">
            <v>NG752</v>
          </cell>
        </row>
        <row r="5456">
          <cell r="A5456">
            <v>500458</v>
          </cell>
          <cell r="B5456" t="str">
            <v>NEW C GLAMOUR nº 7.52 pack</v>
          </cell>
          <cell r="C5456" t="str">
            <v>8435057002295</v>
          </cell>
        </row>
        <row r="5457">
          <cell r="A5457">
            <v>500459</v>
          </cell>
          <cell r="B5457" t="str">
            <v>NEW C GLAMOUR nº 7.64 pack</v>
          </cell>
          <cell r="C5457" t="str">
            <v>NG764</v>
          </cell>
        </row>
        <row r="5458">
          <cell r="A5458">
            <v>500459</v>
          </cell>
          <cell r="B5458" t="str">
            <v>NEW C GLAMOUR nº 7.64 pack</v>
          </cell>
          <cell r="C5458" t="str">
            <v>8435057002301</v>
          </cell>
        </row>
        <row r="5459">
          <cell r="A5459">
            <v>500460</v>
          </cell>
          <cell r="B5459" t="str">
            <v>NEW C GLAMOUR nº 7.66 pack</v>
          </cell>
          <cell r="C5459" t="str">
            <v>NG766</v>
          </cell>
        </row>
        <row r="5460">
          <cell r="A5460">
            <v>500460</v>
          </cell>
          <cell r="B5460" t="str">
            <v>NEW C GLAMOUR nº 7.66 pack</v>
          </cell>
          <cell r="C5460" t="str">
            <v>8435057002318</v>
          </cell>
        </row>
        <row r="5461">
          <cell r="A5461">
            <v>500461</v>
          </cell>
          <cell r="B5461" t="str">
            <v>NEW C GLAMOUR nº 8.33 pack</v>
          </cell>
          <cell r="C5461" t="str">
            <v>NG833</v>
          </cell>
        </row>
        <row r="5462">
          <cell r="A5462">
            <v>500461</v>
          </cell>
          <cell r="B5462" t="str">
            <v>NEW C GLAMOUR nº 8.33 pack</v>
          </cell>
          <cell r="C5462" t="str">
            <v>8435057002325</v>
          </cell>
        </row>
        <row r="5463">
          <cell r="A5463">
            <v>500462</v>
          </cell>
          <cell r="B5463" t="str">
            <v>NEW C GLAMOUR nº 8.34 pack</v>
          </cell>
          <cell r="C5463" t="str">
            <v>NG834</v>
          </cell>
        </row>
        <row r="5464">
          <cell r="A5464">
            <v>500462</v>
          </cell>
          <cell r="B5464" t="str">
            <v>NEW C GLAMOUR nº 8.34 pack</v>
          </cell>
          <cell r="C5464" t="str">
            <v>8435057002332</v>
          </cell>
        </row>
        <row r="5465">
          <cell r="A5465">
            <v>500463</v>
          </cell>
          <cell r="B5465" t="str">
            <v>NEW C GLAMOUR nº 8.46 pack</v>
          </cell>
          <cell r="C5465" t="str">
            <v>NG846</v>
          </cell>
        </row>
        <row r="5466">
          <cell r="A5466">
            <v>500463</v>
          </cell>
          <cell r="B5466" t="str">
            <v>NEW C GLAMOUR nº 8.46 pack</v>
          </cell>
          <cell r="C5466" t="str">
            <v>8435057002349</v>
          </cell>
        </row>
        <row r="5467">
          <cell r="A5467">
            <v>500464</v>
          </cell>
          <cell r="B5467" t="str">
            <v>NEW C GLAMOUR nº 9.03 pack</v>
          </cell>
          <cell r="C5467" t="str">
            <v>NG903</v>
          </cell>
        </row>
        <row r="5468">
          <cell r="A5468">
            <v>500464</v>
          </cell>
          <cell r="B5468" t="str">
            <v>NEW C GLAMOUR nº 9.03 pack</v>
          </cell>
          <cell r="C5468" t="str">
            <v>8435057002356</v>
          </cell>
        </row>
        <row r="5469">
          <cell r="A5469">
            <v>500465</v>
          </cell>
          <cell r="B5469" t="str">
            <v>NEW C GLAMOUR nº M44 pack</v>
          </cell>
          <cell r="C5469" t="str">
            <v>NGM44</v>
          </cell>
        </row>
        <row r="5470">
          <cell r="A5470">
            <v>500465</v>
          </cell>
          <cell r="B5470" t="str">
            <v>NEW C GLAMOUR nº M44 pack</v>
          </cell>
          <cell r="C5470" t="str">
            <v>8435057002363</v>
          </cell>
        </row>
        <row r="5471">
          <cell r="A5471">
            <v>500466</v>
          </cell>
          <cell r="B5471" t="str">
            <v>NEW C GLAMOUR nº M66 pack</v>
          </cell>
          <cell r="C5471" t="str">
            <v>NGM66</v>
          </cell>
        </row>
        <row r="5472">
          <cell r="A5472">
            <v>500466</v>
          </cell>
          <cell r="B5472" t="str">
            <v>NEW C GLAMOUR nº M66 pack</v>
          </cell>
          <cell r="C5472" t="str">
            <v>8435057002370</v>
          </cell>
        </row>
        <row r="5473">
          <cell r="A5473">
            <v>500467</v>
          </cell>
          <cell r="B5473" t="str">
            <v>NEW C GLAMOUR nº M67 pack</v>
          </cell>
          <cell r="C5473" t="str">
            <v>NGM67</v>
          </cell>
        </row>
        <row r="5474">
          <cell r="A5474">
            <v>500467</v>
          </cell>
          <cell r="B5474" t="str">
            <v>NEW C GLAMOUR nº M67 pack</v>
          </cell>
          <cell r="C5474" t="str">
            <v>8435057002387</v>
          </cell>
        </row>
        <row r="5475">
          <cell r="A5475">
            <v>500468</v>
          </cell>
          <cell r="B5475" t="str">
            <v>DEVELOPER 1000 ML.</v>
          </cell>
          <cell r="C5475" t="str">
            <v>NGDE10</v>
          </cell>
        </row>
        <row r="5476">
          <cell r="A5476">
            <v>500468</v>
          </cell>
          <cell r="B5476" t="str">
            <v>DEVELOPER 1000 ML.</v>
          </cell>
          <cell r="C5476" t="str">
            <v>8435057002394</v>
          </cell>
        </row>
        <row r="5477">
          <cell r="A5477">
            <v>500469</v>
          </cell>
          <cell r="B5477" t="str">
            <v>DEVELOPER 120 ML.</v>
          </cell>
          <cell r="C5477" t="str">
            <v>NGDE12</v>
          </cell>
        </row>
        <row r="5478">
          <cell r="A5478">
            <v>500469</v>
          </cell>
          <cell r="B5478" t="str">
            <v>DEVELOPER 120 ML.</v>
          </cell>
          <cell r="C5478" t="str">
            <v>8435057002400</v>
          </cell>
        </row>
        <row r="5479">
          <cell r="A5479">
            <v>500470</v>
          </cell>
          <cell r="B5479" t="str">
            <v>DEVELOPER INTENSE 1000 ML.</v>
          </cell>
          <cell r="C5479" t="str">
            <v>NGDI10</v>
          </cell>
        </row>
        <row r="5480">
          <cell r="A5480">
            <v>500470</v>
          </cell>
          <cell r="B5480" t="str">
            <v>DEVELOPER INTENSE 1000 ML.</v>
          </cell>
          <cell r="C5480" t="str">
            <v>8435057002417</v>
          </cell>
        </row>
        <row r="5481">
          <cell r="A5481">
            <v>500471</v>
          </cell>
          <cell r="B5481" t="str">
            <v>DEVELOPER INTENSE 120 ML.</v>
          </cell>
          <cell r="C5481" t="str">
            <v>NGDI12</v>
          </cell>
        </row>
        <row r="5482">
          <cell r="A5482">
            <v>500471</v>
          </cell>
          <cell r="B5482" t="str">
            <v>DEVELOPER INTENSE 120 ML.</v>
          </cell>
          <cell r="C5482" t="str">
            <v>8435057002424</v>
          </cell>
        </row>
        <row r="5483">
          <cell r="A5483">
            <v>500472</v>
          </cell>
          <cell r="B5483" t="str">
            <v>PROMO LOTE CONQUISTA KINCREM</v>
          </cell>
          <cell r="C5483" t="str">
            <v>LOKF09</v>
          </cell>
        </row>
        <row r="5484">
          <cell r="A5484">
            <v>500472</v>
          </cell>
          <cell r="B5484" t="str">
            <v>PROMO LOTE CONQUISTA KINCREM</v>
          </cell>
          <cell r="C5484" t="str">
            <v>8435057054195</v>
          </cell>
        </row>
        <row r="5485">
          <cell r="A5485">
            <v>500473</v>
          </cell>
          <cell r="B5485" t="str">
            <v>KINBLOND BLEACHING POWDER 500 GR</v>
          </cell>
          <cell r="C5485" t="str">
            <v>KBTA50</v>
          </cell>
        </row>
        <row r="5486">
          <cell r="A5486">
            <v>500473</v>
          </cell>
          <cell r="B5486" t="str">
            <v>KINBLOND BLEACHING POWDER 500 GR</v>
          </cell>
          <cell r="C5486" t="str">
            <v>KBTA50</v>
          </cell>
        </row>
        <row r="5487">
          <cell r="A5487">
            <v>500473</v>
          </cell>
          <cell r="B5487" t="str">
            <v>KINBLOND BLEACHING POWDER 500 GR</v>
          </cell>
          <cell r="C5487" t="str">
            <v>8435057006514</v>
          </cell>
        </row>
        <row r="5488">
          <cell r="A5488">
            <v>500474</v>
          </cell>
          <cell r="B5488" t="str">
            <v>KINBLOND EST. 24 SOBRE 30 GRS.</v>
          </cell>
          <cell r="C5488" t="str">
            <v>KBES24</v>
          </cell>
        </row>
        <row r="5489">
          <cell r="A5489">
            <v>500474</v>
          </cell>
          <cell r="B5489" t="str">
            <v>KINBLOND EST. 24 SOBRE 30 GRS.</v>
          </cell>
          <cell r="C5489" t="str">
            <v>8435057006538</v>
          </cell>
        </row>
        <row r="5490">
          <cell r="A5490">
            <v>500475</v>
          </cell>
          <cell r="B5490" t="str">
            <v>KINCREM 'KF' 1 TUBO nº 1.0</v>
          </cell>
          <cell r="C5490" t="str">
            <v>EF0010</v>
          </cell>
        </row>
        <row r="5491">
          <cell r="A5491">
            <v>500475</v>
          </cell>
          <cell r="B5491" t="str">
            <v>KINCREM 'KF' 1 TUBO nº 1.0</v>
          </cell>
          <cell r="C5491" t="str">
            <v>8435057007214</v>
          </cell>
        </row>
        <row r="5492">
          <cell r="A5492">
            <v>500476</v>
          </cell>
          <cell r="B5492" t="str">
            <v>KINCREM 'KF' 1 TUBO nº 1.1</v>
          </cell>
          <cell r="C5492" t="str">
            <v>EF0011</v>
          </cell>
        </row>
        <row r="5493">
          <cell r="A5493">
            <v>500476</v>
          </cell>
          <cell r="B5493" t="str">
            <v>KINCREM 'KF' 1 TUBO nº 1.1</v>
          </cell>
          <cell r="C5493" t="str">
            <v>8435057007221</v>
          </cell>
        </row>
        <row r="5494">
          <cell r="A5494">
            <v>500477</v>
          </cell>
          <cell r="B5494" t="str">
            <v>KINCREM 'KF' 1 TUBO nº 2.0</v>
          </cell>
          <cell r="C5494" t="str">
            <v>EF0020</v>
          </cell>
        </row>
        <row r="5495">
          <cell r="A5495">
            <v>500477</v>
          </cell>
          <cell r="B5495" t="str">
            <v>KINCREM 'KF' 1 TUBO nº 2.0</v>
          </cell>
          <cell r="C5495" t="str">
            <v>8435057007238</v>
          </cell>
        </row>
        <row r="5496">
          <cell r="A5496">
            <v>500478</v>
          </cell>
          <cell r="B5496" t="str">
            <v>KINCREM 'KF' 1 TUBO nº 3.0</v>
          </cell>
          <cell r="C5496" t="str">
            <v>EF0030</v>
          </cell>
        </row>
        <row r="5497">
          <cell r="A5497">
            <v>500478</v>
          </cell>
          <cell r="B5497" t="str">
            <v>KINCREM 'KF' 1 TUBO nº 3.0</v>
          </cell>
          <cell r="C5497" t="str">
            <v>8435057007245</v>
          </cell>
        </row>
        <row r="5498">
          <cell r="A5498">
            <v>500479</v>
          </cell>
          <cell r="B5498" t="str">
            <v>KINCREM 'KF' 1 TUBO nº 4.0</v>
          </cell>
          <cell r="C5498" t="str">
            <v>EF0040</v>
          </cell>
        </row>
        <row r="5499">
          <cell r="A5499">
            <v>500479</v>
          </cell>
          <cell r="B5499" t="str">
            <v>KINCREM 'KF' 1 TUBO nº 4.0</v>
          </cell>
          <cell r="C5499" t="str">
            <v>8435057007252</v>
          </cell>
        </row>
        <row r="5500">
          <cell r="A5500">
            <v>500480</v>
          </cell>
          <cell r="B5500" t="str">
            <v>KINCREM 'KF' 1 TUBO nº 4.3</v>
          </cell>
          <cell r="C5500" t="str">
            <v>EF0043</v>
          </cell>
        </row>
        <row r="5501">
          <cell r="A5501">
            <v>500480</v>
          </cell>
          <cell r="B5501" t="str">
            <v>KINCREM 'KF' 1 TUBO nº 4.3</v>
          </cell>
          <cell r="C5501" t="str">
            <v>8435057007269</v>
          </cell>
        </row>
        <row r="5502">
          <cell r="A5502">
            <v>500481</v>
          </cell>
          <cell r="B5502" t="str">
            <v>KINCREM 'KF' 1 TUBO nº 5.0</v>
          </cell>
          <cell r="C5502" t="str">
            <v>EF0050</v>
          </cell>
        </row>
        <row r="5503">
          <cell r="A5503">
            <v>500481</v>
          </cell>
          <cell r="B5503" t="str">
            <v>KINCREM 'KF' 1 TUBO nº 5.0</v>
          </cell>
          <cell r="C5503" t="str">
            <v>8435057007276</v>
          </cell>
        </row>
        <row r="5504">
          <cell r="A5504">
            <v>500482</v>
          </cell>
          <cell r="B5504" t="str">
            <v>KINCREM 'KF' 1 TUBO nº 5.1</v>
          </cell>
          <cell r="C5504" t="str">
            <v>EF0051</v>
          </cell>
        </row>
        <row r="5505">
          <cell r="A5505">
            <v>500482</v>
          </cell>
          <cell r="B5505" t="str">
            <v>KINCREM 'KF' 1 TUBO nº 5.1</v>
          </cell>
          <cell r="C5505" t="str">
            <v>8435057007283</v>
          </cell>
        </row>
        <row r="5506">
          <cell r="A5506">
            <v>500483</v>
          </cell>
          <cell r="B5506" t="str">
            <v>KINCREM 'KF' 1 TUBO nº 5.3</v>
          </cell>
          <cell r="C5506" t="str">
            <v>EF0053</v>
          </cell>
        </row>
        <row r="5507">
          <cell r="A5507">
            <v>500483</v>
          </cell>
          <cell r="B5507" t="str">
            <v>KINCREM 'KF' 1 TUBO nº 5.3</v>
          </cell>
          <cell r="C5507" t="str">
            <v>8435057007290</v>
          </cell>
        </row>
        <row r="5508">
          <cell r="A5508">
            <v>500484</v>
          </cell>
          <cell r="B5508" t="str">
            <v>KINCREM 'KF' 1 TUBO nº 6.0</v>
          </cell>
          <cell r="C5508" t="str">
            <v>EF0060</v>
          </cell>
        </row>
        <row r="5509">
          <cell r="A5509">
            <v>500484</v>
          </cell>
          <cell r="B5509" t="str">
            <v>KINCREM 'KF' 1 TUBO nº 6.0</v>
          </cell>
          <cell r="C5509" t="str">
            <v>8435057007306</v>
          </cell>
        </row>
        <row r="5510">
          <cell r="A5510">
            <v>500485</v>
          </cell>
          <cell r="B5510" t="str">
            <v>KINCREM 'KF' 1 TUBO nº 6.1</v>
          </cell>
          <cell r="C5510" t="str">
            <v>EF0061</v>
          </cell>
        </row>
        <row r="5511">
          <cell r="A5511">
            <v>500485</v>
          </cell>
          <cell r="B5511" t="str">
            <v>KINCREM 'KF' 1 TUBO nº 6.1</v>
          </cell>
          <cell r="C5511" t="str">
            <v>8435057007313</v>
          </cell>
        </row>
        <row r="5512">
          <cell r="A5512">
            <v>500486</v>
          </cell>
          <cell r="B5512" t="str">
            <v>KINCREM 'KF' 1 TUBO nº 6.3</v>
          </cell>
          <cell r="C5512" t="str">
            <v>EF0063</v>
          </cell>
        </row>
        <row r="5513">
          <cell r="A5513">
            <v>500486</v>
          </cell>
          <cell r="B5513" t="str">
            <v>KINCREM 'KF' 1 TUBO nº 6.3</v>
          </cell>
          <cell r="C5513" t="str">
            <v>8435057007320</v>
          </cell>
        </row>
        <row r="5514">
          <cell r="A5514">
            <v>500487</v>
          </cell>
          <cell r="B5514" t="str">
            <v>KINCREM 'KF' 1 TUBO nº 7.0</v>
          </cell>
          <cell r="C5514" t="str">
            <v>EF0070</v>
          </cell>
        </row>
        <row r="5515">
          <cell r="A5515">
            <v>500487</v>
          </cell>
          <cell r="B5515" t="str">
            <v>KINCREM 'KF' 1 TUBO nº 7.0</v>
          </cell>
          <cell r="C5515" t="str">
            <v>843505700733</v>
          </cell>
        </row>
        <row r="5516">
          <cell r="A5516">
            <v>500488</v>
          </cell>
          <cell r="B5516" t="str">
            <v>KINCREM 'KF' 1 TUBO nº 7.1</v>
          </cell>
          <cell r="C5516" t="str">
            <v>EF0071</v>
          </cell>
        </row>
        <row r="5517">
          <cell r="A5517">
            <v>500488</v>
          </cell>
          <cell r="B5517" t="str">
            <v>KINCREM 'KF' 1 TUBO nº 7.1</v>
          </cell>
          <cell r="C5517" t="str">
            <v>8435057007344</v>
          </cell>
        </row>
        <row r="5518">
          <cell r="A5518">
            <v>500489</v>
          </cell>
          <cell r="B5518" t="str">
            <v>KINCREM 'KF' 1 TUBO nº 7.3</v>
          </cell>
          <cell r="C5518" t="str">
            <v>EF0073</v>
          </cell>
        </row>
        <row r="5519">
          <cell r="A5519">
            <v>500489</v>
          </cell>
          <cell r="B5519" t="str">
            <v>KINCREM 'KF' 1 TUBO nº 7.3</v>
          </cell>
          <cell r="C5519" t="str">
            <v>8435057007351</v>
          </cell>
        </row>
        <row r="5520">
          <cell r="A5520">
            <v>500490</v>
          </cell>
          <cell r="B5520" t="str">
            <v>KINCREM 'KF' 1 TUBO nº 7.9</v>
          </cell>
          <cell r="C5520" t="str">
            <v>EF0079</v>
          </cell>
        </row>
        <row r="5521">
          <cell r="A5521">
            <v>500490</v>
          </cell>
          <cell r="B5521" t="str">
            <v>KINCREM 'KF' 1 TUBO nº 7.9</v>
          </cell>
          <cell r="C5521" t="str">
            <v>8435057007368</v>
          </cell>
        </row>
        <row r="5522">
          <cell r="A5522">
            <v>500491</v>
          </cell>
          <cell r="B5522" t="str">
            <v>KINCREM 'KF' 1 TUBO nº 8.0</v>
          </cell>
          <cell r="C5522" t="str">
            <v>EF0080</v>
          </cell>
        </row>
        <row r="5523">
          <cell r="A5523">
            <v>500491</v>
          </cell>
          <cell r="B5523" t="str">
            <v>KINCREM 'KF' 1 TUBO nº 8.0</v>
          </cell>
          <cell r="C5523" t="str">
            <v>8435057007375</v>
          </cell>
        </row>
        <row r="5524">
          <cell r="A5524">
            <v>500492</v>
          </cell>
          <cell r="B5524" t="str">
            <v>KINCREM 'KF' 1 TUBO nº 8.1</v>
          </cell>
          <cell r="C5524" t="str">
            <v>EF0081</v>
          </cell>
        </row>
        <row r="5525">
          <cell r="A5525">
            <v>500492</v>
          </cell>
          <cell r="B5525" t="str">
            <v>KINCREM 'KF' 1 TUBO nº 8.1</v>
          </cell>
          <cell r="C5525" t="str">
            <v>8435057007382</v>
          </cell>
        </row>
        <row r="5526">
          <cell r="A5526">
            <v>500493</v>
          </cell>
          <cell r="B5526" t="str">
            <v>KINCREM 'KF' 1 TUBO nº 8.2</v>
          </cell>
          <cell r="C5526" t="str">
            <v>EF0082</v>
          </cell>
        </row>
        <row r="5527">
          <cell r="A5527">
            <v>500493</v>
          </cell>
          <cell r="B5527" t="str">
            <v>KINCREM 'KF' 1 TUBO nº 8.2</v>
          </cell>
          <cell r="C5527" t="str">
            <v>8435057007399</v>
          </cell>
        </row>
        <row r="5528">
          <cell r="A5528">
            <v>500494</v>
          </cell>
          <cell r="B5528" t="str">
            <v>KINCREM 'KF' 1 TUBO nº 8.3</v>
          </cell>
          <cell r="C5528" t="str">
            <v>EF0083</v>
          </cell>
        </row>
        <row r="5529">
          <cell r="A5529">
            <v>500494</v>
          </cell>
          <cell r="B5529" t="str">
            <v>KINCREM 'KF' 1 TUBO nº 8.3</v>
          </cell>
          <cell r="C5529" t="str">
            <v>8435057007405</v>
          </cell>
        </row>
        <row r="5530">
          <cell r="A5530">
            <v>500495</v>
          </cell>
          <cell r="B5530" t="str">
            <v>KINCREM 'KF' 1 TUBO nº 9.0</v>
          </cell>
          <cell r="C5530" t="str">
            <v>EF0090</v>
          </cell>
        </row>
        <row r="5531">
          <cell r="A5531">
            <v>500495</v>
          </cell>
          <cell r="B5531" t="str">
            <v>KINCREM 'KF' 1 TUBO nº 9.0</v>
          </cell>
          <cell r="C5531" t="str">
            <v>8435057007412</v>
          </cell>
        </row>
        <row r="5532">
          <cell r="A5532">
            <v>500496</v>
          </cell>
          <cell r="B5532" t="str">
            <v>KINCREM 'KF' 1 TUBO nº 9.1</v>
          </cell>
          <cell r="C5532" t="str">
            <v>EF0091</v>
          </cell>
        </row>
        <row r="5533">
          <cell r="A5533">
            <v>500496</v>
          </cell>
          <cell r="B5533" t="str">
            <v>KINCREM 'KF' 1 TUBO nº 9.1</v>
          </cell>
          <cell r="C5533" t="str">
            <v>8435057007429</v>
          </cell>
        </row>
        <row r="5534">
          <cell r="A5534">
            <v>500497</v>
          </cell>
          <cell r="B5534" t="str">
            <v>KINCREM 'KF' 1 TUBO nº 9.3</v>
          </cell>
          <cell r="C5534" t="str">
            <v>EF0093</v>
          </cell>
        </row>
        <row r="5535">
          <cell r="A5535">
            <v>500497</v>
          </cell>
          <cell r="B5535" t="str">
            <v>KINCREM 'KF' 1 TUBO nº 9.3</v>
          </cell>
          <cell r="C5535" t="str">
            <v>8435057007436</v>
          </cell>
        </row>
        <row r="5536">
          <cell r="A5536">
            <v>500498</v>
          </cell>
          <cell r="B5536" t="str">
            <v>KINCREM 'KF' 1 TUBO nº 9.9</v>
          </cell>
          <cell r="C5536" t="str">
            <v>EF0099</v>
          </cell>
        </row>
        <row r="5537">
          <cell r="A5537">
            <v>500498</v>
          </cell>
          <cell r="B5537" t="str">
            <v>KINCREM 'KF' 1 TUBO nº 9.9</v>
          </cell>
          <cell r="C5537" t="str">
            <v>8435057007443</v>
          </cell>
        </row>
        <row r="5538">
          <cell r="A5538">
            <v>500499</v>
          </cell>
          <cell r="B5538" t="str">
            <v>KINCREM 'KF' 1 TUBO nº 10.0</v>
          </cell>
          <cell r="C5538" t="str">
            <v>EF0100</v>
          </cell>
        </row>
        <row r="5539">
          <cell r="A5539">
            <v>500499</v>
          </cell>
          <cell r="B5539" t="str">
            <v>KINCREM 'KF' 1 TUBO nº 10.0</v>
          </cell>
          <cell r="C5539" t="str">
            <v>8435057007450</v>
          </cell>
        </row>
        <row r="5540">
          <cell r="A5540">
            <v>500500</v>
          </cell>
          <cell r="B5540" t="str">
            <v>KINCREM 'KF' 1 TUBO nº 10.1</v>
          </cell>
          <cell r="C5540" t="str">
            <v>EF0101</v>
          </cell>
        </row>
        <row r="5541">
          <cell r="A5541">
            <v>500500</v>
          </cell>
          <cell r="B5541" t="str">
            <v>KINCREM 'KF' 1 TUBO nº 10.1</v>
          </cell>
          <cell r="C5541" t="str">
            <v>8435057007467</v>
          </cell>
        </row>
        <row r="5542">
          <cell r="A5542">
            <v>500501</v>
          </cell>
          <cell r="B5542" t="str">
            <v>KINCREM 'KF' 1 TUBO nº 10.3</v>
          </cell>
          <cell r="C5542" t="str">
            <v>EF0103</v>
          </cell>
        </row>
        <row r="5543">
          <cell r="A5543">
            <v>500501</v>
          </cell>
          <cell r="B5543" t="str">
            <v>KINCREM 'KF' 1 TUBO nº 10.3</v>
          </cell>
          <cell r="C5543" t="str">
            <v>8435057007474</v>
          </cell>
        </row>
        <row r="5544">
          <cell r="A5544">
            <v>500502</v>
          </cell>
          <cell r="B5544" t="str">
            <v>KINCREM 'KF' 1 TUBO nº 3.00</v>
          </cell>
          <cell r="C5544" t="str">
            <v>EF0300</v>
          </cell>
        </row>
        <row r="5545">
          <cell r="A5545">
            <v>500502</v>
          </cell>
          <cell r="B5545" t="str">
            <v>KINCREM 'KF' 1 TUBO nº 3.00</v>
          </cell>
          <cell r="C5545" t="str">
            <v>8435057007481</v>
          </cell>
        </row>
        <row r="5546">
          <cell r="A5546">
            <v>500503</v>
          </cell>
          <cell r="B5546" t="str">
            <v>KINCREM 'KF' 1 TUBO nº 4.00</v>
          </cell>
          <cell r="C5546" t="str">
            <v>EF0400</v>
          </cell>
        </row>
        <row r="5547">
          <cell r="A5547">
            <v>500503</v>
          </cell>
          <cell r="B5547" t="str">
            <v>KINCREM 'KF' 1 TUBO nº 4.00</v>
          </cell>
          <cell r="C5547" t="str">
            <v>8435057007498</v>
          </cell>
        </row>
        <row r="5548">
          <cell r="A5548">
            <v>500504</v>
          </cell>
          <cell r="B5548" t="str">
            <v>KINCREM 'KF' 1 TUBO nº 5.00</v>
          </cell>
          <cell r="C5548" t="str">
            <v>EF0500</v>
          </cell>
        </row>
        <row r="5549">
          <cell r="A5549">
            <v>500504</v>
          </cell>
          <cell r="B5549" t="str">
            <v>KINCREM 'KF' 1 TUBO nº 5.00</v>
          </cell>
          <cell r="C5549" t="str">
            <v>8435057007504</v>
          </cell>
        </row>
        <row r="5550">
          <cell r="A5550">
            <v>500505</v>
          </cell>
          <cell r="B5550" t="str">
            <v>KINCREM 'KF' 1 TUBO nº 6.00</v>
          </cell>
          <cell r="C5550" t="str">
            <v>EF0600</v>
          </cell>
        </row>
        <row r="5551">
          <cell r="A5551">
            <v>500505</v>
          </cell>
          <cell r="B5551" t="str">
            <v>KINCREM 'KF' 1 TUBO nº 6.00</v>
          </cell>
          <cell r="C5551" t="str">
            <v>8435057007511</v>
          </cell>
        </row>
        <row r="5552">
          <cell r="A5552">
            <v>500506</v>
          </cell>
          <cell r="B5552" t="str">
            <v>KINCREM 'KF' 1 TUBO nº 6.01</v>
          </cell>
          <cell r="C5552" t="str">
            <v>EF0601</v>
          </cell>
        </row>
        <row r="5553">
          <cell r="A5553">
            <v>500506</v>
          </cell>
          <cell r="B5553" t="str">
            <v>KINCREM 'KF' 1 TUBO nº 6.01</v>
          </cell>
          <cell r="C5553" t="str">
            <v>8435057007528</v>
          </cell>
        </row>
        <row r="5554">
          <cell r="A5554">
            <v>500507</v>
          </cell>
          <cell r="B5554" t="str">
            <v>KINCREM 'KF' 1 TUBO nº 6.12</v>
          </cell>
          <cell r="C5554" t="str">
            <v>EF0612</v>
          </cell>
        </row>
        <row r="5555">
          <cell r="A5555">
            <v>500507</v>
          </cell>
          <cell r="B5555" t="str">
            <v>KINCREM 'KF' 1 TUBO nº 6.12</v>
          </cell>
          <cell r="C5555" t="str">
            <v>8435057007535</v>
          </cell>
        </row>
        <row r="5556">
          <cell r="A5556">
            <v>500508</v>
          </cell>
          <cell r="B5556" t="str">
            <v>KINCREM 'KF' 1 TUBO nº 6.31</v>
          </cell>
          <cell r="C5556" t="str">
            <v>8435057007542</v>
          </cell>
        </row>
        <row r="5557">
          <cell r="A5557">
            <v>500509</v>
          </cell>
          <cell r="B5557" t="str">
            <v>KINCREM 'KF' 1 TUBO nº 6.32</v>
          </cell>
          <cell r="C5557" t="str">
            <v>EF0632</v>
          </cell>
        </row>
        <row r="5558">
          <cell r="A5558">
            <v>500509</v>
          </cell>
          <cell r="B5558" t="str">
            <v>KINCREM 'KF' 1 TUBO nº 6.32</v>
          </cell>
          <cell r="C5558" t="str">
            <v>8435057007559</v>
          </cell>
        </row>
        <row r="5559">
          <cell r="A5559">
            <v>500510</v>
          </cell>
          <cell r="B5559" t="str">
            <v>KINCREM 'KF' 1 TUBO nº 6.34</v>
          </cell>
          <cell r="C5559" t="str">
            <v>EF0634</v>
          </cell>
        </row>
        <row r="5560">
          <cell r="A5560">
            <v>500510</v>
          </cell>
          <cell r="B5560" t="str">
            <v>KINCREM 'KF' 1 TUBO nº 6.34</v>
          </cell>
          <cell r="C5560" t="str">
            <v>8435057007566</v>
          </cell>
        </row>
        <row r="5561">
          <cell r="A5561">
            <v>500511</v>
          </cell>
          <cell r="B5561" t="str">
            <v>KINCREM 'KF' 1 TUBO nº 7.00</v>
          </cell>
          <cell r="C5561" t="str">
            <v>EF0700</v>
          </cell>
        </row>
        <row r="5562">
          <cell r="A5562">
            <v>500511</v>
          </cell>
          <cell r="B5562" t="str">
            <v>KINCREM 'KF' 1 TUBO nº 7.00</v>
          </cell>
          <cell r="C5562" t="str">
            <v>8435057007573</v>
          </cell>
        </row>
        <row r="5563">
          <cell r="A5563">
            <v>500512</v>
          </cell>
          <cell r="B5563" t="str">
            <v>KINCREM 'KF' 1 TUBO nº 7.01</v>
          </cell>
          <cell r="C5563" t="str">
            <v>EF0701</v>
          </cell>
        </row>
        <row r="5564">
          <cell r="A5564">
            <v>500512</v>
          </cell>
          <cell r="B5564" t="str">
            <v>KINCREM 'KF' 1 TUBO nº 7.01</v>
          </cell>
          <cell r="C5564" t="str">
            <v>8435057007580</v>
          </cell>
        </row>
        <row r="5565">
          <cell r="A5565">
            <v>500513</v>
          </cell>
          <cell r="B5565" t="str">
            <v>KINCREM 'KF' 1 TUBO nº 7.31</v>
          </cell>
          <cell r="C5565" t="str">
            <v>EF0731</v>
          </cell>
        </row>
        <row r="5566">
          <cell r="A5566">
            <v>500513</v>
          </cell>
          <cell r="B5566" t="str">
            <v>KINCREM 'KF' 1 TUBO nº 7.31</v>
          </cell>
          <cell r="C5566" t="str">
            <v>8435057007597</v>
          </cell>
        </row>
        <row r="5567">
          <cell r="A5567">
            <v>500514</v>
          </cell>
          <cell r="B5567" t="str">
            <v>KINCREM 'KF' 1 TUBO nº 7.32</v>
          </cell>
          <cell r="C5567" t="str">
            <v>EF0732</v>
          </cell>
        </row>
        <row r="5568">
          <cell r="A5568">
            <v>500514</v>
          </cell>
          <cell r="B5568" t="str">
            <v>KINCREM 'KF' 1 TUBO nº 7.32</v>
          </cell>
          <cell r="C5568" t="str">
            <v>8435057007603</v>
          </cell>
        </row>
        <row r="5569">
          <cell r="A5569">
            <v>500515</v>
          </cell>
          <cell r="B5569" t="str">
            <v>KINCREM 'KF' 1 TUBO nº 7.33</v>
          </cell>
          <cell r="C5569" t="str">
            <v>EF0733</v>
          </cell>
        </row>
        <row r="5570">
          <cell r="A5570">
            <v>500515</v>
          </cell>
          <cell r="B5570" t="str">
            <v>KINCREM 'KF' 1 TUBO nº 7.33</v>
          </cell>
          <cell r="C5570" t="str">
            <v>8435057007610</v>
          </cell>
        </row>
        <row r="5571">
          <cell r="A5571">
            <v>500516</v>
          </cell>
          <cell r="B5571" t="str">
            <v>KINCREM 'KF' 1 TUBO nº 7.34</v>
          </cell>
          <cell r="C5571" t="str">
            <v>EF0734</v>
          </cell>
        </row>
        <row r="5572">
          <cell r="A5572">
            <v>500516</v>
          </cell>
          <cell r="B5572" t="str">
            <v>KINCREM 'KF' 1 TUBO nº 7.34</v>
          </cell>
          <cell r="C5572" t="str">
            <v>8435057007627</v>
          </cell>
        </row>
        <row r="5573">
          <cell r="A5573">
            <v>500517</v>
          </cell>
          <cell r="B5573" t="str">
            <v>KINCREM 'KF' 1 TUBO nº 8.00</v>
          </cell>
          <cell r="C5573" t="str">
            <v>EF0800</v>
          </cell>
        </row>
        <row r="5574">
          <cell r="A5574">
            <v>500517</v>
          </cell>
          <cell r="B5574" t="str">
            <v>KINCREM 'KF' 1 TUBO nº 8.00</v>
          </cell>
          <cell r="C5574" t="str">
            <v>8435057007634</v>
          </cell>
        </row>
        <row r="5575">
          <cell r="A5575">
            <v>500518</v>
          </cell>
          <cell r="B5575" t="str">
            <v>KINCREM 'KF' 1 TUBO nº 8.01</v>
          </cell>
          <cell r="C5575" t="str">
            <v>EF0801</v>
          </cell>
        </row>
        <row r="5576">
          <cell r="A5576">
            <v>500518</v>
          </cell>
          <cell r="B5576" t="str">
            <v>KINCREM 'KF' 1 TUBO nº 8.01</v>
          </cell>
          <cell r="C5576" t="str">
            <v>8435057007641</v>
          </cell>
        </row>
        <row r="5577">
          <cell r="A5577">
            <v>500519</v>
          </cell>
          <cell r="B5577" t="str">
            <v>KINCREM 'KF' 1 TUBO nº 8.31</v>
          </cell>
          <cell r="C5577" t="str">
            <v>EF0831</v>
          </cell>
        </row>
        <row r="5578">
          <cell r="A5578">
            <v>500519</v>
          </cell>
          <cell r="B5578" t="str">
            <v>KINCREM 'KF' 1 TUBO nº 8.31</v>
          </cell>
          <cell r="C5578" t="str">
            <v>8435057007658</v>
          </cell>
        </row>
        <row r="5579">
          <cell r="A5579">
            <v>500520</v>
          </cell>
          <cell r="B5579" t="str">
            <v>KINCREM 'KF' 1 TUBO nº 8.32</v>
          </cell>
          <cell r="C5579" t="str">
            <v>EF0832</v>
          </cell>
        </row>
        <row r="5580">
          <cell r="A5580">
            <v>500520</v>
          </cell>
          <cell r="B5580" t="str">
            <v>KINCREM 'KF' 1 TUBO nº 8.32</v>
          </cell>
          <cell r="C5580" t="str">
            <v>8435057007665</v>
          </cell>
        </row>
        <row r="5581">
          <cell r="A5581">
            <v>500521</v>
          </cell>
          <cell r="B5581" t="str">
            <v>KINCREM 'KF' 1 TUBO nº 8.33</v>
          </cell>
          <cell r="C5581" t="str">
            <v>EF0833</v>
          </cell>
        </row>
        <row r="5582">
          <cell r="A5582">
            <v>500521</v>
          </cell>
          <cell r="B5582" t="str">
            <v>KINCREM 'KF' 1 TUBO nº 8.33</v>
          </cell>
          <cell r="C5582" t="str">
            <v>8435057007672</v>
          </cell>
        </row>
        <row r="5583">
          <cell r="A5583">
            <v>500522</v>
          </cell>
          <cell r="B5583" t="str">
            <v>KINCREM 'KF' 1 TUBO nº 8.34</v>
          </cell>
          <cell r="C5583" t="str">
            <v>EF0834</v>
          </cell>
        </row>
        <row r="5584">
          <cell r="A5584">
            <v>500522</v>
          </cell>
          <cell r="B5584" t="str">
            <v>KINCREM 'KF' 1 TUBO nº 8.34</v>
          </cell>
          <cell r="C5584" t="str">
            <v>8435057007689</v>
          </cell>
        </row>
        <row r="5585">
          <cell r="A5585">
            <v>500523</v>
          </cell>
          <cell r="B5585" t="str">
            <v>KINCREM 'KF' 1 TUBO nº 9.00</v>
          </cell>
          <cell r="C5585" t="str">
            <v>EF0900</v>
          </cell>
        </row>
        <row r="5586">
          <cell r="A5586">
            <v>500523</v>
          </cell>
          <cell r="B5586" t="str">
            <v>KINCREM 'KF' 1 TUBO nº 9.00</v>
          </cell>
          <cell r="C5586" t="str">
            <v>8435057007696</v>
          </cell>
        </row>
        <row r="5587">
          <cell r="A5587">
            <v>500524</v>
          </cell>
          <cell r="B5587" t="str">
            <v>KINCREM 'KF' 1 TUBO nº 9.01</v>
          </cell>
          <cell r="C5587" t="str">
            <v>EF0901</v>
          </cell>
        </row>
        <row r="5588">
          <cell r="A5588">
            <v>500524</v>
          </cell>
          <cell r="B5588" t="str">
            <v>KINCREM 'KF' 1 TUBO nº 9.01</v>
          </cell>
          <cell r="C5588" t="str">
            <v>8435057007702</v>
          </cell>
        </row>
        <row r="5589">
          <cell r="A5589">
            <v>500525</v>
          </cell>
          <cell r="B5589" t="str">
            <v>KINCREM 'KF' 1 TUBO nº 9.12</v>
          </cell>
          <cell r="C5589" t="str">
            <v>8435057007719</v>
          </cell>
        </row>
        <row r="5590">
          <cell r="A5590">
            <v>500526</v>
          </cell>
          <cell r="B5590" t="str">
            <v>KINCREM 'KF' 1 TUBO nº 9.31</v>
          </cell>
          <cell r="C5590" t="str">
            <v>EF0931</v>
          </cell>
        </row>
        <row r="5591">
          <cell r="A5591">
            <v>500526</v>
          </cell>
          <cell r="B5591" t="str">
            <v>KINCREM 'KF' 1 TUBO nº 9.31</v>
          </cell>
          <cell r="C5591" t="str">
            <v>8435057007726</v>
          </cell>
        </row>
        <row r="5592">
          <cell r="A5592">
            <v>500527</v>
          </cell>
          <cell r="B5592" t="str">
            <v>KINCREM 'KF' 1 TUBO nº 9.32</v>
          </cell>
          <cell r="C5592" t="str">
            <v>EF0932</v>
          </cell>
        </row>
        <row r="5593">
          <cell r="A5593">
            <v>500527</v>
          </cell>
          <cell r="B5593" t="str">
            <v>KINCREM 'KF' 1 TUBO nº 9.32</v>
          </cell>
          <cell r="C5593" t="str">
            <v>8435057007733</v>
          </cell>
        </row>
        <row r="5594">
          <cell r="A5594">
            <v>500528</v>
          </cell>
          <cell r="B5594" t="str">
            <v>KINCREM 'KF' 1 TUBO nº M/00</v>
          </cell>
          <cell r="C5594" t="str">
            <v>EF0M00</v>
          </cell>
        </row>
        <row r="5595">
          <cell r="A5595">
            <v>500528</v>
          </cell>
          <cell r="B5595" t="str">
            <v>KINCREM 'KF' 1 TUBO nº M/00</v>
          </cell>
          <cell r="C5595" t="str">
            <v>8435057007740</v>
          </cell>
        </row>
        <row r="5596">
          <cell r="A5596">
            <v>500529</v>
          </cell>
          <cell r="B5596" t="str">
            <v>KINCREM 'KF' 1 TUBO nº M/11</v>
          </cell>
          <cell r="C5596" t="str">
            <v>EF0M11</v>
          </cell>
        </row>
        <row r="5597">
          <cell r="A5597">
            <v>500529</v>
          </cell>
          <cell r="B5597" t="str">
            <v>KINCREM 'KF' 1 TUBO nº M/11</v>
          </cell>
          <cell r="C5597" t="str">
            <v>8435057007757</v>
          </cell>
        </row>
        <row r="5598">
          <cell r="A5598">
            <v>500530</v>
          </cell>
          <cell r="B5598" t="str">
            <v>KINCREM 'KF' 1 TUBO nº M/33</v>
          </cell>
          <cell r="C5598" t="str">
            <v>EF0M33</v>
          </cell>
        </row>
        <row r="5599">
          <cell r="A5599">
            <v>500530</v>
          </cell>
          <cell r="B5599" t="str">
            <v>KINCREM 'KF' 1 TUBO nº M/33</v>
          </cell>
          <cell r="C5599" t="str">
            <v>8435057007764</v>
          </cell>
        </row>
        <row r="5600">
          <cell r="A5600">
            <v>500531</v>
          </cell>
          <cell r="B5600" t="str">
            <v>KINCREM 'KF' 1 TUBO nº M/44</v>
          </cell>
          <cell r="C5600" t="str">
            <v>EF0M44</v>
          </cell>
        </row>
        <row r="5601">
          <cell r="A5601">
            <v>500531</v>
          </cell>
          <cell r="B5601" t="str">
            <v>KINCREM 'KF' 1 TUBO nº M/44</v>
          </cell>
          <cell r="C5601" t="str">
            <v>8435057007771</v>
          </cell>
        </row>
        <row r="5602">
          <cell r="A5602">
            <v>500532</v>
          </cell>
          <cell r="B5602" t="str">
            <v>KINCREM 'KF' 1 TUBO nº M/66</v>
          </cell>
          <cell r="C5602" t="str">
            <v>EF0M66</v>
          </cell>
        </row>
        <row r="5603">
          <cell r="A5603">
            <v>500532</v>
          </cell>
          <cell r="B5603" t="str">
            <v>KINCREM 'KF' 1 TUBO nº M/66</v>
          </cell>
          <cell r="C5603" t="str">
            <v>8435057007788</v>
          </cell>
        </row>
        <row r="5604">
          <cell r="A5604">
            <v>500533</v>
          </cell>
          <cell r="B5604" t="str">
            <v>KINCREM 'KF' 1 TUBO nº M/77</v>
          </cell>
          <cell r="C5604" t="str">
            <v>EF0M77</v>
          </cell>
        </row>
        <row r="5605">
          <cell r="A5605">
            <v>500533</v>
          </cell>
          <cell r="B5605" t="str">
            <v>KINCREM 'KF' 1 TUBO nº M/77</v>
          </cell>
          <cell r="C5605" t="str">
            <v>8435057007795</v>
          </cell>
        </row>
        <row r="5606">
          <cell r="A5606">
            <v>500534</v>
          </cell>
          <cell r="B5606" t="str">
            <v>KINCREM 'KF' 1 TUBO nº M/88</v>
          </cell>
          <cell r="C5606" t="str">
            <v>EF0M88</v>
          </cell>
        </row>
        <row r="5607">
          <cell r="A5607">
            <v>500534</v>
          </cell>
          <cell r="B5607" t="str">
            <v>KINCREM 'KF' 1 TUBO nº M/88</v>
          </cell>
          <cell r="C5607" t="str">
            <v>8435057007801</v>
          </cell>
        </row>
        <row r="5608">
          <cell r="A5608">
            <v>500535</v>
          </cell>
          <cell r="B5608" t="str">
            <v>KINCREM 'KF' 1 TUBO nº M/99</v>
          </cell>
          <cell r="C5608" t="str">
            <v>EF0M99</v>
          </cell>
        </row>
        <row r="5609">
          <cell r="A5609">
            <v>500535</v>
          </cell>
          <cell r="B5609" t="str">
            <v>KINCREM 'KF' 1 TUBO nº M/99</v>
          </cell>
          <cell r="C5609" t="str">
            <v>8435057007818</v>
          </cell>
        </row>
        <row r="5610">
          <cell r="A5610">
            <v>500536</v>
          </cell>
          <cell r="B5610" t="str">
            <v>KINCREM 'KF' 1 TUBO nº 10.00</v>
          </cell>
          <cell r="C5610" t="str">
            <v>EF1000</v>
          </cell>
        </row>
        <row r="5611">
          <cell r="A5611">
            <v>500536</v>
          </cell>
          <cell r="B5611" t="str">
            <v>KINCREM 'KF' 1 TUBO nº 10.00</v>
          </cell>
          <cell r="C5611" t="str">
            <v>8435057007825</v>
          </cell>
        </row>
        <row r="5612">
          <cell r="A5612">
            <v>500537</v>
          </cell>
          <cell r="B5612" t="str">
            <v>KINCREM 'KF' 1 TUBO nº 10.01</v>
          </cell>
          <cell r="C5612" t="str">
            <v>EF1001</v>
          </cell>
        </row>
        <row r="5613">
          <cell r="A5613">
            <v>500537</v>
          </cell>
          <cell r="B5613" t="str">
            <v>KINCREM 'KF' 1 TUBO nº 10.01</v>
          </cell>
          <cell r="C5613" t="str">
            <v>8435057007832</v>
          </cell>
        </row>
        <row r="5614">
          <cell r="A5614">
            <v>500538</v>
          </cell>
          <cell r="B5614" t="str">
            <v>KINCREM 'KF' 1 TUBO nº 10.32</v>
          </cell>
          <cell r="C5614" t="str">
            <v>EF1032</v>
          </cell>
        </row>
        <row r="5615">
          <cell r="A5615">
            <v>500538</v>
          </cell>
          <cell r="B5615" t="str">
            <v>KINCREM 'KF' 1 TUBO nº 10.32</v>
          </cell>
          <cell r="C5615" t="str">
            <v>8435057007849</v>
          </cell>
        </row>
        <row r="5616">
          <cell r="A5616">
            <v>500539</v>
          </cell>
          <cell r="B5616" t="str">
            <v>KINCREM 'KF' 1 TUBO nº 11.0</v>
          </cell>
          <cell r="C5616" t="str">
            <v>EF0110</v>
          </cell>
        </row>
        <row r="5617">
          <cell r="A5617">
            <v>500539</v>
          </cell>
          <cell r="B5617" t="str">
            <v>KINCREM 'KF' 1 TUBO nº 11.0</v>
          </cell>
          <cell r="C5617" t="str">
            <v>8435057007856</v>
          </cell>
        </row>
        <row r="5618">
          <cell r="A5618">
            <v>500540</v>
          </cell>
          <cell r="B5618" t="str">
            <v>KINCREM 'KF' 1 TUBO nº 11.1</v>
          </cell>
          <cell r="C5618" t="str">
            <v>EF0111</v>
          </cell>
        </row>
        <row r="5619">
          <cell r="A5619">
            <v>500540</v>
          </cell>
          <cell r="B5619" t="str">
            <v>KINCREM 'KF' 1 TUBO nº 11.1</v>
          </cell>
          <cell r="C5619" t="str">
            <v>8435057007863</v>
          </cell>
        </row>
        <row r="5620">
          <cell r="A5620">
            <v>500541</v>
          </cell>
          <cell r="B5620" t="str">
            <v>KINCREM 'KF' 1 TUBO nº 11.3</v>
          </cell>
          <cell r="C5620" t="str">
            <v>EF0113</v>
          </cell>
        </row>
        <row r="5621">
          <cell r="A5621">
            <v>500541</v>
          </cell>
          <cell r="B5621" t="str">
            <v>KINCREM 'KF' 1 TUBO nº 11.3</v>
          </cell>
          <cell r="C5621" t="str">
            <v>8435057007870</v>
          </cell>
        </row>
        <row r="5622">
          <cell r="A5622">
            <v>500542</v>
          </cell>
          <cell r="B5622" t="str">
            <v>KINCREM 'KF' 1 TUBO nº 12.0</v>
          </cell>
          <cell r="C5622" t="str">
            <v>EF0120</v>
          </cell>
        </row>
        <row r="5623">
          <cell r="A5623">
            <v>500542</v>
          </cell>
          <cell r="B5623" t="str">
            <v>KINCREM 'KF' 1 TUBO nº 12.0</v>
          </cell>
          <cell r="C5623" t="str">
            <v>8435057007887</v>
          </cell>
        </row>
        <row r="5624">
          <cell r="A5624">
            <v>500543</v>
          </cell>
          <cell r="B5624" t="str">
            <v>KINCREM 'KF' 1 TUBO nº 12.1</v>
          </cell>
          <cell r="C5624" t="str">
            <v>EF0121</v>
          </cell>
        </row>
        <row r="5625">
          <cell r="A5625">
            <v>500543</v>
          </cell>
          <cell r="B5625" t="str">
            <v>KINCREM 'KF' 1 TUBO nº 12.1</v>
          </cell>
          <cell r="C5625" t="str">
            <v>8435057007894</v>
          </cell>
        </row>
        <row r="5626">
          <cell r="A5626">
            <v>500544</v>
          </cell>
          <cell r="B5626" t="str">
            <v>KINCREM 'KF' 1 TUBO nº 11.02</v>
          </cell>
          <cell r="C5626" t="str">
            <v>EF1102</v>
          </cell>
        </row>
        <row r="5627">
          <cell r="A5627">
            <v>500544</v>
          </cell>
          <cell r="B5627" t="str">
            <v>KINCREM 'KF' 1 TUBO nº 11.02</v>
          </cell>
          <cell r="C5627" t="str">
            <v>8435057007900</v>
          </cell>
        </row>
        <row r="5628">
          <cell r="A5628">
            <v>500545</v>
          </cell>
          <cell r="B5628" t="str">
            <v>KINCREM 'KF' 1 TUBO nº 11.12</v>
          </cell>
          <cell r="C5628" t="str">
            <v>EF1112</v>
          </cell>
        </row>
        <row r="5629">
          <cell r="A5629">
            <v>500545</v>
          </cell>
          <cell r="B5629" t="str">
            <v>KINCREM 'KF' 1 TUBO nº 11.12</v>
          </cell>
          <cell r="C5629" t="str">
            <v>8435057007917</v>
          </cell>
        </row>
        <row r="5630">
          <cell r="A5630">
            <v>500546</v>
          </cell>
          <cell r="B5630" t="str">
            <v>KINCREM 'KF' 1 TUBO nº 11.32</v>
          </cell>
          <cell r="C5630" t="str">
            <v>EF1132</v>
          </cell>
        </row>
        <row r="5631">
          <cell r="A5631">
            <v>500546</v>
          </cell>
          <cell r="B5631" t="str">
            <v>KINCREM 'KF' 1 TUBO nº 11.32</v>
          </cell>
          <cell r="C5631" t="str">
            <v>8435057007924</v>
          </cell>
        </row>
        <row r="5632">
          <cell r="A5632">
            <v>500547</v>
          </cell>
          <cell r="B5632" t="str">
            <v>KINCREM 'KF' 1 TUBO nº 11.34</v>
          </cell>
          <cell r="C5632" t="str">
            <v>EF1134</v>
          </cell>
        </row>
        <row r="5633">
          <cell r="A5633">
            <v>500547</v>
          </cell>
          <cell r="B5633" t="str">
            <v>KINCREM 'KF' 1 TUBO nº 11.34</v>
          </cell>
          <cell r="C5633" t="str">
            <v>8435057007931</v>
          </cell>
        </row>
        <row r="5634">
          <cell r="A5634">
            <v>500548</v>
          </cell>
          <cell r="B5634" t="str">
            <v>KINCREM 'KF' 1 TUBO nº 3.5</v>
          </cell>
          <cell r="C5634" t="str">
            <v>EF0035</v>
          </cell>
        </row>
        <row r="5635">
          <cell r="A5635">
            <v>500548</v>
          </cell>
          <cell r="B5635" t="str">
            <v>KINCREM 'KF' 1 TUBO nº 3.5</v>
          </cell>
          <cell r="C5635" t="str">
            <v>8435057007948</v>
          </cell>
        </row>
        <row r="5636">
          <cell r="A5636">
            <v>500549</v>
          </cell>
          <cell r="B5636" t="str">
            <v>KINCREM 'KF' 1 TUBO nº 4.5</v>
          </cell>
          <cell r="C5636" t="str">
            <v>EF0045</v>
          </cell>
        </row>
        <row r="5637">
          <cell r="A5637">
            <v>500549</v>
          </cell>
          <cell r="B5637" t="str">
            <v>KINCREM 'KF' 1 TUBO nº 4.5</v>
          </cell>
          <cell r="C5637" t="str">
            <v>8435057007955</v>
          </cell>
        </row>
        <row r="5638">
          <cell r="A5638">
            <v>500550</v>
          </cell>
          <cell r="B5638" t="str">
            <v>KINCREM 'KF' 1 TUBO nº 5.4</v>
          </cell>
          <cell r="C5638" t="str">
            <v>EF0054</v>
          </cell>
        </row>
        <row r="5639">
          <cell r="A5639">
            <v>500550</v>
          </cell>
          <cell r="B5639" t="str">
            <v>KINCREM 'KF' 1 TUBO nº 5.4</v>
          </cell>
          <cell r="C5639" t="str">
            <v>8435057007962</v>
          </cell>
        </row>
        <row r="5640">
          <cell r="A5640">
            <v>500551</v>
          </cell>
          <cell r="B5640" t="str">
            <v>KINCREM 'KF' 1 TUBO nº 5.5</v>
          </cell>
          <cell r="C5640" t="str">
            <v>EF0055</v>
          </cell>
        </row>
        <row r="5641">
          <cell r="A5641">
            <v>500551</v>
          </cell>
          <cell r="B5641" t="str">
            <v>KINCREM 'KF' 1 TUBO nº 5.5</v>
          </cell>
          <cell r="C5641" t="str">
            <v>8435057007979</v>
          </cell>
        </row>
        <row r="5642">
          <cell r="A5642">
            <v>500552</v>
          </cell>
          <cell r="B5642" t="str">
            <v>KINCREM 'KF' 1 TUBO nº 6.5</v>
          </cell>
          <cell r="C5642" t="str">
            <v>EF0065</v>
          </cell>
        </row>
        <row r="5643">
          <cell r="A5643">
            <v>500552</v>
          </cell>
          <cell r="B5643" t="str">
            <v>KINCREM 'KF' 1 TUBO nº 6.5</v>
          </cell>
          <cell r="C5643" t="str">
            <v>8435057007986</v>
          </cell>
        </row>
        <row r="5644">
          <cell r="A5644">
            <v>500553</v>
          </cell>
          <cell r="B5644" t="str">
            <v>KINCREM 'KF' 1 TUBO nº 7.4</v>
          </cell>
          <cell r="C5644" t="str">
            <v>EF0074</v>
          </cell>
        </row>
        <row r="5645">
          <cell r="A5645">
            <v>500553</v>
          </cell>
          <cell r="B5645" t="str">
            <v>KINCREM 'KF' 1 TUBO nº 7.4</v>
          </cell>
          <cell r="C5645" t="str">
            <v>8435057007993</v>
          </cell>
        </row>
        <row r="5646">
          <cell r="A5646">
            <v>500554</v>
          </cell>
          <cell r="B5646" t="str">
            <v>KINCREM 'KF' 1 TUBO nº 7.5</v>
          </cell>
          <cell r="C5646" t="str">
            <v>EF0075</v>
          </cell>
        </row>
        <row r="5647">
          <cell r="A5647">
            <v>500554</v>
          </cell>
          <cell r="B5647" t="str">
            <v>KINCREM 'KF' 1 TUBO nº 7.5</v>
          </cell>
          <cell r="C5647" t="str">
            <v>8435057008006</v>
          </cell>
        </row>
        <row r="5648">
          <cell r="A5648">
            <v>500555</v>
          </cell>
          <cell r="B5648" t="str">
            <v>KINCREM 'KF' 1 TUBO nº 4.42</v>
          </cell>
          <cell r="C5648" t="str">
            <v>EF0442</v>
          </cell>
        </row>
        <row r="5649">
          <cell r="A5649">
            <v>500555</v>
          </cell>
          <cell r="B5649" t="str">
            <v>KINCREM 'KF' 1 TUBO nº 4.42</v>
          </cell>
          <cell r="C5649" t="str">
            <v>8435057008013</v>
          </cell>
        </row>
        <row r="5650">
          <cell r="A5650">
            <v>500556</v>
          </cell>
          <cell r="B5650" t="str">
            <v>KINCREM 'KF' 1 TUBO nº 4.50</v>
          </cell>
          <cell r="C5650" t="str">
            <v>EF0450</v>
          </cell>
        </row>
        <row r="5651">
          <cell r="A5651">
            <v>500556</v>
          </cell>
          <cell r="B5651" t="str">
            <v>KINCREM 'KF' 1 TUBO nº 4.50</v>
          </cell>
          <cell r="C5651" t="str">
            <v>8435057008020</v>
          </cell>
        </row>
        <row r="5652">
          <cell r="A5652">
            <v>500557</v>
          </cell>
          <cell r="B5652" t="str">
            <v>KINCREM 'KF' 1 TUBO nº 4.51</v>
          </cell>
          <cell r="C5652" t="str">
            <v>EF0451</v>
          </cell>
        </row>
        <row r="5653">
          <cell r="A5653">
            <v>500557</v>
          </cell>
          <cell r="B5653" t="str">
            <v>KINCREM 'KF' 1 TUBO nº 4.51</v>
          </cell>
          <cell r="C5653" t="str">
            <v>8435057008037</v>
          </cell>
        </row>
        <row r="5654">
          <cell r="A5654">
            <v>500558</v>
          </cell>
          <cell r="B5654" t="str">
            <v>KINCREM 'KF' 1 TUBO nº 4.53</v>
          </cell>
          <cell r="C5654" t="str">
            <v>EF0453</v>
          </cell>
        </row>
        <row r="5655">
          <cell r="A5655">
            <v>500558</v>
          </cell>
          <cell r="B5655" t="str">
            <v>KINCREM 'KF' 1 TUBO nº 4.53</v>
          </cell>
          <cell r="C5655" t="str">
            <v>8435057008044</v>
          </cell>
        </row>
        <row r="5656">
          <cell r="A5656">
            <v>500559</v>
          </cell>
          <cell r="B5656" t="str">
            <v>KINCREM 'KF' 1 TUBO nº 5.45</v>
          </cell>
          <cell r="C5656" t="str">
            <v>EF0545</v>
          </cell>
        </row>
        <row r="5657">
          <cell r="A5657">
            <v>500559</v>
          </cell>
          <cell r="B5657" t="str">
            <v>KINCREM 'KF' 1 TUBO nº 5.45</v>
          </cell>
          <cell r="C5657" t="str">
            <v>8435057008051</v>
          </cell>
        </row>
        <row r="5658">
          <cell r="A5658">
            <v>500560</v>
          </cell>
          <cell r="B5658" t="str">
            <v>KINCREM 'KF' 1 TUBO nº 5.50</v>
          </cell>
          <cell r="C5658" t="str">
            <v>EF0550</v>
          </cell>
        </row>
        <row r="5659">
          <cell r="A5659">
            <v>500560</v>
          </cell>
          <cell r="B5659" t="str">
            <v>KINCREM 'KF' 1 TUBO nº 5.50</v>
          </cell>
          <cell r="C5659" t="str">
            <v>8435057008068</v>
          </cell>
        </row>
        <row r="5660">
          <cell r="A5660">
            <v>500561</v>
          </cell>
          <cell r="B5660" t="str">
            <v>KINCREM 'KF' 1 TUBO nº 5.51</v>
          </cell>
          <cell r="C5660" t="str">
            <v>EF0551</v>
          </cell>
        </row>
        <row r="5661">
          <cell r="A5661">
            <v>500561</v>
          </cell>
          <cell r="B5661" t="str">
            <v>KINCREM 'KF' 1 TUBO nº 5.51</v>
          </cell>
          <cell r="C5661" t="str">
            <v>8435057008075</v>
          </cell>
        </row>
        <row r="5662">
          <cell r="A5662">
            <v>500562</v>
          </cell>
          <cell r="B5662" t="str">
            <v>KINCREM 'KF' 1 TUBO nº 5.52</v>
          </cell>
          <cell r="C5662" t="str">
            <v>EF0552</v>
          </cell>
        </row>
        <row r="5663">
          <cell r="A5663">
            <v>500562</v>
          </cell>
          <cell r="B5663" t="str">
            <v>KINCREM 'KF' 1 TUBO nº 5.52</v>
          </cell>
          <cell r="C5663" t="str">
            <v>8435057008082</v>
          </cell>
        </row>
        <row r="5664">
          <cell r="A5664">
            <v>500563</v>
          </cell>
          <cell r="B5664" t="str">
            <v>KINCREM 'KF' 1 TUBO nº 5.53</v>
          </cell>
          <cell r="C5664" t="str">
            <v>EF0553</v>
          </cell>
        </row>
        <row r="5665">
          <cell r="A5665">
            <v>500563</v>
          </cell>
          <cell r="B5665" t="str">
            <v>KINCREM 'KF' 1 TUBO nº 5.53</v>
          </cell>
          <cell r="C5665" t="str">
            <v>8435057008099</v>
          </cell>
        </row>
        <row r="5666">
          <cell r="A5666">
            <v>500564</v>
          </cell>
          <cell r="B5666" t="str">
            <v>KINCREM 'KF' 1 TUBO nº 6.42</v>
          </cell>
          <cell r="C5666" t="str">
            <v>EF0642</v>
          </cell>
        </row>
        <row r="5667">
          <cell r="A5667">
            <v>500564</v>
          </cell>
          <cell r="B5667" t="str">
            <v>KINCREM 'KF' 1 TUBO nº 6.42</v>
          </cell>
          <cell r="C5667" t="str">
            <v>8435057008105</v>
          </cell>
        </row>
        <row r="5668">
          <cell r="A5668">
            <v>500565</v>
          </cell>
          <cell r="B5668" t="str">
            <v>KINCREM 'KF' 1 TUBO nº 6.43</v>
          </cell>
          <cell r="C5668" t="str">
            <v>EF0643</v>
          </cell>
        </row>
        <row r="5669">
          <cell r="A5669">
            <v>500565</v>
          </cell>
          <cell r="B5669" t="str">
            <v>KINCREM 'KF' 1 TUBO nº 6.43</v>
          </cell>
          <cell r="C5669" t="str">
            <v>8435057008112</v>
          </cell>
        </row>
        <row r="5670">
          <cell r="A5670">
            <v>500566</v>
          </cell>
          <cell r="B5670" t="str">
            <v>KINCREM 'KF' 1 TUBO nº 6.44</v>
          </cell>
          <cell r="C5670" t="str">
            <v>EF0644</v>
          </cell>
        </row>
        <row r="5671">
          <cell r="A5671">
            <v>500566</v>
          </cell>
          <cell r="B5671" t="str">
            <v>KINCREM 'KF' 1 TUBO nº 6.44</v>
          </cell>
          <cell r="C5671" t="str">
            <v>8435057008129</v>
          </cell>
        </row>
        <row r="5672">
          <cell r="A5672">
            <v>500567</v>
          </cell>
          <cell r="B5672" t="str">
            <v>KINCREM 'KF' 1 TUBO nº 6.45</v>
          </cell>
          <cell r="C5672" t="str">
            <v>EF0645</v>
          </cell>
        </row>
        <row r="5673">
          <cell r="A5673">
            <v>500567</v>
          </cell>
          <cell r="B5673" t="str">
            <v>KINCREM 'KF' 1 TUBO nº 6.45</v>
          </cell>
          <cell r="C5673" t="str">
            <v>8435057008136</v>
          </cell>
        </row>
        <row r="5674">
          <cell r="A5674">
            <v>500568</v>
          </cell>
          <cell r="B5674" t="str">
            <v>KINCREM 'KF' 1 TUBO nº 6.50</v>
          </cell>
          <cell r="C5674" t="str">
            <v>EF0650</v>
          </cell>
        </row>
        <row r="5675">
          <cell r="A5675">
            <v>500568</v>
          </cell>
          <cell r="B5675" t="str">
            <v>KINCREM 'KF' 1 TUBO nº 6.50</v>
          </cell>
          <cell r="C5675" t="str">
            <v>8435057008143</v>
          </cell>
        </row>
        <row r="5676">
          <cell r="A5676">
            <v>500569</v>
          </cell>
          <cell r="B5676" t="str">
            <v>KINCREM 'KF' 1 TUBO nº 6.51</v>
          </cell>
          <cell r="C5676" t="str">
            <v>EF0651</v>
          </cell>
        </row>
        <row r="5677">
          <cell r="A5677">
            <v>500569</v>
          </cell>
          <cell r="B5677" t="str">
            <v>KINCREM 'KF' 1 TUBO nº 6.51</v>
          </cell>
          <cell r="C5677" t="str">
            <v>8435057008150</v>
          </cell>
        </row>
        <row r="5678">
          <cell r="A5678">
            <v>500570</v>
          </cell>
          <cell r="B5678" t="str">
            <v>KINCREM 'KF' 1 TUBO nº 6.52</v>
          </cell>
          <cell r="C5678" t="str">
            <v>EF0652</v>
          </cell>
        </row>
        <row r="5679">
          <cell r="A5679">
            <v>500570</v>
          </cell>
          <cell r="B5679" t="str">
            <v>KINCREM 'KF' 1 TUBO nº 6.52</v>
          </cell>
          <cell r="C5679" t="str">
            <v>8435057008167</v>
          </cell>
        </row>
        <row r="5680">
          <cell r="A5680">
            <v>500571</v>
          </cell>
          <cell r="B5680" t="str">
            <v>KINCREM 'KF' 1 TUBO nº 6.53</v>
          </cell>
          <cell r="C5680" t="str">
            <v>EF0653</v>
          </cell>
        </row>
        <row r="5681">
          <cell r="A5681">
            <v>500571</v>
          </cell>
          <cell r="B5681" t="str">
            <v>KINCREM 'KF' 1 TUBO nº 6.53</v>
          </cell>
          <cell r="C5681" t="str">
            <v>8435057008174</v>
          </cell>
        </row>
        <row r="5682">
          <cell r="A5682">
            <v>500572</v>
          </cell>
          <cell r="B5682" t="str">
            <v>KINCREM 'KF' 1 TUBO nº 6.54</v>
          </cell>
          <cell r="C5682" t="str">
            <v>EF0654</v>
          </cell>
        </row>
        <row r="5683">
          <cell r="A5683">
            <v>500572</v>
          </cell>
          <cell r="B5683" t="str">
            <v>KINCREM 'KF' 1 TUBO nº 6.54</v>
          </cell>
          <cell r="C5683" t="str">
            <v>8435057008181</v>
          </cell>
        </row>
        <row r="5684">
          <cell r="A5684">
            <v>500573</v>
          </cell>
          <cell r="B5684" t="str">
            <v>KINCREM 'KF' 1 TUBO nº 7.44</v>
          </cell>
          <cell r="C5684" t="str">
            <v>EF0744</v>
          </cell>
        </row>
        <row r="5685">
          <cell r="A5685">
            <v>500573</v>
          </cell>
          <cell r="B5685" t="str">
            <v>KINCREM 'KF' 1 TUBO nº 7.44</v>
          </cell>
          <cell r="C5685" t="str">
            <v>8435057008198</v>
          </cell>
        </row>
        <row r="5686">
          <cell r="A5686">
            <v>500574</v>
          </cell>
          <cell r="B5686" t="str">
            <v>KINCREM 'KF' 1 TUBO nº 7.45</v>
          </cell>
          <cell r="C5686" t="str">
            <v>EF0745</v>
          </cell>
        </row>
        <row r="5687">
          <cell r="A5687">
            <v>500574</v>
          </cell>
          <cell r="B5687" t="str">
            <v>KINCREM 'KF' 1 TUBO nº 7.45</v>
          </cell>
          <cell r="C5687" t="str">
            <v>8435057008204</v>
          </cell>
        </row>
        <row r="5688">
          <cell r="A5688">
            <v>500575</v>
          </cell>
          <cell r="B5688" t="str">
            <v>KINCREM 'KF' 1 TUBO nº 7.50</v>
          </cell>
          <cell r="C5688" t="str">
            <v>EF0750</v>
          </cell>
        </row>
        <row r="5689">
          <cell r="A5689">
            <v>500575</v>
          </cell>
          <cell r="B5689" t="str">
            <v>KINCREM 'KF' 1 TUBO nº 7.50</v>
          </cell>
          <cell r="C5689" t="str">
            <v>8435057008211</v>
          </cell>
        </row>
        <row r="5690">
          <cell r="A5690">
            <v>500576</v>
          </cell>
          <cell r="B5690" t="str">
            <v>KINCREM 'KF' 1 TUBO nº 7.51</v>
          </cell>
          <cell r="C5690" t="str">
            <v>EF0751</v>
          </cell>
        </row>
        <row r="5691">
          <cell r="A5691">
            <v>500576</v>
          </cell>
          <cell r="B5691" t="str">
            <v>KINCREM 'KF' 1 TUBO nº 7.51</v>
          </cell>
          <cell r="C5691" t="str">
            <v>8435057008228</v>
          </cell>
        </row>
        <row r="5692">
          <cell r="A5692">
            <v>500577</v>
          </cell>
          <cell r="B5692" t="str">
            <v>KINCREM 'KF' 1 TUBO nº 7.52</v>
          </cell>
          <cell r="C5692" t="str">
            <v>EF0752</v>
          </cell>
        </row>
        <row r="5693">
          <cell r="A5693">
            <v>500577</v>
          </cell>
          <cell r="B5693" t="str">
            <v>KINCREM 'KF' 1 TUBO nº 7.52</v>
          </cell>
          <cell r="C5693" t="str">
            <v>8435057008235</v>
          </cell>
        </row>
        <row r="5694">
          <cell r="A5694">
            <v>500578</v>
          </cell>
          <cell r="B5694" t="str">
            <v>KINCREM 'KF' 1 TUBO nº 7.53</v>
          </cell>
          <cell r="C5694" t="str">
            <v>EF0753</v>
          </cell>
        </row>
        <row r="5695">
          <cell r="A5695">
            <v>500578</v>
          </cell>
          <cell r="B5695" t="str">
            <v>KINCREM 'KF' 1 TUBO nº 7.53</v>
          </cell>
          <cell r="C5695" t="str">
            <v>8435057008242</v>
          </cell>
        </row>
        <row r="5696">
          <cell r="A5696">
            <v>500579</v>
          </cell>
          <cell r="B5696" t="str">
            <v>KINCREM 'KF' 1 TUBO nº 8.43</v>
          </cell>
          <cell r="C5696" t="str">
            <v>EF0843</v>
          </cell>
        </row>
        <row r="5697">
          <cell r="A5697">
            <v>500579</v>
          </cell>
          <cell r="B5697" t="str">
            <v>KINCREM 'KF' 1 TUBO nº 8.43</v>
          </cell>
          <cell r="C5697" t="str">
            <v>8435057008259</v>
          </cell>
        </row>
        <row r="5698">
          <cell r="A5698">
            <v>500580</v>
          </cell>
          <cell r="B5698" t="str">
            <v>KINCREM 'KF' 1 TUBO nº 8.44</v>
          </cell>
          <cell r="C5698" t="str">
            <v>EF0844</v>
          </cell>
        </row>
        <row r="5699">
          <cell r="A5699">
            <v>500580</v>
          </cell>
          <cell r="B5699" t="str">
            <v>KINCREM 'KF' 1 TUBO nº 8.44</v>
          </cell>
          <cell r="C5699" t="str">
            <v>8435057008266</v>
          </cell>
        </row>
        <row r="5700">
          <cell r="A5700">
            <v>500581</v>
          </cell>
          <cell r="B5700" t="str">
            <v>KINCREM 'KF' 1 TUBO nº 8.45</v>
          </cell>
          <cell r="C5700" t="str">
            <v>EF0845</v>
          </cell>
        </row>
        <row r="5701">
          <cell r="A5701">
            <v>500581</v>
          </cell>
          <cell r="B5701" t="str">
            <v>KINCREM 'KF' 1 TUBO nº 8.45</v>
          </cell>
          <cell r="C5701" t="str">
            <v>8435057008273</v>
          </cell>
        </row>
        <row r="5702">
          <cell r="A5702">
            <v>500582</v>
          </cell>
          <cell r="B5702" t="str">
            <v>KINCREM 'KF' 1 TUBO nº 8.51</v>
          </cell>
          <cell r="C5702" t="str">
            <v>EF0851</v>
          </cell>
        </row>
        <row r="5703">
          <cell r="A5703">
            <v>500582</v>
          </cell>
          <cell r="B5703" t="str">
            <v>KINCREM 'KF' 1 TUBO nº 8.51</v>
          </cell>
          <cell r="C5703" t="str">
            <v>8435057008280</v>
          </cell>
        </row>
        <row r="5704">
          <cell r="A5704">
            <v>500583</v>
          </cell>
          <cell r="B5704" t="str">
            <v>KINCREM 'KF' 1 TUBO nº 8.53</v>
          </cell>
          <cell r="C5704" t="str">
            <v>EF0853</v>
          </cell>
        </row>
        <row r="5705">
          <cell r="A5705">
            <v>500583</v>
          </cell>
          <cell r="B5705" t="str">
            <v>KINCREM 'KF' 1 TUBO nº 8.53</v>
          </cell>
          <cell r="C5705" t="str">
            <v>8435057008297</v>
          </cell>
        </row>
        <row r="5706">
          <cell r="A5706">
            <v>500584</v>
          </cell>
          <cell r="B5706" t="str">
            <v>KINCREM 'KF' 1 TUBO nº 8.54</v>
          </cell>
          <cell r="C5706" t="str">
            <v>EF0854</v>
          </cell>
        </row>
        <row r="5707">
          <cell r="A5707">
            <v>500584</v>
          </cell>
          <cell r="B5707" t="str">
            <v>KINCREM 'KF' 1 TUBO nº 8.54</v>
          </cell>
          <cell r="C5707" t="str">
            <v>8435057008303</v>
          </cell>
        </row>
        <row r="5708">
          <cell r="A5708">
            <v>500585</v>
          </cell>
          <cell r="B5708" t="str">
            <v>KINCREM 'KF' 1 TUBO nº 4.67</v>
          </cell>
          <cell r="C5708" t="str">
            <v>EF0467</v>
          </cell>
        </row>
        <row r="5709">
          <cell r="A5709">
            <v>500585</v>
          </cell>
          <cell r="B5709" t="str">
            <v>KINCREM 'KF' 1 TUBO nº 4.67</v>
          </cell>
          <cell r="C5709" t="str">
            <v>8435057008310</v>
          </cell>
        </row>
        <row r="5710">
          <cell r="A5710">
            <v>500586</v>
          </cell>
          <cell r="B5710" t="str">
            <v>KINCREM 'KF' 1 TUBO nº 4.77</v>
          </cell>
          <cell r="C5710" t="str">
            <v>EF0477</v>
          </cell>
        </row>
        <row r="5711">
          <cell r="A5711">
            <v>500586</v>
          </cell>
          <cell r="B5711" t="str">
            <v>KINCREM 'KF' 1 TUBO nº 4.77</v>
          </cell>
          <cell r="C5711" t="str">
            <v>8435057008327</v>
          </cell>
        </row>
        <row r="5712">
          <cell r="A5712">
            <v>500587</v>
          </cell>
          <cell r="B5712" t="str">
            <v>KINCREM 'KF' 1 TUBO nº 5.66</v>
          </cell>
          <cell r="C5712" t="str">
            <v>EF0566</v>
          </cell>
        </row>
        <row r="5713">
          <cell r="A5713">
            <v>500587</v>
          </cell>
          <cell r="B5713" t="str">
            <v>KINCREM 'KF' 1 TUBO nº 5.66</v>
          </cell>
          <cell r="C5713" t="str">
            <v>8435057008334</v>
          </cell>
        </row>
        <row r="5714">
          <cell r="A5714">
            <v>500588</v>
          </cell>
          <cell r="B5714" t="str">
            <v>KINCREM 'KF' 1 TUBO nº 5.67</v>
          </cell>
          <cell r="C5714" t="str">
            <v>EF0567</v>
          </cell>
        </row>
        <row r="5715">
          <cell r="A5715">
            <v>500588</v>
          </cell>
          <cell r="B5715" t="str">
            <v>KINCREM 'KF' 1 TUBO nº 5.67</v>
          </cell>
          <cell r="C5715" t="str">
            <v>8435057008341</v>
          </cell>
        </row>
        <row r="5716">
          <cell r="A5716">
            <v>500589</v>
          </cell>
          <cell r="B5716" t="str">
            <v>KINCREM 'KF' 1 TUBO nº 5.77</v>
          </cell>
          <cell r="C5716" t="str">
            <v>EF0577</v>
          </cell>
        </row>
        <row r="5717">
          <cell r="A5717">
            <v>500589</v>
          </cell>
          <cell r="B5717" t="str">
            <v>KINCREM 'KF' 1 TUBO nº 5.77</v>
          </cell>
          <cell r="C5717" t="str">
            <v>8435057008358</v>
          </cell>
        </row>
        <row r="5718">
          <cell r="A5718">
            <v>500590</v>
          </cell>
          <cell r="B5718" t="str">
            <v>KINCREM 'KF' 1 TUBO nº 6.64</v>
          </cell>
          <cell r="C5718" t="str">
            <v>EF0664</v>
          </cell>
        </row>
        <row r="5719">
          <cell r="A5719">
            <v>500590</v>
          </cell>
          <cell r="B5719" t="str">
            <v>KINCREM 'KF' 1 TUBO nº 6.64</v>
          </cell>
          <cell r="C5719" t="str">
            <v>8435057008365</v>
          </cell>
        </row>
        <row r="5720">
          <cell r="A5720">
            <v>500591</v>
          </cell>
          <cell r="B5720" t="str">
            <v>KINCREM 'KF' 1 TUBO nº 6.66</v>
          </cell>
          <cell r="C5720" t="str">
            <v>EF0666</v>
          </cell>
        </row>
        <row r="5721">
          <cell r="A5721">
            <v>500591</v>
          </cell>
          <cell r="B5721" t="str">
            <v>KINCREM 'KF' 1 TUBO nº 6.66</v>
          </cell>
          <cell r="C5721" t="str">
            <v>8435057008372</v>
          </cell>
        </row>
        <row r="5722">
          <cell r="A5722">
            <v>500592</v>
          </cell>
          <cell r="B5722" t="str">
            <v>KINCREM 'KF' 1 TUBO nº 6.67</v>
          </cell>
          <cell r="C5722" t="str">
            <v>EF0667</v>
          </cell>
        </row>
        <row r="5723">
          <cell r="A5723">
            <v>500592</v>
          </cell>
          <cell r="B5723" t="str">
            <v>KINCREM 'KF' 1 TUBO nº 6.67</v>
          </cell>
          <cell r="C5723" t="str">
            <v>8435057008389</v>
          </cell>
        </row>
        <row r="5724">
          <cell r="A5724">
            <v>500593</v>
          </cell>
          <cell r="B5724" t="str">
            <v>KINCREM 'KF' 1 TUBO nº 6.77</v>
          </cell>
          <cell r="C5724" t="str">
            <v>EF0677</v>
          </cell>
        </row>
        <row r="5725">
          <cell r="A5725">
            <v>500593</v>
          </cell>
          <cell r="B5725" t="str">
            <v>KINCREM 'KF' 1 TUBO nº 6.77</v>
          </cell>
          <cell r="C5725" t="str">
            <v>8435057008396</v>
          </cell>
        </row>
        <row r="5726">
          <cell r="A5726">
            <v>500594</v>
          </cell>
          <cell r="B5726" t="str">
            <v>KINCREM 'KF' 1 TUBO nº 7.64</v>
          </cell>
          <cell r="C5726" t="str">
            <v>EF0764</v>
          </cell>
        </row>
        <row r="5727">
          <cell r="A5727">
            <v>500594</v>
          </cell>
          <cell r="B5727" t="str">
            <v>KINCREM 'KF' 1 TUBO nº 7.64</v>
          </cell>
          <cell r="C5727" t="str">
            <v>8435057008402</v>
          </cell>
        </row>
        <row r="5728">
          <cell r="A5728">
            <v>500595</v>
          </cell>
          <cell r="B5728" t="str">
            <v>KINCREM 'KF' 1 TUBO nº 7.66</v>
          </cell>
          <cell r="C5728" t="str">
            <v>EF0766</v>
          </cell>
        </row>
        <row r="5729">
          <cell r="A5729">
            <v>500595</v>
          </cell>
          <cell r="B5729" t="str">
            <v>KINCREM 'KF' 1 TUBO nº 7.66</v>
          </cell>
          <cell r="C5729" t="str">
            <v>8435057008419</v>
          </cell>
        </row>
        <row r="5730">
          <cell r="A5730">
            <v>500596</v>
          </cell>
          <cell r="B5730" t="str">
            <v>KINCREM 'KF' 1 TUBO nº 7.67</v>
          </cell>
          <cell r="C5730" t="str">
            <v>EF0767</v>
          </cell>
        </row>
        <row r="5731">
          <cell r="A5731">
            <v>500596</v>
          </cell>
          <cell r="B5731" t="str">
            <v>KINCREM 'KF' 1 TUBO nº 7.67</v>
          </cell>
          <cell r="C5731" t="str">
            <v>8435057008426</v>
          </cell>
        </row>
        <row r="5732">
          <cell r="A5732">
            <v>500597</v>
          </cell>
          <cell r="B5732" t="str">
            <v>KINCREM 'KF' 1 TUBO nº 7.77</v>
          </cell>
          <cell r="C5732" t="str">
            <v>EF0777</v>
          </cell>
        </row>
        <row r="5733">
          <cell r="A5733">
            <v>500597</v>
          </cell>
          <cell r="B5733" t="str">
            <v>KINCREM 'KF' 1 TUBO nº 7.77</v>
          </cell>
          <cell r="C5733" t="str">
            <v>8435057008433</v>
          </cell>
        </row>
        <row r="5734">
          <cell r="A5734">
            <v>500598</v>
          </cell>
          <cell r="B5734" t="str">
            <v>KINCREM 'KF' 1 TUBO nº 8.64</v>
          </cell>
          <cell r="C5734" t="str">
            <v>EF0864</v>
          </cell>
        </row>
        <row r="5735">
          <cell r="A5735">
            <v>500598</v>
          </cell>
          <cell r="B5735" t="str">
            <v>KINCREM 'KF' 1 TUBO nº 8.64</v>
          </cell>
          <cell r="C5735" t="str">
            <v>8435057008440</v>
          </cell>
        </row>
        <row r="5736">
          <cell r="A5736">
            <v>500599</v>
          </cell>
          <cell r="B5736" t="str">
            <v>KINBLOND BLEACHING POWDER 1.000 GR</v>
          </cell>
          <cell r="C5736" t="str">
            <v>8435057008525</v>
          </cell>
        </row>
        <row r="5737">
          <cell r="A5737">
            <v>500600</v>
          </cell>
          <cell r="B5737" t="str">
            <v>NEW C GLAMOUR nº 10.0 pack</v>
          </cell>
          <cell r="C5737" t="str">
            <v>NG100</v>
          </cell>
        </row>
        <row r="5738">
          <cell r="A5738">
            <v>500600</v>
          </cell>
          <cell r="B5738" t="str">
            <v>NEW C GLAMOUR nº 10.0 pack</v>
          </cell>
          <cell r="C5738" t="str">
            <v>8435057008495</v>
          </cell>
        </row>
        <row r="5739">
          <cell r="A5739">
            <v>500601</v>
          </cell>
          <cell r="B5739" t="str">
            <v>NEW C GLAMOUR nº 10.3 pack</v>
          </cell>
          <cell r="C5739" t="str">
            <v>NG103</v>
          </cell>
        </row>
        <row r="5740">
          <cell r="A5740">
            <v>500601</v>
          </cell>
          <cell r="B5740" t="str">
            <v>NEW C GLAMOUR nº 10.3 pack</v>
          </cell>
          <cell r="C5740" t="str">
            <v>8435057008501</v>
          </cell>
        </row>
        <row r="5741">
          <cell r="A5741">
            <v>500602</v>
          </cell>
          <cell r="B5741" t="str">
            <v>NEW C GLAMOUR nº 9.9 pack</v>
          </cell>
          <cell r="C5741" t="str">
            <v>NG099</v>
          </cell>
        </row>
        <row r="5742">
          <cell r="A5742">
            <v>500602</v>
          </cell>
          <cell r="B5742" t="str">
            <v>NEW C GLAMOUR nº 9.9 pack</v>
          </cell>
          <cell r="C5742" t="str">
            <v>8435057008518</v>
          </cell>
        </row>
        <row r="5743">
          <cell r="A5743">
            <v>500603</v>
          </cell>
          <cell r="B5743" t="str">
            <v>KINCREM BROWNS 'CRK' nº 7.45/0</v>
          </cell>
          <cell r="C5743" t="str">
            <v>KF7450</v>
          </cell>
        </row>
        <row r="5744">
          <cell r="A5744">
            <v>500603</v>
          </cell>
          <cell r="B5744" t="str">
            <v>KINCREM BROWNS 'CRK' nº 7.45/0</v>
          </cell>
          <cell r="C5744" t="str">
            <v>8435057008464</v>
          </cell>
        </row>
        <row r="5745">
          <cell r="A5745">
            <v>500604</v>
          </cell>
          <cell r="B5745" t="str">
            <v>KINCREM BROWNS 'CRK' nº 8.45/0</v>
          </cell>
          <cell r="C5745" t="str">
            <v>KF8450</v>
          </cell>
        </row>
        <row r="5746">
          <cell r="A5746">
            <v>500604</v>
          </cell>
          <cell r="B5746" t="str">
            <v>KINCREM BROWNS 'CRK' nº 8.45/0</v>
          </cell>
          <cell r="C5746" t="str">
            <v>8435057008457</v>
          </cell>
        </row>
        <row r="5747">
          <cell r="A5747">
            <v>500605</v>
          </cell>
          <cell r="B5747" t="str">
            <v>KINCREM BROWNS 'CRK' nº 5.45/0</v>
          </cell>
          <cell r="C5747" t="str">
            <v>KF5450</v>
          </cell>
        </row>
        <row r="5748">
          <cell r="A5748">
            <v>500605</v>
          </cell>
          <cell r="B5748" t="str">
            <v>KINCREM BROWNS 'CRK' nº 5.45/0</v>
          </cell>
          <cell r="C5748" t="str">
            <v>8435057008488</v>
          </cell>
        </row>
        <row r="5749">
          <cell r="A5749">
            <v>500606</v>
          </cell>
          <cell r="B5749" t="str">
            <v>KINCREM BROWNS 'CRK' nº 6.45/0</v>
          </cell>
          <cell r="C5749" t="str">
            <v>KF6450</v>
          </cell>
        </row>
        <row r="5750">
          <cell r="A5750">
            <v>500606</v>
          </cell>
          <cell r="B5750" t="str">
            <v>KINCREM BROWNS 'CRK' nº 6.45/0</v>
          </cell>
          <cell r="C5750" t="str">
            <v>8435057008471</v>
          </cell>
        </row>
        <row r="5751">
          <cell r="A5751">
            <v>500607</v>
          </cell>
          <cell r="B5751" t="str">
            <v>LOTE 1 - INTENSE SEDUCTION</v>
          </cell>
          <cell r="C5751" t="str">
            <v>8435057057905</v>
          </cell>
        </row>
        <row r="5752">
          <cell r="A5752">
            <v>500608</v>
          </cell>
          <cell r="B5752" t="str">
            <v>LOTE 2 - INTENSE SEDUCTION</v>
          </cell>
          <cell r="C5752" t="str">
            <v>8435057057912</v>
          </cell>
        </row>
        <row r="5753">
          <cell r="A5753">
            <v>500609</v>
          </cell>
          <cell r="B5753" t="str">
            <v>LOTE 2B - INTENSE SEDUCTION</v>
          </cell>
          <cell r="C5753" t="str">
            <v>8435057058018</v>
          </cell>
        </row>
        <row r="5754">
          <cell r="A5754">
            <v>500610</v>
          </cell>
          <cell r="B5754" t="str">
            <v>LOTE KIN ESSENTIALS (HONDURAS)</v>
          </cell>
          <cell r="C5754" t="str">
            <v>500610</v>
          </cell>
        </row>
        <row r="5755">
          <cell r="A5755">
            <v>500611</v>
          </cell>
          <cell r="B5755" t="str">
            <v>LOTE CLIENTE NUEVO (HONDURAS)</v>
          </cell>
          <cell r="C5755" t="str">
            <v>500611</v>
          </cell>
        </row>
        <row r="5756">
          <cell r="A5756">
            <v>500612</v>
          </cell>
          <cell r="B5756" t="str">
            <v>LOTE KIN ESSENTIALS HUNGRIA</v>
          </cell>
          <cell r="C5756" t="str">
            <v>500612</v>
          </cell>
        </row>
        <row r="5757">
          <cell r="A5757">
            <v>500614</v>
          </cell>
          <cell r="B5757" t="str">
            <v>LOTE REPETICIÓN INT. SEDUCTION</v>
          </cell>
          <cell r="C5757" t="str">
            <v>500614</v>
          </cell>
        </row>
        <row r="5758">
          <cell r="A5758">
            <v>500615</v>
          </cell>
          <cell r="B5758" t="str">
            <v>LOTE INTRO KIN ESSENTIALS</v>
          </cell>
          <cell r="C5758" t="str">
            <v>500615</v>
          </cell>
        </row>
        <row r="5759">
          <cell r="A5759">
            <v>500617</v>
          </cell>
          <cell r="B5759" t="str">
            <v>KINCREM BASICS 'CRK' nº 1.0</v>
          </cell>
          <cell r="C5759" t="str">
            <v>CK0010</v>
          </cell>
        </row>
        <row r="5760">
          <cell r="A5760">
            <v>500617</v>
          </cell>
          <cell r="B5760" t="str">
            <v>KINCREM BASICS 'CRK' nº 1.0</v>
          </cell>
          <cell r="C5760" t="str">
            <v>8435057008600</v>
          </cell>
        </row>
        <row r="5761">
          <cell r="A5761">
            <v>500618</v>
          </cell>
          <cell r="B5761" t="str">
            <v>KINCREM BASICS 'CRK' nº 2.0</v>
          </cell>
          <cell r="C5761" t="str">
            <v>CK0020</v>
          </cell>
        </row>
        <row r="5762">
          <cell r="A5762">
            <v>500618</v>
          </cell>
          <cell r="B5762" t="str">
            <v>KINCREM BASICS 'CRK' nº 2.0</v>
          </cell>
          <cell r="C5762" t="str">
            <v>8435057008617</v>
          </cell>
        </row>
        <row r="5763">
          <cell r="A5763">
            <v>500619</v>
          </cell>
          <cell r="B5763" t="str">
            <v>KINCREM BASICS 'CRK' nº 3.0</v>
          </cell>
          <cell r="C5763" t="str">
            <v>CK0030</v>
          </cell>
        </row>
        <row r="5764">
          <cell r="A5764">
            <v>500619</v>
          </cell>
          <cell r="B5764" t="str">
            <v>KINCREM BASICS 'CRK' nº 3.0</v>
          </cell>
          <cell r="C5764" t="str">
            <v>8435057008624</v>
          </cell>
        </row>
        <row r="5765">
          <cell r="A5765">
            <v>500620</v>
          </cell>
          <cell r="B5765" t="str">
            <v>KINCREM BASICS 'CRK' nº 4.0</v>
          </cell>
          <cell r="C5765" t="str">
            <v>CK0040</v>
          </cell>
        </row>
        <row r="5766">
          <cell r="A5766">
            <v>500620</v>
          </cell>
          <cell r="B5766" t="str">
            <v>KINCREM BASICS 'CRK' nº 4.0</v>
          </cell>
          <cell r="C5766" t="str">
            <v>8435057008631</v>
          </cell>
        </row>
        <row r="5767">
          <cell r="A5767">
            <v>500621</v>
          </cell>
          <cell r="B5767" t="str">
            <v>KINCREM BASICS 'CRK' nº 5.0</v>
          </cell>
          <cell r="C5767" t="str">
            <v>CK0050</v>
          </cell>
        </row>
        <row r="5768">
          <cell r="A5768">
            <v>500621</v>
          </cell>
          <cell r="B5768" t="str">
            <v>KINCREM BASICS 'CRK' nº 5.0</v>
          </cell>
          <cell r="C5768" t="str">
            <v>8435057008648</v>
          </cell>
        </row>
        <row r="5769">
          <cell r="A5769">
            <v>500622</v>
          </cell>
          <cell r="B5769" t="str">
            <v>KINCREM BASICS 'CRK' nº 6.0</v>
          </cell>
          <cell r="C5769" t="str">
            <v>CK0060</v>
          </cell>
        </row>
        <row r="5770">
          <cell r="A5770">
            <v>500622</v>
          </cell>
          <cell r="B5770" t="str">
            <v>KINCREM BASICS 'CRK' nº 6.0</v>
          </cell>
          <cell r="C5770" t="str">
            <v>8435057008655</v>
          </cell>
        </row>
        <row r="5771">
          <cell r="A5771">
            <v>500623</v>
          </cell>
          <cell r="B5771" t="str">
            <v>KINCREM BASICS 'CRK' nº 7.0</v>
          </cell>
          <cell r="C5771" t="str">
            <v>CK0070</v>
          </cell>
        </row>
        <row r="5772">
          <cell r="A5772">
            <v>500623</v>
          </cell>
          <cell r="B5772" t="str">
            <v>KINCREM BASICS 'CRK' nº 7.0</v>
          </cell>
          <cell r="C5772" t="str">
            <v>8435057008662</v>
          </cell>
        </row>
        <row r="5773">
          <cell r="A5773">
            <v>500624</v>
          </cell>
          <cell r="B5773" t="str">
            <v>KINCREM BASICS 'CRK' nº 8.0</v>
          </cell>
          <cell r="C5773" t="str">
            <v>CK0080</v>
          </cell>
        </row>
        <row r="5774">
          <cell r="A5774">
            <v>500624</v>
          </cell>
          <cell r="B5774" t="str">
            <v>KINCREM BASICS 'CRK' nº 8.0</v>
          </cell>
          <cell r="C5774" t="str">
            <v>8435057008679</v>
          </cell>
        </row>
        <row r="5775">
          <cell r="A5775">
            <v>500625</v>
          </cell>
          <cell r="B5775" t="str">
            <v>KINCREM BASICS 'CRK' nº 9.0</v>
          </cell>
          <cell r="C5775" t="str">
            <v>CK0090</v>
          </cell>
        </row>
        <row r="5776">
          <cell r="A5776">
            <v>500625</v>
          </cell>
          <cell r="B5776" t="str">
            <v>KINCREM BASICS 'CRK' nº 9.0</v>
          </cell>
          <cell r="C5776" t="str">
            <v>8435057008686</v>
          </cell>
        </row>
        <row r="5777">
          <cell r="A5777">
            <v>500626</v>
          </cell>
          <cell r="B5777" t="str">
            <v>KINCREM BASICS 'CRK' nº 10.0</v>
          </cell>
          <cell r="C5777" t="str">
            <v>CK0100</v>
          </cell>
        </row>
        <row r="5778">
          <cell r="A5778">
            <v>500626</v>
          </cell>
          <cell r="B5778" t="str">
            <v>KINCREM BASICS 'CRK' nº 10.0</v>
          </cell>
          <cell r="C5778" t="str">
            <v>8435057008693</v>
          </cell>
        </row>
        <row r="5779">
          <cell r="A5779">
            <v>500627</v>
          </cell>
          <cell r="B5779" t="str">
            <v>KINCREM BASICS 'CRK' nº 3.00</v>
          </cell>
          <cell r="C5779" t="str">
            <v>CK0300</v>
          </cell>
        </row>
        <row r="5780">
          <cell r="A5780">
            <v>500627</v>
          </cell>
          <cell r="B5780" t="str">
            <v>KINCREM BASICS 'CRK' nº 3.00</v>
          </cell>
          <cell r="C5780" t="str">
            <v>8435057008709</v>
          </cell>
        </row>
        <row r="5781">
          <cell r="A5781">
            <v>500628</v>
          </cell>
          <cell r="B5781" t="str">
            <v>KINCREM BASICS 'CRK' nº 4.00</v>
          </cell>
          <cell r="C5781" t="str">
            <v>CK0400</v>
          </cell>
        </row>
        <row r="5782">
          <cell r="A5782">
            <v>500628</v>
          </cell>
          <cell r="B5782" t="str">
            <v>KINCREM BASICS 'CRK' nº 4.00</v>
          </cell>
          <cell r="C5782" t="str">
            <v>8435057008716</v>
          </cell>
        </row>
        <row r="5783">
          <cell r="A5783">
            <v>500629</v>
          </cell>
          <cell r="B5783" t="str">
            <v>KINCREM BASICS 'CRK' nº 5.00</v>
          </cell>
          <cell r="C5783" t="str">
            <v>CK0500</v>
          </cell>
        </row>
        <row r="5784">
          <cell r="A5784">
            <v>500629</v>
          </cell>
          <cell r="B5784" t="str">
            <v>KINCREM BASICS 'CRK' nº 5.00</v>
          </cell>
          <cell r="C5784" t="str">
            <v>8435057008723</v>
          </cell>
        </row>
        <row r="5785">
          <cell r="A5785">
            <v>500630</v>
          </cell>
          <cell r="B5785" t="str">
            <v>KINCREM BASICS 'CRK' nº 6.00</v>
          </cell>
          <cell r="C5785" t="str">
            <v>CK0600</v>
          </cell>
        </row>
        <row r="5786">
          <cell r="A5786">
            <v>500630</v>
          </cell>
          <cell r="B5786" t="str">
            <v>KINCREM BASICS 'CRK' nº 6.00</v>
          </cell>
          <cell r="C5786" t="str">
            <v>8435057008730</v>
          </cell>
        </row>
        <row r="5787">
          <cell r="A5787">
            <v>500631</v>
          </cell>
          <cell r="B5787" t="str">
            <v>KINCREM BASICS 'CRK' nº 7.00</v>
          </cell>
          <cell r="C5787" t="str">
            <v>CK0700</v>
          </cell>
        </row>
        <row r="5788">
          <cell r="A5788">
            <v>500631</v>
          </cell>
          <cell r="B5788" t="str">
            <v>KINCREM BASICS 'CRK' nº 7.00</v>
          </cell>
          <cell r="C5788" t="str">
            <v>8435057008747</v>
          </cell>
        </row>
        <row r="5789">
          <cell r="A5789">
            <v>500632</v>
          </cell>
          <cell r="B5789" t="str">
            <v>KINCREM BASICS 'CRK' nº 8.00</v>
          </cell>
          <cell r="C5789" t="str">
            <v>CK0800</v>
          </cell>
        </row>
        <row r="5790">
          <cell r="A5790">
            <v>500632</v>
          </cell>
          <cell r="B5790" t="str">
            <v>KINCREM BASICS 'CRK' nº 8.00</v>
          </cell>
          <cell r="C5790" t="str">
            <v>8435057008754</v>
          </cell>
        </row>
        <row r="5791">
          <cell r="A5791">
            <v>500633</v>
          </cell>
          <cell r="B5791" t="str">
            <v>KINCREM BASICS 'CRK' nº 9.00</v>
          </cell>
          <cell r="C5791" t="str">
            <v>CK0900</v>
          </cell>
        </row>
        <row r="5792">
          <cell r="A5792">
            <v>500633</v>
          </cell>
          <cell r="B5792" t="str">
            <v>KINCREM BASICS 'CRK' nº 9.00</v>
          </cell>
          <cell r="C5792" t="str">
            <v>8435057008761</v>
          </cell>
        </row>
        <row r="5793">
          <cell r="A5793">
            <v>500634</v>
          </cell>
          <cell r="B5793" t="str">
            <v>KINCREM BASICS 'CRK' nº 10.00</v>
          </cell>
          <cell r="C5793" t="str">
            <v>CK1000</v>
          </cell>
        </row>
        <row r="5794">
          <cell r="A5794">
            <v>500634</v>
          </cell>
          <cell r="B5794" t="str">
            <v>KINCREM BASICS 'CRK' nº 10.00</v>
          </cell>
          <cell r="C5794" t="str">
            <v>8435057008778</v>
          </cell>
        </row>
        <row r="5795">
          <cell r="A5795">
            <v>500635</v>
          </cell>
          <cell r="B5795" t="str">
            <v>KINCREM BASIC 'CRK' nº CN/3.0</v>
          </cell>
          <cell r="C5795" t="str">
            <v>CKCN0030</v>
          </cell>
        </row>
        <row r="5796">
          <cell r="A5796">
            <v>500635</v>
          </cell>
          <cell r="B5796" t="str">
            <v>KINCREM BASIC 'CRK' nº CN/3.0</v>
          </cell>
          <cell r="C5796" t="str">
            <v>8435057008785</v>
          </cell>
        </row>
        <row r="5797">
          <cell r="A5797">
            <v>500636</v>
          </cell>
          <cell r="B5797" t="str">
            <v>KINCREM BASIC 'CRK' nº CN/4.0</v>
          </cell>
          <cell r="C5797" t="str">
            <v>CKCN0040</v>
          </cell>
        </row>
        <row r="5798">
          <cell r="A5798">
            <v>500636</v>
          </cell>
          <cell r="B5798" t="str">
            <v>KINCREM BASIC 'CRK' nº CN/4.0</v>
          </cell>
          <cell r="C5798" t="str">
            <v>8435057008792</v>
          </cell>
        </row>
        <row r="5799">
          <cell r="A5799">
            <v>500637</v>
          </cell>
          <cell r="B5799" t="str">
            <v>KINCREM BASIC 'CRK' nº CN/5.0</v>
          </cell>
          <cell r="C5799" t="str">
            <v>CKCN0050</v>
          </cell>
        </row>
        <row r="5800">
          <cell r="A5800">
            <v>500637</v>
          </cell>
          <cell r="B5800" t="str">
            <v>KINCREM BASIC 'CRK' nº CN/5.0</v>
          </cell>
          <cell r="C5800" t="str">
            <v>8435057008808</v>
          </cell>
        </row>
        <row r="5801">
          <cell r="A5801">
            <v>500638</v>
          </cell>
          <cell r="B5801" t="str">
            <v>KINCREM BASIC 'CRK' nº CN/6.0</v>
          </cell>
          <cell r="C5801" t="str">
            <v>CKCN0060</v>
          </cell>
        </row>
        <row r="5802">
          <cell r="A5802">
            <v>500638</v>
          </cell>
          <cell r="B5802" t="str">
            <v>KINCREM BASIC 'CRK' nº CN/6.0</v>
          </cell>
          <cell r="C5802" t="str">
            <v>8435057008815</v>
          </cell>
        </row>
        <row r="5803">
          <cell r="A5803">
            <v>500639</v>
          </cell>
          <cell r="B5803" t="str">
            <v>KINCREM BASIC 'CRK' nº CN/7.0</v>
          </cell>
          <cell r="C5803" t="str">
            <v>CKCN0070</v>
          </cell>
        </row>
        <row r="5804">
          <cell r="A5804">
            <v>500639</v>
          </cell>
          <cell r="B5804" t="str">
            <v>KINCREM BASIC 'CRK' nº CN/7.0</v>
          </cell>
          <cell r="C5804" t="str">
            <v>8435057008822</v>
          </cell>
        </row>
        <row r="5805">
          <cell r="A5805">
            <v>500640</v>
          </cell>
          <cell r="B5805" t="str">
            <v>KINCREM BASIC 'CRK' nº CN/8.0</v>
          </cell>
          <cell r="C5805" t="str">
            <v>CKCN0080</v>
          </cell>
        </row>
        <row r="5806">
          <cell r="A5806">
            <v>500640</v>
          </cell>
          <cell r="B5806" t="str">
            <v>KINCREM BASIC 'CRK' nº CN/8.0</v>
          </cell>
          <cell r="C5806" t="str">
            <v>8435057008839</v>
          </cell>
        </row>
        <row r="5807">
          <cell r="A5807">
            <v>500641</v>
          </cell>
          <cell r="B5807" t="str">
            <v>KINCREM BASIC 'CRK' nº CN/9.0</v>
          </cell>
          <cell r="C5807" t="str">
            <v>CKCN0090</v>
          </cell>
        </row>
        <row r="5808">
          <cell r="A5808">
            <v>500641</v>
          </cell>
          <cell r="B5808" t="str">
            <v>KINCREM BASIC 'CRK' nº CN/9.0</v>
          </cell>
          <cell r="C5808" t="str">
            <v>8435057008846</v>
          </cell>
        </row>
        <row r="5809">
          <cell r="A5809">
            <v>500642</v>
          </cell>
          <cell r="B5809" t="str">
            <v>KINCREM BASIC 'CRK' nº CN/10.0</v>
          </cell>
          <cell r="C5809" t="str">
            <v>CKCN0100</v>
          </cell>
        </row>
        <row r="5810">
          <cell r="A5810">
            <v>500642</v>
          </cell>
          <cell r="B5810" t="str">
            <v>KINCREM BASIC 'CRK' nº CN/10.0</v>
          </cell>
          <cell r="C5810" t="str">
            <v>8435057008853</v>
          </cell>
        </row>
        <row r="5811">
          <cell r="A5811">
            <v>500643</v>
          </cell>
          <cell r="B5811" t="str">
            <v>KINCREM BASIC 'CRK' nº CN/3.00</v>
          </cell>
          <cell r="C5811" t="str">
            <v>CKCN0300</v>
          </cell>
        </row>
        <row r="5812">
          <cell r="A5812">
            <v>500643</v>
          </cell>
          <cell r="B5812" t="str">
            <v>KINCREM BASIC 'CRK' nº CN/3.00</v>
          </cell>
          <cell r="C5812" t="str">
            <v>8435057008860</v>
          </cell>
        </row>
        <row r="5813">
          <cell r="A5813">
            <v>500644</v>
          </cell>
          <cell r="B5813" t="str">
            <v>KINCREM BASIC 'CRK' nº CN/4.00</v>
          </cell>
          <cell r="C5813" t="str">
            <v>CKCN0400</v>
          </cell>
        </row>
        <row r="5814">
          <cell r="A5814">
            <v>500644</v>
          </cell>
          <cell r="B5814" t="str">
            <v>KINCREM BASIC 'CRK' nº CN/4.00</v>
          </cell>
          <cell r="C5814" t="str">
            <v>8435057008877</v>
          </cell>
        </row>
        <row r="5815">
          <cell r="A5815">
            <v>500645</v>
          </cell>
          <cell r="B5815" t="str">
            <v>KINCREM BASIC 'CRK' nº CN/5.00</v>
          </cell>
          <cell r="C5815" t="str">
            <v>CKCN0500</v>
          </cell>
        </row>
        <row r="5816">
          <cell r="A5816">
            <v>500645</v>
          </cell>
          <cell r="B5816" t="str">
            <v>KINCREM BASIC 'CRK' nº CN/5.00</v>
          </cell>
          <cell r="C5816" t="str">
            <v>8435057008884</v>
          </cell>
        </row>
        <row r="5817">
          <cell r="A5817">
            <v>500646</v>
          </cell>
          <cell r="B5817" t="str">
            <v>KINCREM BASIC 'CRK' nº CN/6.00</v>
          </cell>
          <cell r="C5817" t="str">
            <v>CKCN0600</v>
          </cell>
        </row>
        <row r="5818">
          <cell r="A5818">
            <v>500646</v>
          </cell>
          <cell r="B5818" t="str">
            <v>KINCREM BASIC 'CRK' nº CN/6.00</v>
          </cell>
          <cell r="C5818" t="str">
            <v>8435057008891</v>
          </cell>
        </row>
        <row r="5819">
          <cell r="A5819">
            <v>500647</v>
          </cell>
          <cell r="B5819" t="str">
            <v>KINCREM BASIC 'CRK' nº CN/7.00</v>
          </cell>
          <cell r="C5819" t="str">
            <v>CKCN0700</v>
          </cell>
        </row>
        <row r="5820">
          <cell r="A5820">
            <v>500647</v>
          </cell>
          <cell r="B5820" t="str">
            <v>KINCREM BASIC 'CRK' nº CN/7.00</v>
          </cell>
          <cell r="C5820" t="str">
            <v>8435057008907</v>
          </cell>
        </row>
        <row r="5821">
          <cell r="A5821">
            <v>500648</v>
          </cell>
          <cell r="B5821" t="str">
            <v>KINCREM BASIC 'CRK' nº CN/8.00</v>
          </cell>
          <cell r="C5821" t="str">
            <v>CKCN0800</v>
          </cell>
        </row>
        <row r="5822">
          <cell r="A5822">
            <v>500648</v>
          </cell>
          <cell r="B5822" t="str">
            <v>KINCREM BASIC 'CRK' nº CN/8.00</v>
          </cell>
          <cell r="C5822" t="str">
            <v>8435057008914</v>
          </cell>
        </row>
        <row r="5823">
          <cell r="A5823">
            <v>500649</v>
          </cell>
          <cell r="B5823" t="str">
            <v>KINCREM BASIC 'CRK' nº CN/9.00</v>
          </cell>
          <cell r="C5823" t="str">
            <v>CKCN0900</v>
          </cell>
        </row>
        <row r="5824">
          <cell r="A5824">
            <v>500649</v>
          </cell>
          <cell r="B5824" t="str">
            <v>KINCREM BASIC 'CRK' nº CN/9.00</v>
          </cell>
          <cell r="C5824" t="str">
            <v>8435057008921</v>
          </cell>
        </row>
        <row r="5825">
          <cell r="A5825">
            <v>500650</v>
          </cell>
          <cell r="B5825" t="str">
            <v>KINCREM BASIC 'CRK' n CN/10.00</v>
          </cell>
          <cell r="C5825" t="str">
            <v>CKCN1000</v>
          </cell>
        </row>
        <row r="5826">
          <cell r="A5826">
            <v>500650</v>
          </cell>
          <cell r="B5826" t="str">
            <v>KINCREM BASIC 'CRK' n CN/10.00</v>
          </cell>
          <cell r="C5826" t="str">
            <v>8435057008938</v>
          </cell>
        </row>
        <row r="5827">
          <cell r="A5827">
            <v>500651</v>
          </cell>
          <cell r="B5827" t="str">
            <v>NATURAL TONES INTRO KIT 1</v>
          </cell>
          <cell r="C5827" t="str">
            <v>500651</v>
          </cell>
        </row>
        <row r="5828">
          <cell r="A5828">
            <v>500652</v>
          </cell>
          <cell r="B5828" t="str">
            <v>NATURAL TONES INTRO KIT 1 DIST</v>
          </cell>
          <cell r="C5828" t="str">
            <v>500652</v>
          </cell>
        </row>
        <row r="5829">
          <cell r="A5829">
            <v>500653</v>
          </cell>
          <cell r="B5829" t="str">
            <v>NATURAL TONES INTRO KIT 2</v>
          </cell>
          <cell r="C5829" t="str">
            <v>500653</v>
          </cell>
        </row>
        <row r="5830">
          <cell r="A5830">
            <v>500654</v>
          </cell>
          <cell r="B5830" t="str">
            <v>PROMOCION ESPECIAL COLOR 1</v>
          </cell>
          <cell r="C5830" t="str">
            <v>500654</v>
          </cell>
        </row>
        <row r="5831">
          <cell r="A5831">
            <v>500655</v>
          </cell>
          <cell r="B5831" t="str">
            <v>PROMOCION ESPECIAL COLOR 2</v>
          </cell>
          <cell r="C5831" t="str">
            <v>600655</v>
          </cell>
        </row>
        <row r="5832">
          <cell r="A5832">
            <v>500661</v>
          </cell>
          <cell r="B5832" t="str">
            <v>OXIG.CREM 20 V.LIM. EDIT. 1000</v>
          </cell>
          <cell r="C5832" t="str">
            <v>8435057008945</v>
          </cell>
        </row>
        <row r="5833">
          <cell r="A5833">
            <v>500666</v>
          </cell>
          <cell r="B5833" t="str">
            <v>KINCREM BASICS 'CRK' nº M/00</v>
          </cell>
          <cell r="C5833" t="str">
            <v>8435057009041</v>
          </cell>
        </row>
        <row r="5834">
          <cell r="A5834">
            <v>500667</v>
          </cell>
          <cell r="B5834" t="str">
            <v>KINCREM BASICS 'CRK' nº M/11</v>
          </cell>
          <cell r="C5834" t="str">
            <v>8435057009058</v>
          </cell>
        </row>
        <row r="5835">
          <cell r="A5835">
            <v>500668</v>
          </cell>
          <cell r="B5835" t="str">
            <v>KINCREM BASICS 'CRK' nº M/33</v>
          </cell>
          <cell r="C5835" t="str">
            <v>8435057009065</v>
          </cell>
        </row>
        <row r="5836">
          <cell r="A5836">
            <v>500669</v>
          </cell>
          <cell r="B5836" t="str">
            <v>KINCREM BASICS 'CRK' nº M/44</v>
          </cell>
          <cell r="C5836" t="str">
            <v>8435057009072</v>
          </cell>
        </row>
        <row r="5837">
          <cell r="A5837">
            <v>500670</v>
          </cell>
          <cell r="B5837" t="str">
            <v>KINCREM BASICS 'CRK' nº M/66</v>
          </cell>
          <cell r="C5837" t="str">
            <v>8435057009089</v>
          </cell>
        </row>
        <row r="5838">
          <cell r="A5838">
            <v>500671</v>
          </cell>
          <cell r="B5838" t="str">
            <v>KINCREM BASICS 'CRK' nº M/77</v>
          </cell>
          <cell r="C5838" t="str">
            <v>8435057009096</v>
          </cell>
        </row>
        <row r="5839">
          <cell r="A5839">
            <v>500672</v>
          </cell>
          <cell r="B5839" t="str">
            <v>KINCREM BASICS 'CRK' nº M/88</v>
          </cell>
          <cell r="C5839" t="str">
            <v>8435057009102</v>
          </cell>
        </row>
        <row r="5840">
          <cell r="A5840">
            <v>500673</v>
          </cell>
          <cell r="B5840" t="str">
            <v>KINCREM BASICS 'CRK' nº M/99</v>
          </cell>
          <cell r="C5840" t="str">
            <v>8435057009119</v>
          </cell>
        </row>
        <row r="5841">
          <cell r="A5841">
            <v>500674</v>
          </cell>
          <cell r="B5841" t="str">
            <v>KINCREM BASICS 'CRK' nº 9.9</v>
          </cell>
          <cell r="C5841" t="str">
            <v>8435057009126</v>
          </cell>
        </row>
        <row r="5842">
          <cell r="A5842">
            <v>500675</v>
          </cell>
          <cell r="B5842" t="str">
            <v>KINCREM BASICS 'CRK' nº 7.9</v>
          </cell>
          <cell r="C5842" t="str">
            <v>8435057009133</v>
          </cell>
        </row>
        <row r="5843">
          <cell r="A5843">
            <v>500676</v>
          </cell>
          <cell r="B5843" t="str">
            <v>KINCREM ROUGE 'CRK' nº 7.64</v>
          </cell>
          <cell r="C5843" t="str">
            <v>CK0764</v>
          </cell>
        </row>
        <row r="5844">
          <cell r="A5844">
            <v>500676</v>
          </cell>
          <cell r="B5844" t="str">
            <v>KINCREM ROUGE 'CRK' nº 7.64</v>
          </cell>
          <cell r="C5844" t="str">
            <v>8435057008952</v>
          </cell>
        </row>
        <row r="5845">
          <cell r="A5845">
            <v>500677</v>
          </cell>
          <cell r="B5845" t="str">
            <v>KINCREM ROUGE 'CRK' nº 7.66</v>
          </cell>
          <cell r="C5845" t="str">
            <v>CK0766</v>
          </cell>
        </row>
        <row r="5846">
          <cell r="A5846">
            <v>500677</v>
          </cell>
          <cell r="B5846" t="str">
            <v>KINCREM ROUGE 'CRK' nº 7.66</v>
          </cell>
          <cell r="C5846" t="str">
            <v>8435057008969</v>
          </cell>
        </row>
        <row r="5847">
          <cell r="A5847">
            <v>500678</v>
          </cell>
          <cell r="B5847" t="str">
            <v>KINCREM ROUGE 'CRK' nº 6.66</v>
          </cell>
          <cell r="C5847" t="str">
            <v>CK0666</v>
          </cell>
        </row>
        <row r="5848">
          <cell r="A5848">
            <v>500678</v>
          </cell>
          <cell r="B5848" t="str">
            <v>KINCREM ROUGE 'CRK' nº 6.66</v>
          </cell>
          <cell r="C5848" t="str">
            <v>8435057008976</v>
          </cell>
        </row>
        <row r="5849">
          <cell r="A5849">
            <v>500679</v>
          </cell>
          <cell r="B5849" t="str">
            <v>KINCREM ROUGE 'CRK' nº 6.67</v>
          </cell>
          <cell r="C5849" t="str">
            <v>CK0667</v>
          </cell>
        </row>
        <row r="5850">
          <cell r="A5850">
            <v>500679</v>
          </cell>
          <cell r="B5850" t="str">
            <v>KINCREM ROUGE 'CRK' nº 6.67</v>
          </cell>
          <cell r="C5850" t="str">
            <v>8435057008983</v>
          </cell>
        </row>
        <row r="5851">
          <cell r="A5851">
            <v>500680</v>
          </cell>
          <cell r="B5851" t="str">
            <v>KINCREM ROUGE 'CRK' nº 5.67</v>
          </cell>
          <cell r="C5851" t="str">
            <v>CK0567</v>
          </cell>
        </row>
        <row r="5852">
          <cell r="A5852">
            <v>500680</v>
          </cell>
          <cell r="B5852" t="str">
            <v>KINCREM ROUGE 'CRK' nº 5.67</v>
          </cell>
          <cell r="C5852" t="str">
            <v>8435057008990</v>
          </cell>
        </row>
        <row r="5853">
          <cell r="A5853">
            <v>500681</v>
          </cell>
          <cell r="B5853" t="str">
            <v>KINCREM ROUGE 'CRK' nº 4.67</v>
          </cell>
          <cell r="C5853" t="str">
            <v>CK0467</v>
          </cell>
        </row>
        <row r="5854">
          <cell r="A5854">
            <v>500681</v>
          </cell>
          <cell r="B5854" t="str">
            <v>KINCREM ROUGE 'CRK' nº 4.67</v>
          </cell>
          <cell r="C5854" t="str">
            <v>8435057009003</v>
          </cell>
        </row>
        <row r="5855">
          <cell r="A5855">
            <v>500682</v>
          </cell>
          <cell r="B5855" t="str">
            <v>KINCREM ROUGE 'CRK' nº 7.77</v>
          </cell>
          <cell r="C5855" t="str">
            <v>CK0777</v>
          </cell>
        </row>
        <row r="5856">
          <cell r="A5856">
            <v>500682</v>
          </cell>
          <cell r="B5856" t="str">
            <v>KINCREM ROUGE 'CRK' nº 7.77</v>
          </cell>
          <cell r="C5856" t="str">
            <v>8435057009010</v>
          </cell>
        </row>
        <row r="5857">
          <cell r="A5857">
            <v>500683</v>
          </cell>
          <cell r="B5857" t="str">
            <v>KINCREM ROUGE 'CRK' nº 5.77</v>
          </cell>
          <cell r="C5857" t="str">
            <v>CK0577</v>
          </cell>
        </row>
        <row r="5858">
          <cell r="A5858">
            <v>500683</v>
          </cell>
          <cell r="B5858" t="str">
            <v>KINCREM ROUGE 'CRK' nº 5.77</v>
          </cell>
          <cell r="C5858" t="str">
            <v>8435057009027</v>
          </cell>
        </row>
        <row r="5859">
          <cell r="A5859">
            <v>500684</v>
          </cell>
          <cell r="B5859" t="str">
            <v>KINCREM ROUGE 'CRK' nº 4.77</v>
          </cell>
          <cell r="C5859" t="str">
            <v>CK0477</v>
          </cell>
        </row>
        <row r="5860">
          <cell r="A5860">
            <v>500684</v>
          </cell>
          <cell r="B5860" t="str">
            <v>KINCREM ROUGE 'CRK' nº 4.77</v>
          </cell>
          <cell r="C5860" t="str">
            <v>8435057009034</v>
          </cell>
        </row>
        <row r="5861">
          <cell r="A5861">
            <v>500685</v>
          </cell>
          <cell r="B5861" t="str">
            <v>KINCREM BLOND 'CRK' nº 12.0</v>
          </cell>
          <cell r="C5861" t="str">
            <v>8435057009140</v>
          </cell>
        </row>
        <row r="5862">
          <cell r="A5862">
            <v>500686</v>
          </cell>
          <cell r="B5862" t="str">
            <v>KINCREM BLOND 'CRK' nº 12.1</v>
          </cell>
          <cell r="C5862" t="str">
            <v>8435057009157</v>
          </cell>
        </row>
        <row r="5863">
          <cell r="A5863">
            <v>500687</v>
          </cell>
          <cell r="B5863" t="str">
            <v>KINCREM BLOND 'CRK' nº 11.0</v>
          </cell>
          <cell r="C5863" t="str">
            <v>8435057009164</v>
          </cell>
        </row>
        <row r="5864">
          <cell r="A5864">
            <v>500688</v>
          </cell>
          <cell r="B5864" t="str">
            <v>KINCREM BLOND 'CRK' nº 11.1</v>
          </cell>
          <cell r="C5864" t="str">
            <v>8435057009171</v>
          </cell>
        </row>
        <row r="5865">
          <cell r="A5865">
            <v>500689</v>
          </cell>
          <cell r="B5865" t="str">
            <v>KINCREM BLOND 'CRK' nº 11.12</v>
          </cell>
          <cell r="C5865" t="str">
            <v>8435057009188</v>
          </cell>
        </row>
        <row r="5866">
          <cell r="A5866">
            <v>500690</v>
          </cell>
          <cell r="B5866" t="str">
            <v>KINCREM BLOND 'CRK' nº 11.32</v>
          </cell>
          <cell r="C5866" t="str">
            <v>8435057009195</v>
          </cell>
        </row>
        <row r="5867">
          <cell r="A5867">
            <v>500692</v>
          </cell>
          <cell r="B5867" t="str">
            <v>KINCREM P.BROWNS 'CRK' nº 7.50</v>
          </cell>
          <cell r="C5867" t="str">
            <v>8435057009355</v>
          </cell>
        </row>
        <row r="5868">
          <cell r="A5868">
            <v>500693</v>
          </cell>
          <cell r="B5868" t="str">
            <v>KINCREM P.BROWNS 'CRK' nº 6.50</v>
          </cell>
          <cell r="C5868" t="str">
            <v>8435057009348</v>
          </cell>
        </row>
        <row r="5869">
          <cell r="A5869">
            <v>500694</v>
          </cell>
          <cell r="B5869" t="str">
            <v>KINCREM P.BROWNS 'CRK' nº 5.50</v>
          </cell>
          <cell r="C5869" t="str">
            <v>8435057009331</v>
          </cell>
        </row>
        <row r="5870">
          <cell r="A5870">
            <v>500695</v>
          </cell>
          <cell r="B5870" t="str">
            <v>KINCREM P.BROWNS 'CRK' nº 4.50</v>
          </cell>
          <cell r="C5870" t="str">
            <v>8435057009324</v>
          </cell>
        </row>
        <row r="5871">
          <cell r="A5871">
            <v>500715</v>
          </cell>
          <cell r="B5871" t="str">
            <v>KINCREM 'CRK' 1TUBO nº CN/3.0</v>
          </cell>
          <cell r="C5871" t="str">
            <v>8435057009621</v>
          </cell>
        </row>
        <row r="5872">
          <cell r="A5872">
            <v>500716</v>
          </cell>
          <cell r="B5872" t="str">
            <v>KINCREM 'CRK' 1TUBO nº CN/4.0</v>
          </cell>
          <cell r="C5872" t="str">
            <v>8435057009638</v>
          </cell>
        </row>
        <row r="5873">
          <cell r="A5873">
            <v>500717</v>
          </cell>
          <cell r="B5873" t="str">
            <v>KINCREM 'CRK' 1TUBO nº CN/5.0</v>
          </cell>
          <cell r="C5873" t="str">
            <v>8435057009645</v>
          </cell>
        </row>
        <row r="5874">
          <cell r="A5874">
            <v>500718</v>
          </cell>
          <cell r="B5874" t="str">
            <v>KINCREM 'CRK' 1TUBO nº CN/6.0</v>
          </cell>
          <cell r="C5874" t="str">
            <v>8435057009652</v>
          </cell>
        </row>
        <row r="5875">
          <cell r="A5875">
            <v>500719</v>
          </cell>
          <cell r="B5875" t="str">
            <v>KINCREM 'CRK' 1TUBO nº CN/7.0</v>
          </cell>
          <cell r="C5875" t="str">
            <v>8435057009669</v>
          </cell>
        </row>
        <row r="5876">
          <cell r="A5876">
            <v>500720</v>
          </cell>
          <cell r="B5876" t="str">
            <v>KINCREM 'CRK' 1TUBO nº CN/8.0</v>
          </cell>
          <cell r="C5876" t="str">
            <v>8435057009676</v>
          </cell>
        </row>
        <row r="5877">
          <cell r="A5877">
            <v>500721</v>
          </cell>
          <cell r="B5877" t="str">
            <v>KINCREM 'CRK' 1TUBO nº CN/9.0</v>
          </cell>
          <cell r="C5877" t="str">
            <v>8435057009683</v>
          </cell>
        </row>
        <row r="5878">
          <cell r="A5878">
            <v>500722</v>
          </cell>
          <cell r="B5878" t="str">
            <v>KINCREM 'CRK' 1TUBO nº CN/10.0</v>
          </cell>
          <cell r="C5878" t="str">
            <v>8435057009690</v>
          </cell>
        </row>
        <row r="5879">
          <cell r="A5879">
            <v>500726</v>
          </cell>
          <cell r="B5879" t="str">
            <v>KINCREM 'CRK' 1TUBO nº CN/6.00</v>
          </cell>
          <cell r="C5879" t="str">
            <v>8435057009706</v>
          </cell>
        </row>
        <row r="5880">
          <cell r="A5880">
            <v>500727</v>
          </cell>
          <cell r="B5880" t="str">
            <v>KINCREM 'CRK' 1TUBO nº CN/7.00</v>
          </cell>
          <cell r="C5880" t="str">
            <v>8435057009713</v>
          </cell>
        </row>
        <row r="5881">
          <cell r="A5881">
            <v>500728</v>
          </cell>
          <cell r="B5881" t="str">
            <v>KINCREM 'CRK' 1TUBO nº CN/8.00</v>
          </cell>
          <cell r="C5881" t="str">
            <v>8435057009720</v>
          </cell>
        </row>
        <row r="5882">
          <cell r="A5882">
            <v>500740</v>
          </cell>
          <cell r="B5882" t="str">
            <v>KINCREM P.BROWNS 'CRK' nº 4.51</v>
          </cell>
          <cell r="C5882" t="str">
            <v>8435057009478</v>
          </cell>
        </row>
        <row r="5883">
          <cell r="A5883">
            <v>500741</v>
          </cell>
          <cell r="B5883" t="str">
            <v>KINCREM P.BROWNS 'CRK' nº 4.53</v>
          </cell>
          <cell r="C5883" t="str">
            <v>8435057009485</v>
          </cell>
        </row>
        <row r="5884">
          <cell r="A5884">
            <v>500742</v>
          </cell>
          <cell r="B5884" t="str">
            <v>KINCREM P.BROWNS 'CRK' nº 5.51</v>
          </cell>
          <cell r="C5884" t="str">
            <v>8435057009492</v>
          </cell>
        </row>
        <row r="5885">
          <cell r="A5885">
            <v>500743</v>
          </cell>
          <cell r="B5885" t="str">
            <v>KINCREM P.BROWNS 'CRK' nº 5.52</v>
          </cell>
          <cell r="C5885" t="str">
            <v>8435057009508</v>
          </cell>
        </row>
        <row r="5886">
          <cell r="A5886">
            <v>500744</v>
          </cell>
          <cell r="B5886" t="str">
            <v>KINCREM P.BROWNS 'CRK' nº 5.53</v>
          </cell>
          <cell r="C5886" t="str">
            <v>8435057009515</v>
          </cell>
        </row>
        <row r="5887">
          <cell r="A5887">
            <v>500745</v>
          </cell>
          <cell r="B5887" t="str">
            <v>KINCREM P.BROWNS 'CRK' nº 6.51</v>
          </cell>
          <cell r="C5887" t="str">
            <v>8435057009522</v>
          </cell>
        </row>
        <row r="5888">
          <cell r="A5888">
            <v>500746</v>
          </cell>
          <cell r="B5888" t="str">
            <v>KINCREM P.BROWNS 'CRK' nº 6.52</v>
          </cell>
          <cell r="C5888" t="str">
            <v>8435057009539</v>
          </cell>
        </row>
        <row r="5889">
          <cell r="A5889">
            <v>500747</v>
          </cell>
          <cell r="B5889" t="str">
            <v>KINCREM P.BROWNS 'CRK' nº 6.53</v>
          </cell>
          <cell r="C5889" t="str">
            <v>8435057009546</v>
          </cell>
        </row>
        <row r="5890">
          <cell r="A5890">
            <v>500748</v>
          </cell>
          <cell r="B5890" t="str">
            <v>KINCREM P.BROWNS 'CRK' nº 6.54</v>
          </cell>
          <cell r="C5890" t="str">
            <v>8435057009553</v>
          </cell>
        </row>
        <row r="5891">
          <cell r="A5891">
            <v>500749</v>
          </cell>
          <cell r="B5891" t="str">
            <v>KINCREM P.BROWNS 'CRK' nº 7.51</v>
          </cell>
          <cell r="C5891" t="str">
            <v>8435057009560</v>
          </cell>
        </row>
        <row r="5892">
          <cell r="A5892">
            <v>500750</v>
          </cell>
          <cell r="B5892" t="str">
            <v>KINCREM P.BROWNS 'CRK' nº 7.52</v>
          </cell>
          <cell r="C5892" t="str">
            <v>8435057009577</v>
          </cell>
        </row>
        <row r="5893">
          <cell r="A5893">
            <v>500751</v>
          </cell>
          <cell r="B5893" t="str">
            <v>KINCREM P.BROWNS 'CRK' nº 7.53</v>
          </cell>
          <cell r="C5893" t="str">
            <v>8435057009584</v>
          </cell>
        </row>
        <row r="5894">
          <cell r="A5894">
            <v>500752</v>
          </cell>
          <cell r="B5894" t="str">
            <v>KINCREM P.BROWNS 'CRK' nº 8.51</v>
          </cell>
          <cell r="C5894" t="str">
            <v>8435057009591</v>
          </cell>
        </row>
        <row r="5895">
          <cell r="A5895">
            <v>500753</v>
          </cell>
          <cell r="B5895" t="str">
            <v>KINCREM P.BROWNS 'CRK' nº 8.53</v>
          </cell>
          <cell r="C5895" t="str">
            <v>8435057009607</v>
          </cell>
        </row>
        <row r="5896">
          <cell r="A5896">
            <v>500754</v>
          </cell>
          <cell r="B5896" t="str">
            <v>KINCREM P.BROWNS 'CRK' nº 8.54</v>
          </cell>
          <cell r="C5896" t="str">
            <v>8435057009614</v>
          </cell>
        </row>
        <row r="5897">
          <cell r="A5897">
            <v>500758</v>
          </cell>
          <cell r="B5897" t="str">
            <v>KINCREM 'CRK' 1TUBO nº 6.50</v>
          </cell>
          <cell r="C5897" t="str">
            <v>8435057009737</v>
          </cell>
        </row>
        <row r="5898">
          <cell r="A5898">
            <v>500759</v>
          </cell>
          <cell r="B5898" t="str">
            <v>KINCREM 'CRK' 1TUBO nº 7.50</v>
          </cell>
          <cell r="C5898" t="str">
            <v>8435057009744</v>
          </cell>
        </row>
        <row r="5899">
          <cell r="A5899">
            <v>500760</v>
          </cell>
          <cell r="B5899" t="str">
            <v>KINCREM P.BROWNS 'CRK' nº 3.56</v>
          </cell>
          <cell r="C5899" t="str">
            <v>8435057009874</v>
          </cell>
        </row>
        <row r="5900">
          <cell r="A5900">
            <v>500761</v>
          </cell>
          <cell r="B5900" t="str">
            <v>KINCREM P.BROWNS 'CRK' nº 4.56</v>
          </cell>
          <cell r="C5900" t="str">
            <v>8435057009867</v>
          </cell>
        </row>
        <row r="5901">
          <cell r="A5901">
            <v>500762</v>
          </cell>
          <cell r="B5901" t="str">
            <v>KINCREM P.BROWNS 'CRK' nº 5.56</v>
          </cell>
          <cell r="C5901" t="str">
            <v>8435057009850</v>
          </cell>
        </row>
        <row r="5902">
          <cell r="A5902">
            <v>500763</v>
          </cell>
          <cell r="B5902" t="str">
            <v>KINCREM P.BROWNS 'CRK' nº 6.56</v>
          </cell>
          <cell r="C5902" t="str">
            <v>8435057009843</v>
          </cell>
        </row>
        <row r="5903">
          <cell r="A5903">
            <v>500764</v>
          </cell>
          <cell r="B5903" t="str">
            <v>KINCREM P.BROWNS 'CRK' nº 7.56</v>
          </cell>
          <cell r="C5903" t="str">
            <v>8435057009836</v>
          </cell>
        </row>
        <row r="5904">
          <cell r="A5904">
            <v>500765</v>
          </cell>
          <cell r="B5904" t="str">
            <v>KINCREM P.BROWNS 'CRK' nº 5.4</v>
          </cell>
          <cell r="C5904" t="str">
            <v>8435057009829</v>
          </cell>
        </row>
        <row r="5905">
          <cell r="A5905">
            <v>500766</v>
          </cell>
          <cell r="B5905" t="str">
            <v>KINCREM P.BROWNS 'CRK' nº 6.44</v>
          </cell>
          <cell r="C5905" t="str">
            <v>8435057009812</v>
          </cell>
        </row>
        <row r="5906">
          <cell r="A5906">
            <v>500767</v>
          </cell>
          <cell r="B5906" t="str">
            <v>KINCREM P.BROWNS 'CRK' nº 6.43</v>
          </cell>
          <cell r="C5906" t="str">
            <v>8435057009805</v>
          </cell>
        </row>
        <row r="5907">
          <cell r="A5907">
            <v>500768</v>
          </cell>
          <cell r="B5907" t="str">
            <v>KINCREM P.BROWNS 'CRK' nº 7.44</v>
          </cell>
          <cell r="C5907" t="str">
            <v>8435057009799</v>
          </cell>
        </row>
        <row r="5908">
          <cell r="A5908">
            <v>500769</v>
          </cell>
          <cell r="B5908" t="str">
            <v>KINCREM P.BROWNS 'CRK' nº 7.4</v>
          </cell>
          <cell r="C5908" t="str">
            <v>8435057009782</v>
          </cell>
        </row>
        <row r="5909">
          <cell r="A5909">
            <v>500770</v>
          </cell>
          <cell r="B5909" t="str">
            <v>KINCREM P.BROWNS 'CRK' nº 8.44</v>
          </cell>
          <cell r="C5909" t="str">
            <v>8435057009775</v>
          </cell>
        </row>
        <row r="5910">
          <cell r="A5910">
            <v>500771</v>
          </cell>
          <cell r="B5910" t="str">
            <v>KINCREM P.BROWNS 'CRK' nº 8.43</v>
          </cell>
          <cell r="C5910" t="str">
            <v>8435057009768</v>
          </cell>
        </row>
        <row r="5911">
          <cell r="A5911">
            <v>500772</v>
          </cell>
          <cell r="B5911" t="str">
            <v>KINCREM P.BASICS 'CRK' nº 6.34</v>
          </cell>
          <cell r="C5911" t="str">
            <v>8435057009904</v>
          </cell>
        </row>
        <row r="5912">
          <cell r="A5912">
            <v>500773</v>
          </cell>
          <cell r="B5912" t="str">
            <v>KINCREM P.BASICS 'CRK' nº 7.34</v>
          </cell>
          <cell r="C5912" t="str">
            <v>8435057009898</v>
          </cell>
        </row>
        <row r="5913">
          <cell r="A5913">
            <v>500774</v>
          </cell>
          <cell r="B5913" t="str">
            <v>KINCREM P.BASICS 'CRK' nº 8.34</v>
          </cell>
          <cell r="C5913" t="str">
            <v>8435057009881</v>
          </cell>
        </row>
        <row r="5914">
          <cell r="A5914">
            <v>500775</v>
          </cell>
          <cell r="B5914" t="str">
            <v>KINCREM P.BASICS 'CRK' nº 4.3</v>
          </cell>
          <cell r="C5914" t="str">
            <v>8435057009966</v>
          </cell>
        </row>
        <row r="5915">
          <cell r="A5915">
            <v>500776</v>
          </cell>
          <cell r="B5915" t="str">
            <v>KINCREM P.BASICS 'CRK' nº 5.3</v>
          </cell>
          <cell r="C5915" t="str">
            <v>8435057009973</v>
          </cell>
        </row>
        <row r="5916">
          <cell r="A5916">
            <v>500777</v>
          </cell>
          <cell r="B5916" t="str">
            <v>KINCREM P.BASICS 'CRK' nº 6.3</v>
          </cell>
          <cell r="C5916" t="str">
            <v>8435057009980</v>
          </cell>
        </row>
        <row r="5917">
          <cell r="A5917">
            <v>500778</v>
          </cell>
          <cell r="B5917" t="str">
            <v>KINCREM P.BASICS 'CRK' nº 7.3</v>
          </cell>
          <cell r="C5917" t="str">
            <v>8435057009997</v>
          </cell>
        </row>
        <row r="5918">
          <cell r="A5918">
            <v>500779</v>
          </cell>
          <cell r="B5918" t="str">
            <v>KINCREM P.BASICS 'CRK' nº 8.3</v>
          </cell>
          <cell r="C5918" t="str">
            <v>8435057010009</v>
          </cell>
        </row>
        <row r="5919">
          <cell r="A5919">
            <v>500780</v>
          </cell>
          <cell r="B5919" t="str">
            <v>KINCREM P.BASICS 'CRK' nº 9.3</v>
          </cell>
          <cell r="C5919" t="str">
            <v>8435057010016</v>
          </cell>
        </row>
        <row r="5920">
          <cell r="A5920">
            <v>500781</v>
          </cell>
          <cell r="B5920" t="str">
            <v>KINCREM P.BASICS 'CRK' nº 10.3</v>
          </cell>
          <cell r="C5920" t="str">
            <v>8435057010023</v>
          </cell>
        </row>
        <row r="5921">
          <cell r="A5921">
            <v>500782</v>
          </cell>
          <cell r="B5921" t="str">
            <v>KINCREM P.BASICS 'CRK' nº 7.31</v>
          </cell>
          <cell r="C5921" t="str">
            <v>8435057010054</v>
          </cell>
        </row>
        <row r="5922">
          <cell r="A5922">
            <v>500783</v>
          </cell>
          <cell r="B5922" t="str">
            <v>KINCREM P.BASICS 'CRK' nº 8.31</v>
          </cell>
          <cell r="C5922" t="str">
            <v>8435057010061</v>
          </cell>
        </row>
        <row r="5923">
          <cell r="A5923">
            <v>500784</v>
          </cell>
          <cell r="B5923" t="str">
            <v>KINCREM P.BASICS 'CRK' nº 9.31</v>
          </cell>
          <cell r="C5923" t="str">
            <v>8435057010078</v>
          </cell>
        </row>
        <row r="5924">
          <cell r="A5924">
            <v>500785</v>
          </cell>
          <cell r="B5924" t="str">
            <v>KINCREM P.BASICS "CRK" nº 6.32</v>
          </cell>
          <cell r="C5924" t="str">
            <v>8435057010085</v>
          </cell>
        </row>
        <row r="5925">
          <cell r="A5925">
            <v>500786</v>
          </cell>
          <cell r="B5925" t="str">
            <v>KINCREM P.BASICS "CRK" nº 7.32</v>
          </cell>
          <cell r="C5925" t="str">
            <v>8435057010092</v>
          </cell>
        </row>
        <row r="5926">
          <cell r="A5926">
            <v>500787</v>
          </cell>
          <cell r="B5926" t="str">
            <v>KINCREM P.BASICS "CRK" nº 8.32</v>
          </cell>
          <cell r="C5926" t="str">
            <v>8435057010108</v>
          </cell>
        </row>
        <row r="5927">
          <cell r="A5927">
            <v>500788</v>
          </cell>
          <cell r="B5927" t="str">
            <v>KINCREM P.BASICS "CRK" nº 9.32</v>
          </cell>
          <cell r="C5927" t="str">
            <v>8435057010115</v>
          </cell>
        </row>
        <row r="5928">
          <cell r="A5928">
            <v>500789</v>
          </cell>
          <cell r="B5928" t="str">
            <v>KINCREM P.BASICS "CRK" nº 10.32</v>
          </cell>
          <cell r="C5928" t="str">
            <v>8435057010122</v>
          </cell>
        </row>
        <row r="5929">
          <cell r="A5929">
            <v>500790</v>
          </cell>
          <cell r="B5929" t="str">
            <v>KINCREM P.BASICS "CRK" nº 1.1</v>
          </cell>
          <cell r="C5929" t="str">
            <v>8435057010139</v>
          </cell>
        </row>
        <row r="5930">
          <cell r="A5930">
            <v>500791</v>
          </cell>
          <cell r="B5930" t="str">
            <v>KINCREM P.BASICS "CRK" nº 5.1</v>
          </cell>
          <cell r="C5930" t="str">
            <v>8435057010146</v>
          </cell>
        </row>
        <row r="5931">
          <cell r="A5931">
            <v>500792</v>
          </cell>
          <cell r="B5931" t="str">
            <v>KINCREM P.BASICS "CRK" nº 6.1</v>
          </cell>
          <cell r="C5931" t="str">
            <v>8435057010153</v>
          </cell>
        </row>
        <row r="5932">
          <cell r="A5932">
            <v>500793</v>
          </cell>
          <cell r="B5932" t="str">
            <v>KINCREM P.BASICS "CRK" nº 7.1</v>
          </cell>
          <cell r="C5932" t="str">
            <v>8435057010160</v>
          </cell>
        </row>
        <row r="5933">
          <cell r="A5933">
            <v>500794</v>
          </cell>
          <cell r="B5933" t="str">
            <v>KINCREM P.BASICS "CRK" nº 8.1</v>
          </cell>
          <cell r="C5933" t="str">
            <v>8435057010177</v>
          </cell>
        </row>
        <row r="5934">
          <cell r="A5934">
            <v>500795</v>
          </cell>
          <cell r="B5934" t="str">
            <v>KINCREM P.BASISCS "CRK" nº 9.1</v>
          </cell>
          <cell r="C5934" t="str">
            <v>8435057010184</v>
          </cell>
        </row>
        <row r="5935">
          <cell r="A5935">
            <v>500796</v>
          </cell>
          <cell r="B5935" t="str">
            <v>KINCREM P.BASICS "CRK" nº 9.12</v>
          </cell>
          <cell r="C5935" t="str">
            <v>8435057010191</v>
          </cell>
        </row>
        <row r="5936">
          <cell r="A5936">
            <v>500797</v>
          </cell>
          <cell r="B5936" t="str">
            <v>KINCREM P.BASICS "CRK" nº 10.1</v>
          </cell>
          <cell r="C5936" t="str">
            <v>8435057010207</v>
          </cell>
        </row>
        <row r="5937">
          <cell r="A5937">
            <v>500798</v>
          </cell>
          <cell r="B5937" t="str">
            <v>CANDY C. RED VELVET 75 ml.</v>
          </cell>
          <cell r="C5937" t="str">
            <v>8435057010337</v>
          </cell>
        </row>
        <row r="5938">
          <cell r="A5938">
            <v>500799</v>
          </cell>
          <cell r="B5938" t="str">
            <v>CANDY C. BLUE GUMMY 75 ml.</v>
          </cell>
          <cell r="C5938" t="str">
            <v>8435057010344</v>
          </cell>
        </row>
        <row r="5939">
          <cell r="A5939">
            <v>500800</v>
          </cell>
          <cell r="B5939" t="str">
            <v>CANDY C. YELLOW MELLOW 75 ml.</v>
          </cell>
          <cell r="C5939" t="str">
            <v>8435057010351</v>
          </cell>
        </row>
        <row r="5940">
          <cell r="A5940">
            <v>500801</v>
          </cell>
          <cell r="B5940" t="str">
            <v>CANDY C. PINK BUBBLEGUM 75 ml</v>
          </cell>
          <cell r="C5940" t="str">
            <v>8435057010368</v>
          </cell>
        </row>
        <row r="5941">
          <cell r="A5941">
            <v>500802</v>
          </cell>
          <cell r="B5941" t="str">
            <v>CANDY C. GREEN MINT 75 ml</v>
          </cell>
          <cell r="C5941" t="str">
            <v>8435057010399</v>
          </cell>
        </row>
        <row r="5942">
          <cell r="A5942">
            <v>500803</v>
          </cell>
          <cell r="B5942" t="str">
            <v>CANDY C. VIOLET CRUMBLE 75 ml</v>
          </cell>
          <cell r="C5942" t="str">
            <v>8435057010405</v>
          </cell>
        </row>
        <row r="5943">
          <cell r="A5943">
            <v>500804</v>
          </cell>
          <cell r="B5943" t="str">
            <v>CANDY C. WHITE SUGAR 200 ml</v>
          </cell>
          <cell r="C5943" t="str">
            <v>8435057010412</v>
          </cell>
        </row>
        <row r="5944">
          <cell r="A5944">
            <v>500805</v>
          </cell>
          <cell r="B5944" t="str">
            <v>CANDY C. RED VELVET 200 ml</v>
          </cell>
          <cell r="C5944" t="str">
            <v>8435057010429</v>
          </cell>
        </row>
        <row r="5945">
          <cell r="A5945">
            <v>500806</v>
          </cell>
          <cell r="B5945" t="str">
            <v>CANDY C. BLUE GUMMY 200 ml</v>
          </cell>
          <cell r="C5945" t="str">
            <v>8435057010436</v>
          </cell>
        </row>
        <row r="5946">
          <cell r="A5946">
            <v>500807</v>
          </cell>
          <cell r="B5946" t="str">
            <v>CANDY C. YELLOW MELLOW 200 ml</v>
          </cell>
          <cell r="C5946" t="str">
            <v>8435057010443</v>
          </cell>
        </row>
        <row r="5947">
          <cell r="A5947">
            <v>500808</v>
          </cell>
          <cell r="B5947" t="str">
            <v>CANDY C. PINK BUBBLEGUM 200 ml</v>
          </cell>
          <cell r="C5947" t="str">
            <v>8435057010450</v>
          </cell>
        </row>
        <row r="5948">
          <cell r="A5948">
            <v>500809</v>
          </cell>
          <cell r="B5948" t="str">
            <v>CANDY C. GREEN MINT 200 ml</v>
          </cell>
          <cell r="C5948" t="str">
            <v>8435057010467</v>
          </cell>
        </row>
        <row r="5949">
          <cell r="A5949">
            <v>500810</v>
          </cell>
          <cell r="B5949" t="str">
            <v>CANDY C. VIOLET CRUMBLE 200 ml</v>
          </cell>
          <cell r="C5949" t="str">
            <v>8435057010474</v>
          </cell>
        </row>
        <row r="5950">
          <cell r="A5950">
            <v>500811</v>
          </cell>
          <cell r="B5950" t="str">
            <v>CANDY C. SHAMPOO 200 ml</v>
          </cell>
          <cell r="C5950" t="str">
            <v>8435057010481</v>
          </cell>
        </row>
        <row r="5951">
          <cell r="A5951">
            <v>500812</v>
          </cell>
          <cell r="B5951" t="str">
            <v>CANDY C.PACK BRIK 6 COLORES</v>
          </cell>
          <cell r="C5951" t="str">
            <v>8435057010498</v>
          </cell>
        </row>
        <row r="5952">
          <cell r="A5952">
            <v>500813</v>
          </cell>
          <cell r="B5952" t="str">
            <v>LOT CANDY COLORS</v>
          </cell>
          <cell r="C5952" t="str">
            <v>0000000500813</v>
          </cell>
        </row>
        <row r="5953">
          <cell r="A5953">
            <v>500890</v>
          </cell>
          <cell r="B5953" t="str">
            <v>KIN CANDY COLORS LOTE EXPORT.</v>
          </cell>
          <cell r="C5953" t="str">
            <v>0000000500890</v>
          </cell>
        </row>
        <row r="5954">
          <cell r="A5954">
            <v>500894</v>
          </cell>
          <cell r="B5954" t="str">
            <v>COLOR SCREEN  100 ml.</v>
          </cell>
          <cell r="C5954" t="str">
            <v>8435057011266</v>
          </cell>
        </row>
        <row r="5955">
          <cell r="A5955">
            <v>500897</v>
          </cell>
          <cell r="B5955" t="str">
            <v>KINBLOND BLEACHING POWDER SOBRES</v>
          </cell>
          <cell r="C5955" t="str">
            <v>8435057011822</v>
          </cell>
        </row>
        <row r="5956">
          <cell r="A5956">
            <v>501001</v>
          </cell>
          <cell r="B5956" t="str">
            <v>KINCREM CRK PLUS QUERATINA 1.0</v>
          </cell>
          <cell r="C5956" t="str">
            <v>8435057012058</v>
          </cell>
        </row>
        <row r="5957">
          <cell r="A5957">
            <v>501002</v>
          </cell>
          <cell r="B5957" t="str">
            <v>KINCREM CRK PLUS QUERATINA 2.0</v>
          </cell>
          <cell r="C5957" t="str">
            <v>8435057012065</v>
          </cell>
        </row>
        <row r="5958">
          <cell r="A5958">
            <v>501003</v>
          </cell>
          <cell r="B5958" t="str">
            <v>KINCREM CRK PLUS QUERATINA 3.0</v>
          </cell>
          <cell r="C5958" t="str">
            <v>8435057012072</v>
          </cell>
        </row>
        <row r="5959">
          <cell r="A5959">
            <v>501004</v>
          </cell>
          <cell r="B5959" t="str">
            <v>KINCREM CRK PLUS QUERATINA 4.0</v>
          </cell>
          <cell r="C5959" t="str">
            <v>8435057012089</v>
          </cell>
        </row>
        <row r="5960">
          <cell r="A5960">
            <v>501005</v>
          </cell>
          <cell r="B5960" t="str">
            <v>KINCREM CRK PLUS QUERATINA 5.0</v>
          </cell>
          <cell r="C5960" t="str">
            <v>8435057012096</v>
          </cell>
        </row>
        <row r="5961">
          <cell r="A5961">
            <v>501006</v>
          </cell>
          <cell r="B5961" t="str">
            <v>KINCREM CRK PLUS QUERATINA 6.0</v>
          </cell>
          <cell r="C5961" t="str">
            <v>8435057012102</v>
          </cell>
        </row>
        <row r="5962">
          <cell r="A5962">
            <v>501007</v>
          </cell>
          <cell r="B5962" t="str">
            <v>KINCREM CRK PLUS QUERATINA 7.0</v>
          </cell>
          <cell r="C5962" t="str">
            <v>8435057012119</v>
          </cell>
        </row>
        <row r="5963">
          <cell r="A5963">
            <v>501008</v>
          </cell>
          <cell r="B5963" t="str">
            <v>KINCREM CRK PLUS QUERATINA 8.0</v>
          </cell>
          <cell r="C5963" t="str">
            <v>8435057012126</v>
          </cell>
        </row>
        <row r="5964">
          <cell r="A5964">
            <v>501009</v>
          </cell>
          <cell r="B5964" t="str">
            <v>KINCREM CRK PLUS QUERATINA 9.0</v>
          </cell>
          <cell r="C5964" t="str">
            <v>8435057012133</v>
          </cell>
        </row>
        <row r="5965">
          <cell r="A5965">
            <v>501010</v>
          </cell>
          <cell r="B5965" t="str">
            <v>KINCREM CRK PLUS QUERATINA 10.0</v>
          </cell>
          <cell r="C5965" t="str">
            <v>8435057012140</v>
          </cell>
        </row>
        <row r="5966">
          <cell r="A5966">
            <v>501011</v>
          </cell>
          <cell r="B5966" t="str">
            <v>KINCREM CRK PLUS QUERATINA 3.00</v>
          </cell>
          <cell r="C5966" t="str">
            <v>8435057012157</v>
          </cell>
        </row>
        <row r="5967">
          <cell r="A5967">
            <v>501012</v>
          </cell>
          <cell r="B5967" t="str">
            <v>KINCREM CRK PLUS QUERATINA 4.00</v>
          </cell>
          <cell r="C5967" t="str">
            <v>8435057012164</v>
          </cell>
        </row>
        <row r="5968">
          <cell r="A5968">
            <v>501013</v>
          </cell>
          <cell r="B5968" t="str">
            <v>KINCREM CRK PLUS QUERATINA 5.00</v>
          </cell>
          <cell r="C5968" t="str">
            <v>8435057012171</v>
          </cell>
        </row>
        <row r="5969">
          <cell r="A5969">
            <v>501014</v>
          </cell>
          <cell r="B5969" t="str">
            <v>KINCREM CRK PLUS QUERATINA 6.00</v>
          </cell>
          <cell r="C5969" t="str">
            <v>8435057012188</v>
          </cell>
        </row>
        <row r="5970">
          <cell r="A5970">
            <v>501015</v>
          </cell>
          <cell r="B5970" t="str">
            <v>KINCREM CRK PLUS QUERATINA 7.00</v>
          </cell>
          <cell r="C5970" t="str">
            <v>8435057012195</v>
          </cell>
        </row>
        <row r="5971">
          <cell r="A5971">
            <v>501016</v>
          </cell>
          <cell r="B5971" t="str">
            <v>KINCREM CRK PLUS QUERATINA 8.00</v>
          </cell>
          <cell r="C5971" t="str">
            <v>8435057012201</v>
          </cell>
        </row>
        <row r="5972">
          <cell r="A5972">
            <v>501017</v>
          </cell>
          <cell r="B5972" t="str">
            <v>KINCREM CRK PLUS QUERATINA 9.00</v>
          </cell>
          <cell r="C5972" t="str">
            <v>8435057012218</v>
          </cell>
        </row>
        <row r="5973">
          <cell r="A5973">
            <v>501018</v>
          </cell>
          <cell r="B5973" t="str">
            <v>KINCREM CRK PLUS QUERATINA 10.00</v>
          </cell>
          <cell r="C5973" t="str">
            <v>8435057012225</v>
          </cell>
        </row>
        <row r="5974">
          <cell r="A5974">
            <v>501019</v>
          </cell>
          <cell r="B5974" t="str">
            <v>KINCREM CRK PLUS QUERATINA CN3.0</v>
          </cell>
          <cell r="C5974" t="str">
            <v>8435057012232</v>
          </cell>
        </row>
        <row r="5975">
          <cell r="A5975">
            <v>501020</v>
          </cell>
          <cell r="B5975" t="str">
            <v>KINCREM CRK PLUS QUERATINA CN4.0</v>
          </cell>
          <cell r="C5975" t="str">
            <v>8435057012249</v>
          </cell>
        </row>
        <row r="5976">
          <cell r="A5976">
            <v>501021</v>
          </cell>
          <cell r="B5976" t="str">
            <v>KINCREM CRK PLUS QUERATINA CN5.0</v>
          </cell>
          <cell r="C5976" t="str">
            <v>8435057012256</v>
          </cell>
        </row>
        <row r="5977">
          <cell r="A5977">
            <v>501022</v>
          </cell>
          <cell r="B5977" t="str">
            <v>KINCREM CRK PLUS QUERATINA CN6.0</v>
          </cell>
          <cell r="C5977" t="str">
            <v>8435057012263</v>
          </cell>
        </row>
        <row r="5978">
          <cell r="A5978">
            <v>501023</v>
          </cell>
          <cell r="B5978" t="str">
            <v>KINCREM CRK PLUS QUERATINA CN7.0</v>
          </cell>
          <cell r="C5978" t="str">
            <v>8435057012270</v>
          </cell>
        </row>
        <row r="5979">
          <cell r="A5979">
            <v>501024</v>
          </cell>
          <cell r="B5979" t="str">
            <v>KINCREM CRK PLUS QUERATINA CN8.0</v>
          </cell>
          <cell r="C5979" t="str">
            <v>8435057012287</v>
          </cell>
        </row>
        <row r="5980">
          <cell r="A5980">
            <v>501025</v>
          </cell>
          <cell r="B5980" t="str">
            <v>KINCREM CRK PLUS QUERATINA CN9.0</v>
          </cell>
          <cell r="C5980" t="str">
            <v>8435057012294</v>
          </cell>
        </row>
        <row r="5981">
          <cell r="A5981">
            <v>501026</v>
          </cell>
          <cell r="B5981" t="str">
            <v>KINCREM CRK PLUS QUERATINA CN10.0</v>
          </cell>
          <cell r="C5981" t="str">
            <v>8435057012300</v>
          </cell>
        </row>
        <row r="5982">
          <cell r="A5982">
            <v>501027</v>
          </cell>
          <cell r="B5982" t="str">
            <v>KINCREM CRK PLUS QUERATINA CN3.00</v>
          </cell>
          <cell r="C5982" t="str">
            <v>8435057012317</v>
          </cell>
        </row>
        <row r="5983">
          <cell r="A5983">
            <v>501028</v>
          </cell>
          <cell r="B5983" t="str">
            <v>KINCREM CRK PLUS QUERATINA CN4.00</v>
          </cell>
          <cell r="C5983" t="str">
            <v>8435057012324</v>
          </cell>
        </row>
        <row r="5984">
          <cell r="A5984">
            <v>501029</v>
          </cell>
          <cell r="B5984" t="str">
            <v>KINCREM CRK PLUS QUERATINA CN5.00</v>
          </cell>
          <cell r="C5984" t="str">
            <v>8435057012331</v>
          </cell>
        </row>
        <row r="5985">
          <cell r="A5985">
            <v>501030</v>
          </cell>
          <cell r="B5985" t="str">
            <v>KINCREM CRK PLUS QUERATINA CN6.00</v>
          </cell>
          <cell r="C5985" t="str">
            <v>8435057012348</v>
          </cell>
        </row>
        <row r="5986">
          <cell r="A5986">
            <v>501031</v>
          </cell>
          <cell r="B5986" t="str">
            <v>KINCREM CRK PLUS QUERATINA CN7.00</v>
          </cell>
          <cell r="C5986" t="str">
            <v>8435057012355</v>
          </cell>
        </row>
        <row r="5987">
          <cell r="A5987">
            <v>501032</v>
          </cell>
          <cell r="B5987" t="str">
            <v>KINCREM CRK PLUS QUERATINA CN8.00</v>
          </cell>
          <cell r="C5987" t="str">
            <v>8435057012362</v>
          </cell>
        </row>
        <row r="5988">
          <cell r="A5988">
            <v>501033</v>
          </cell>
          <cell r="B5988" t="str">
            <v>KINCREM CRK PLUS QUERATINA CN9.00</v>
          </cell>
          <cell r="C5988" t="str">
            <v>8435057012379</v>
          </cell>
        </row>
        <row r="5989">
          <cell r="A5989">
            <v>501034</v>
          </cell>
          <cell r="B5989" t="str">
            <v>KINCREM CRK PLUS QUERATINA CN10.00</v>
          </cell>
          <cell r="C5989" t="str">
            <v>8435057012386</v>
          </cell>
        </row>
        <row r="5990">
          <cell r="A5990">
            <v>501035</v>
          </cell>
          <cell r="B5990" t="str">
            <v>KINCREM CRK PLUS QUERATINA 7.9</v>
          </cell>
          <cell r="C5990" t="str">
            <v>8435057012393</v>
          </cell>
        </row>
        <row r="5991">
          <cell r="A5991">
            <v>501036</v>
          </cell>
          <cell r="B5991" t="str">
            <v>KINCREM CRK PLUS QUERATINA 9.9</v>
          </cell>
          <cell r="C5991" t="str">
            <v>8435057012409</v>
          </cell>
        </row>
        <row r="5992">
          <cell r="A5992">
            <v>501037</v>
          </cell>
          <cell r="B5992" t="str">
            <v>KINCREM CRK PLUS QUERATINA 1.1</v>
          </cell>
          <cell r="C5992" t="str">
            <v>8435057012416</v>
          </cell>
        </row>
        <row r="5993">
          <cell r="A5993">
            <v>501038</v>
          </cell>
          <cell r="B5993" t="str">
            <v>KINCREM CRK PLUS QUERATINA 5.1</v>
          </cell>
          <cell r="C5993" t="str">
            <v>8435057012423</v>
          </cell>
        </row>
        <row r="5994">
          <cell r="A5994">
            <v>501039</v>
          </cell>
          <cell r="B5994" t="str">
            <v>KINCREM CRK PLUS QUERATINA 6.1</v>
          </cell>
          <cell r="C5994" t="str">
            <v>8435057012430</v>
          </cell>
        </row>
        <row r="5995">
          <cell r="A5995">
            <v>501040</v>
          </cell>
          <cell r="B5995" t="str">
            <v>KINCREM CRK PLUS QUERATINA 7.1</v>
          </cell>
          <cell r="C5995" t="str">
            <v>8435057012447</v>
          </cell>
        </row>
        <row r="5996">
          <cell r="A5996">
            <v>501041</v>
          </cell>
          <cell r="B5996" t="str">
            <v>KINCREM CRK PLUS QUERATINA 8.1</v>
          </cell>
          <cell r="C5996" t="str">
            <v>8435057012454</v>
          </cell>
        </row>
        <row r="5997">
          <cell r="A5997">
            <v>501042</v>
          </cell>
          <cell r="B5997" t="str">
            <v>KINCREM CRK PLUS QUERATINA 9.1</v>
          </cell>
          <cell r="C5997" t="str">
            <v>8435057012461</v>
          </cell>
        </row>
        <row r="5998">
          <cell r="A5998">
            <v>501043</v>
          </cell>
          <cell r="B5998" t="str">
            <v>KINCREM CRK PLUS QUERATINA 9.12</v>
          </cell>
          <cell r="C5998" t="str">
            <v>8435057012478</v>
          </cell>
        </row>
        <row r="5999">
          <cell r="A5999">
            <v>501044</v>
          </cell>
          <cell r="B5999" t="str">
            <v>KINCREM CRK PLUS QUERATINA 10.1</v>
          </cell>
          <cell r="C5999" t="str">
            <v>8435057012485</v>
          </cell>
        </row>
        <row r="6000">
          <cell r="A6000">
            <v>501045</v>
          </cell>
          <cell r="B6000" t="str">
            <v>KINCREM CRK PLUS QUERATINA 4.3</v>
          </cell>
          <cell r="C6000" t="str">
            <v>8435057012492</v>
          </cell>
        </row>
        <row r="6001">
          <cell r="A6001">
            <v>501046</v>
          </cell>
          <cell r="B6001" t="str">
            <v>KINCREM CRK PLUS QUERATINA 5.3</v>
          </cell>
          <cell r="C6001" t="str">
            <v>8435057012508</v>
          </cell>
        </row>
        <row r="6002">
          <cell r="A6002">
            <v>501047</v>
          </cell>
          <cell r="B6002" t="str">
            <v>KINCREM CRK PLUS QUERATINA 6.3</v>
          </cell>
          <cell r="C6002" t="str">
            <v>8435057012515</v>
          </cell>
        </row>
        <row r="6003">
          <cell r="A6003">
            <v>501048</v>
          </cell>
          <cell r="B6003" t="str">
            <v>KINCREM CRK PLUS QUERATINA 7.3</v>
          </cell>
          <cell r="C6003" t="str">
            <v>8435057012522</v>
          </cell>
        </row>
        <row r="6004">
          <cell r="A6004">
            <v>501049</v>
          </cell>
          <cell r="B6004" t="str">
            <v>KINCREM CRK PLUS QUERATINA 8.3</v>
          </cell>
          <cell r="C6004" t="str">
            <v>8435057012539</v>
          </cell>
        </row>
        <row r="6005">
          <cell r="A6005">
            <v>501050</v>
          </cell>
          <cell r="B6005" t="str">
            <v>KINCREM CRK PLUS QUERATINA 9.3</v>
          </cell>
          <cell r="C6005" t="str">
            <v>8435057012546</v>
          </cell>
        </row>
        <row r="6006">
          <cell r="A6006">
            <v>501051</v>
          </cell>
          <cell r="B6006" t="str">
            <v>KINCREM CRK PLUS QUERATINA 10.3</v>
          </cell>
          <cell r="C6006" t="str">
            <v>8435057012553</v>
          </cell>
        </row>
        <row r="6007">
          <cell r="A6007">
            <v>501052</v>
          </cell>
          <cell r="B6007" t="str">
            <v>KINCREM CRK PLUS QUERATINA 7.31</v>
          </cell>
          <cell r="C6007" t="str">
            <v>8435057012560</v>
          </cell>
        </row>
        <row r="6008">
          <cell r="A6008">
            <v>501053</v>
          </cell>
          <cell r="B6008" t="str">
            <v>KINCREM CRK PLUS QUERATINA 8.31</v>
          </cell>
          <cell r="C6008" t="str">
            <v>8435057012577</v>
          </cell>
        </row>
        <row r="6009">
          <cell r="A6009">
            <v>501054</v>
          </cell>
          <cell r="B6009" t="str">
            <v>KINCREM CRK PLUS QUERATINA 9.31</v>
          </cell>
          <cell r="C6009" t="str">
            <v>8435057012584</v>
          </cell>
        </row>
        <row r="6010">
          <cell r="A6010">
            <v>501055</v>
          </cell>
          <cell r="B6010" t="str">
            <v>KINCREM CRK PLUS QUERATINA 6.32</v>
          </cell>
          <cell r="C6010" t="str">
            <v>8435057012591</v>
          </cell>
        </row>
        <row r="6011">
          <cell r="A6011">
            <v>501056</v>
          </cell>
          <cell r="B6011" t="str">
            <v>KINCREM CRK PLUS QUERATINA 7.32</v>
          </cell>
          <cell r="C6011" t="str">
            <v>8435057012607</v>
          </cell>
        </row>
        <row r="6012">
          <cell r="A6012">
            <v>501057</v>
          </cell>
          <cell r="B6012" t="str">
            <v>KINCREM CRK PLUS QUERATINA 8.32</v>
          </cell>
          <cell r="C6012" t="str">
            <v>8435057012614</v>
          </cell>
        </row>
        <row r="6013">
          <cell r="A6013">
            <v>501058</v>
          </cell>
          <cell r="B6013" t="str">
            <v>KINCREM CRK PLUS QUERATINA 9.32</v>
          </cell>
          <cell r="C6013" t="str">
            <v>8435057012621</v>
          </cell>
        </row>
        <row r="6014">
          <cell r="A6014">
            <v>501059</v>
          </cell>
          <cell r="B6014" t="str">
            <v>KINCREM CRK PLUS QUERATINA 10.32</v>
          </cell>
          <cell r="C6014" t="str">
            <v>8435057012638</v>
          </cell>
        </row>
        <row r="6015">
          <cell r="A6015">
            <v>501060</v>
          </cell>
          <cell r="B6015" t="str">
            <v>KINCREM CRK PLUS QUERATINA 6.34</v>
          </cell>
          <cell r="C6015" t="str">
            <v>8435057012645</v>
          </cell>
        </row>
        <row r="6016">
          <cell r="A6016">
            <v>501061</v>
          </cell>
          <cell r="B6016" t="str">
            <v>KINCREM CRK PLUS QUERATINA 7.34</v>
          </cell>
          <cell r="C6016" t="str">
            <v>8435057012652</v>
          </cell>
        </row>
        <row r="6017">
          <cell r="A6017">
            <v>501062</v>
          </cell>
          <cell r="B6017" t="str">
            <v>KINCREM CRK PLUS QUERATINA 8.34</v>
          </cell>
          <cell r="C6017" t="str">
            <v>8435057012669</v>
          </cell>
        </row>
        <row r="6018">
          <cell r="A6018">
            <v>501063</v>
          </cell>
          <cell r="B6018" t="str">
            <v>KINCREM CRK PLUS QUERATINA M/00</v>
          </cell>
          <cell r="C6018" t="str">
            <v>8435057012676</v>
          </cell>
        </row>
        <row r="6019">
          <cell r="A6019">
            <v>501064</v>
          </cell>
          <cell r="B6019" t="str">
            <v>KINCREM CRK PLUS QUERATINA M/11</v>
          </cell>
          <cell r="C6019" t="str">
            <v>8435057012683</v>
          </cell>
        </row>
        <row r="6020">
          <cell r="A6020">
            <v>501065</v>
          </cell>
          <cell r="B6020" t="str">
            <v>KINCREM CRK PLUS QUERATINA M/33</v>
          </cell>
          <cell r="C6020" t="str">
            <v>8435057012690</v>
          </cell>
        </row>
        <row r="6021">
          <cell r="A6021">
            <v>501066</v>
          </cell>
          <cell r="B6021" t="str">
            <v>KINCREM CRK PLUS QUERATINA M/44</v>
          </cell>
          <cell r="C6021" t="str">
            <v>8435057012706</v>
          </cell>
        </row>
        <row r="6022">
          <cell r="A6022">
            <v>501067</v>
          </cell>
          <cell r="B6022" t="str">
            <v>KINCREM CRK PLUS QUERATINA M/66</v>
          </cell>
          <cell r="C6022" t="str">
            <v>8435057012713</v>
          </cell>
        </row>
        <row r="6023">
          <cell r="A6023">
            <v>501068</v>
          </cell>
          <cell r="B6023" t="str">
            <v>KINCREM CRK PLUS QUERATINA M/77</v>
          </cell>
          <cell r="C6023" t="str">
            <v>8435057012720</v>
          </cell>
        </row>
        <row r="6024">
          <cell r="A6024">
            <v>501069</v>
          </cell>
          <cell r="B6024" t="str">
            <v>KINCREM CRK PLUS QUERATINA M/88</v>
          </cell>
          <cell r="C6024" t="str">
            <v>8435057012737</v>
          </cell>
        </row>
        <row r="6025">
          <cell r="A6025">
            <v>501070</v>
          </cell>
          <cell r="B6025" t="str">
            <v>KINCREM CRK PLUS QUERATINA M/99</v>
          </cell>
          <cell r="C6025" t="str">
            <v>8435057012744</v>
          </cell>
        </row>
        <row r="6026">
          <cell r="A6026">
            <v>501071</v>
          </cell>
          <cell r="B6026" t="str">
            <v>KINCREM CRK PLUS QUERATINA 5.45</v>
          </cell>
          <cell r="C6026" t="str">
            <v>8435057012751</v>
          </cell>
        </row>
        <row r="6027">
          <cell r="A6027">
            <v>501072</v>
          </cell>
          <cell r="B6027" t="str">
            <v>KINCREM CRK PLUS QUERATINA 6.45</v>
          </cell>
          <cell r="C6027" t="str">
            <v>8435057012768</v>
          </cell>
        </row>
        <row r="6028">
          <cell r="A6028">
            <v>501073</v>
          </cell>
          <cell r="B6028" t="str">
            <v>KINCREM CRK PLUS QUERATINA 7.45</v>
          </cell>
          <cell r="C6028" t="str">
            <v>8435057012775</v>
          </cell>
        </row>
        <row r="6029">
          <cell r="A6029">
            <v>501074</v>
          </cell>
          <cell r="B6029" t="str">
            <v>KINCREM CRK PLUS QUERATINA 8.45</v>
          </cell>
          <cell r="C6029" t="str">
            <v>8435057012782</v>
          </cell>
        </row>
        <row r="6030">
          <cell r="A6030">
            <v>501075</v>
          </cell>
          <cell r="B6030" t="str">
            <v>KINCREM CRK PLUS QUERATINA 6.43</v>
          </cell>
          <cell r="C6030" t="str">
            <v>8435057012799</v>
          </cell>
        </row>
        <row r="6031">
          <cell r="A6031">
            <v>501076</v>
          </cell>
          <cell r="B6031" t="str">
            <v>KINCREM CRK PLUS QUERATINA 8.43</v>
          </cell>
          <cell r="C6031" t="str">
            <v>8435057012805</v>
          </cell>
        </row>
        <row r="6032">
          <cell r="A6032">
            <v>501077</v>
          </cell>
          <cell r="B6032" t="str">
            <v>KINCREM CRK PLUS QUERATINA 5.4</v>
          </cell>
          <cell r="C6032" t="str">
            <v>8435057012812</v>
          </cell>
        </row>
        <row r="6033">
          <cell r="A6033">
            <v>501078</v>
          </cell>
          <cell r="B6033" t="str">
            <v>KINCREM CRK PLUS QUERATINA 7.4</v>
          </cell>
          <cell r="C6033" t="str">
            <v>8435057012829</v>
          </cell>
        </row>
        <row r="6034">
          <cell r="A6034">
            <v>501079</v>
          </cell>
          <cell r="B6034" t="str">
            <v>KINCREM CRK PLUS QUERATINA 6.44</v>
          </cell>
          <cell r="C6034" t="str">
            <v>8435057012836</v>
          </cell>
        </row>
        <row r="6035">
          <cell r="A6035">
            <v>501080</v>
          </cell>
          <cell r="B6035" t="str">
            <v>KINCREM CRK PLUS QUERATINA 7.44</v>
          </cell>
          <cell r="C6035" t="str">
            <v>8435057012843</v>
          </cell>
        </row>
        <row r="6036">
          <cell r="A6036">
            <v>501081</v>
          </cell>
          <cell r="B6036" t="str">
            <v>KINCREM CRK PLUS QUERATINA 8.44</v>
          </cell>
          <cell r="C6036" t="str">
            <v>8435057012850</v>
          </cell>
        </row>
        <row r="6037">
          <cell r="A6037">
            <v>501082</v>
          </cell>
          <cell r="B6037" t="str">
            <v>KINCREM CRK PLUS QUERATINA 4.50</v>
          </cell>
          <cell r="C6037" t="str">
            <v>8435057012867</v>
          </cell>
        </row>
        <row r="6038">
          <cell r="A6038">
            <v>501083</v>
          </cell>
          <cell r="B6038" t="str">
            <v>KINCREM CRK PLUS QUERATINA 5.50</v>
          </cell>
          <cell r="C6038" t="str">
            <v>8435057012874</v>
          </cell>
        </row>
        <row r="6039">
          <cell r="A6039">
            <v>501084</v>
          </cell>
          <cell r="B6039" t="str">
            <v>KINCREM CRK PLUS QUERATINA 6.50</v>
          </cell>
          <cell r="C6039" t="str">
            <v>8435057012881</v>
          </cell>
        </row>
        <row r="6040">
          <cell r="A6040">
            <v>501085</v>
          </cell>
          <cell r="B6040" t="str">
            <v>KINCREM CRK PLUS QUERATINA 7.50</v>
          </cell>
          <cell r="C6040" t="str">
            <v>8435057012898</v>
          </cell>
        </row>
        <row r="6041">
          <cell r="A6041">
            <v>501086</v>
          </cell>
          <cell r="B6041" t="str">
            <v>KINCREM CRK PLUS QUERATINA 4.51</v>
          </cell>
          <cell r="C6041" t="str">
            <v>8435057012904</v>
          </cell>
        </row>
        <row r="6042">
          <cell r="A6042">
            <v>501087</v>
          </cell>
          <cell r="B6042" t="str">
            <v>KINCREM CRK PLUS QUERATINA 5.51</v>
          </cell>
          <cell r="C6042" t="str">
            <v>8435057012911</v>
          </cell>
        </row>
        <row r="6043">
          <cell r="A6043">
            <v>501088</v>
          </cell>
          <cell r="B6043" t="str">
            <v>KINCREM CRK PLUS QUERATINA 6.51</v>
          </cell>
          <cell r="C6043" t="str">
            <v>8435057012928</v>
          </cell>
        </row>
        <row r="6044">
          <cell r="A6044">
            <v>501089</v>
          </cell>
          <cell r="B6044" t="str">
            <v>KINCREM CRK PLUS QUERATINA 7.51</v>
          </cell>
          <cell r="C6044" t="str">
            <v>8435057012935</v>
          </cell>
        </row>
        <row r="6045">
          <cell r="A6045">
            <v>501090</v>
          </cell>
          <cell r="B6045" t="str">
            <v>KINCREM CRK PLUS QUERATINA 8.51</v>
          </cell>
          <cell r="C6045" t="str">
            <v>8435057012942</v>
          </cell>
        </row>
        <row r="6046">
          <cell r="A6046">
            <v>501091</v>
          </cell>
          <cell r="B6046" t="str">
            <v>KINCREM CRK PLUS QUERATINA 5.52</v>
          </cell>
          <cell r="C6046" t="str">
            <v>8435057012959</v>
          </cell>
        </row>
        <row r="6047">
          <cell r="A6047">
            <v>501092</v>
          </cell>
          <cell r="B6047" t="str">
            <v>KINCREM CRK PLUS QUERATINA 6.52</v>
          </cell>
          <cell r="C6047" t="str">
            <v>8435057012966</v>
          </cell>
        </row>
        <row r="6048">
          <cell r="A6048">
            <v>501093</v>
          </cell>
          <cell r="B6048" t="str">
            <v>KINCREM CRK PLUS QUERATINA 7.52</v>
          </cell>
          <cell r="C6048" t="str">
            <v>8435057012973</v>
          </cell>
        </row>
        <row r="6049">
          <cell r="A6049">
            <v>501094</v>
          </cell>
          <cell r="B6049" t="str">
            <v>KINCREM CRK PLUS QUERATINA 4.53</v>
          </cell>
          <cell r="C6049" t="str">
            <v>8435057012980</v>
          </cell>
        </row>
        <row r="6050">
          <cell r="A6050">
            <v>501095</v>
          </cell>
          <cell r="B6050" t="str">
            <v>KINCREM CRK PLUS QUERATINA 5.53</v>
          </cell>
          <cell r="C6050" t="str">
            <v>8435057012997</v>
          </cell>
        </row>
        <row r="6051">
          <cell r="A6051">
            <v>501096</v>
          </cell>
          <cell r="B6051" t="str">
            <v>KINCREM CRK PLUS QUERATINA 6.53</v>
          </cell>
          <cell r="C6051" t="str">
            <v>8435057013000</v>
          </cell>
        </row>
        <row r="6052">
          <cell r="A6052">
            <v>501097</v>
          </cell>
          <cell r="B6052" t="str">
            <v>KINCREM CRK PLUS QUERATINA 7.53</v>
          </cell>
          <cell r="C6052" t="str">
            <v>8435057013017</v>
          </cell>
        </row>
        <row r="6053">
          <cell r="A6053">
            <v>501098</v>
          </cell>
          <cell r="B6053" t="str">
            <v>KINCREM CRK PLUS QUERATINA 8.53</v>
          </cell>
          <cell r="C6053" t="str">
            <v>8435057013024</v>
          </cell>
        </row>
        <row r="6054">
          <cell r="A6054">
            <v>501099</v>
          </cell>
          <cell r="B6054" t="str">
            <v>KINCREM CRK PLUS QUERATINA 6.54</v>
          </cell>
          <cell r="C6054" t="str">
            <v>8435057013031</v>
          </cell>
        </row>
        <row r="6055">
          <cell r="A6055">
            <v>501100</v>
          </cell>
          <cell r="B6055" t="str">
            <v>KINCREM CRK PLUS QUERATINA 8.54</v>
          </cell>
          <cell r="C6055" t="str">
            <v>8435057013048</v>
          </cell>
        </row>
        <row r="6056">
          <cell r="A6056">
            <v>501101</v>
          </cell>
          <cell r="B6056" t="str">
            <v>KINCREM CRK PLUS QUERATINA 3.56</v>
          </cell>
          <cell r="C6056" t="str">
            <v>8435057013055</v>
          </cell>
        </row>
        <row r="6057">
          <cell r="A6057">
            <v>501102</v>
          </cell>
          <cell r="B6057" t="str">
            <v>KINCREM CRK PLUS QUERATINA 4.56</v>
          </cell>
          <cell r="C6057" t="str">
            <v>8435057013062</v>
          </cell>
        </row>
        <row r="6058">
          <cell r="A6058">
            <v>501103</v>
          </cell>
          <cell r="B6058" t="str">
            <v>KINCREM CRK PLUS QUERATINA 5.56</v>
          </cell>
          <cell r="C6058" t="str">
            <v>8435057013079</v>
          </cell>
        </row>
        <row r="6059">
          <cell r="A6059">
            <v>501104</v>
          </cell>
          <cell r="B6059" t="str">
            <v>KINCREM CRK PLUS QUERATINA 6.56</v>
          </cell>
          <cell r="C6059" t="str">
            <v>8435057013086</v>
          </cell>
        </row>
        <row r="6060">
          <cell r="A6060">
            <v>501105</v>
          </cell>
          <cell r="B6060" t="str">
            <v>KINCREM CRK PLUS QUERATINA 7.56</v>
          </cell>
          <cell r="C6060" t="str">
            <v>8435057013093</v>
          </cell>
        </row>
        <row r="6061">
          <cell r="A6061">
            <v>501106</v>
          </cell>
          <cell r="B6061" t="str">
            <v>KINCREM CRK PLUS QUERATINA 7.64</v>
          </cell>
          <cell r="C6061" t="str">
            <v>8435057013109</v>
          </cell>
        </row>
        <row r="6062">
          <cell r="A6062">
            <v>501107</v>
          </cell>
          <cell r="B6062" t="str">
            <v>KINCREM CRK PLUS QUERATINA 6.66</v>
          </cell>
          <cell r="C6062" t="str">
            <v>8435057013116</v>
          </cell>
        </row>
        <row r="6063">
          <cell r="A6063">
            <v>501108</v>
          </cell>
          <cell r="B6063" t="str">
            <v>KINCREM CRK PLUS QUERATINA 7.66</v>
          </cell>
          <cell r="C6063" t="str">
            <v>8435057013123</v>
          </cell>
        </row>
        <row r="6064">
          <cell r="A6064">
            <v>501109</v>
          </cell>
          <cell r="B6064" t="str">
            <v>KINCREM CRK PLUS QUERATINA 4.67</v>
          </cell>
          <cell r="C6064" t="str">
            <v>8435057013130</v>
          </cell>
        </row>
        <row r="6065">
          <cell r="A6065">
            <v>501110</v>
          </cell>
          <cell r="B6065" t="str">
            <v>KINCREM CRK PLUS QUERATINA 5.67</v>
          </cell>
          <cell r="C6065" t="str">
            <v>8435057013147</v>
          </cell>
        </row>
        <row r="6066">
          <cell r="A6066">
            <v>501111</v>
          </cell>
          <cell r="B6066" t="str">
            <v>KINCREM CRK PLUS QUERATINA 6.67</v>
          </cell>
          <cell r="C6066" t="str">
            <v>8435057013154</v>
          </cell>
        </row>
        <row r="6067">
          <cell r="A6067">
            <v>501112</v>
          </cell>
          <cell r="B6067" t="str">
            <v>KINCREM CRK PLUS QUERATINA 4.77</v>
          </cell>
          <cell r="C6067" t="str">
            <v>8435057013161</v>
          </cell>
        </row>
        <row r="6068">
          <cell r="A6068">
            <v>501113</v>
          </cell>
          <cell r="B6068" t="str">
            <v>KINCREM CRK PLUS QUERATINA 5.77</v>
          </cell>
          <cell r="C6068" t="str">
            <v>8435057013178</v>
          </cell>
        </row>
        <row r="6069">
          <cell r="A6069">
            <v>501114</v>
          </cell>
          <cell r="B6069" t="str">
            <v>KINCREM CRK PLUS QUERATINA 7.77</v>
          </cell>
          <cell r="C6069" t="str">
            <v>8435057013185</v>
          </cell>
        </row>
        <row r="6070">
          <cell r="A6070">
            <v>501115</v>
          </cell>
          <cell r="B6070" t="str">
            <v>KINCREM CRK PLUS QUERATINA C44</v>
          </cell>
          <cell r="C6070" t="str">
            <v>8435057013192</v>
          </cell>
        </row>
        <row r="6071">
          <cell r="A6071">
            <v>501116</v>
          </cell>
          <cell r="B6071" t="str">
            <v>KINCREM CRK PLUS QUERATINA C55</v>
          </cell>
          <cell r="C6071" t="str">
            <v>8435057013208</v>
          </cell>
        </row>
        <row r="6072">
          <cell r="A6072">
            <v>501117</v>
          </cell>
          <cell r="B6072" t="str">
            <v>KINCREM CRK PLUS QUERATINA C66</v>
          </cell>
          <cell r="C6072" t="str">
            <v>8435057013215</v>
          </cell>
        </row>
        <row r="6073">
          <cell r="A6073">
            <v>501118</v>
          </cell>
          <cell r="B6073" t="str">
            <v>KINCREM CRK PLUS QUERATINA C77</v>
          </cell>
          <cell r="C6073" t="str">
            <v>8435057013222</v>
          </cell>
        </row>
        <row r="6074">
          <cell r="A6074">
            <v>501119</v>
          </cell>
          <cell r="B6074" t="str">
            <v>KINCREM CRK PLUS QUERATINA 11.0</v>
          </cell>
          <cell r="C6074" t="str">
            <v>8435057013239</v>
          </cell>
        </row>
        <row r="6075">
          <cell r="A6075">
            <v>501120</v>
          </cell>
          <cell r="B6075" t="str">
            <v>KINCREM CRK PLUS QUERATINA 11.1</v>
          </cell>
          <cell r="C6075" t="str">
            <v>8435057013246</v>
          </cell>
        </row>
        <row r="6076">
          <cell r="A6076">
            <v>501121</v>
          </cell>
          <cell r="B6076" t="str">
            <v>KINCREM CRK PLUS QUERATINA 11.12</v>
          </cell>
          <cell r="C6076" t="str">
            <v>8435057013253</v>
          </cell>
        </row>
        <row r="6077">
          <cell r="A6077">
            <v>501122</v>
          </cell>
          <cell r="B6077" t="str">
            <v>KINCREM CRK PLUS QUERATINA 11.32</v>
          </cell>
          <cell r="C6077" t="str">
            <v>8435057013260</v>
          </cell>
        </row>
        <row r="6078">
          <cell r="A6078">
            <v>501123</v>
          </cell>
          <cell r="B6078" t="str">
            <v>KINCREM CRK PLUS QUERATINA 12.0</v>
          </cell>
          <cell r="C6078" t="str">
            <v>8435057013277</v>
          </cell>
        </row>
        <row r="6079">
          <cell r="A6079">
            <v>501124</v>
          </cell>
          <cell r="B6079" t="str">
            <v>KINCREM CRK PLUS QUERATINA 12.1</v>
          </cell>
          <cell r="C6079" t="str">
            <v>8435057013284</v>
          </cell>
        </row>
        <row r="6080">
          <cell r="A6080">
            <v>501125</v>
          </cell>
          <cell r="B6080" t="str">
            <v>CREME OXYDANT 10 VOL. 1000 ML</v>
          </cell>
          <cell r="C6080" t="str">
            <v>8435057013314</v>
          </cell>
        </row>
        <row r="6081">
          <cell r="A6081">
            <v>501126</v>
          </cell>
          <cell r="B6081" t="str">
            <v>CREME OXYDANT 20 VOL. 1000 ML</v>
          </cell>
          <cell r="C6081" t="str">
            <v>8435057013321</v>
          </cell>
        </row>
        <row r="6082">
          <cell r="A6082">
            <v>501127</v>
          </cell>
          <cell r="B6082" t="str">
            <v>CREME OXYDANT 30 VOL. 1000 ML</v>
          </cell>
          <cell r="C6082" t="str">
            <v>8435057013338</v>
          </cell>
        </row>
        <row r="6083">
          <cell r="A6083">
            <v>501128</v>
          </cell>
          <cell r="B6083" t="str">
            <v>CREME OXYDANT 40 VOL. 1.000 ML</v>
          </cell>
          <cell r="C6083" t="str">
            <v>8435057013345</v>
          </cell>
        </row>
        <row r="6084">
          <cell r="A6084">
            <v>501129</v>
          </cell>
          <cell r="B6084" t="str">
            <v>COLOR PLUS OXYDANT 10 VOL. 1000 ML</v>
          </cell>
          <cell r="C6084" t="str">
            <v>8435057013352</v>
          </cell>
        </row>
        <row r="6085">
          <cell r="A6085">
            <v>501130</v>
          </cell>
          <cell r="B6085" t="str">
            <v>COLOR PLUS OXYDANT 20 VOL. 1000 ML</v>
          </cell>
          <cell r="C6085" t="str">
            <v>8435057013369</v>
          </cell>
        </row>
        <row r="6086">
          <cell r="A6086">
            <v>501131</v>
          </cell>
          <cell r="B6086" t="str">
            <v>COLOR PLUS OXYDANT 30 VOL. 1.000 ML</v>
          </cell>
          <cell r="C6086" t="str">
            <v>8435057013376</v>
          </cell>
        </row>
        <row r="6087">
          <cell r="A6087">
            <v>501132</v>
          </cell>
          <cell r="B6087" t="str">
            <v>BLONDES OXYDANT 40 VOL. 1.000 ML</v>
          </cell>
          <cell r="C6087" t="str">
            <v>8435057013383</v>
          </cell>
        </row>
        <row r="6088">
          <cell r="A6088">
            <v>501133</v>
          </cell>
          <cell r="B6088" t="str">
            <v>BLONDES OXYDANT 40 VOL. 120 ML</v>
          </cell>
          <cell r="C6088" t="str">
            <v>8435057013390</v>
          </cell>
        </row>
        <row r="6089">
          <cell r="A6089">
            <v>501134</v>
          </cell>
          <cell r="B6089" t="str">
            <v>CREME OXYDANT 20 VOL. 60 ML</v>
          </cell>
          <cell r="C6089" t="str">
            <v>8435057013406</v>
          </cell>
        </row>
        <row r="6090">
          <cell r="A6090">
            <v>501135</v>
          </cell>
          <cell r="B6090" t="str">
            <v>CREME OXYDANT 30 VOL. 60 ML</v>
          </cell>
          <cell r="C6090" t="str">
            <v>8435057013413</v>
          </cell>
        </row>
        <row r="6091">
          <cell r="A6091">
            <v>501136</v>
          </cell>
          <cell r="B6091" t="str">
            <v>CREME OXYDANT 40 VOL. 60 ML</v>
          </cell>
          <cell r="C6091" t="str">
            <v>8435057013420</v>
          </cell>
        </row>
        <row r="6092">
          <cell r="A6092">
            <v>501137</v>
          </cell>
          <cell r="B6092" t="str">
            <v>COLOR PLUS OXYDANT 20 VOL. 60 ML</v>
          </cell>
          <cell r="C6092" t="str">
            <v>8435057013437</v>
          </cell>
        </row>
        <row r="6093">
          <cell r="A6093">
            <v>501138</v>
          </cell>
          <cell r="B6093" t="str">
            <v>COLOR PLUS OXYDANT 30 VOL. 60 ML</v>
          </cell>
          <cell r="C6093" t="str">
            <v>8435057013444</v>
          </cell>
        </row>
        <row r="6094">
          <cell r="A6094">
            <v>501139</v>
          </cell>
          <cell r="B6094" t="str">
            <v>EARTH NUDES COLLECTION 6.647</v>
          </cell>
          <cell r="C6094" t="str">
            <v>8435057014014</v>
          </cell>
        </row>
        <row r="6095">
          <cell r="A6095">
            <v>501140</v>
          </cell>
          <cell r="B6095" t="str">
            <v>EARTH NUDES COLLECTION 7.512</v>
          </cell>
          <cell r="C6095" t="str">
            <v>8435057014021</v>
          </cell>
        </row>
        <row r="6096">
          <cell r="A6096">
            <v>501141</v>
          </cell>
          <cell r="B6096" t="str">
            <v>EARTH NUDES COLLECTION 8.348</v>
          </cell>
          <cell r="C6096" t="str">
            <v>8435057014038</v>
          </cell>
        </row>
        <row r="6097">
          <cell r="A6097">
            <v>501142</v>
          </cell>
          <cell r="B6097" t="str">
            <v>EARTH NUDES COLLECTION 8.762</v>
          </cell>
          <cell r="C6097" t="str">
            <v>8435057014045</v>
          </cell>
        </row>
        <row r="6098">
          <cell r="A6098">
            <v>502001</v>
          </cell>
          <cell r="B6098" t="str">
            <v>KINCREM COLOR 1.0 100 ML</v>
          </cell>
          <cell r="C6098" t="str">
            <v>8435057015233</v>
          </cell>
        </row>
        <row r="6099">
          <cell r="A6099">
            <v>502002</v>
          </cell>
          <cell r="B6099" t="str">
            <v>KINCREM COLOR 2.0 100 ML</v>
          </cell>
          <cell r="C6099" t="str">
            <v>8435057015240</v>
          </cell>
        </row>
        <row r="6100">
          <cell r="A6100">
            <v>502003</v>
          </cell>
          <cell r="B6100" t="str">
            <v>KINCREM COLOR 3.0 100 ML</v>
          </cell>
          <cell r="C6100" t="str">
            <v>8435057015257</v>
          </cell>
        </row>
        <row r="6101">
          <cell r="A6101">
            <v>502004</v>
          </cell>
          <cell r="B6101" t="str">
            <v>KINCREM COLOR 4.0 100 ML</v>
          </cell>
          <cell r="C6101" t="str">
            <v>8435057015264</v>
          </cell>
        </row>
        <row r="6102">
          <cell r="A6102">
            <v>502005</v>
          </cell>
          <cell r="B6102" t="str">
            <v>KINCREM COLOR 5.0 100 ML</v>
          </cell>
          <cell r="C6102" t="str">
            <v>8435057015271</v>
          </cell>
        </row>
        <row r="6103">
          <cell r="A6103">
            <v>502006</v>
          </cell>
          <cell r="B6103" t="str">
            <v>KINCREM COLOR 6.0 100 ML</v>
          </cell>
          <cell r="C6103" t="str">
            <v>8435057015288</v>
          </cell>
        </row>
        <row r="6104">
          <cell r="A6104">
            <v>502007</v>
          </cell>
          <cell r="B6104" t="str">
            <v>KINCREM COLOR 7.0 100 ML</v>
          </cell>
          <cell r="C6104" t="str">
            <v>8435057015295</v>
          </cell>
        </row>
        <row r="6105">
          <cell r="A6105">
            <v>502008</v>
          </cell>
          <cell r="B6105" t="str">
            <v>KINCREM COLOR 8.0 100 ML</v>
          </cell>
          <cell r="C6105" t="str">
            <v>8435057015301</v>
          </cell>
        </row>
        <row r="6106">
          <cell r="A6106">
            <v>502009</v>
          </cell>
          <cell r="B6106" t="str">
            <v>KINCREM COLOR 9.0 100 ML</v>
          </cell>
          <cell r="C6106" t="str">
            <v>8435057015318</v>
          </cell>
        </row>
        <row r="6107">
          <cell r="A6107">
            <v>502010</v>
          </cell>
          <cell r="B6107" t="str">
            <v>KINCREM COLOR 10.0 100 ML</v>
          </cell>
          <cell r="C6107" t="str">
            <v>8435057015325</v>
          </cell>
        </row>
        <row r="6108">
          <cell r="A6108">
            <v>502011</v>
          </cell>
          <cell r="B6108" t="str">
            <v>KINCREM COLOR 3.00 100 ML</v>
          </cell>
          <cell r="C6108" t="str">
            <v>8435057015332</v>
          </cell>
        </row>
        <row r="6109">
          <cell r="A6109">
            <v>502012</v>
          </cell>
          <cell r="B6109" t="str">
            <v>KINCREM COLOR 4.00 100 ML</v>
          </cell>
          <cell r="C6109" t="str">
            <v>8435057015349</v>
          </cell>
        </row>
        <row r="6110">
          <cell r="A6110">
            <v>502013</v>
          </cell>
          <cell r="B6110" t="str">
            <v>KINCREM COLOR 5.00 100 ML</v>
          </cell>
          <cell r="C6110" t="str">
            <v>8435057015356</v>
          </cell>
        </row>
        <row r="6111">
          <cell r="A6111">
            <v>502014</v>
          </cell>
          <cell r="B6111" t="str">
            <v>KINCREM COLOR 6.00 100 ML</v>
          </cell>
          <cell r="C6111" t="str">
            <v>8435057015363</v>
          </cell>
        </row>
        <row r="6112">
          <cell r="A6112">
            <v>502015</v>
          </cell>
          <cell r="B6112" t="str">
            <v>KINCREM COLOR 7.00 100 ML</v>
          </cell>
          <cell r="C6112" t="str">
            <v>8435057015370</v>
          </cell>
        </row>
        <row r="6113">
          <cell r="A6113">
            <v>502016</v>
          </cell>
          <cell r="B6113" t="str">
            <v>KINCREM COLOR 8.00 100 ML</v>
          </cell>
          <cell r="C6113" t="str">
            <v>8435057015387</v>
          </cell>
        </row>
        <row r="6114">
          <cell r="A6114">
            <v>502017</v>
          </cell>
          <cell r="B6114" t="str">
            <v>KINCREM COLOR 9.00 100 ML</v>
          </cell>
          <cell r="C6114" t="str">
            <v>8435057015394</v>
          </cell>
        </row>
        <row r="6115">
          <cell r="A6115">
            <v>502018</v>
          </cell>
          <cell r="B6115" t="str">
            <v>KINCREM COLOR 10.00 100 ML</v>
          </cell>
          <cell r="C6115" t="str">
            <v>8435057015400</v>
          </cell>
        </row>
        <row r="6116">
          <cell r="A6116">
            <v>502019</v>
          </cell>
          <cell r="B6116" t="str">
            <v>KINCREM COLOR 4.08 100 ML</v>
          </cell>
          <cell r="C6116" t="str">
            <v>8435057015417</v>
          </cell>
        </row>
        <row r="6117">
          <cell r="A6117">
            <v>502020</v>
          </cell>
          <cell r="B6117" t="str">
            <v>KINCREM COLOR 5.08 100 ML</v>
          </cell>
          <cell r="C6117" t="str">
            <v>8435057015424</v>
          </cell>
        </row>
        <row r="6118">
          <cell r="A6118">
            <v>502021</v>
          </cell>
          <cell r="B6118" t="str">
            <v>KINCREM COLOR 6.08 100 ML</v>
          </cell>
          <cell r="C6118" t="str">
            <v>8435057015431</v>
          </cell>
        </row>
        <row r="6119">
          <cell r="A6119">
            <v>502022</v>
          </cell>
          <cell r="B6119" t="str">
            <v>KINCREM COLOR 7.08 100 ML</v>
          </cell>
          <cell r="C6119" t="str">
            <v>8435057015448</v>
          </cell>
        </row>
        <row r="6120">
          <cell r="A6120">
            <v>502023</v>
          </cell>
          <cell r="B6120" t="str">
            <v>KINCREM COLOR 8.08 100 ML</v>
          </cell>
          <cell r="C6120" t="str">
            <v>8435057015455</v>
          </cell>
        </row>
        <row r="6121">
          <cell r="A6121">
            <v>502024</v>
          </cell>
          <cell r="B6121" t="str">
            <v>KINCREM COLOR 1.1 100 ML</v>
          </cell>
          <cell r="C6121" t="str">
            <v>8435057015462</v>
          </cell>
        </row>
        <row r="6122">
          <cell r="A6122">
            <v>502025</v>
          </cell>
          <cell r="B6122" t="str">
            <v>KINCREM COLOR 5.1 100 ML</v>
          </cell>
          <cell r="C6122" t="str">
            <v>8435057015479</v>
          </cell>
        </row>
        <row r="6123">
          <cell r="A6123">
            <v>502026</v>
          </cell>
          <cell r="B6123" t="str">
            <v>KINCREM COLOR 6.1 100 ML</v>
          </cell>
          <cell r="C6123" t="str">
            <v>8435057015486</v>
          </cell>
        </row>
        <row r="6124">
          <cell r="A6124">
            <v>502027</v>
          </cell>
          <cell r="B6124" t="str">
            <v>KINCREM COLOR 7.1 100 ML</v>
          </cell>
          <cell r="C6124" t="str">
            <v>8435057015493</v>
          </cell>
        </row>
        <row r="6125">
          <cell r="A6125">
            <v>502028</v>
          </cell>
          <cell r="B6125" t="str">
            <v>KINCREM COLOR 8.1 100 ML</v>
          </cell>
          <cell r="C6125" t="str">
            <v>8435057015509</v>
          </cell>
        </row>
        <row r="6126">
          <cell r="A6126">
            <v>502029</v>
          </cell>
          <cell r="B6126" t="str">
            <v>KINCREM COLOR 9.1 100 ML</v>
          </cell>
          <cell r="C6126" t="str">
            <v>8435057015516</v>
          </cell>
        </row>
        <row r="6127">
          <cell r="A6127">
            <v>502030</v>
          </cell>
          <cell r="B6127" t="str">
            <v>KINCREM COLOR 10.1 100 ML</v>
          </cell>
          <cell r="C6127" t="str">
            <v>8435057015523</v>
          </cell>
        </row>
        <row r="6128">
          <cell r="A6128">
            <v>502031</v>
          </cell>
          <cell r="B6128" t="str">
            <v>KINCREM COLOR 6.12 100 ML</v>
          </cell>
          <cell r="C6128" t="str">
            <v>8435057015530</v>
          </cell>
        </row>
        <row r="6129">
          <cell r="A6129">
            <v>502032</v>
          </cell>
          <cell r="B6129" t="str">
            <v>KINCREM COLOR 7.12 100 ML</v>
          </cell>
          <cell r="C6129" t="str">
            <v>8435057015547</v>
          </cell>
        </row>
        <row r="6130">
          <cell r="A6130">
            <v>502033</v>
          </cell>
          <cell r="B6130" t="str">
            <v>KINCREM COLOR 8.12 100 ML</v>
          </cell>
          <cell r="C6130" t="str">
            <v>8435057015554</v>
          </cell>
        </row>
        <row r="6131">
          <cell r="A6131">
            <v>502034</v>
          </cell>
          <cell r="B6131" t="str">
            <v>KINCREM COLOR 9.12 100 ML</v>
          </cell>
          <cell r="C6131" t="str">
            <v>8435057015561</v>
          </cell>
        </row>
        <row r="6132">
          <cell r="A6132">
            <v>502035</v>
          </cell>
          <cell r="B6132" t="str">
            <v>KINCREM COLOR 8.13 100 ML</v>
          </cell>
          <cell r="C6132" t="str">
            <v>8435057015578</v>
          </cell>
        </row>
        <row r="6133">
          <cell r="A6133">
            <v>502036</v>
          </cell>
          <cell r="B6133" t="str">
            <v>KINCREM COLOR 9.13 100 ML</v>
          </cell>
          <cell r="C6133" t="str">
            <v>8435057015585</v>
          </cell>
        </row>
        <row r="6134">
          <cell r="A6134">
            <v>502037</v>
          </cell>
          <cell r="B6134" t="str">
            <v>KINCREM COLOR 10.13 100 ML</v>
          </cell>
          <cell r="C6134" t="str">
            <v>8435057015592</v>
          </cell>
        </row>
        <row r="6135">
          <cell r="A6135">
            <v>502038</v>
          </cell>
          <cell r="B6135" t="str">
            <v>KINCREM COLOR 9.2 100 ML</v>
          </cell>
          <cell r="C6135" t="str">
            <v>8435057015608</v>
          </cell>
        </row>
        <row r="6136">
          <cell r="A6136">
            <v>502039</v>
          </cell>
          <cell r="B6136" t="str">
            <v>KINCREM COLOR 10.2 100 ML</v>
          </cell>
          <cell r="C6136" t="str">
            <v>8435057015615</v>
          </cell>
        </row>
        <row r="6137">
          <cell r="A6137">
            <v>502040</v>
          </cell>
          <cell r="B6137" t="str">
            <v>KINCREM COLOR 8.21 100 ML</v>
          </cell>
          <cell r="C6137" t="str">
            <v>8435057015622</v>
          </cell>
        </row>
        <row r="6138">
          <cell r="A6138">
            <v>502041</v>
          </cell>
          <cell r="B6138" t="str">
            <v>KINCREM COLOR 9.21 100 ML</v>
          </cell>
          <cell r="C6138" t="str">
            <v>8435057015639</v>
          </cell>
        </row>
        <row r="6139">
          <cell r="A6139">
            <v>502042</v>
          </cell>
          <cell r="B6139" t="str">
            <v>KINCREM COLOR 10.21 100 ML</v>
          </cell>
          <cell r="C6139" t="str">
            <v>8435057015646</v>
          </cell>
        </row>
        <row r="6140">
          <cell r="A6140">
            <v>502043</v>
          </cell>
          <cell r="B6140" t="str">
            <v>KINCREM COLOR 4.3 100 ML</v>
          </cell>
          <cell r="C6140" t="str">
            <v>8435057015653</v>
          </cell>
        </row>
        <row r="6141">
          <cell r="A6141">
            <v>502044</v>
          </cell>
          <cell r="B6141" t="str">
            <v>KINCREM COLOR 5.3 100 ML</v>
          </cell>
          <cell r="C6141" t="str">
            <v>8435057015660</v>
          </cell>
        </row>
        <row r="6142">
          <cell r="A6142">
            <v>502045</v>
          </cell>
          <cell r="B6142" t="str">
            <v>KINCREM COLOR 6.3 100 ML</v>
          </cell>
          <cell r="C6142" t="str">
            <v>8435057015677</v>
          </cell>
        </row>
        <row r="6143">
          <cell r="A6143">
            <v>502046</v>
          </cell>
          <cell r="B6143" t="str">
            <v>KINCREM COLOR 7.3 100 ML</v>
          </cell>
          <cell r="C6143" t="str">
            <v>8435057015684</v>
          </cell>
        </row>
        <row r="6144">
          <cell r="A6144">
            <v>502047</v>
          </cell>
          <cell r="B6144" t="str">
            <v>KINCREM COLOR 8.3 100 ML</v>
          </cell>
          <cell r="C6144" t="str">
            <v>8435057015691</v>
          </cell>
        </row>
        <row r="6145">
          <cell r="A6145">
            <v>502048</v>
          </cell>
          <cell r="B6145" t="str">
            <v>KINCREM COLOR 9.3 100 ML</v>
          </cell>
          <cell r="C6145" t="str">
            <v>8435057015707</v>
          </cell>
        </row>
        <row r="6146">
          <cell r="A6146">
            <v>502049</v>
          </cell>
          <cell r="B6146" t="str">
            <v>KINCREM COLOR 10.3 100 ML</v>
          </cell>
          <cell r="C6146" t="str">
            <v>8435057015714</v>
          </cell>
        </row>
        <row r="6147">
          <cell r="A6147">
            <v>502050</v>
          </cell>
          <cell r="B6147" t="str">
            <v>KINCREM COLOR 7.31 100 ML</v>
          </cell>
          <cell r="C6147" t="str">
            <v>8435057015721</v>
          </cell>
        </row>
        <row r="6148">
          <cell r="A6148">
            <v>502051</v>
          </cell>
          <cell r="B6148" t="str">
            <v>KINCREM COLOR 8.31 100 ML</v>
          </cell>
          <cell r="C6148" t="str">
            <v>8435057015738</v>
          </cell>
        </row>
        <row r="6149">
          <cell r="A6149">
            <v>502052</v>
          </cell>
          <cell r="B6149" t="str">
            <v>KINCREM COLOR 9.31 100 ML</v>
          </cell>
          <cell r="C6149" t="str">
            <v>8435057015745</v>
          </cell>
        </row>
        <row r="6150">
          <cell r="A6150">
            <v>502053</v>
          </cell>
          <cell r="B6150" t="str">
            <v>KINCREM COLOR 6.32 100 ML</v>
          </cell>
          <cell r="C6150" t="str">
            <v>8435057015752</v>
          </cell>
        </row>
        <row r="6151">
          <cell r="A6151">
            <v>502054</v>
          </cell>
          <cell r="B6151" t="str">
            <v>KINCREM COLOR 7.32 100 ML</v>
          </cell>
          <cell r="C6151" t="str">
            <v>8435057015769</v>
          </cell>
        </row>
        <row r="6152">
          <cell r="A6152">
            <v>502055</v>
          </cell>
          <cell r="B6152" t="str">
            <v>KINCREM COLOR 8.32 100 ML</v>
          </cell>
          <cell r="C6152" t="str">
            <v>8435057015776</v>
          </cell>
        </row>
        <row r="6153">
          <cell r="A6153">
            <v>502056</v>
          </cell>
          <cell r="B6153" t="str">
            <v>KINCREM COLOR 9.32 100 ML</v>
          </cell>
          <cell r="C6153" t="str">
            <v>8435057015783</v>
          </cell>
        </row>
        <row r="6154">
          <cell r="A6154">
            <v>502057</v>
          </cell>
          <cell r="B6154" t="str">
            <v>KINCREM COLOR 10.32 100 ML</v>
          </cell>
          <cell r="C6154" t="str">
            <v>8435057015790</v>
          </cell>
        </row>
        <row r="6155">
          <cell r="A6155">
            <v>502058</v>
          </cell>
          <cell r="B6155" t="str">
            <v>KINCREM COLOR 6.34 100 ML</v>
          </cell>
          <cell r="C6155" t="str">
            <v>8435057015806</v>
          </cell>
        </row>
        <row r="6156">
          <cell r="A6156">
            <v>502059</v>
          </cell>
          <cell r="B6156" t="str">
            <v>KINCREM COLOR 7.34 100 ML</v>
          </cell>
          <cell r="C6156" t="str">
            <v>8435057015813</v>
          </cell>
        </row>
        <row r="6157">
          <cell r="A6157">
            <v>502060</v>
          </cell>
          <cell r="B6157" t="str">
            <v>KINCREM COLOR 8.34 100 ML</v>
          </cell>
          <cell r="C6157" t="str">
            <v>8435057015820</v>
          </cell>
        </row>
        <row r="6158">
          <cell r="A6158">
            <v>502061</v>
          </cell>
          <cell r="B6158" t="str">
            <v>KINCREM COLOR 5.4 100 ML</v>
          </cell>
          <cell r="C6158" t="str">
            <v>8435057015837</v>
          </cell>
        </row>
        <row r="6159">
          <cell r="A6159">
            <v>502062</v>
          </cell>
          <cell r="B6159" t="str">
            <v>KINCREM COLOR 7.4 100 ML</v>
          </cell>
          <cell r="C6159" t="str">
            <v>8435057015844</v>
          </cell>
        </row>
        <row r="6160">
          <cell r="A6160">
            <v>502063</v>
          </cell>
          <cell r="B6160" t="str">
            <v>KINCREM COLOR 6.43 100 ML</v>
          </cell>
          <cell r="C6160" t="str">
            <v>8435057015851</v>
          </cell>
        </row>
        <row r="6161">
          <cell r="A6161">
            <v>502064</v>
          </cell>
          <cell r="B6161" t="str">
            <v>KINCREM COLOR 8.43 100 ML</v>
          </cell>
          <cell r="C6161" t="str">
            <v>8435057015868</v>
          </cell>
        </row>
        <row r="6162">
          <cell r="A6162">
            <v>502065</v>
          </cell>
          <cell r="B6162" t="str">
            <v>KINCREM COLOR 6.44 100 ML</v>
          </cell>
          <cell r="C6162" t="str">
            <v>8435057015875</v>
          </cell>
        </row>
        <row r="6163">
          <cell r="A6163">
            <v>502066</v>
          </cell>
          <cell r="B6163" t="str">
            <v>KINCREM COLOR 7.44 100 ML</v>
          </cell>
          <cell r="C6163" t="str">
            <v>8435057015882</v>
          </cell>
        </row>
        <row r="6164">
          <cell r="A6164">
            <v>502067</v>
          </cell>
          <cell r="B6164" t="str">
            <v>KINCREM COLOR 8.44 100 ML</v>
          </cell>
          <cell r="C6164" t="str">
            <v>8435057015899</v>
          </cell>
        </row>
        <row r="6165">
          <cell r="A6165">
            <v>502068</v>
          </cell>
          <cell r="B6165" t="str">
            <v>KINCREM COLOR 5.45 100 ML</v>
          </cell>
          <cell r="C6165" t="str">
            <v>8435057015905</v>
          </cell>
        </row>
        <row r="6166">
          <cell r="A6166">
            <v>502069</v>
          </cell>
          <cell r="B6166" t="str">
            <v>KINCREM COLOR 6.45 100 ML</v>
          </cell>
          <cell r="C6166" t="str">
            <v>8435057015912</v>
          </cell>
        </row>
        <row r="6167">
          <cell r="A6167">
            <v>502070</v>
          </cell>
          <cell r="B6167" t="str">
            <v>KINCREM COLOR 7.45 100 ML</v>
          </cell>
          <cell r="C6167" t="str">
            <v>8435057015929</v>
          </cell>
        </row>
        <row r="6168">
          <cell r="A6168">
            <v>502071</v>
          </cell>
          <cell r="B6168" t="str">
            <v>KINCREM COLOR 8.45 100 ML</v>
          </cell>
          <cell r="C6168" t="str">
            <v>8435057015936</v>
          </cell>
        </row>
        <row r="6169">
          <cell r="A6169">
            <v>502072</v>
          </cell>
          <cell r="B6169" t="str">
            <v>KINCREM COLOR 4.50 100 ML</v>
          </cell>
          <cell r="C6169" t="str">
            <v>8435057015943</v>
          </cell>
        </row>
        <row r="6170">
          <cell r="A6170">
            <v>502073</v>
          </cell>
          <cell r="B6170" t="str">
            <v>KINCREM COLOR 5.50 100 ML</v>
          </cell>
          <cell r="C6170" t="str">
            <v>8435057015950</v>
          </cell>
        </row>
        <row r="6171">
          <cell r="A6171">
            <v>502074</v>
          </cell>
          <cell r="B6171" t="str">
            <v>KINCREM COLOR 6.50 100 ML</v>
          </cell>
          <cell r="C6171" t="str">
            <v>8435057015967</v>
          </cell>
        </row>
        <row r="6172">
          <cell r="A6172">
            <v>502075</v>
          </cell>
          <cell r="B6172" t="str">
            <v>KINCREM COLOR 7.50 100 ML</v>
          </cell>
          <cell r="C6172" t="str">
            <v>8435057015974</v>
          </cell>
        </row>
        <row r="6173">
          <cell r="A6173">
            <v>502076</v>
          </cell>
          <cell r="B6173" t="str">
            <v>KINCREM COLOR 4.51 100 ML</v>
          </cell>
          <cell r="C6173" t="str">
            <v>8435057015981</v>
          </cell>
        </row>
        <row r="6174">
          <cell r="A6174">
            <v>502077</v>
          </cell>
          <cell r="B6174" t="str">
            <v>KINCREM COLOR 5.51 100 ML</v>
          </cell>
          <cell r="C6174" t="str">
            <v>8435057015998</v>
          </cell>
        </row>
        <row r="6175">
          <cell r="A6175">
            <v>502078</v>
          </cell>
          <cell r="B6175" t="str">
            <v>KINCREM COLOR 6.51 100 ML</v>
          </cell>
          <cell r="C6175" t="str">
            <v>8435057016001</v>
          </cell>
        </row>
        <row r="6176">
          <cell r="A6176">
            <v>502079</v>
          </cell>
          <cell r="B6176" t="str">
            <v>KINCREM COLOR 7.51 100 ML</v>
          </cell>
          <cell r="C6176" t="str">
            <v>8435057016018</v>
          </cell>
        </row>
        <row r="6177">
          <cell r="A6177">
            <v>502080</v>
          </cell>
          <cell r="B6177" t="str">
            <v>KINCREM COLOR 8.51 100 ML</v>
          </cell>
          <cell r="C6177" t="str">
            <v>8435057016025</v>
          </cell>
        </row>
        <row r="6178">
          <cell r="A6178">
            <v>502081</v>
          </cell>
          <cell r="B6178" t="str">
            <v>KINCREM COLOR 5.52 100 ML</v>
          </cell>
          <cell r="C6178" t="str">
            <v>8435057016032</v>
          </cell>
        </row>
        <row r="6179">
          <cell r="A6179">
            <v>502082</v>
          </cell>
          <cell r="B6179" t="str">
            <v>KINCREM COLOR 6.52 100 ML</v>
          </cell>
          <cell r="C6179" t="str">
            <v>8435057016049</v>
          </cell>
        </row>
        <row r="6180">
          <cell r="A6180">
            <v>502083</v>
          </cell>
          <cell r="B6180" t="str">
            <v>KINCREM COLOR 7.52 100 ML</v>
          </cell>
          <cell r="C6180" t="str">
            <v>8435057016056</v>
          </cell>
        </row>
        <row r="6181">
          <cell r="A6181">
            <v>502084</v>
          </cell>
          <cell r="B6181" t="str">
            <v>KINCREM COLOR 4.53 100 ML</v>
          </cell>
          <cell r="C6181" t="str">
            <v>8435057016063</v>
          </cell>
        </row>
        <row r="6182">
          <cell r="A6182">
            <v>502085</v>
          </cell>
          <cell r="B6182" t="str">
            <v>KINCREM COLOR 5.53 100 ML</v>
          </cell>
          <cell r="C6182" t="str">
            <v>8435057016070</v>
          </cell>
        </row>
        <row r="6183">
          <cell r="A6183">
            <v>502086</v>
          </cell>
          <cell r="B6183" t="str">
            <v>KINCREM COLOR 6.53 100 ML</v>
          </cell>
          <cell r="C6183" t="str">
            <v>8435057016087</v>
          </cell>
        </row>
        <row r="6184">
          <cell r="A6184">
            <v>502087</v>
          </cell>
          <cell r="B6184" t="str">
            <v>KINCREM COLOR 7.53 100 ML</v>
          </cell>
          <cell r="C6184" t="str">
            <v>8435057016094</v>
          </cell>
        </row>
        <row r="6185">
          <cell r="A6185">
            <v>502088</v>
          </cell>
          <cell r="B6185" t="str">
            <v>KINCREM COLOR 8.53 100 ML</v>
          </cell>
          <cell r="C6185" t="str">
            <v>8435057016100</v>
          </cell>
        </row>
        <row r="6186">
          <cell r="A6186">
            <v>502089</v>
          </cell>
          <cell r="B6186" t="str">
            <v>KINCREM COLOR 6.54 100 ML</v>
          </cell>
          <cell r="C6186" t="str">
            <v>8435057016117</v>
          </cell>
        </row>
        <row r="6187">
          <cell r="A6187">
            <v>502090</v>
          </cell>
          <cell r="B6187" t="str">
            <v>KINCREM COLOR 8.54 100 ML</v>
          </cell>
          <cell r="C6187" t="str">
            <v>8435057016124</v>
          </cell>
        </row>
        <row r="6188">
          <cell r="A6188">
            <v>502091</v>
          </cell>
          <cell r="B6188" t="str">
            <v>KINCREM COLOR 3.56 100 ML</v>
          </cell>
          <cell r="C6188" t="str">
            <v>8435057016131</v>
          </cell>
        </row>
        <row r="6189">
          <cell r="A6189">
            <v>502092</v>
          </cell>
          <cell r="B6189" t="str">
            <v>KINCREM COLOR 4.56 100 ML</v>
          </cell>
          <cell r="C6189" t="str">
            <v>8435057016148</v>
          </cell>
        </row>
        <row r="6190">
          <cell r="A6190">
            <v>502093</v>
          </cell>
          <cell r="B6190" t="str">
            <v>KINCREM COLOR 5.56 100 ML</v>
          </cell>
          <cell r="C6190" t="str">
            <v>8435057016155</v>
          </cell>
        </row>
        <row r="6191">
          <cell r="A6191">
            <v>502094</v>
          </cell>
          <cell r="B6191" t="str">
            <v>KINCREM COLOR 6.56 100 ML</v>
          </cell>
          <cell r="C6191" t="str">
            <v>8435057016162</v>
          </cell>
        </row>
        <row r="6192">
          <cell r="A6192">
            <v>502095</v>
          </cell>
          <cell r="B6192" t="str">
            <v>KINCREM COLOR 7.56 100 ML</v>
          </cell>
          <cell r="C6192" t="str">
            <v>8435057016179</v>
          </cell>
        </row>
        <row r="6193">
          <cell r="A6193">
            <v>502096</v>
          </cell>
          <cell r="B6193" t="str">
            <v>KINCREM COLOR 7.64 100 ML</v>
          </cell>
          <cell r="C6193" t="str">
            <v>8435057016186</v>
          </cell>
        </row>
        <row r="6194">
          <cell r="A6194">
            <v>502097</v>
          </cell>
          <cell r="B6194" t="str">
            <v>KINCREM COLOR 6.66 100 ML</v>
          </cell>
          <cell r="C6194" t="str">
            <v>8435057016193</v>
          </cell>
        </row>
        <row r="6195">
          <cell r="A6195">
            <v>502098</v>
          </cell>
          <cell r="B6195" t="str">
            <v>KINCREM COLOR 7.66 100 ML</v>
          </cell>
          <cell r="C6195" t="str">
            <v>8435057016209</v>
          </cell>
        </row>
        <row r="6196">
          <cell r="A6196">
            <v>502099</v>
          </cell>
          <cell r="B6196" t="str">
            <v>KINCREM COLOR 4.67 100 ML</v>
          </cell>
          <cell r="C6196" t="str">
            <v>8435057016216</v>
          </cell>
        </row>
        <row r="6197">
          <cell r="A6197">
            <v>502100</v>
          </cell>
          <cell r="B6197" t="str">
            <v>KINCREM COLOR 5.67 100 ML</v>
          </cell>
          <cell r="C6197" t="str">
            <v>8435057016223</v>
          </cell>
        </row>
        <row r="6198">
          <cell r="A6198">
            <v>502101</v>
          </cell>
          <cell r="B6198" t="str">
            <v>KINCREM COLOR 6.67 100 ML</v>
          </cell>
          <cell r="C6198" t="str">
            <v>8435057016230</v>
          </cell>
        </row>
        <row r="6199">
          <cell r="A6199">
            <v>502102</v>
          </cell>
          <cell r="B6199" t="str">
            <v>KINCREM COLOR 4.77 100 ML</v>
          </cell>
          <cell r="C6199" t="str">
            <v>8435057016247</v>
          </cell>
        </row>
        <row r="6200">
          <cell r="A6200">
            <v>502103</v>
          </cell>
          <cell r="B6200" t="str">
            <v>KINCREM COLOR 6.77 100 ML</v>
          </cell>
          <cell r="C6200" t="str">
            <v>8435057016254</v>
          </cell>
        </row>
        <row r="6201">
          <cell r="A6201">
            <v>502104</v>
          </cell>
          <cell r="B6201" t="str">
            <v>KINCREM COLOR 7.77 100 ML</v>
          </cell>
          <cell r="C6201" t="str">
            <v>8435057016261</v>
          </cell>
        </row>
        <row r="6202">
          <cell r="A6202">
            <v>502105</v>
          </cell>
          <cell r="B6202" t="str">
            <v>KINCREM COLOR 7.9 100 ML</v>
          </cell>
          <cell r="C6202" t="str">
            <v>8435057016278</v>
          </cell>
        </row>
        <row r="6203">
          <cell r="A6203">
            <v>502106</v>
          </cell>
          <cell r="B6203" t="str">
            <v>KINCREM COLOR 9.9 100 ML</v>
          </cell>
          <cell r="C6203" t="str">
            <v>8435057016285</v>
          </cell>
        </row>
        <row r="6204">
          <cell r="A6204">
            <v>502107</v>
          </cell>
          <cell r="B6204" t="str">
            <v>KINCREM COLOR 11.0 100 ML</v>
          </cell>
          <cell r="C6204" t="str">
            <v>8435057016292</v>
          </cell>
        </row>
        <row r="6205">
          <cell r="A6205">
            <v>502108</v>
          </cell>
          <cell r="B6205" t="str">
            <v>KINCREM COLOR 12.0 100 ML</v>
          </cell>
          <cell r="C6205" t="str">
            <v>8435057016308</v>
          </cell>
        </row>
        <row r="6206">
          <cell r="A6206">
            <v>502109</v>
          </cell>
          <cell r="B6206" t="str">
            <v>KINCREM COLOR 11.1 100 ML</v>
          </cell>
          <cell r="C6206" t="str">
            <v>8435057016315</v>
          </cell>
        </row>
        <row r="6207">
          <cell r="A6207">
            <v>502110</v>
          </cell>
          <cell r="B6207" t="str">
            <v>KINCREM COLOR 12.1 100 ML</v>
          </cell>
          <cell r="C6207" t="str">
            <v>8435057016322</v>
          </cell>
        </row>
        <row r="6208">
          <cell r="A6208">
            <v>502111</v>
          </cell>
          <cell r="B6208" t="str">
            <v>KINCREM COLOR 11.12 100 ML</v>
          </cell>
          <cell r="C6208" t="str">
            <v>8435057016339</v>
          </cell>
        </row>
        <row r="6209">
          <cell r="A6209">
            <v>502112</v>
          </cell>
          <cell r="B6209" t="str">
            <v>KINCREM COLOR 11.32 100 ML</v>
          </cell>
          <cell r="C6209" t="str">
            <v>8435057016346</v>
          </cell>
        </row>
        <row r="6210">
          <cell r="A6210">
            <v>502113</v>
          </cell>
          <cell r="B6210" t="str">
            <v>KINCREM COLOR M/00 100 ML</v>
          </cell>
          <cell r="C6210" t="str">
            <v>8435057016353</v>
          </cell>
        </row>
        <row r="6211">
          <cell r="A6211">
            <v>502114</v>
          </cell>
          <cell r="B6211" t="str">
            <v>KINCREM COLOR M/11 100 ML</v>
          </cell>
          <cell r="C6211" t="str">
            <v>8435057016360</v>
          </cell>
        </row>
        <row r="6212">
          <cell r="A6212">
            <v>502115</v>
          </cell>
          <cell r="B6212" t="str">
            <v>KINCREM COLOR M/33 100 ML</v>
          </cell>
          <cell r="C6212" t="str">
            <v>8435057016377</v>
          </cell>
        </row>
        <row r="6213">
          <cell r="A6213">
            <v>502116</v>
          </cell>
          <cell r="B6213" t="str">
            <v>KINCREM COLOR M/44 100 ML</v>
          </cell>
          <cell r="C6213" t="str">
            <v>8435057016384</v>
          </cell>
        </row>
        <row r="6214">
          <cell r="A6214">
            <v>502117</v>
          </cell>
          <cell r="B6214" t="str">
            <v>KINCREM COLOR M/66 100 ML</v>
          </cell>
          <cell r="C6214" t="str">
            <v>8435057016391</v>
          </cell>
        </row>
        <row r="6215">
          <cell r="A6215">
            <v>502118</v>
          </cell>
          <cell r="B6215" t="str">
            <v>KINCREM COLOR M/77 100 ML</v>
          </cell>
          <cell r="C6215" t="str">
            <v>8435057016407</v>
          </cell>
        </row>
        <row r="6216">
          <cell r="A6216">
            <v>502119</v>
          </cell>
          <cell r="B6216" t="str">
            <v>KINCREM COLOR M/88 100 ML</v>
          </cell>
          <cell r="C6216" t="str">
            <v>8435057016414</v>
          </cell>
        </row>
        <row r="6217">
          <cell r="A6217">
            <v>502120</v>
          </cell>
          <cell r="B6217" t="str">
            <v>KINCREM COLOR M/99 100 ML</v>
          </cell>
          <cell r="C6217" t="str">
            <v>8435057016421</v>
          </cell>
        </row>
        <row r="6218">
          <cell r="A6218">
            <v>502121</v>
          </cell>
          <cell r="B6218" t="str">
            <v>KINCREM COLOR ACTIVE CREAM OXIDANT 10 VOL 1.000 ML</v>
          </cell>
          <cell r="C6218" t="str">
            <v>8435057016438</v>
          </cell>
        </row>
        <row r="6219">
          <cell r="A6219">
            <v>502122</v>
          </cell>
          <cell r="B6219" t="str">
            <v>KINCREM COLOR ACTIVE CREAM OXIDANT 20 VOL 1.000 ML</v>
          </cell>
          <cell r="C6219" t="str">
            <v>8435057016445</v>
          </cell>
        </row>
        <row r="6220">
          <cell r="A6220">
            <v>502123</v>
          </cell>
          <cell r="B6220" t="str">
            <v>KINCREM COLOR ACTIVE CREAM OXIDANT 30 VOL 1.000 ML</v>
          </cell>
          <cell r="C6220" t="str">
            <v>8435057016452</v>
          </cell>
        </row>
        <row r="6221">
          <cell r="A6221">
            <v>502124</v>
          </cell>
          <cell r="B6221" t="str">
            <v>KINCREM COLOR ACTIVE CREAM OXIDANT 40 VOL 1.000 ML</v>
          </cell>
          <cell r="C6221" t="str">
            <v>8435057016469</v>
          </cell>
        </row>
        <row r="6222">
          <cell r="A6222">
            <v>502125</v>
          </cell>
          <cell r="B6222" t="str">
            <v>KINCREM COLOR ACTIVE CREAM OXIDANT 10 VOL 100 ML</v>
          </cell>
          <cell r="C6222" t="str">
            <v>8435057016476</v>
          </cell>
        </row>
        <row r="6223">
          <cell r="A6223">
            <v>502126</v>
          </cell>
          <cell r="B6223" t="str">
            <v>KINCREM COLOR ACTIVE CREAM OXIDANT 20 VOL 100 ML</v>
          </cell>
          <cell r="C6223" t="str">
            <v>8435057016483</v>
          </cell>
        </row>
        <row r="6224">
          <cell r="A6224">
            <v>502127</v>
          </cell>
          <cell r="B6224" t="str">
            <v>KINCREM COLOR ACTIVE CREAM OXIDANT 30 VOL 100 ML</v>
          </cell>
          <cell r="C6224" t="str">
            <v>8435057016490</v>
          </cell>
        </row>
        <row r="6225">
          <cell r="A6225">
            <v>502128</v>
          </cell>
          <cell r="B6225" t="str">
            <v>KINCREM COLOR ACTIVE CREAM OXIDANT 40 VOL 100 ML</v>
          </cell>
          <cell r="C6225" t="str">
            <v>8435057016506</v>
          </cell>
        </row>
        <row r="6226">
          <cell r="A6226">
            <v>510001</v>
          </cell>
          <cell r="B6226" t="str">
            <v>SILVER-COLOR SHAMPOO 1000 ml.</v>
          </cell>
          <cell r="C6226" t="str">
            <v>SCSH10</v>
          </cell>
        </row>
        <row r="6227">
          <cell r="A6227">
            <v>510001</v>
          </cell>
          <cell r="B6227" t="str">
            <v>SILVER-COLOR SHAMPOO 1000 ml.</v>
          </cell>
          <cell r="C6227" t="str">
            <v>8435057003261</v>
          </cell>
        </row>
        <row r="6228">
          <cell r="A6228">
            <v>510002</v>
          </cell>
          <cell r="B6228" t="str">
            <v>SILVER-COLOR SHAMPOO 250 ml.</v>
          </cell>
          <cell r="C6228" t="str">
            <v>SCSH25</v>
          </cell>
        </row>
        <row r="6229">
          <cell r="A6229">
            <v>510002</v>
          </cell>
          <cell r="B6229" t="str">
            <v>SILVER-COLOR SHAMPOO 250 ml.</v>
          </cell>
          <cell r="C6229" t="str">
            <v>8435057003049</v>
          </cell>
        </row>
        <row r="6230">
          <cell r="A6230">
            <v>510003</v>
          </cell>
          <cell r="B6230" t="str">
            <v>VITAL-COLOR C. EXTRACT 200 ml.</v>
          </cell>
          <cell r="C6230" t="str">
            <v>VCCE20</v>
          </cell>
        </row>
        <row r="6231">
          <cell r="A6231">
            <v>510003</v>
          </cell>
          <cell r="B6231" t="str">
            <v>VITAL-COLOR C. EXTRACT 200 ml.</v>
          </cell>
          <cell r="C6231" t="str">
            <v>8435057003407</v>
          </cell>
        </row>
        <row r="6232">
          <cell r="A6232">
            <v>510004</v>
          </cell>
          <cell r="B6232" t="str">
            <v>VITAL-COLOR C. EXTRACT 200 ml</v>
          </cell>
          <cell r="C6232" t="str">
            <v>VCCE20E</v>
          </cell>
        </row>
        <row r="6233">
          <cell r="A6233">
            <v>510004</v>
          </cell>
          <cell r="B6233" t="str">
            <v>VITAL-COLOR C. EXTRACT 200 ml</v>
          </cell>
          <cell r="C6233" t="str">
            <v>8435057005944</v>
          </cell>
        </row>
        <row r="6234">
          <cell r="A6234">
            <v>510005</v>
          </cell>
          <cell r="B6234" t="str">
            <v>VITAL-COLOR C. MASK T. 1000 ml</v>
          </cell>
          <cell r="C6234" t="str">
            <v>VCCM10</v>
          </cell>
        </row>
        <row r="6235">
          <cell r="A6235">
            <v>510005</v>
          </cell>
          <cell r="B6235" t="str">
            <v>VITAL-COLOR C. MASK T. 1000 ml</v>
          </cell>
          <cell r="C6235" t="str">
            <v>8435057003568</v>
          </cell>
        </row>
        <row r="6236">
          <cell r="A6236">
            <v>510006</v>
          </cell>
          <cell r="B6236" t="str">
            <v>VITAL-COLOR C. MASK T 1000 ml</v>
          </cell>
          <cell r="C6236" t="str">
            <v>VCCM10E</v>
          </cell>
        </row>
        <row r="6237">
          <cell r="A6237">
            <v>510006</v>
          </cell>
          <cell r="B6237" t="str">
            <v>VITAL-COLOR C. MASK T 1000 ml</v>
          </cell>
          <cell r="C6237" t="str">
            <v>8435057005920</v>
          </cell>
        </row>
        <row r="6238">
          <cell r="A6238">
            <v>510007</v>
          </cell>
          <cell r="B6238" t="str">
            <v>VITAL-COLOR COLOR MASK 150 ml.</v>
          </cell>
          <cell r="C6238" t="str">
            <v>VCCM15</v>
          </cell>
        </row>
        <row r="6239">
          <cell r="A6239">
            <v>510007</v>
          </cell>
          <cell r="B6239" t="str">
            <v>VITAL-COLOR COLOR MASK 150 ml.</v>
          </cell>
          <cell r="C6239" t="str">
            <v>8435057003391</v>
          </cell>
        </row>
        <row r="6240">
          <cell r="A6240">
            <v>510008</v>
          </cell>
          <cell r="B6240" t="str">
            <v>VITAL-COLOR COLOR MASK 150 ml.</v>
          </cell>
          <cell r="C6240" t="str">
            <v>VCCM15E</v>
          </cell>
        </row>
        <row r="6241">
          <cell r="A6241">
            <v>510008</v>
          </cell>
          <cell r="B6241" t="str">
            <v>VITAL-COLOR COLOR MASK 150 ml.</v>
          </cell>
          <cell r="C6241" t="str">
            <v>8435057005937</v>
          </cell>
        </row>
        <row r="6242">
          <cell r="A6242">
            <v>510009</v>
          </cell>
          <cell r="B6242" t="str">
            <v>VITAL COLOR COLOR MASK 450 ml.</v>
          </cell>
          <cell r="C6242" t="str">
            <v>VCCM50</v>
          </cell>
        </row>
        <row r="6243">
          <cell r="A6243">
            <v>510009</v>
          </cell>
          <cell r="B6243" t="str">
            <v>VITAL COLOR COLOR MASK 450 ml.</v>
          </cell>
          <cell r="C6243" t="str">
            <v>8435057005784</v>
          </cell>
        </row>
        <row r="6244">
          <cell r="A6244">
            <v>510010</v>
          </cell>
          <cell r="B6244" t="str">
            <v>VITAL-COLOR CONDITIONER 1000</v>
          </cell>
          <cell r="C6244" t="str">
            <v>VCCO10</v>
          </cell>
        </row>
        <row r="6245">
          <cell r="A6245">
            <v>510010</v>
          </cell>
          <cell r="B6245" t="str">
            <v>VITAL-COLOR CONDITIONER 1000</v>
          </cell>
          <cell r="C6245" t="str">
            <v>8435057003254</v>
          </cell>
        </row>
        <row r="6246">
          <cell r="A6246">
            <v>510011</v>
          </cell>
          <cell r="B6246" t="str">
            <v>VITAL-COLOR CONDITIONER 1000</v>
          </cell>
          <cell r="C6246" t="str">
            <v>VCCO10E</v>
          </cell>
        </row>
        <row r="6247">
          <cell r="A6247">
            <v>510011</v>
          </cell>
          <cell r="B6247" t="str">
            <v>VITAL-COLOR CONDITIONER 1000</v>
          </cell>
          <cell r="C6247" t="str">
            <v>8435057005951</v>
          </cell>
        </row>
        <row r="6248">
          <cell r="A6248">
            <v>510012</v>
          </cell>
          <cell r="B6248" t="str">
            <v>VITAL-COLOR CONDITIONER 200 ml</v>
          </cell>
          <cell r="C6248" t="str">
            <v>VCCO20</v>
          </cell>
        </row>
        <row r="6249">
          <cell r="A6249">
            <v>510012</v>
          </cell>
          <cell r="B6249" t="str">
            <v>VITAL-COLOR CONDITIONER 200 ml</v>
          </cell>
          <cell r="C6249" t="str">
            <v>8435057003032</v>
          </cell>
        </row>
        <row r="6250">
          <cell r="A6250">
            <v>510013</v>
          </cell>
          <cell r="B6250" t="str">
            <v>VITAL-COLOR CONDITIONER 200 ml</v>
          </cell>
          <cell r="C6250" t="str">
            <v>VCCO20E</v>
          </cell>
        </row>
        <row r="6251">
          <cell r="A6251">
            <v>510013</v>
          </cell>
          <cell r="B6251" t="str">
            <v>VITAL-COLOR CONDITIONER 200 ml</v>
          </cell>
          <cell r="C6251" t="str">
            <v>8435057005968</v>
          </cell>
        </row>
        <row r="6252">
          <cell r="A6252">
            <v>510014</v>
          </cell>
          <cell r="B6252" t="str">
            <v>VITAL-COLOR CONDITIONER</v>
          </cell>
          <cell r="C6252" t="str">
            <v>VCCOB5</v>
          </cell>
        </row>
        <row r="6253">
          <cell r="A6253">
            <v>510014</v>
          </cell>
          <cell r="B6253" t="str">
            <v>VITAL-COLOR CONDITIONER</v>
          </cell>
          <cell r="C6253" t="str">
            <v>8435057005852</v>
          </cell>
        </row>
        <row r="6254">
          <cell r="A6254">
            <v>510015</v>
          </cell>
          <cell r="B6254" t="str">
            <v>VITAL COLOR DEEP COLOR</v>
          </cell>
          <cell r="C6254" t="str">
            <v>VCDE04</v>
          </cell>
        </row>
        <row r="6255">
          <cell r="A6255">
            <v>510015</v>
          </cell>
          <cell r="B6255" t="str">
            <v>VITAL COLOR DEEP COLOR</v>
          </cell>
          <cell r="C6255" t="str">
            <v>8435057003629</v>
          </cell>
        </row>
        <row r="6256">
          <cell r="A6256">
            <v>510016</v>
          </cell>
          <cell r="B6256" t="str">
            <v>VITAL COLOR DEEP COLOR USA</v>
          </cell>
          <cell r="C6256" t="str">
            <v>VCDE04E</v>
          </cell>
        </row>
        <row r="6257">
          <cell r="A6257">
            <v>510016</v>
          </cell>
          <cell r="B6257" t="str">
            <v>VITAL COLOR DEEP COLOR USA</v>
          </cell>
          <cell r="C6257" t="str">
            <v>8435057005975</v>
          </cell>
        </row>
        <row r="6258">
          <cell r="A6258">
            <v>510017</v>
          </cell>
          <cell r="B6258" t="str">
            <v>VITAL COLOR DEEP COLOR</v>
          </cell>
          <cell r="C6258" t="str">
            <v>VCDE24</v>
          </cell>
        </row>
        <row r="6259">
          <cell r="A6259">
            <v>510017</v>
          </cell>
          <cell r="B6259" t="str">
            <v>VITAL COLOR DEEP COLOR</v>
          </cell>
          <cell r="C6259" t="str">
            <v>8435057003650</v>
          </cell>
        </row>
        <row r="6260">
          <cell r="A6260">
            <v>510018</v>
          </cell>
          <cell r="B6260" t="str">
            <v>VITAL COLOR DEEP COLOR USA</v>
          </cell>
          <cell r="C6260" t="str">
            <v>VCDE24E</v>
          </cell>
        </row>
        <row r="6261">
          <cell r="A6261">
            <v>510018</v>
          </cell>
          <cell r="B6261" t="str">
            <v>VITAL COLOR DEEP COLOR USA</v>
          </cell>
          <cell r="C6261" t="str">
            <v>8435057005982</v>
          </cell>
        </row>
        <row r="6262">
          <cell r="A6262">
            <v>510019</v>
          </cell>
          <cell r="B6262" t="str">
            <v>VITAL-COLOR SHAMPOO 1000 ml.</v>
          </cell>
          <cell r="C6262" t="str">
            <v>VCSH10</v>
          </cell>
        </row>
        <row r="6263">
          <cell r="A6263">
            <v>510019</v>
          </cell>
          <cell r="B6263" t="str">
            <v>VITAL-COLOR SHAMPOO 1000 ml.</v>
          </cell>
          <cell r="C6263" t="str">
            <v>8435057003247</v>
          </cell>
        </row>
        <row r="6264">
          <cell r="A6264">
            <v>510020</v>
          </cell>
          <cell r="B6264" t="str">
            <v>VITAL COLOR SHAMPOO 1000 ml.</v>
          </cell>
          <cell r="C6264" t="str">
            <v>VCSH10E</v>
          </cell>
        </row>
        <row r="6265">
          <cell r="A6265">
            <v>510020</v>
          </cell>
          <cell r="B6265" t="str">
            <v>VITAL COLOR SHAMPOO 1000 ml.</v>
          </cell>
          <cell r="C6265" t="str">
            <v>8435057005913</v>
          </cell>
        </row>
        <row r="6266">
          <cell r="A6266">
            <v>510021</v>
          </cell>
          <cell r="B6266" t="str">
            <v>VITAL-COLOR SHAMPOO 250 ml.</v>
          </cell>
          <cell r="C6266" t="str">
            <v>VCSH25</v>
          </cell>
        </row>
        <row r="6267">
          <cell r="A6267">
            <v>510021</v>
          </cell>
          <cell r="B6267" t="str">
            <v>VITAL-COLOR SHAMPOO 250 ml.</v>
          </cell>
          <cell r="C6267" t="str">
            <v>8435057003025</v>
          </cell>
        </row>
        <row r="6268">
          <cell r="A6268">
            <v>510022</v>
          </cell>
          <cell r="B6268" t="str">
            <v>VITAL-COLOR SHAMPOO 250 ml.</v>
          </cell>
          <cell r="C6268" t="str">
            <v>VCSH25E</v>
          </cell>
        </row>
        <row r="6269">
          <cell r="A6269">
            <v>510022</v>
          </cell>
          <cell r="B6269" t="str">
            <v>VITAL-COLOR SHAMPOO 250 ml.</v>
          </cell>
          <cell r="C6269" t="str">
            <v>8435057005999</v>
          </cell>
        </row>
        <row r="6270">
          <cell r="A6270">
            <v>510023</v>
          </cell>
          <cell r="B6270" t="str">
            <v>VITAL-COLOR SHAMPOO BIDON 5 Lt</v>
          </cell>
          <cell r="C6270" t="str">
            <v>VCSHB5</v>
          </cell>
        </row>
        <row r="6271">
          <cell r="A6271">
            <v>510023</v>
          </cell>
          <cell r="B6271" t="str">
            <v>VITAL-COLOR SHAMPOO BIDON 5 Lt</v>
          </cell>
          <cell r="C6271" t="str">
            <v>8435057005838</v>
          </cell>
        </row>
        <row r="6272">
          <cell r="A6272">
            <v>510024</v>
          </cell>
          <cell r="B6272" t="str">
            <v>ENERGY DEEP ENERGY EST. 4 TUB</v>
          </cell>
          <cell r="C6272" t="str">
            <v>CFDE04</v>
          </cell>
        </row>
        <row r="6273">
          <cell r="A6273">
            <v>510024</v>
          </cell>
          <cell r="B6273" t="str">
            <v>ENERGY DEEP ENERGY EST. 4 TUB</v>
          </cell>
          <cell r="C6273" t="str">
            <v>8435057003636</v>
          </cell>
        </row>
        <row r="6274">
          <cell r="A6274">
            <v>510025</v>
          </cell>
          <cell r="B6274" t="str">
            <v>ENERGY DEEP ENERGY EST. 24 TUB</v>
          </cell>
          <cell r="C6274" t="str">
            <v>CFDE24</v>
          </cell>
        </row>
        <row r="6275">
          <cell r="A6275">
            <v>510025</v>
          </cell>
          <cell r="B6275" t="str">
            <v>ENERGY DEEP ENERGY EST. 24 TUB</v>
          </cell>
          <cell r="C6275" t="str">
            <v>8435057003667</v>
          </cell>
        </row>
        <row r="6276">
          <cell r="A6276">
            <v>510026</v>
          </cell>
          <cell r="B6276" t="str">
            <v>CUTI-FORTE ENERGY EXTRACT 200</v>
          </cell>
          <cell r="C6276" t="str">
            <v>CFEX20</v>
          </cell>
        </row>
        <row r="6277">
          <cell r="A6277">
            <v>510026</v>
          </cell>
          <cell r="B6277" t="str">
            <v>CUTI-FORTE ENERGY EXTRACT 200</v>
          </cell>
          <cell r="C6277" t="str">
            <v>8435057003438</v>
          </cell>
        </row>
        <row r="6278">
          <cell r="A6278">
            <v>510027</v>
          </cell>
          <cell r="B6278" t="str">
            <v>CUTI-FORTE SHAMPOO 1000 ml.</v>
          </cell>
          <cell r="C6278" t="str">
            <v>CFSH10</v>
          </cell>
        </row>
        <row r="6279">
          <cell r="A6279">
            <v>510027</v>
          </cell>
          <cell r="B6279" t="str">
            <v>CUTI-FORTE SHAMPOO 1000 ml.</v>
          </cell>
          <cell r="C6279" t="str">
            <v>8435057003285</v>
          </cell>
        </row>
        <row r="6280">
          <cell r="A6280">
            <v>510028</v>
          </cell>
          <cell r="B6280" t="str">
            <v>CUTI-FORTE SHAMPOO 250 ml.</v>
          </cell>
          <cell r="C6280" t="str">
            <v>CFSH25</v>
          </cell>
        </row>
        <row r="6281">
          <cell r="A6281">
            <v>510028</v>
          </cell>
          <cell r="B6281" t="str">
            <v>CUTI-FORTE SHAMPOO 250 ml.</v>
          </cell>
          <cell r="C6281" t="str">
            <v>8435057003070</v>
          </cell>
        </row>
        <row r="6282">
          <cell r="A6282">
            <v>510029</v>
          </cell>
          <cell r="B6282" t="str">
            <v>CUTI-GLOSS SHAMPOO 1000 ml.</v>
          </cell>
          <cell r="C6282" t="str">
            <v>CGSH10</v>
          </cell>
        </row>
        <row r="6283">
          <cell r="A6283">
            <v>510029</v>
          </cell>
          <cell r="B6283" t="str">
            <v>CUTI-GLOSS SHAMPOO 1000 ml.</v>
          </cell>
          <cell r="C6283" t="str">
            <v>8435057003292</v>
          </cell>
        </row>
        <row r="6284">
          <cell r="A6284">
            <v>510030</v>
          </cell>
          <cell r="B6284" t="str">
            <v>CUTI-GLOSS SHAMPOO 250 ml.</v>
          </cell>
          <cell r="C6284" t="str">
            <v>CGSH25</v>
          </cell>
        </row>
        <row r="6285">
          <cell r="A6285">
            <v>510030</v>
          </cell>
          <cell r="B6285" t="str">
            <v>CUTI-GLOSS SHAMPOO 250 ml.</v>
          </cell>
          <cell r="C6285" t="str">
            <v>8435057003087</v>
          </cell>
        </row>
        <row r="6286">
          <cell r="A6286">
            <v>510031</v>
          </cell>
          <cell r="B6286" t="str">
            <v>CUTI-GLOSS SHAMPOO BIDON 5 Lts</v>
          </cell>
          <cell r="C6286" t="str">
            <v>CGSHB5</v>
          </cell>
        </row>
        <row r="6287">
          <cell r="A6287">
            <v>510031</v>
          </cell>
          <cell r="B6287" t="str">
            <v>CUTI-GLOSS SHAMPOO BIDON 5 Lts</v>
          </cell>
          <cell r="C6287" t="str">
            <v>8435057005821</v>
          </cell>
        </row>
        <row r="6288">
          <cell r="A6288">
            <v>510032</v>
          </cell>
          <cell r="B6288" t="str">
            <v>VIGOR-PERM CONDITIONER 200 ml.</v>
          </cell>
          <cell r="C6288" t="str">
            <v>VPCO20</v>
          </cell>
        </row>
        <row r="6289">
          <cell r="A6289">
            <v>510032</v>
          </cell>
          <cell r="B6289" t="str">
            <v>VIGOR-PERM CONDITIONER 200 ml.</v>
          </cell>
          <cell r="C6289" t="str">
            <v>8435057003063</v>
          </cell>
        </row>
        <row r="6290">
          <cell r="A6290">
            <v>510033</v>
          </cell>
          <cell r="B6290" t="str">
            <v>VIGOR-PERM SHAMPOO 1000 ml.</v>
          </cell>
          <cell r="C6290" t="str">
            <v>VPSH10</v>
          </cell>
        </row>
        <row r="6291">
          <cell r="A6291">
            <v>510033</v>
          </cell>
          <cell r="B6291" t="str">
            <v>VIGOR-PERM SHAMPOO 1000 ml.</v>
          </cell>
          <cell r="C6291" t="str">
            <v>8435057003278</v>
          </cell>
        </row>
        <row r="6292">
          <cell r="A6292">
            <v>510034</v>
          </cell>
          <cell r="B6292" t="str">
            <v>VIGOR-PERM SHAMPOO 250 ml.</v>
          </cell>
          <cell r="C6292" t="str">
            <v>VPSH25</v>
          </cell>
        </row>
        <row r="6293">
          <cell r="A6293">
            <v>510034</v>
          </cell>
          <cell r="B6293" t="str">
            <v>VIGOR-PERM SHAMPOO 250 ml.</v>
          </cell>
          <cell r="C6293" t="str">
            <v>8435057003056</v>
          </cell>
        </row>
        <row r="6294">
          <cell r="A6294">
            <v>510035</v>
          </cell>
          <cell r="B6294" t="str">
            <v>LISSAGE INTENSE FLUID CONTROL</v>
          </cell>
          <cell r="C6294" t="str">
            <v>LIFLCO</v>
          </cell>
        </row>
        <row r="6295">
          <cell r="A6295">
            <v>510035</v>
          </cell>
          <cell r="B6295" t="str">
            <v>LISSAGE INTENSE FLUID CONTROL</v>
          </cell>
          <cell r="C6295" t="str">
            <v>8435057003209</v>
          </cell>
        </row>
        <row r="6296">
          <cell r="A6296">
            <v>510036</v>
          </cell>
          <cell r="B6296" t="str">
            <v>LISSAGE INTENSE GEL LISS 1000</v>
          </cell>
          <cell r="C6296" t="str">
            <v>LIGL10</v>
          </cell>
        </row>
        <row r="6297">
          <cell r="A6297">
            <v>510036</v>
          </cell>
          <cell r="B6297" t="str">
            <v>LISSAGE INTENSE GEL LISS 1000</v>
          </cell>
          <cell r="C6297" t="str">
            <v>8435057003339</v>
          </cell>
        </row>
        <row r="6298">
          <cell r="A6298">
            <v>510037</v>
          </cell>
          <cell r="B6298" t="str">
            <v>LISSAGE INTENSE GEL LISS 200</v>
          </cell>
          <cell r="C6298" t="str">
            <v>LIGL20</v>
          </cell>
        </row>
        <row r="6299">
          <cell r="A6299">
            <v>510037</v>
          </cell>
          <cell r="B6299" t="str">
            <v>LISSAGE INTENSE GEL LISS 200</v>
          </cell>
          <cell r="C6299" t="str">
            <v>8435057003193</v>
          </cell>
        </row>
        <row r="6300">
          <cell r="A6300">
            <v>510038</v>
          </cell>
          <cell r="B6300" t="str">
            <v>LISSAGE INTENSE LISS MASK 1000</v>
          </cell>
          <cell r="C6300" t="str">
            <v>LILM10</v>
          </cell>
        </row>
        <row r="6301">
          <cell r="A6301">
            <v>510038</v>
          </cell>
          <cell r="B6301" t="str">
            <v>LISSAGE INTENSE LISS MASK 1000</v>
          </cell>
          <cell r="C6301" t="str">
            <v>8435057005791</v>
          </cell>
        </row>
        <row r="6302">
          <cell r="A6302">
            <v>510039</v>
          </cell>
          <cell r="B6302" t="str">
            <v>LISSAGE INTENSE LISS MASK 200</v>
          </cell>
          <cell r="C6302" t="str">
            <v>LILM20</v>
          </cell>
        </row>
        <row r="6303">
          <cell r="A6303">
            <v>510039</v>
          </cell>
          <cell r="B6303" t="str">
            <v>LISSAGE INTENSE LISS MASK 200</v>
          </cell>
          <cell r="C6303" t="str">
            <v>8435057003186</v>
          </cell>
        </row>
        <row r="6304">
          <cell r="A6304">
            <v>510040</v>
          </cell>
          <cell r="B6304" t="str">
            <v>LISSAGE INTENSE SHAMPOO 1000</v>
          </cell>
          <cell r="C6304" t="str">
            <v>LISH10</v>
          </cell>
        </row>
        <row r="6305">
          <cell r="A6305">
            <v>510040</v>
          </cell>
          <cell r="B6305" t="str">
            <v>LISSAGE INTENSE SHAMPOO 1000</v>
          </cell>
          <cell r="C6305" t="str">
            <v>8435057003315</v>
          </cell>
        </row>
        <row r="6306">
          <cell r="A6306">
            <v>510041</v>
          </cell>
          <cell r="B6306" t="str">
            <v>LISSAGE INTENSE SHAMPOO 250 ml</v>
          </cell>
          <cell r="C6306" t="str">
            <v>LISH25</v>
          </cell>
        </row>
        <row r="6307">
          <cell r="A6307">
            <v>510041</v>
          </cell>
          <cell r="B6307" t="str">
            <v>LISSAGE INTENSE SHAMPOO 250 ml</v>
          </cell>
          <cell r="C6307" t="str">
            <v>8435057003179</v>
          </cell>
        </row>
        <row r="6308">
          <cell r="A6308">
            <v>510042</v>
          </cell>
          <cell r="B6308" t="str">
            <v>LISSAGE INTENSE SHAMPOO</v>
          </cell>
          <cell r="C6308" t="str">
            <v>LISHB5</v>
          </cell>
        </row>
        <row r="6309">
          <cell r="A6309">
            <v>510042</v>
          </cell>
          <cell r="B6309" t="str">
            <v>LISSAGE INTENSE SHAMPOO</v>
          </cell>
          <cell r="C6309" t="str">
            <v>8435057005807</v>
          </cell>
        </row>
        <row r="6310">
          <cell r="A6310">
            <v>510043</v>
          </cell>
          <cell r="B6310" t="str">
            <v>DEEP LOTE 'Español'</v>
          </cell>
          <cell r="C6310" t="str">
            <v>DELOES</v>
          </cell>
        </row>
        <row r="6311">
          <cell r="A6311">
            <v>510043</v>
          </cell>
          <cell r="B6311" t="str">
            <v>DEEP LOTE 'Español'</v>
          </cell>
          <cell r="C6311" t="str">
            <v>8435057005425</v>
          </cell>
        </row>
        <row r="6312">
          <cell r="A6312">
            <v>510044</v>
          </cell>
          <cell r="B6312" t="str">
            <v>DEEP LOTE -Export-</v>
          </cell>
          <cell r="C6312" t="str">
            <v>DELOEX</v>
          </cell>
        </row>
        <row r="6313">
          <cell r="A6313">
            <v>510044</v>
          </cell>
          <cell r="B6313" t="str">
            <v>DEEP LOTE -Export-</v>
          </cell>
          <cell r="C6313" t="str">
            <v>8435057005432</v>
          </cell>
        </row>
        <row r="6314">
          <cell r="A6314">
            <v>510045</v>
          </cell>
          <cell r="B6314" t="str">
            <v>DEEP LOTE NUTRI REPAIR Export</v>
          </cell>
          <cell r="C6314" t="str">
            <v>DELONRX</v>
          </cell>
        </row>
        <row r="6315">
          <cell r="A6315">
            <v>510045</v>
          </cell>
          <cell r="B6315" t="str">
            <v>DEEP LOTE NUTRI REPAIR Export</v>
          </cell>
          <cell r="C6315" t="str">
            <v>8435057005449</v>
          </cell>
        </row>
        <row r="6316">
          <cell r="A6316">
            <v>510046</v>
          </cell>
          <cell r="B6316" t="str">
            <v>DEEP LOTE VITAL COLOR Export</v>
          </cell>
          <cell r="C6316" t="str">
            <v>DELOVCX</v>
          </cell>
        </row>
        <row r="6317">
          <cell r="A6317">
            <v>510046</v>
          </cell>
          <cell r="B6317" t="str">
            <v>DEEP LOTE VITAL COLOR Export</v>
          </cell>
          <cell r="C6317" t="str">
            <v>8435057005456</v>
          </cell>
        </row>
        <row r="6318">
          <cell r="A6318">
            <v>510047</v>
          </cell>
          <cell r="B6318" t="str">
            <v>LOTE TRATAMIENTO (Packs)</v>
          </cell>
          <cell r="C6318" t="str">
            <v>LOTR06</v>
          </cell>
        </row>
        <row r="6319">
          <cell r="A6319">
            <v>510047</v>
          </cell>
          <cell r="B6319" t="str">
            <v>LOTE TRATAMIENTO (Packs)</v>
          </cell>
          <cell r="C6319" t="str">
            <v>8435057005524</v>
          </cell>
        </row>
        <row r="6320">
          <cell r="A6320">
            <v>510048</v>
          </cell>
          <cell r="B6320" t="str">
            <v>LOTE STIMULANT ANTICAIDA</v>
          </cell>
          <cell r="C6320" t="str">
            <v>LOSTI09</v>
          </cell>
        </row>
        <row r="6321">
          <cell r="A6321">
            <v>510048</v>
          </cell>
          <cell r="B6321" t="str">
            <v>LOTE STIMULANT ANTICAIDA</v>
          </cell>
          <cell r="C6321" t="str">
            <v>8435057054553</v>
          </cell>
        </row>
        <row r="6322">
          <cell r="A6322">
            <v>510049</v>
          </cell>
          <cell r="B6322" t="str">
            <v>EQUILIBRE BI-PHASE 200 ml.</v>
          </cell>
          <cell r="C6322" t="str">
            <v>EQBP20</v>
          </cell>
        </row>
        <row r="6323">
          <cell r="A6323">
            <v>510049</v>
          </cell>
          <cell r="B6323" t="str">
            <v>EQUILIBRE BI-PHASE 200 ml.</v>
          </cell>
          <cell r="C6323" t="str">
            <v>8435057003414</v>
          </cell>
        </row>
        <row r="6324">
          <cell r="A6324">
            <v>510050</v>
          </cell>
          <cell r="B6324" t="str">
            <v>KW EQUILIBRE BI-PHASE 500 ml.</v>
          </cell>
          <cell r="C6324" t="str">
            <v>EQBP50</v>
          </cell>
        </row>
        <row r="6325">
          <cell r="A6325">
            <v>510050</v>
          </cell>
          <cell r="B6325" t="str">
            <v>KW EQUILIBRE BI-PHASE 500 ml.</v>
          </cell>
          <cell r="C6325" t="str">
            <v>8435057003421</v>
          </cell>
        </row>
        <row r="6326">
          <cell r="A6326">
            <v>510051</v>
          </cell>
          <cell r="B6326" t="str">
            <v>NUTRI R. DEEP REPAIR EST. 4 TU</v>
          </cell>
          <cell r="C6326" t="str">
            <v>NRDE04</v>
          </cell>
        </row>
        <row r="6327">
          <cell r="A6327">
            <v>510051</v>
          </cell>
          <cell r="B6327" t="str">
            <v>NUTRI R. DEEP REPAIR EST. 4 TU</v>
          </cell>
          <cell r="C6327" t="str">
            <v>8435057003612</v>
          </cell>
        </row>
        <row r="6328">
          <cell r="A6328">
            <v>510052</v>
          </cell>
          <cell r="B6328" t="str">
            <v>NUTRI R. DEEP REPAIR EST. 24 T</v>
          </cell>
          <cell r="C6328" t="str">
            <v>NRDE24</v>
          </cell>
        </row>
        <row r="6329">
          <cell r="A6329">
            <v>510052</v>
          </cell>
          <cell r="B6329" t="str">
            <v>NUTRI R. DEEP REPAIR EST. 24 T</v>
          </cell>
          <cell r="C6329" t="str">
            <v>8435057003643</v>
          </cell>
        </row>
        <row r="6330">
          <cell r="A6330">
            <v>510053</v>
          </cell>
          <cell r="B6330" t="str">
            <v>NUTRI-REPAIR EXTRACT 200 ml.</v>
          </cell>
          <cell r="C6330" t="str">
            <v>NREX20</v>
          </cell>
        </row>
        <row r="6331">
          <cell r="A6331">
            <v>510053</v>
          </cell>
          <cell r="B6331" t="str">
            <v>NUTRI-REPAIR EXTRACT 200 ml.</v>
          </cell>
          <cell r="C6331" t="str">
            <v>8435057002998</v>
          </cell>
        </row>
        <row r="6332">
          <cell r="A6332">
            <v>510054</v>
          </cell>
          <cell r="B6332" t="str">
            <v>N-REPAIR N. MASK C. FINOS 1000</v>
          </cell>
          <cell r="C6332" t="str">
            <v>NRMF10</v>
          </cell>
        </row>
        <row r="6333">
          <cell r="A6333">
            <v>510054</v>
          </cell>
          <cell r="B6333" t="str">
            <v>N-REPAIR N. MASK C. FINOS 1000</v>
          </cell>
          <cell r="C6333" t="str">
            <v>8435057003551</v>
          </cell>
        </row>
        <row r="6334">
          <cell r="A6334">
            <v>510055</v>
          </cell>
          <cell r="B6334" t="str">
            <v>N-REPAIR N.MASK C.FINOS 150</v>
          </cell>
          <cell r="C6334" t="str">
            <v>NRMF15</v>
          </cell>
        </row>
        <row r="6335">
          <cell r="A6335">
            <v>510055</v>
          </cell>
          <cell r="B6335" t="str">
            <v>N-REPAIR N.MASK C.FINOS 150</v>
          </cell>
          <cell r="C6335" t="str">
            <v>8435057002967</v>
          </cell>
        </row>
        <row r="6336">
          <cell r="A6336">
            <v>510056</v>
          </cell>
          <cell r="B6336" t="str">
            <v>N-REPAIR N.MASK C.GRUESOS</v>
          </cell>
          <cell r="C6336" t="str">
            <v>NRMG10</v>
          </cell>
        </row>
        <row r="6337">
          <cell r="A6337">
            <v>510056</v>
          </cell>
          <cell r="B6337" t="str">
            <v>N-REPAIR N.MASK C.GRUESOS</v>
          </cell>
          <cell r="C6337" t="str">
            <v>8435057003544</v>
          </cell>
        </row>
        <row r="6338">
          <cell r="A6338">
            <v>510057</v>
          </cell>
          <cell r="B6338" t="str">
            <v>NUTRI-REPAIR N. MASK C.GRUESOS</v>
          </cell>
          <cell r="C6338" t="str">
            <v>NRMG15</v>
          </cell>
        </row>
        <row r="6339">
          <cell r="A6339">
            <v>510057</v>
          </cell>
          <cell r="B6339" t="str">
            <v>NUTRI-REPAIR N. MASK C.GRUESOS</v>
          </cell>
          <cell r="C6339" t="str">
            <v>8435057002974</v>
          </cell>
        </row>
        <row r="6340">
          <cell r="A6340">
            <v>510058</v>
          </cell>
          <cell r="B6340" t="str">
            <v>NUTRI-REPAIR N.MASK C.GRUESOS</v>
          </cell>
          <cell r="C6340" t="str">
            <v>NRMG50</v>
          </cell>
        </row>
        <row r="6341">
          <cell r="A6341">
            <v>510058</v>
          </cell>
          <cell r="B6341" t="str">
            <v>NUTRI-REPAIR N.MASK C.GRUESOS</v>
          </cell>
          <cell r="C6341" t="str">
            <v>8435057005777</v>
          </cell>
        </row>
        <row r="6342">
          <cell r="A6342">
            <v>510059</v>
          </cell>
          <cell r="B6342" t="str">
            <v>NUTRI-REPAIR SERUM 50 ml.</v>
          </cell>
          <cell r="C6342" t="str">
            <v>NRSERU</v>
          </cell>
        </row>
        <row r="6343">
          <cell r="A6343">
            <v>510059</v>
          </cell>
          <cell r="B6343" t="str">
            <v>NUTRI-REPAIR SERUM 50 ml.</v>
          </cell>
          <cell r="C6343" t="str">
            <v>8435057002981</v>
          </cell>
        </row>
        <row r="6344">
          <cell r="A6344">
            <v>510060</v>
          </cell>
          <cell r="B6344" t="str">
            <v>NUTRI-REPAIR SHAMPOO 1000 ml.</v>
          </cell>
          <cell r="C6344" t="str">
            <v>NRSH10</v>
          </cell>
        </row>
        <row r="6345">
          <cell r="A6345">
            <v>510060</v>
          </cell>
          <cell r="B6345" t="str">
            <v>NUTRI-REPAIR SHAMPOO 1000 ml.</v>
          </cell>
          <cell r="C6345" t="str">
            <v>8435057003216</v>
          </cell>
        </row>
        <row r="6346">
          <cell r="A6346">
            <v>510061</v>
          </cell>
          <cell r="B6346" t="str">
            <v>NUTRI-REPAIR SHAMPOO 250 ml.</v>
          </cell>
          <cell r="C6346" t="str">
            <v>NRSH25</v>
          </cell>
        </row>
        <row r="6347">
          <cell r="A6347">
            <v>510061</v>
          </cell>
          <cell r="B6347" t="str">
            <v>NUTRI-REPAIR SHAMPOO 250 ml.</v>
          </cell>
          <cell r="C6347" t="str">
            <v>8435057002950</v>
          </cell>
        </row>
        <row r="6348">
          <cell r="A6348">
            <v>510062</v>
          </cell>
          <cell r="B6348" t="str">
            <v>NUTRI REPAIR SHAMPOO</v>
          </cell>
          <cell r="C6348" t="str">
            <v>NRSHB5</v>
          </cell>
        </row>
        <row r="6349">
          <cell r="A6349">
            <v>510062</v>
          </cell>
          <cell r="B6349" t="str">
            <v>NUTRI REPAIR SHAMPOO</v>
          </cell>
          <cell r="C6349" t="str">
            <v>8435057005814</v>
          </cell>
        </row>
        <row r="6350">
          <cell r="A6350">
            <v>510063</v>
          </cell>
          <cell r="B6350" t="str">
            <v>NUTRI-SILK CONDITIONER 1000 ml</v>
          </cell>
          <cell r="C6350" t="str">
            <v>NSCO10</v>
          </cell>
        </row>
        <row r="6351">
          <cell r="A6351">
            <v>510063</v>
          </cell>
          <cell r="B6351" t="str">
            <v>NUTRI-SILK CONDITIONER 1000 ml</v>
          </cell>
          <cell r="C6351" t="str">
            <v>8435057003230</v>
          </cell>
        </row>
        <row r="6352">
          <cell r="A6352">
            <v>510064</v>
          </cell>
          <cell r="B6352" t="str">
            <v>NUTRI-SILK CONDITIONER 200 ml.</v>
          </cell>
          <cell r="C6352" t="str">
            <v>NSCO20</v>
          </cell>
        </row>
        <row r="6353">
          <cell r="A6353">
            <v>510064</v>
          </cell>
          <cell r="B6353" t="str">
            <v>NUTRI-SILK CONDITIONER 200 ml.</v>
          </cell>
          <cell r="C6353" t="str">
            <v>8435057003018</v>
          </cell>
        </row>
        <row r="6354">
          <cell r="A6354">
            <v>510065</v>
          </cell>
          <cell r="B6354" t="str">
            <v>NUTRI-SILK CONDITIONER</v>
          </cell>
          <cell r="C6354" t="str">
            <v>NSCOB5</v>
          </cell>
        </row>
        <row r="6355">
          <cell r="A6355">
            <v>510065</v>
          </cell>
          <cell r="B6355" t="str">
            <v>NUTRI-SILK CONDITIONER</v>
          </cell>
          <cell r="C6355" t="str">
            <v>8435057005845</v>
          </cell>
        </row>
        <row r="6356">
          <cell r="A6356">
            <v>510066</v>
          </cell>
          <cell r="B6356" t="str">
            <v>NUTRI-SILK SHAMPOO 1000 ml.</v>
          </cell>
          <cell r="C6356" t="str">
            <v>NSSH10</v>
          </cell>
        </row>
        <row r="6357">
          <cell r="A6357">
            <v>510066</v>
          </cell>
          <cell r="B6357" t="str">
            <v>NUTRI-SILK SHAMPOO 1000 ml.</v>
          </cell>
          <cell r="C6357" t="str">
            <v>8435057003223</v>
          </cell>
        </row>
        <row r="6358">
          <cell r="A6358">
            <v>510067</v>
          </cell>
          <cell r="B6358" t="str">
            <v>NUTRI-SILK SHAMPOO 250 ml.</v>
          </cell>
          <cell r="C6358" t="str">
            <v>NSSH25</v>
          </cell>
        </row>
        <row r="6359">
          <cell r="A6359">
            <v>510067</v>
          </cell>
          <cell r="B6359" t="str">
            <v>NUTRI-SILK SHAMPOO 250 ml.</v>
          </cell>
          <cell r="C6359" t="str">
            <v>8435057003001</v>
          </cell>
        </row>
        <row r="6360">
          <cell r="A6360">
            <v>510068</v>
          </cell>
          <cell r="B6360" t="str">
            <v>NUTRI SILK SHAMPOO BIDON 5 LTS</v>
          </cell>
          <cell r="C6360" t="str">
            <v>NSSHB5</v>
          </cell>
        </row>
        <row r="6361">
          <cell r="A6361">
            <v>510068</v>
          </cell>
          <cell r="B6361" t="str">
            <v>NUTRI SILK SHAMPOO BIDON 5 LTS</v>
          </cell>
          <cell r="C6361" t="str">
            <v>8435057005869</v>
          </cell>
        </row>
        <row r="6362">
          <cell r="A6362">
            <v>510069</v>
          </cell>
          <cell r="B6362" t="str">
            <v>NUTRI REPAIR MASK CAB. GRUESOS</v>
          </cell>
          <cell r="C6362" t="str">
            <v>NRMG2T</v>
          </cell>
        </row>
        <row r="6363">
          <cell r="A6363">
            <v>510069</v>
          </cell>
          <cell r="B6363" t="str">
            <v>NUTRI REPAIR MASK CAB. GRUESOS</v>
          </cell>
          <cell r="C6363" t="str">
            <v>8435057006125</v>
          </cell>
        </row>
        <row r="6364">
          <cell r="A6364">
            <v>510070</v>
          </cell>
          <cell r="B6364" t="str">
            <v>PACK TRATAMIENTO ANTICAIDA</v>
          </cell>
          <cell r="C6364" t="str">
            <v>PATAAC</v>
          </cell>
        </row>
        <row r="6365">
          <cell r="A6365">
            <v>510070</v>
          </cell>
          <cell r="B6365" t="str">
            <v>PACK TRATAMIENTO ANTICAIDA</v>
          </cell>
          <cell r="C6365" t="str">
            <v>8435057003704</v>
          </cell>
        </row>
        <row r="6366">
          <cell r="A6366">
            <v>510071</v>
          </cell>
          <cell r="B6366" t="str">
            <v>PACK TRATAMIENTO ANTIGRASA</v>
          </cell>
          <cell r="C6366" t="str">
            <v>PATAAG</v>
          </cell>
        </row>
        <row r="6367">
          <cell r="A6367">
            <v>510071</v>
          </cell>
          <cell r="B6367" t="str">
            <v>PACK TRATAMIENTO ANTIGRASA</v>
          </cell>
          <cell r="C6367" t="str">
            <v>8435057003698</v>
          </cell>
        </row>
        <row r="6368">
          <cell r="A6368">
            <v>510072</v>
          </cell>
          <cell r="B6368" t="str">
            <v>PACK TRATAMIENTO CASPA GRASA</v>
          </cell>
          <cell r="C6368" t="str">
            <v>PATACG</v>
          </cell>
        </row>
        <row r="6369">
          <cell r="A6369">
            <v>510072</v>
          </cell>
          <cell r="B6369" t="str">
            <v>PACK TRATAMIENTO CASPA GRASA</v>
          </cell>
          <cell r="C6369" t="str">
            <v>8435057003674</v>
          </cell>
        </row>
        <row r="6370">
          <cell r="A6370">
            <v>510073</v>
          </cell>
          <cell r="B6370" t="str">
            <v>PACK TRATAMIENTO CASPA SECA</v>
          </cell>
          <cell r="C6370" t="str">
            <v>PATACS</v>
          </cell>
        </row>
        <row r="6371">
          <cell r="A6371">
            <v>510073</v>
          </cell>
          <cell r="B6371" t="str">
            <v>PACK TRATAMIENTO CASPA SECA</v>
          </cell>
          <cell r="C6371" t="str">
            <v>8435057003681</v>
          </cell>
        </row>
        <row r="6372">
          <cell r="A6372">
            <v>510074</v>
          </cell>
          <cell r="B6372" t="str">
            <v>VITAL COLOR COLOR MASK 2 x 500</v>
          </cell>
          <cell r="C6372" t="str">
            <v>VCCM2T</v>
          </cell>
        </row>
        <row r="6373">
          <cell r="A6373">
            <v>510074</v>
          </cell>
          <cell r="B6373" t="str">
            <v>VITAL COLOR COLOR MASK 2 x 500</v>
          </cell>
          <cell r="C6373" t="str">
            <v>8435057006132</v>
          </cell>
        </row>
        <row r="6374">
          <cell r="A6374">
            <v>510076</v>
          </cell>
          <cell r="B6374" t="str">
            <v>NORMALIZE GEL PURIFICANT</v>
          </cell>
          <cell r="C6374" t="str">
            <v>NOPEGE</v>
          </cell>
        </row>
        <row r="6375">
          <cell r="A6375">
            <v>510076</v>
          </cell>
          <cell r="B6375" t="str">
            <v>NORMALIZE GEL PURIFICANT</v>
          </cell>
          <cell r="C6375" t="str">
            <v>8435057003452</v>
          </cell>
        </row>
        <row r="6376">
          <cell r="A6376">
            <v>510077</v>
          </cell>
          <cell r="B6376" t="str">
            <v>NORMALIZE SH.CASPA GRASA 1000</v>
          </cell>
          <cell r="C6376" t="str">
            <v>NOSG10</v>
          </cell>
        </row>
        <row r="6377">
          <cell r="A6377">
            <v>510077</v>
          </cell>
          <cell r="B6377" t="str">
            <v>NORMALIZE SH.CASPA GRASA 1000</v>
          </cell>
          <cell r="C6377" t="str">
            <v>8435057003353</v>
          </cell>
        </row>
        <row r="6378">
          <cell r="A6378">
            <v>510078</v>
          </cell>
          <cell r="B6378" t="str">
            <v>NORMALIZE SH.CASPA GRASA 250</v>
          </cell>
          <cell r="C6378" t="str">
            <v>NOSG25</v>
          </cell>
        </row>
        <row r="6379">
          <cell r="A6379">
            <v>510078</v>
          </cell>
          <cell r="B6379" t="str">
            <v>NORMALIZE SH.CASPA GRASA 250</v>
          </cell>
          <cell r="C6379" t="str">
            <v>8435057003100</v>
          </cell>
        </row>
        <row r="6380">
          <cell r="A6380">
            <v>510079</v>
          </cell>
          <cell r="B6380" t="str">
            <v>NORMALIZE SH.CASPA SECA 1000</v>
          </cell>
          <cell r="C6380" t="str">
            <v>NOSS10</v>
          </cell>
        </row>
        <row r="6381">
          <cell r="A6381">
            <v>510079</v>
          </cell>
          <cell r="B6381" t="str">
            <v>NORMALIZE SH.CASPA SECA 1000</v>
          </cell>
          <cell r="C6381" t="str">
            <v>8435057003346</v>
          </cell>
        </row>
        <row r="6382">
          <cell r="A6382">
            <v>510080</v>
          </cell>
          <cell r="B6382" t="str">
            <v>NORMALIZE SHAMP.CASPA SECA 250</v>
          </cell>
          <cell r="C6382" t="str">
            <v>NOSS25</v>
          </cell>
        </row>
        <row r="6383">
          <cell r="A6383">
            <v>510080</v>
          </cell>
          <cell r="B6383" t="str">
            <v>NORMALIZE SHAMP.CASPA SECA 250</v>
          </cell>
          <cell r="C6383" t="str">
            <v>8435057003094</v>
          </cell>
        </row>
        <row r="6384">
          <cell r="A6384">
            <v>510081</v>
          </cell>
          <cell r="B6384" t="str">
            <v>NORMALIZE TONIC PURIFICANT</v>
          </cell>
          <cell r="C6384" t="str">
            <v>NOTOPU</v>
          </cell>
        </row>
        <row r="6385">
          <cell r="A6385">
            <v>510081</v>
          </cell>
          <cell r="B6385" t="str">
            <v>NORMALIZE TONIC PURIFICANT</v>
          </cell>
          <cell r="C6385" t="str">
            <v>8435057003117</v>
          </cell>
        </row>
        <row r="6386">
          <cell r="A6386">
            <v>510082</v>
          </cell>
          <cell r="B6386" t="str">
            <v>REGULIZE MASK REGUL 6 x 50 ml.</v>
          </cell>
          <cell r="C6386" t="str">
            <v>REMARE</v>
          </cell>
        </row>
        <row r="6387">
          <cell r="A6387">
            <v>510082</v>
          </cell>
          <cell r="B6387" t="str">
            <v>REGULIZE MASK REGUL 6 x 50 ml.</v>
          </cell>
          <cell r="C6387" t="str">
            <v>8435057003476</v>
          </cell>
        </row>
        <row r="6388">
          <cell r="A6388">
            <v>510083</v>
          </cell>
          <cell r="B6388" t="str">
            <v>REGULIZE SHAMPOO 1000 ml.</v>
          </cell>
          <cell r="C6388" t="str">
            <v>RESH10</v>
          </cell>
        </row>
        <row r="6389">
          <cell r="A6389">
            <v>510083</v>
          </cell>
          <cell r="B6389" t="str">
            <v>REGULIZE SHAMPOO 1000 ml.</v>
          </cell>
          <cell r="C6389" t="str">
            <v>8435057003360</v>
          </cell>
        </row>
        <row r="6390">
          <cell r="A6390">
            <v>510084</v>
          </cell>
          <cell r="B6390" t="str">
            <v>REGULIZE SHAMPOO 250 ml.</v>
          </cell>
          <cell r="C6390" t="str">
            <v>RESH25</v>
          </cell>
        </row>
        <row r="6391">
          <cell r="A6391">
            <v>510084</v>
          </cell>
          <cell r="B6391" t="str">
            <v>REGULIZE SHAMPOO 250 ml.</v>
          </cell>
          <cell r="C6391" t="str">
            <v>8435057003124</v>
          </cell>
        </row>
        <row r="6392">
          <cell r="A6392">
            <v>510085</v>
          </cell>
          <cell r="B6392" t="str">
            <v>REGULIZE TONIC REGUL 100 ml.</v>
          </cell>
          <cell r="C6392" t="str">
            <v>RETORE</v>
          </cell>
        </row>
        <row r="6393">
          <cell r="A6393">
            <v>510085</v>
          </cell>
          <cell r="B6393" t="str">
            <v>REGULIZE TONIC REGUL 100 ml.</v>
          </cell>
          <cell r="C6393" t="str">
            <v>8435057003131</v>
          </cell>
        </row>
        <row r="6394">
          <cell r="A6394">
            <v>510086</v>
          </cell>
          <cell r="B6394" t="str">
            <v>SENSITIVE MASSAGE SENSITIVE</v>
          </cell>
          <cell r="C6394" t="str">
            <v>SEMASE</v>
          </cell>
        </row>
        <row r="6395">
          <cell r="A6395">
            <v>510086</v>
          </cell>
          <cell r="B6395" t="str">
            <v>SENSITIVE MASSAGE SENSITIVE</v>
          </cell>
          <cell r="C6395" t="str">
            <v>8435057003490</v>
          </cell>
        </row>
        <row r="6396">
          <cell r="A6396">
            <v>510087</v>
          </cell>
          <cell r="B6396" t="str">
            <v>SENSITIVE SHAMPOO 1000 ml.</v>
          </cell>
          <cell r="C6396" t="str">
            <v>SESH10</v>
          </cell>
        </row>
        <row r="6397">
          <cell r="A6397">
            <v>510087</v>
          </cell>
          <cell r="B6397" t="str">
            <v>SENSITIVE SHAMPOO 1000 ml.</v>
          </cell>
          <cell r="C6397" t="str">
            <v>8435057003384</v>
          </cell>
        </row>
        <row r="6398">
          <cell r="A6398">
            <v>510088</v>
          </cell>
          <cell r="B6398" t="str">
            <v>SENSITIVE SHAMPOO 250 ml.</v>
          </cell>
          <cell r="C6398" t="str">
            <v>SESH25</v>
          </cell>
        </row>
        <row r="6399">
          <cell r="A6399">
            <v>510088</v>
          </cell>
          <cell r="B6399" t="str">
            <v>SENSITIVE SHAMPOO 250 ml.</v>
          </cell>
          <cell r="C6399" t="str">
            <v>8435057003162</v>
          </cell>
        </row>
        <row r="6400">
          <cell r="A6400">
            <v>510089</v>
          </cell>
          <cell r="B6400" t="str">
            <v>STIMULANT COMPLEXE T-ACTIVE</v>
          </cell>
          <cell r="C6400" t="str">
            <v>STCOTA</v>
          </cell>
        </row>
        <row r="6401">
          <cell r="A6401">
            <v>510089</v>
          </cell>
          <cell r="B6401" t="str">
            <v>STIMULANT COMPLEXE T-ACTIVE</v>
          </cell>
          <cell r="C6401" t="str">
            <v>8435057003445</v>
          </cell>
        </row>
        <row r="6402">
          <cell r="A6402">
            <v>510090</v>
          </cell>
          <cell r="B6402" t="str">
            <v>STIMULANT SHAMPOO 1000 ml.</v>
          </cell>
          <cell r="C6402" t="str">
            <v>STSH10</v>
          </cell>
        </row>
        <row r="6403">
          <cell r="A6403">
            <v>510090</v>
          </cell>
          <cell r="B6403" t="str">
            <v>STIMULANT SHAMPOO 1000 ml.</v>
          </cell>
          <cell r="C6403" t="str">
            <v>8435057003377</v>
          </cell>
        </row>
        <row r="6404">
          <cell r="A6404">
            <v>510091</v>
          </cell>
          <cell r="B6404" t="str">
            <v>STIMULANT SHAMPOO 250 ml.</v>
          </cell>
          <cell r="C6404" t="str">
            <v>STSH25</v>
          </cell>
        </row>
        <row r="6405">
          <cell r="A6405">
            <v>510091</v>
          </cell>
          <cell r="B6405" t="str">
            <v>STIMULANT SHAMPOO 250 ml.</v>
          </cell>
          <cell r="C6405" t="str">
            <v>8435057003148</v>
          </cell>
        </row>
        <row r="6406">
          <cell r="A6406">
            <v>510092</v>
          </cell>
          <cell r="B6406" t="str">
            <v>STIMULANT TONIC ACTIVE 100 ml.</v>
          </cell>
          <cell r="C6406" t="str">
            <v>STTOAC</v>
          </cell>
        </row>
        <row r="6407">
          <cell r="A6407">
            <v>510092</v>
          </cell>
          <cell r="B6407" t="str">
            <v>STIMULANT TONIC ACTIVE 100 ml.</v>
          </cell>
          <cell r="C6407" t="str">
            <v>8435057003155</v>
          </cell>
        </row>
        <row r="6408">
          <cell r="A6408">
            <v>510093</v>
          </cell>
          <cell r="B6408" t="str">
            <v>SUNCARE CREAM 150 ML.</v>
          </cell>
          <cell r="C6408" t="str">
            <v>KASUCR</v>
          </cell>
        </row>
        <row r="6409">
          <cell r="A6409">
            <v>510093</v>
          </cell>
          <cell r="B6409" t="str">
            <v>SUNCARE CREAM 150 ML.</v>
          </cell>
          <cell r="C6409" t="str">
            <v>8435057002622</v>
          </cell>
        </row>
        <row r="6410">
          <cell r="A6410">
            <v>510094</v>
          </cell>
          <cell r="B6410" t="str">
            <v>SUNCARE SHAMPOO 250 ML.</v>
          </cell>
          <cell r="C6410" t="str">
            <v>KASUSH</v>
          </cell>
        </row>
        <row r="6411">
          <cell r="A6411">
            <v>510094</v>
          </cell>
          <cell r="B6411" t="str">
            <v>SUNCARE SHAMPOO 250 ML.</v>
          </cell>
          <cell r="C6411" t="str">
            <v>8435057002615</v>
          </cell>
        </row>
        <row r="6412">
          <cell r="A6412">
            <v>510095</v>
          </cell>
          <cell r="B6412" t="str">
            <v>SUNCARE SPRAY 200 ML.</v>
          </cell>
          <cell r="C6412" t="str">
            <v>KASUSP</v>
          </cell>
        </row>
        <row r="6413">
          <cell r="A6413">
            <v>510095</v>
          </cell>
          <cell r="B6413" t="str">
            <v>SUNCARE SPRAY 200 ML.</v>
          </cell>
          <cell r="C6413" t="str">
            <v>8435057002639</v>
          </cell>
        </row>
        <row r="6414">
          <cell r="A6414">
            <v>510096</v>
          </cell>
          <cell r="B6414" t="str">
            <v>LOTE SUNCARE 2008 (6 Packs)</v>
          </cell>
          <cell r="C6414" t="str">
            <v>SULNP08</v>
          </cell>
        </row>
        <row r="6415">
          <cell r="A6415">
            <v>510096</v>
          </cell>
          <cell r="B6415" t="str">
            <v>LOTE SUNCARE 2008 (6 Packs)</v>
          </cell>
          <cell r="C6415" t="str">
            <v>8435057006026</v>
          </cell>
        </row>
        <row r="6416">
          <cell r="A6416">
            <v>510097</v>
          </cell>
          <cell r="B6416" t="str">
            <v>LOTE SUNCARE 2008 (5 Pacs)</v>
          </cell>
          <cell r="C6416" t="str">
            <v>SULO08</v>
          </cell>
        </row>
        <row r="6417">
          <cell r="A6417">
            <v>510097</v>
          </cell>
          <cell r="B6417" t="str">
            <v>LOTE SUNCARE 2008 (5 Pacs)</v>
          </cell>
          <cell r="C6417" t="str">
            <v>8435057005890</v>
          </cell>
        </row>
        <row r="6418">
          <cell r="A6418">
            <v>510098</v>
          </cell>
          <cell r="B6418" t="str">
            <v>LOTE SUNCARE 2009 (6 Packs)</v>
          </cell>
          <cell r="C6418" t="str">
            <v>SULO09</v>
          </cell>
        </row>
        <row r="6419">
          <cell r="A6419">
            <v>510098</v>
          </cell>
          <cell r="B6419" t="str">
            <v>LOTE SUNCARE 2009 (6 Packs)</v>
          </cell>
          <cell r="C6419" t="str">
            <v>8435057054003</v>
          </cell>
        </row>
        <row r="6420">
          <cell r="A6420">
            <v>510099</v>
          </cell>
          <cell r="B6420" t="str">
            <v>LOTE SUNCARE 2009 EXPORT</v>
          </cell>
          <cell r="C6420" t="str">
            <v>SULO09E</v>
          </cell>
        </row>
        <row r="6421">
          <cell r="A6421">
            <v>510099</v>
          </cell>
          <cell r="B6421" t="str">
            <v>LOTE SUNCARE 2009 EXPORT</v>
          </cell>
          <cell r="C6421" t="str">
            <v>8435057054188</v>
          </cell>
        </row>
        <row r="6422">
          <cell r="A6422">
            <v>510100</v>
          </cell>
          <cell r="B6422" t="str">
            <v>LOTE SUNCARE 2007 '12 Packs'</v>
          </cell>
          <cell r="C6422" t="str">
            <v>SULOE1</v>
          </cell>
        </row>
        <row r="6423">
          <cell r="A6423">
            <v>510100</v>
          </cell>
          <cell r="B6423" t="str">
            <v>LOTE SUNCARE 2007 '12 Packs'</v>
          </cell>
          <cell r="C6423" t="str">
            <v>8435057005548</v>
          </cell>
        </row>
        <row r="6424">
          <cell r="A6424">
            <v>510101</v>
          </cell>
          <cell r="B6424" t="str">
            <v>LOTE SUNCARE 2007 '6 Packs'</v>
          </cell>
          <cell r="C6424" t="str">
            <v>SULOE2</v>
          </cell>
        </row>
        <row r="6425">
          <cell r="A6425">
            <v>510101</v>
          </cell>
          <cell r="B6425" t="str">
            <v>LOTE SUNCARE 2007 '6 Packs'</v>
          </cell>
          <cell r="C6425" t="str">
            <v>8435057005555</v>
          </cell>
        </row>
        <row r="6426">
          <cell r="A6426">
            <v>510102</v>
          </cell>
          <cell r="B6426" t="str">
            <v>LOTE SUNCARE 2007 '12 Packs'</v>
          </cell>
          <cell r="C6426" t="str">
            <v>SULOEX1</v>
          </cell>
        </row>
        <row r="6427">
          <cell r="A6427">
            <v>510102</v>
          </cell>
          <cell r="B6427" t="str">
            <v>LOTE SUNCARE 2007 '12 Packs'</v>
          </cell>
          <cell r="C6427" t="str">
            <v>8435057005562</v>
          </cell>
        </row>
        <row r="6428">
          <cell r="A6428">
            <v>510103</v>
          </cell>
          <cell r="B6428" t="str">
            <v>LOTE SUNCARE 2007 ' 6 Packs'</v>
          </cell>
          <cell r="C6428" t="str">
            <v>SULOEX2</v>
          </cell>
        </row>
        <row r="6429">
          <cell r="A6429">
            <v>510103</v>
          </cell>
          <cell r="B6429" t="str">
            <v>LOTE SUNCARE 2007 ' 6 Packs'</v>
          </cell>
          <cell r="C6429" t="str">
            <v>8435057005579</v>
          </cell>
        </row>
        <row r="6430">
          <cell r="A6430">
            <v>510104</v>
          </cell>
          <cell r="B6430" t="str">
            <v>LOTE SUNCARE 2008 (6 Packs)</v>
          </cell>
          <cell r="C6430" t="str">
            <v>SULPT08</v>
          </cell>
        </row>
        <row r="6431">
          <cell r="A6431">
            <v>510104</v>
          </cell>
          <cell r="B6431" t="str">
            <v>LOTE SUNCARE 2008 (6 Packs)</v>
          </cell>
          <cell r="C6431" t="str">
            <v>8435057006019</v>
          </cell>
        </row>
        <row r="6432">
          <cell r="A6432">
            <v>510105</v>
          </cell>
          <cell r="B6432" t="str">
            <v>LOTE SUNCARE 2008 (5 Packs)</v>
          </cell>
          <cell r="C6432" t="str">
            <v>SULT08</v>
          </cell>
        </row>
        <row r="6433">
          <cell r="A6433">
            <v>510105</v>
          </cell>
          <cell r="B6433" t="str">
            <v>LOTE SUNCARE 2008 (5 Packs)</v>
          </cell>
          <cell r="C6433" t="str">
            <v>8435057005906</v>
          </cell>
        </row>
        <row r="6434">
          <cell r="A6434">
            <v>510106</v>
          </cell>
          <cell r="B6434" t="str">
            <v>PACK SUNCARE 2008</v>
          </cell>
          <cell r="C6434" t="str">
            <v>SUPA08</v>
          </cell>
        </row>
        <row r="6435">
          <cell r="A6435">
            <v>510106</v>
          </cell>
          <cell r="B6435" t="str">
            <v>PACK SUNCARE 2008</v>
          </cell>
          <cell r="C6435" t="str">
            <v>8435057005876</v>
          </cell>
        </row>
        <row r="6436">
          <cell r="A6436">
            <v>510107</v>
          </cell>
          <cell r="B6436" t="str">
            <v>PACK SUNCARE 2006 bolso+3 fcos</v>
          </cell>
          <cell r="C6436" t="str">
            <v>SUPAE6</v>
          </cell>
        </row>
        <row r="6437">
          <cell r="A6437">
            <v>510107</v>
          </cell>
          <cell r="B6437" t="str">
            <v>PACK SUNCARE 2006 bolso+3 fcos</v>
          </cell>
          <cell r="C6437" t="str">
            <v>8435057005586</v>
          </cell>
        </row>
        <row r="6438">
          <cell r="A6438">
            <v>510108</v>
          </cell>
          <cell r="B6438" t="str">
            <v>PACK SUNCARE 2007</v>
          </cell>
          <cell r="C6438" t="str">
            <v>SUPAE7</v>
          </cell>
        </row>
        <row r="6439">
          <cell r="A6439">
            <v>510108</v>
          </cell>
          <cell r="B6439" t="str">
            <v>PACK SUNCARE 2007</v>
          </cell>
          <cell r="C6439" t="str">
            <v>8435057005593</v>
          </cell>
        </row>
        <row r="6440">
          <cell r="A6440">
            <v>510109</v>
          </cell>
          <cell r="B6440" t="str">
            <v>PACK SUNCARE 2008</v>
          </cell>
          <cell r="C6440" t="str">
            <v>SUPT08</v>
          </cell>
        </row>
        <row r="6441">
          <cell r="A6441">
            <v>510109</v>
          </cell>
          <cell r="B6441" t="str">
            <v>PACK SUNCARE 2008</v>
          </cell>
          <cell r="C6441" t="str">
            <v>8435057005883</v>
          </cell>
        </row>
        <row r="6442">
          <cell r="A6442">
            <v>510110</v>
          </cell>
          <cell r="B6442" t="str">
            <v>SOBRE CUTI FORTE SHAMPOO +</v>
          </cell>
          <cell r="C6442" t="str">
            <v>SMCFSHEX</v>
          </cell>
        </row>
        <row r="6443">
          <cell r="A6443">
            <v>510110</v>
          </cell>
          <cell r="B6443" t="str">
            <v>SOBRE CUTI FORTE SHAMPOO +</v>
          </cell>
          <cell r="C6443" t="str">
            <v>8435057052795</v>
          </cell>
        </row>
        <row r="6444">
          <cell r="A6444">
            <v>510111</v>
          </cell>
          <cell r="B6444" t="str">
            <v>SOBRE LISSAGE INTENS.SHAMPOO +</v>
          </cell>
          <cell r="C6444" t="str">
            <v>SMLISHGL</v>
          </cell>
        </row>
        <row r="6445">
          <cell r="A6445">
            <v>510111</v>
          </cell>
          <cell r="B6445" t="str">
            <v>SOBRE LISSAGE INTENS.SHAMPOO +</v>
          </cell>
          <cell r="C6445" t="str">
            <v>8435057051651</v>
          </cell>
        </row>
        <row r="6446">
          <cell r="A6446">
            <v>510112</v>
          </cell>
          <cell r="B6446" t="str">
            <v>SOBRE NUTRI-REPAIR SHAMPOO +</v>
          </cell>
          <cell r="C6446" t="str">
            <v>SMNRSHEX</v>
          </cell>
        </row>
        <row r="6447">
          <cell r="A6447">
            <v>510112</v>
          </cell>
          <cell r="B6447" t="str">
            <v>SOBRE NUTRI-REPAIR SHAMPOO +</v>
          </cell>
          <cell r="C6447" t="str">
            <v>8435057051668</v>
          </cell>
        </row>
        <row r="6448">
          <cell r="A6448">
            <v>510113</v>
          </cell>
          <cell r="B6448" t="str">
            <v>SOBRE VITAL COLOR SHAMP. +</v>
          </cell>
          <cell r="C6448" t="str">
            <v>SMVCSHCE</v>
          </cell>
        </row>
        <row r="6449">
          <cell r="A6449">
            <v>510113</v>
          </cell>
          <cell r="B6449" t="str">
            <v>SOBRE VITAL COLOR SHAMP. +</v>
          </cell>
          <cell r="C6449" t="str">
            <v>8435057051675</v>
          </cell>
        </row>
        <row r="6450">
          <cell r="A6450">
            <v>510114</v>
          </cell>
          <cell r="B6450" t="str">
            <v>PROMO LOTE STIMULANT ANTICAIDA</v>
          </cell>
          <cell r="C6450" t="str">
            <v>LOSTI09I</v>
          </cell>
        </row>
        <row r="6451">
          <cell r="A6451">
            <v>510114</v>
          </cell>
          <cell r="B6451" t="str">
            <v>PROMO LOTE STIMULANT ANTICAIDA</v>
          </cell>
          <cell r="C6451" t="str">
            <v>8435057054638</v>
          </cell>
        </row>
        <row r="6452">
          <cell r="A6452">
            <v>510115</v>
          </cell>
          <cell r="B6452" t="str">
            <v>LOTE 1 SUNCARE 2010 (6 PACS)</v>
          </cell>
          <cell r="C6452" t="str">
            <v>8435057056403</v>
          </cell>
        </row>
        <row r="6453">
          <cell r="A6453">
            <v>510116</v>
          </cell>
          <cell r="B6453" t="str">
            <v>LOTE 2 SUNCARE 2010 (9 PACS)</v>
          </cell>
          <cell r="C6453" t="str">
            <v>8435057056410</v>
          </cell>
        </row>
        <row r="6454">
          <cell r="A6454">
            <v>510120</v>
          </cell>
          <cell r="B6454" t="str">
            <v>KINACTIF SHAMPOO COLOR 250 ML.</v>
          </cell>
          <cell r="C6454" t="str">
            <v>8435057006545</v>
          </cell>
        </row>
        <row r="6455">
          <cell r="A6455">
            <v>510121</v>
          </cell>
          <cell r="B6455" t="str">
            <v>KINACTIF COLOR SHAMPOO 1.000 ML</v>
          </cell>
          <cell r="C6455" t="str">
            <v>8435057006552</v>
          </cell>
        </row>
        <row r="6456">
          <cell r="A6456">
            <v>510122</v>
          </cell>
          <cell r="B6456" t="str">
            <v>KINACTIF CONDITIONER COLOR 200 ML</v>
          </cell>
          <cell r="C6456" t="str">
            <v>8435057006569</v>
          </cell>
        </row>
        <row r="6457">
          <cell r="A6457">
            <v>510123</v>
          </cell>
          <cell r="B6457" t="str">
            <v>KINACTIF CONDITIONER COLOR 1.000 ML</v>
          </cell>
          <cell r="C6457" t="str">
            <v>8435057006576</v>
          </cell>
        </row>
        <row r="6458">
          <cell r="A6458">
            <v>510124</v>
          </cell>
          <cell r="B6458" t="str">
            <v>KINACTIF COLOR MASK 200 ML</v>
          </cell>
          <cell r="C6458" t="str">
            <v>8435057006583</v>
          </cell>
        </row>
        <row r="6459">
          <cell r="A6459">
            <v>510125</v>
          </cell>
          <cell r="B6459" t="str">
            <v>KINACTIF COLOR MASK 900 ML</v>
          </cell>
          <cell r="C6459" t="str">
            <v>8435057006590</v>
          </cell>
        </row>
        <row r="6460">
          <cell r="A6460">
            <v>510126</v>
          </cell>
          <cell r="B6460" t="str">
            <v>KINACTIF INJECTOR COLOR</v>
          </cell>
          <cell r="C6460" t="str">
            <v>8435057006606</v>
          </cell>
        </row>
        <row r="6461">
          <cell r="A6461">
            <v>510127</v>
          </cell>
          <cell r="B6461" t="str">
            <v>KINACTIF COLOR RECONSTRUCTOR 150 ML</v>
          </cell>
          <cell r="C6461" t="str">
            <v>8435057006613</v>
          </cell>
        </row>
        <row r="6462">
          <cell r="A6462">
            <v>510128</v>
          </cell>
          <cell r="B6462" t="str">
            <v>KINACTIF EXTRACT COLOR 150 ML.</v>
          </cell>
          <cell r="C6462" t="str">
            <v>8435057006620</v>
          </cell>
        </row>
        <row r="6463">
          <cell r="A6463">
            <v>510129</v>
          </cell>
          <cell r="B6463" t="str">
            <v>KINACTIF COLOR SEALER 200 ML</v>
          </cell>
          <cell r="C6463" t="str">
            <v>8435057006637</v>
          </cell>
        </row>
        <row r="6464">
          <cell r="A6464">
            <v>510130</v>
          </cell>
          <cell r="B6464" t="str">
            <v>KINACTIF SHAMPOO SILVER 250 ML</v>
          </cell>
          <cell r="C6464" t="str">
            <v>8435057006644</v>
          </cell>
        </row>
        <row r="6465">
          <cell r="A6465">
            <v>510131</v>
          </cell>
          <cell r="B6465" t="str">
            <v>KINACTIF SILVER SHAMPOO 1.000 ML</v>
          </cell>
          <cell r="C6465" t="str">
            <v>8435057006651</v>
          </cell>
        </row>
        <row r="6466">
          <cell r="A6466">
            <v>510132</v>
          </cell>
          <cell r="B6466" t="str">
            <v>KINACTIF SHAMPOO CURL 250 ML.</v>
          </cell>
          <cell r="C6466" t="str">
            <v>8435057006668</v>
          </cell>
        </row>
        <row r="6467">
          <cell r="A6467">
            <v>510133</v>
          </cell>
          <cell r="B6467" t="str">
            <v>KINACTIF CURL SHAMPOO 1.000 ML</v>
          </cell>
          <cell r="C6467" t="str">
            <v>8435057006675</v>
          </cell>
        </row>
        <row r="6468">
          <cell r="A6468">
            <v>510134</v>
          </cell>
          <cell r="B6468" t="str">
            <v>KINACTIF CURL MASK 200 ML</v>
          </cell>
          <cell r="C6468" t="str">
            <v>8435057006682</v>
          </cell>
        </row>
        <row r="6469">
          <cell r="A6469">
            <v>510135</v>
          </cell>
          <cell r="B6469" t="str">
            <v>KINACTIF CURL MASK 900 ML</v>
          </cell>
          <cell r="C6469" t="str">
            <v>8435057006699</v>
          </cell>
        </row>
        <row r="6470">
          <cell r="A6470">
            <v>510136</v>
          </cell>
          <cell r="B6470" t="str">
            <v>KINACTIF CURL ACTIVATOR 200 ML</v>
          </cell>
          <cell r="C6470" t="str">
            <v>8435057006705</v>
          </cell>
        </row>
        <row r="6471">
          <cell r="A6471">
            <v>510137</v>
          </cell>
          <cell r="B6471" t="str">
            <v>KINACTIF SHAMPOO ENERGY 250 ML</v>
          </cell>
          <cell r="C6471" t="str">
            <v>8435057006712</v>
          </cell>
        </row>
        <row r="6472">
          <cell r="A6472">
            <v>510138</v>
          </cell>
          <cell r="B6472" t="str">
            <v>KINACTIF SHAMPOO ENERGY</v>
          </cell>
          <cell r="C6472" t="str">
            <v>8435057006729</v>
          </cell>
        </row>
        <row r="6473">
          <cell r="A6473">
            <v>510139</v>
          </cell>
          <cell r="B6473" t="str">
            <v>KINACTIF MASK ENERGY 200 ML.</v>
          </cell>
          <cell r="C6473" t="str">
            <v>8435057006736</v>
          </cell>
        </row>
        <row r="6474">
          <cell r="A6474">
            <v>510140</v>
          </cell>
          <cell r="B6474" t="str">
            <v>KINACTIF MASK ENERGY 900 ML.</v>
          </cell>
          <cell r="C6474" t="str">
            <v>8435057006743</v>
          </cell>
        </row>
        <row r="6475">
          <cell r="A6475">
            <v>510141</v>
          </cell>
          <cell r="B6475" t="str">
            <v>KINACTIF INJECTOR ENERGY</v>
          </cell>
          <cell r="C6475" t="str">
            <v>8435057006750</v>
          </cell>
        </row>
        <row r="6476">
          <cell r="A6476">
            <v>510142</v>
          </cell>
          <cell r="B6476" t="str">
            <v>KINACTIF ENERGY RECONSTRUCTOR 150 ML</v>
          </cell>
          <cell r="C6476" t="str">
            <v>8435057006767</v>
          </cell>
        </row>
        <row r="6477">
          <cell r="A6477">
            <v>510143</v>
          </cell>
          <cell r="B6477" t="str">
            <v>KINACTIF EXTRACT ENERGY 150 ML</v>
          </cell>
          <cell r="C6477" t="str">
            <v>8435057006774</v>
          </cell>
        </row>
        <row r="6478">
          <cell r="A6478">
            <v>510144</v>
          </cell>
          <cell r="B6478" t="str">
            <v>KINACTIF SHAMPOO LISS 250 ML.</v>
          </cell>
          <cell r="C6478" t="str">
            <v>8435057006781</v>
          </cell>
        </row>
        <row r="6479">
          <cell r="A6479">
            <v>510145</v>
          </cell>
          <cell r="B6479" t="str">
            <v>KINACTIF LISS SHAMPOO 1.000 ML</v>
          </cell>
          <cell r="C6479" t="str">
            <v>8435057006798</v>
          </cell>
        </row>
        <row r="6480">
          <cell r="A6480">
            <v>510146</v>
          </cell>
          <cell r="B6480" t="str">
            <v>KINACTIF CONDITIONER LISS 200 ML</v>
          </cell>
          <cell r="C6480" t="str">
            <v>8435057006804</v>
          </cell>
        </row>
        <row r="6481">
          <cell r="A6481">
            <v>510147</v>
          </cell>
          <cell r="B6481" t="str">
            <v>KINACTIF CONDITIONER LISS</v>
          </cell>
          <cell r="C6481" t="str">
            <v>8435057006811</v>
          </cell>
        </row>
        <row r="6482">
          <cell r="A6482">
            <v>510148</v>
          </cell>
          <cell r="B6482" t="str">
            <v>KINACTIF MASK LISS 200 ML.</v>
          </cell>
          <cell r="C6482" t="str">
            <v>8435057006828</v>
          </cell>
        </row>
        <row r="6483">
          <cell r="A6483">
            <v>510149</v>
          </cell>
          <cell r="B6483" t="str">
            <v>KINACTIF MASK LISS 900 ML.</v>
          </cell>
          <cell r="C6483" t="str">
            <v>8435057006835</v>
          </cell>
        </row>
        <row r="6484">
          <cell r="A6484">
            <v>510150</v>
          </cell>
          <cell r="B6484" t="str">
            <v>KINACTIF EXTRACT LISS 150 ML</v>
          </cell>
          <cell r="C6484" t="str">
            <v>8435057006842</v>
          </cell>
        </row>
        <row r="6485">
          <cell r="A6485">
            <v>510151</v>
          </cell>
          <cell r="B6485" t="str">
            <v>KINACTIF SERUM LISS 150 ML</v>
          </cell>
          <cell r="C6485" t="str">
            <v>8435057006859</v>
          </cell>
        </row>
        <row r="6486">
          <cell r="A6486">
            <v>510152</v>
          </cell>
          <cell r="B6486" t="str">
            <v>KINACTIF SHAMPOO NUTRI 1</v>
          </cell>
          <cell r="C6486" t="str">
            <v>8435057006866</v>
          </cell>
        </row>
        <row r="6487">
          <cell r="A6487">
            <v>510153</v>
          </cell>
          <cell r="B6487" t="str">
            <v>KINACTIF SHAMPOO NUTRI 1 SOFT 1.000 ML</v>
          </cell>
          <cell r="C6487" t="str">
            <v>8435057006873</v>
          </cell>
        </row>
        <row r="6488">
          <cell r="A6488">
            <v>510154</v>
          </cell>
          <cell r="B6488" t="str">
            <v>KINACTIF CONDITIONER NUTRI 200 ML</v>
          </cell>
          <cell r="C6488" t="str">
            <v>8435057006880</v>
          </cell>
        </row>
        <row r="6489">
          <cell r="A6489">
            <v>510155</v>
          </cell>
          <cell r="B6489" t="str">
            <v>KINACTIF CONDITIONER NUTRI 1.000 ML</v>
          </cell>
          <cell r="C6489" t="str">
            <v>8435057006897</v>
          </cell>
        </row>
        <row r="6490">
          <cell r="A6490">
            <v>510156</v>
          </cell>
          <cell r="B6490" t="str">
            <v>KINACTIF HYDRATOR NUTRI 200 ML</v>
          </cell>
          <cell r="C6490" t="str">
            <v>8435057006903</v>
          </cell>
        </row>
        <row r="6491">
          <cell r="A6491">
            <v>510157</v>
          </cell>
          <cell r="B6491" t="str">
            <v>KINACTIF SHAMPOO NUTRI 2</v>
          </cell>
          <cell r="C6491" t="str">
            <v>8435057006910</v>
          </cell>
        </row>
        <row r="6492">
          <cell r="A6492">
            <v>510158</v>
          </cell>
          <cell r="B6492" t="str">
            <v>KINACTIF NUTRI SHAMPOO - 2 RICH 1.000 ML</v>
          </cell>
          <cell r="C6492" t="str">
            <v>8435057006927</v>
          </cell>
        </row>
        <row r="6493">
          <cell r="A6493">
            <v>510159</v>
          </cell>
          <cell r="B6493" t="str">
            <v>KINACTIF MASK NUTRI 200 ML.</v>
          </cell>
          <cell r="C6493" t="str">
            <v>8435057006934</v>
          </cell>
        </row>
        <row r="6494">
          <cell r="A6494">
            <v>510160</v>
          </cell>
          <cell r="B6494" t="str">
            <v>KINACTIF MASK NUTRI 900 ML.</v>
          </cell>
          <cell r="C6494" t="str">
            <v>8435057006941</v>
          </cell>
        </row>
        <row r="6495">
          <cell r="A6495">
            <v>510161</v>
          </cell>
          <cell r="B6495" t="str">
            <v>KINACTIF SERUM NUTRI 50 ML.</v>
          </cell>
          <cell r="C6495" t="str">
            <v>8435057006958</v>
          </cell>
        </row>
        <row r="6496">
          <cell r="A6496">
            <v>510162</v>
          </cell>
          <cell r="B6496" t="str">
            <v>KINACTIF SHAMPOO NUTRI 3</v>
          </cell>
          <cell r="C6496" t="str">
            <v>8435057006965</v>
          </cell>
        </row>
        <row r="6497">
          <cell r="A6497">
            <v>510163</v>
          </cell>
          <cell r="B6497" t="str">
            <v>KINACTIF NUTRI SHAMPOO - 3 INTENSE 1.000 ML</v>
          </cell>
          <cell r="C6497" t="str">
            <v>8435057006972</v>
          </cell>
        </row>
        <row r="6498">
          <cell r="A6498">
            <v>510164</v>
          </cell>
          <cell r="B6498" t="str">
            <v>KINACTIF INJECTOR NUTRI</v>
          </cell>
          <cell r="C6498" t="str">
            <v>8435057006989</v>
          </cell>
        </row>
        <row r="6499">
          <cell r="A6499">
            <v>510165</v>
          </cell>
          <cell r="B6499" t="str">
            <v>KINACTIF NUTRI RECONSTRUCTOR 150 ML</v>
          </cell>
          <cell r="C6499" t="str">
            <v>8435057006996</v>
          </cell>
        </row>
        <row r="6500">
          <cell r="A6500">
            <v>510166</v>
          </cell>
          <cell r="B6500" t="str">
            <v>KINACTIF EXTRACT NUTRI 150 ML</v>
          </cell>
          <cell r="C6500" t="str">
            <v>8435057007009</v>
          </cell>
        </row>
        <row r="6501">
          <cell r="A6501">
            <v>510167</v>
          </cell>
          <cell r="B6501" t="str">
            <v>KINACTIF SHAMPOO FORCE 250 ML</v>
          </cell>
          <cell r="C6501" t="str">
            <v>8435057007016</v>
          </cell>
        </row>
        <row r="6502">
          <cell r="A6502">
            <v>510168</v>
          </cell>
          <cell r="B6502" t="str">
            <v>KINACTIF SHAMPOO FORCE 1000 ML</v>
          </cell>
          <cell r="C6502" t="str">
            <v>8435057007023</v>
          </cell>
        </row>
        <row r="6503">
          <cell r="A6503">
            <v>510169</v>
          </cell>
          <cell r="B6503" t="str">
            <v>KINACTIF TONIC FORCE 150 ML</v>
          </cell>
          <cell r="C6503" t="str">
            <v>8435057007030</v>
          </cell>
        </row>
        <row r="6504">
          <cell r="A6504">
            <v>510170</v>
          </cell>
          <cell r="B6504" t="str">
            <v>KINACTIF COMPLEXE TRICO-ACTIVE</v>
          </cell>
          <cell r="C6504" t="str">
            <v>8435057007047</v>
          </cell>
        </row>
        <row r="6505">
          <cell r="A6505">
            <v>510171</v>
          </cell>
          <cell r="B6505" t="str">
            <v>KINACTIF SHAMPOO PURITY DRY</v>
          </cell>
          <cell r="C6505" t="str">
            <v>8435057007054</v>
          </cell>
        </row>
        <row r="6506">
          <cell r="A6506">
            <v>510172</v>
          </cell>
          <cell r="B6506" t="str">
            <v>KINACTIF PURITY SHAMPOO DRY DANDRUFF 1.000 ML</v>
          </cell>
          <cell r="C6506" t="str">
            <v>8435057007061</v>
          </cell>
        </row>
        <row r="6507">
          <cell r="A6507">
            <v>510173</v>
          </cell>
          <cell r="B6507" t="str">
            <v>KINACTIF SHAMPOO PURITY OILY</v>
          </cell>
          <cell r="C6507" t="str">
            <v>8435057007078</v>
          </cell>
        </row>
        <row r="6508">
          <cell r="A6508">
            <v>510174</v>
          </cell>
          <cell r="B6508" t="str">
            <v>KINACTIF SHAMPOO PURITY OILY DANDRUFF 1.000 ML</v>
          </cell>
          <cell r="C6508" t="str">
            <v>8435057007085</v>
          </cell>
        </row>
        <row r="6509">
          <cell r="A6509">
            <v>510175</v>
          </cell>
          <cell r="B6509" t="str">
            <v>KINACTIF TONIC PURITY 150 ML</v>
          </cell>
          <cell r="C6509" t="str">
            <v>8435057007092</v>
          </cell>
        </row>
        <row r="6510">
          <cell r="A6510">
            <v>510176</v>
          </cell>
          <cell r="B6510" t="str">
            <v>KINACTIF PURITY GEL 6 X 50 ML</v>
          </cell>
          <cell r="C6510" t="str">
            <v>8435057007115</v>
          </cell>
        </row>
        <row r="6511">
          <cell r="A6511">
            <v>510177</v>
          </cell>
          <cell r="B6511" t="str">
            <v>KINACTIF SHAMPOO BALANCE</v>
          </cell>
          <cell r="C6511" t="str">
            <v>8435057007122</v>
          </cell>
        </row>
        <row r="6512">
          <cell r="A6512">
            <v>510178</v>
          </cell>
          <cell r="B6512" t="str">
            <v>KINACTIF BALANCE SHAMPOO 1.000 ML</v>
          </cell>
          <cell r="C6512" t="str">
            <v>8435057007139</v>
          </cell>
        </row>
        <row r="6513">
          <cell r="A6513">
            <v>510179</v>
          </cell>
          <cell r="B6513" t="str">
            <v>KINACTIF TONIC BALANCE 150 ML</v>
          </cell>
          <cell r="C6513" t="str">
            <v>8435057007146</v>
          </cell>
        </row>
        <row r="6514">
          <cell r="A6514">
            <v>510180</v>
          </cell>
          <cell r="B6514" t="str">
            <v>KINACTIF CLAY BALANCE</v>
          </cell>
          <cell r="C6514" t="str">
            <v>8435057007160</v>
          </cell>
        </row>
        <row r="6515">
          <cell r="A6515">
            <v>510181</v>
          </cell>
          <cell r="B6515" t="str">
            <v>KINACTIF SHAMPOO CALM 250 ML.</v>
          </cell>
          <cell r="C6515" t="str">
            <v>8435057007177</v>
          </cell>
        </row>
        <row r="6516">
          <cell r="A6516">
            <v>510182</v>
          </cell>
          <cell r="B6516" t="str">
            <v>KINACTIF SHAMPOO CALM 1000 ML</v>
          </cell>
          <cell r="C6516" t="str">
            <v>8435057007184</v>
          </cell>
        </row>
        <row r="6517">
          <cell r="A6517">
            <v>510183</v>
          </cell>
          <cell r="B6517" t="str">
            <v>KINACTIF MASSAGE CALM 6 X 50 ML</v>
          </cell>
          <cell r="C6517" t="str">
            <v>8435057007207</v>
          </cell>
        </row>
        <row r="6518">
          <cell r="A6518">
            <v>510184</v>
          </cell>
          <cell r="B6518" t="str">
            <v>LOTE SUNCARE 2010 EXPORT</v>
          </cell>
          <cell r="C6518" t="str">
            <v>8435057056427</v>
          </cell>
        </row>
        <row r="6519">
          <cell r="A6519">
            <v>510185</v>
          </cell>
          <cell r="B6519" t="str">
            <v>NULO - SOBRE COLOR SHAMP.+ MASK</v>
          </cell>
          <cell r="C6519" t="str">
            <v>8435057057516</v>
          </cell>
        </row>
        <row r="6520">
          <cell r="A6520">
            <v>510186</v>
          </cell>
          <cell r="B6520" t="str">
            <v>SOBRE NUTRI SHAMPOO + MASK</v>
          </cell>
          <cell r="C6520" t="str">
            <v>8435057057523</v>
          </cell>
        </row>
        <row r="6521">
          <cell r="A6521">
            <v>510187</v>
          </cell>
          <cell r="B6521" t="str">
            <v>SOBRE ENERGY SHAMP.+ MASK</v>
          </cell>
          <cell r="C6521" t="str">
            <v>8435057057530</v>
          </cell>
        </row>
        <row r="6522">
          <cell r="A6522">
            <v>510188</v>
          </cell>
          <cell r="B6522" t="str">
            <v>SOBRE LISS SHAMP.+ MASK</v>
          </cell>
          <cell r="C6522" t="str">
            <v>8435057057547</v>
          </cell>
        </row>
        <row r="6523">
          <cell r="A6523">
            <v>510189</v>
          </cell>
          <cell r="B6523" t="str">
            <v>PACK ANTICAIDA</v>
          </cell>
          <cell r="C6523" t="str">
            <v>8435057056984</v>
          </cell>
        </row>
        <row r="6524">
          <cell r="A6524">
            <v>510190</v>
          </cell>
          <cell r="B6524" t="str">
            <v>LOTE 1 KA NUTRI</v>
          </cell>
          <cell r="C6524" t="str">
            <v>8435057057288</v>
          </cell>
        </row>
        <row r="6525">
          <cell r="A6525">
            <v>510191</v>
          </cell>
          <cell r="B6525" t="str">
            <v>LOTE 2 KA COLOR + SILVER</v>
          </cell>
          <cell r="C6525" t="str">
            <v>8435057057295</v>
          </cell>
        </row>
        <row r="6526">
          <cell r="A6526">
            <v>510192</v>
          </cell>
          <cell r="B6526" t="str">
            <v>LOTE 3 KA ENERGY</v>
          </cell>
          <cell r="C6526" t="str">
            <v>8435057057301</v>
          </cell>
        </row>
        <row r="6527">
          <cell r="A6527">
            <v>510193</v>
          </cell>
          <cell r="B6527" t="str">
            <v>LOTE 4 KA LISS + CURL</v>
          </cell>
          <cell r="C6527" t="str">
            <v>8435057057318</v>
          </cell>
        </row>
        <row r="6528">
          <cell r="A6528">
            <v>510194</v>
          </cell>
          <cell r="B6528" t="str">
            <v>LOTE 5 KA PURITY+BALANCE+CALM</v>
          </cell>
          <cell r="C6528" t="str">
            <v>8435057057325</v>
          </cell>
        </row>
        <row r="6529">
          <cell r="A6529">
            <v>510195</v>
          </cell>
          <cell r="B6529" t="str">
            <v>LOTE 6 KA FORCE</v>
          </cell>
          <cell r="C6529" t="str">
            <v>8435057057332</v>
          </cell>
        </row>
        <row r="6530">
          <cell r="A6530">
            <v>510196</v>
          </cell>
          <cell r="B6530" t="str">
            <v>LOTE ANTICAIDA 2010 (15 PACS)</v>
          </cell>
          <cell r="C6530" t="str">
            <v>8435057057356</v>
          </cell>
        </row>
        <row r="6531">
          <cell r="A6531">
            <v>510197</v>
          </cell>
          <cell r="B6531" t="str">
            <v>LOTE 1 KA NUTRI 'Export'</v>
          </cell>
          <cell r="C6531" t="str">
            <v>8435057057554</v>
          </cell>
        </row>
        <row r="6532">
          <cell r="A6532">
            <v>510198</v>
          </cell>
          <cell r="B6532" t="str">
            <v>LOTE 2 KA COLOR+SILVER 'Export</v>
          </cell>
          <cell r="C6532" t="str">
            <v>8435057057561</v>
          </cell>
        </row>
        <row r="6533">
          <cell r="A6533">
            <v>510199</v>
          </cell>
          <cell r="B6533" t="str">
            <v>LOTE 3 KA ENERGY 'Export'</v>
          </cell>
          <cell r="C6533" t="str">
            <v>8435057057578</v>
          </cell>
        </row>
        <row r="6534">
          <cell r="A6534">
            <v>510200</v>
          </cell>
          <cell r="B6534" t="str">
            <v>LOTE 4 KA LISS + CURL 'Export'</v>
          </cell>
          <cell r="C6534" t="str">
            <v>8435057057585</v>
          </cell>
        </row>
        <row r="6535">
          <cell r="A6535">
            <v>510201</v>
          </cell>
          <cell r="B6535" t="str">
            <v>LOTE 5 KA PUR+BAL+CAL 'Export'</v>
          </cell>
          <cell r="C6535" t="str">
            <v>8435057057592</v>
          </cell>
        </row>
        <row r="6536">
          <cell r="A6536">
            <v>510202</v>
          </cell>
          <cell r="B6536" t="str">
            <v>LOTE 6 KA FORCE 'Export'</v>
          </cell>
          <cell r="C6536" t="str">
            <v>8435057057608</v>
          </cell>
        </row>
        <row r="6537">
          <cell r="A6537">
            <v>510203</v>
          </cell>
          <cell r="B6537" t="str">
            <v>LOTE REDUC. 1 KA NUTRI</v>
          </cell>
          <cell r="C6537" t="str">
            <v>8435057057707</v>
          </cell>
        </row>
        <row r="6538">
          <cell r="A6538">
            <v>510204</v>
          </cell>
          <cell r="B6538" t="str">
            <v>LOTE REDUC. 2 KA COLOR</v>
          </cell>
          <cell r="C6538" t="str">
            <v>8435057057714</v>
          </cell>
        </row>
        <row r="6539">
          <cell r="A6539">
            <v>510205</v>
          </cell>
          <cell r="B6539" t="str">
            <v>LOTE REDUC. 3 KA ENERGY</v>
          </cell>
          <cell r="C6539" t="str">
            <v>8435057057721</v>
          </cell>
        </row>
        <row r="6540">
          <cell r="A6540">
            <v>510206</v>
          </cell>
          <cell r="B6540" t="str">
            <v>LOTE REDUC. 4 KA LISS + CURL</v>
          </cell>
          <cell r="C6540" t="str">
            <v>8435057057738</v>
          </cell>
        </row>
        <row r="6541">
          <cell r="A6541">
            <v>510207</v>
          </cell>
          <cell r="B6541" t="str">
            <v>LOTE REDUC. 5 KA PUR+BAL+CALM</v>
          </cell>
          <cell r="C6541" t="str">
            <v>8435057057745</v>
          </cell>
        </row>
        <row r="6542">
          <cell r="A6542">
            <v>510208</v>
          </cell>
          <cell r="B6542" t="str">
            <v>LOTE REDUC. 6 KA FORCE</v>
          </cell>
          <cell r="C6542" t="str">
            <v>8435057057752</v>
          </cell>
        </row>
        <row r="6543">
          <cell r="A6543">
            <v>510209</v>
          </cell>
          <cell r="B6543" t="str">
            <v>LOTE ANTICAIDA FORCE (10 PACKS</v>
          </cell>
          <cell r="C6543" t="str">
            <v>8435057057882</v>
          </cell>
        </row>
        <row r="6544">
          <cell r="A6544">
            <v>510210</v>
          </cell>
          <cell r="B6544" t="str">
            <v>KINACTIF SUNCARE SHAMPOO 250 ML</v>
          </cell>
          <cell r="C6544" t="str">
            <v>8435057008532</v>
          </cell>
        </row>
        <row r="6545">
          <cell r="A6545">
            <v>510211</v>
          </cell>
          <cell r="B6545" t="str">
            <v>KINACTIF RECONSTRUCTOR SUNCARE</v>
          </cell>
          <cell r="C6545" t="str">
            <v>8435057008549</v>
          </cell>
        </row>
        <row r="6546">
          <cell r="A6546">
            <v>510212</v>
          </cell>
          <cell r="B6546" t="str">
            <v>KINACTIF SUNCARE PROTECTOR 200 ML</v>
          </cell>
          <cell r="C6546" t="str">
            <v>8435057008556</v>
          </cell>
        </row>
        <row r="6547">
          <cell r="A6547">
            <v>510213</v>
          </cell>
          <cell r="B6547" t="str">
            <v>INTRO KIT KERATIN NUTRI</v>
          </cell>
          <cell r="C6547" t="str">
            <v>8435057057899</v>
          </cell>
        </row>
        <row r="6548">
          <cell r="A6548">
            <v>510214</v>
          </cell>
          <cell r="B6548" t="str">
            <v>LOTE SUNCARE EXPORT 5 PACKS</v>
          </cell>
          <cell r="C6548" t="str">
            <v>510214</v>
          </cell>
        </row>
        <row r="6549">
          <cell r="A6549">
            <v>510215</v>
          </cell>
          <cell r="B6549" t="str">
            <v>PACK SUNCARE 2011</v>
          </cell>
          <cell r="C6549" t="str">
            <v>8435057058025</v>
          </cell>
        </row>
        <row r="6550">
          <cell r="A6550">
            <v>510216</v>
          </cell>
          <cell r="B6550" t="str">
            <v>LOTE SUNCARE 2011</v>
          </cell>
          <cell r="C6550" t="str">
            <v>0000005102167</v>
          </cell>
        </row>
        <row r="6551">
          <cell r="A6551">
            <v>510217</v>
          </cell>
          <cell r="B6551" t="str">
            <v>LOTE SUNCARE EXPORT</v>
          </cell>
          <cell r="C6551" t="str">
            <v>510217</v>
          </cell>
        </row>
        <row r="6552">
          <cell r="A6552">
            <v>510218</v>
          </cell>
          <cell r="B6552" t="str">
            <v>PROMOCIÓN EXPOSITOR KIN</v>
          </cell>
          <cell r="C6552" t="str">
            <v>510218</v>
          </cell>
        </row>
        <row r="6553">
          <cell r="A6553">
            <v>510219</v>
          </cell>
          <cell r="B6553" t="str">
            <v>INTRO KIT COLLAGEN TREATMENT</v>
          </cell>
          <cell r="C6553" t="str">
            <v>510219</v>
          </cell>
        </row>
        <row r="6554">
          <cell r="A6554">
            <v>510222</v>
          </cell>
          <cell r="B6554" t="str">
            <v>KINACTIF LISS LOTE BASICO</v>
          </cell>
          <cell r="C6554" t="str">
            <v>510222</v>
          </cell>
        </row>
        <row r="6555">
          <cell r="A6555">
            <v>510231</v>
          </cell>
          <cell r="B6555" t="str">
            <v>INTRO KIT COLLAGEN TREATMENT D</v>
          </cell>
          <cell r="C6555" t="str">
            <v>8435057058094</v>
          </cell>
        </row>
        <row r="6556">
          <cell r="A6556">
            <v>510232</v>
          </cell>
          <cell r="B6556" t="str">
            <v>INTRO KIT KERATIN NUTRI D</v>
          </cell>
          <cell r="C6556" t="str">
            <v>8435057058100</v>
          </cell>
        </row>
        <row r="6557">
          <cell r="A6557">
            <v>510233</v>
          </cell>
          <cell r="B6557" t="str">
            <v>SACHET NUTRI 1 SHAMPOO 8 ML</v>
          </cell>
          <cell r="C6557" t="str">
            <v>8435057009393</v>
          </cell>
        </row>
        <row r="6558">
          <cell r="A6558">
            <v>510234</v>
          </cell>
          <cell r="B6558" t="str">
            <v>SACHET COLOR SHAMPOO 8 ML</v>
          </cell>
          <cell r="C6558" t="str">
            <v>8435057009409</v>
          </cell>
        </row>
        <row r="6559">
          <cell r="A6559">
            <v>510235</v>
          </cell>
          <cell r="B6559" t="str">
            <v>SACHET ENERGY SHAMPOO 8 ML</v>
          </cell>
          <cell r="C6559" t="str">
            <v>8435057009416</v>
          </cell>
        </row>
        <row r="6560">
          <cell r="A6560">
            <v>510236</v>
          </cell>
          <cell r="B6560" t="str">
            <v>SACHET CALM SHAMPOO 8 ML</v>
          </cell>
          <cell r="C6560" t="str">
            <v>8435057009423</v>
          </cell>
        </row>
        <row r="6561">
          <cell r="A6561">
            <v>510237</v>
          </cell>
          <cell r="B6561" t="str">
            <v>SACHET NUTRI EXTRACT 8 ML</v>
          </cell>
          <cell r="C6561" t="str">
            <v>8435057009430</v>
          </cell>
        </row>
        <row r="6562">
          <cell r="A6562">
            <v>510238</v>
          </cell>
          <cell r="B6562" t="str">
            <v>SACHET COLOR EXTRACT 8 ML</v>
          </cell>
          <cell r="C6562" t="str">
            <v>8435057009447</v>
          </cell>
        </row>
        <row r="6563">
          <cell r="A6563">
            <v>510239</v>
          </cell>
          <cell r="B6563" t="str">
            <v>SACHET ENERGY EXTRACT 8 ML</v>
          </cell>
          <cell r="C6563" t="str">
            <v>8435057009454</v>
          </cell>
        </row>
        <row r="6564">
          <cell r="A6564">
            <v>510241</v>
          </cell>
          <cell r="B6564" t="str">
            <v>PACK FORCE SLEEVE</v>
          </cell>
          <cell r="C6564" t="str">
            <v>8435057058117</v>
          </cell>
        </row>
        <row r="6565">
          <cell r="A6565">
            <v>510245</v>
          </cell>
          <cell r="B6565" t="str">
            <v>KINACTIF OLEO NUTRI 100 ML</v>
          </cell>
          <cell r="C6565" t="str">
            <v>8435057010047</v>
          </cell>
        </row>
        <row r="6566">
          <cell r="A6566">
            <v>510247</v>
          </cell>
          <cell r="B6566" t="str">
            <v>LOTE OLEO NUTRI</v>
          </cell>
          <cell r="C6566" t="str">
            <v>0000000510247</v>
          </cell>
        </row>
        <row r="6567">
          <cell r="A6567">
            <v>510254</v>
          </cell>
          <cell r="B6567" t="str">
            <v>PACK AHORRO SUNCARE</v>
          </cell>
          <cell r="C6567" t="str">
            <v>0000000510254</v>
          </cell>
        </row>
        <row r="6568">
          <cell r="A6568">
            <v>510255</v>
          </cell>
          <cell r="B6568" t="str">
            <v>SUNC. PROTECTOR CAJA EXPOSIT.</v>
          </cell>
          <cell r="C6568" t="str">
            <v>0000000510255</v>
          </cell>
        </row>
        <row r="6569">
          <cell r="A6569">
            <v>510256</v>
          </cell>
          <cell r="B6569" t="str">
            <v>LOTE SUNCARE 2014</v>
          </cell>
          <cell r="C6569" t="str">
            <v>0000000510256</v>
          </cell>
        </row>
        <row r="6570">
          <cell r="A6570">
            <v>510258</v>
          </cell>
          <cell r="B6570" t="str">
            <v>LOTE FORCE 2014 DIST</v>
          </cell>
          <cell r="C6570" t="str">
            <v>0000000510258</v>
          </cell>
        </row>
        <row r="6571">
          <cell r="A6571">
            <v>510259</v>
          </cell>
          <cell r="B6571" t="str">
            <v>LOTE FORCE 2014 (sha..+comple)</v>
          </cell>
          <cell r="C6571" t="str">
            <v>0000000510259</v>
          </cell>
        </row>
        <row r="6572">
          <cell r="A6572">
            <v>510261</v>
          </cell>
          <cell r="B6572" t="str">
            <v>LOTE FORCE (12 PACKS)</v>
          </cell>
          <cell r="C6572" t="str">
            <v>0000000510261</v>
          </cell>
        </row>
        <row r="6573">
          <cell r="A6573">
            <v>510263</v>
          </cell>
          <cell r="B6573" t="str">
            <v>PACK RETAIL SUNCARE 2015</v>
          </cell>
          <cell r="C6573" t="str">
            <v>8435057010665</v>
          </cell>
        </row>
        <row r="6574">
          <cell r="A6574">
            <v>510264</v>
          </cell>
          <cell r="B6574" t="str">
            <v>LOTE SUNCARE 2015</v>
          </cell>
          <cell r="C6574" t="str">
            <v>8435057010689</v>
          </cell>
        </row>
        <row r="6575">
          <cell r="A6575">
            <v>510265</v>
          </cell>
          <cell r="B6575" t="str">
            <v>PACK KINACTIF RETAIL ENERGY</v>
          </cell>
          <cell r="C6575" t="str">
            <v>8435057010719</v>
          </cell>
        </row>
        <row r="6576">
          <cell r="A6576">
            <v>510266</v>
          </cell>
          <cell r="B6576" t="str">
            <v>PACK KINACTIF RETAIL COLOR</v>
          </cell>
          <cell r="C6576" t="str">
            <v>8435057010726</v>
          </cell>
        </row>
        <row r="6577">
          <cell r="A6577">
            <v>510267</v>
          </cell>
          <cell r="B6577" t="str">
            <v>PACK KINACTIF RETAIL NUTRI</v>
          </cell>
          <cell r="C6577" t="str">
            <v>8435057010733</v>
          </cell>
        </row>
        <row r="6578">
          <cell r="A6578">
            <v>510272</v>
          </cell>
          <cell r="B6578" t="str">
            <v>KINACTIF FORCE PACK (descatalogat)</v>
          </cell>
          <cell r="C6578" t="str">
            <v>8435057011259</v>
          </cell>
        </row>
        <row r="6579">
          <cell r="A6579">
            <v>510273</v>
          </cell>
          <cell r="B6579" t="str">
            <v>KINACTIF PURITY OILY PACK 2015</v>
          </cell>
          <cell r="C6579" t="str">
            <v>8435057011297</v>
          </cell>
        </row>
        <row r="6580">
          <cell r="A6580">
            <v>510274</v>
          </cell>
          <cell r="B6580" t="str">
            <v>KINACTIF PURITY DRY PACK 2015</v>
          </cell>
          <cell r="C6580" t="str">
            <v>8435057011303</v>
          </cell>
        </row>
        <row r="6581">
          <cell r="A6581">
            <v>510275</v>
          </cell>
          <cell r="B6581" t="str">
            <v>KINACTIF BALANCE PACK 2015</v>
          </cell>
          <cell r="C6581" t="str">
            <v>8435057011310</v>
          </cell>
        </row>
        <row r="6582">
          <cell r="A6582">
            <v>510277</v>
          </cell>
          <cell r="B6582" t="str">
            <v>PACK RESCUE KIT</v>
          </cell>
          <cell r="C6582" t="str">
            <v>8435057011372</v>
          </cell>
        </row>
        <row r="6583">
          <cell r="A6583">
            <v>510281</v>
          </cell>
          <cell r="B6583" t="str">
            <v>KINACTIF SUNCARE RECONSTRUCTOR 150 ML</v>
          </cell>
          <cell r="C6583" t="str">
            <v>8435057011846</v>
          </cell>
        </row>
        <row r="6584">
          <cell r="A6584">
            <v>510282</v>
          </cell>
          <cell r="B6584" t="str">
            <v>KINACTIF SUNCARE PACK 2016</v>
          </cell>
          <cell r="C6584" t="str">
            <v>8435057058223</v>
          </cell>
        </row>
        <row r="6585">
          <cell r="A6585">
            <v>510283</v>
          </cell>
          <cell r="B6585" t="str">
            <v>KA SUNCARE LOTE 8 PACK 2016</v>
          </cell>
          <cell r="C6585" t="str">
            <v>8435057058230</v>
          </cell>
        </row>
        <row r="6586">
          <cell r="A6586">
            <v>510284</v>
          </cell>
          <cell r="B6586" t="str">
            <v>KA SUNCARE LOTE 12 PACK 2016</v>
          </cell>
          <cell r="C6586" t="str">
            <v>8435057058254</v>
          </cell>
        </row>
        <row r="6587">
          <cell r="A6587">
            <v>510286</v>
          </cell>
          <cell r="B6587" t="str">
            <v>KINACTIF SUNCARE PACK 2017</v>
          </cell>
          <cell r="C6587" t="str">
            <v>8435057058285</v>
          </cell>
        </row>
        <row r="6588">
          <cell r="A6588">
            <v>510287</v>
          </cell>
          <cell r="B6588" t="str">
            <v>KINACTIF LOTE SUNCARE 2017</v>
          </cell>
          <cell r="C6588" t="str">
            <v>8435057058308</v>
          </cell>
        </row>
        <row r="6589">
          <cell r="A6589">
            <v>510289</v>
          </cell>
          <cell r="B6589" t="str">
            <v>KINACTIF DUO PACK NUTRI</v>
          </cell>
          <cell r="C6589" t="str">
            <v>8435057013451</v>
          </cell>
        </row>
        <row r="6590">
          <cell r="A6590">
            <v>510290</v>
          </cell>
          <cell r="B6590" t="str">
            <v>KINACTIF DUO PACK ENERGY</v>
          </cell>
          <cell r="C6590" t="str">
            <v>8435057013468</v>
          </cell>
        </row>
        <row r="6591">
          <cell r="A6591">
            <v>510292</v>
          </cell>
          <cell r="B6591" t="str">
            <v>KINACTIF FORCE PACK + NECESER</v>
          </cell>
          <cell r="C6591" t="str">
            <v>8435057013727</v>
          </cell>
        </row>
        <row r="6592">
          <cell r="A6592">
            <v>510295</v>
          </cell>
          <cell r="B6592" t="str">
            <v>KINACTIF SUNCARE PACK 2018</v>
          </cell>
          <cell r="C6592" t="str">
            <v>8435057013734</v>
          </cell>
        </row>
        <row r="6593">
          <cell r="A6593">
            <v>510300</v>
          </cell>
          <cell r="B6593" t="str">
            <v>KINACTIF SUNCARE PACK</v>
          </cell>
          <cell r="C6593" t="str">
            <v>8435057014113</v>
          </cell>
        </row>
        <row r="6594">
          <cell r="A6594">
            <v>510302</v>
          </cell>
          <cell r="B6594" t="str">
            <v>KINACTIF FORCE PACK</v>
          </cell>
          <cell r="C6594" t="str">
            <v>8435057014199</v>
          </cell>
        </row>
        <row r="6595">
          <cell r="A6595">
            <v>510318</v>
          </cell>
          <cell r="B6595" t="str">
            <v>LOTE CAMPAÑA SUNCARE 2020</v>
          </cell>
          <cell r="C6595" t="str">
            <v>8435057014861</v>
          </cell>
        </row>
        <row r="6596">
          <cell r="A6596">
            <v>510319</v>
          </cell>
          <cell r="B6596" t="str">
            <v>KINACTIF COLOR SHAMPOO 300 ML</v>
          </cell>
          <cell r="C6596" t="str">
            <v>8435057015028</v>
          </cell>
        </row>
        <row r="6597">
          <cell r="A6597">
            <v>510320</v>
          </cell>
          <cell r="B6597" t="str">
            <v>KINACTIF SILVER SHAMPOO 300 ML</v>
          </cell>
          <cell r="C6597" t="str">
            <v>8435057015035</v>
          </cell>
        </row>
        <row r="6598">
          <cell r="A6598">
            <v>510321</v>
          </cell>
          <cell r="B6598" t="str">
            <v>KINACTIF CURL SHAMPOO 300 ML</v>
          </cell>
          <cell r="C6598" t="str">
            <v>8435057015042</v>
          </cell>
        </row>
        <row r="6599">
          <cell r="A6599">
            <v>510322</v>
          </cell>
          <cell r="B6599" t="str">
            <v>KINACTIF ENERGY SHAMPOO 300 ML</v>
          </cell>
          <cell r="C6599" t="str">
            <v>8435057015059</v>
          </cell>
        </row>
        <row r="6600">
          <cell r="A6600">
            <v>510323</v>
          </cell>
          <cell r="B6600" t="str">
            <v>KINACTIF LISS SHAMPOO 300 ML</v>
          </cell>
          <cell r="C6600" t="str">
            <v>8435057015066</v>
          </cell>
        </row>
        <row r="6601">
          <cell r="A6601">
            <v>510324</v>
          </cell>
          <cell r="B6601" t="str">
            <v>KINACTIF NUTRI 1 SHAMPOO SOFT 300 ML</v>
          </cell>
          <cell r="C6601" t="str">
            <v>8435057015073</v>
          </cell>
        </row>
        <row r="6602">
          <cell r="A6602">
            <v>510325</v>
          </cell>
          <cell r="B6602" t="str">
            <v>KINACTIF NUTRI 2 SHAMPOO RICH 300 ML</v>
          </cell>
          <cell r="C6602" t="str">
            <v>8435057015080</v>
          </cell>
        </row>
        <row r="6603">
          <cell r="A6603">
            <v>510326</v>
          </cell>
          <cell r="B6603" t="str">
            <v>KINACTIF NUTRI 3 SHAMPOO INT. 300 ML</v>
          </cell>
          <cell r="C6603" t="str">
            <v>8435057015097</v>
          </cell>
        </row>
        <row r="6604">
          <cell r="A6604">
            <v>510327</v>
          </cell>
          <cell r="B6604" t="str">
            <v>KINACTIF SUNCARE SHAMPOO 300 ML</v>
          </cell>
          <cell r="C6604" t="str">
            <v>8435057015103</v>
          </cell>
        </row>
        <row r="6605">
          <cell r="A6605">
            <v>510328</v>
          </cell>
          <cell r="B6605" t="str">
            <v>KINACTIF FORCE SHAMPOO 300 ML</v>
          </cell>
          <cell r="C6605" t="str">
            <v>8435057015110</v>
          </cell>
        </row>
        <row r="6606">
          <cell r="A6606">
            <v>510329</v>
          </cell>
          <cell r="B6606" t="str">
            <v>KINACTIF PURITY SHAMPOO DRY 300 ML</v>
          </cell>
          <cell r="C6606" t="str">
            <v>8435057015127</v>
          </cell>
        </row>
        <row r="6607">
          <cell r="A6607">
            <v>510330</v>
          </cell>
          <cell r="B6607" t="str">
            <v>KINACTIF PURITY SHAMPOO OILY 300 ML</v>
          </cell>
          <cell r="C6607" t="str">
            <v>8435057015134</v>
          </cell>
        </row>
        <row r="6608">
          <cell r="A6608">
            <v>510331</v>
          </cell>
          <cell r="B6608" t="str">
            <v>KINACTIF BALANCE SHAMPOO 300 ML</v>
          </cell>
          <cell r="C6608" t="str">
            <v>8435057015141</v>
          </cell>
        </row>
        <row r="6609">
          <cell r="A6609">
            <v>510332</v>
          </cell>
          <cell r="B6609" t="str">
            <v>KINACTIF CALM SHAMPOO 300 ML</v>
          </cell>
          <cell r="C6609" t="str">
            <v>8435057015158</v>
          </cell>
        </row>
        <row r="6610">
          <cell r="A6610">
            <v>510333</v>
          </cell>
          <cell r="B6610" t="str">
            <v>KINACTIF NUTRI CONDITIONER 300 ML</v>
          </cell>
          <cell r="C6610" t="str">
            <v>8435057017008</v>
          </cell>
        </row>
        <row r="6611">
          <cell r="A6611">
            <v>510334</v>
          </cell>
          <cell r="B6611" t="str">
            <v>KINACTIF COLOR CONDITIONER 300 ML</v>
          </cell>
          <cell r="C6611" t="str">
            <v>8435057017015</v>
          </cell>
        </row>
        <row r="6612">
          <cell r="A6612">
            <v>510335</v>
          </cell>
          <cell r="B6612" t="str">
            <v>KINACTIF LISS CONDITIONER 300 ML</v>
          </cell>
          <cell r="C6612" t="str">
            <v>8435057017022</v>
          </cell>
        </row>
        <row r="6613">
          <cell r="A6613">
            <v>510337</v>
          </cell>
          <cell r="B6613" t="str">
            <v>KINACTIF SUNCARE PACK FREE SHAMPOO 250 ML</v>
          </cell>
          <cell r="C6613" t="str">
            <v>8435057015226</v>
          </cell>
        </row>
        <row r="6614">
          <cell r="A6614">
            <v>510339</v>
          </cell>
          <cell r="B6614" t="str">
            <v>KINACTIF FORCE PACK</v>
          </cell>
          <cell r="C6614" t="str">
            <v>8435057016889</v>
          </cell>
        </row>
        <row r="6615">
          <cell r="A6615">
            <v>510341</v>
          </cell>
          <cell r="B6615" t="str">
            <v>KINACTIF SUNCARE PACK SHAMPOO 250 ML</v>
          </cell>
          <cell r="C6615" t="str">
            <v>8435057017213</v>
          </cell>
        </row>
        <row r="6616">
          <cell r="A6616">
            <v>510342</v>
          </cell>
          <cell r="B6616" t="str">
            <v>KINACTIF SUNCARE PACK SHAMPOO 300 ML</v>
          </cell>
          <cell r="C6616" t="str">
            <v>8435057017220</v>
          </cell>
        </row>
        <row r="6617">
          <cell r="A6617">
            <v>511001</v>
          </cell>
          <cell r="B6617" t="str">
            <v>KINACTIF DEEP CARE BASE 250 ML</v>
          </cell>
          <cell r="C6617" t="str">
            <v>8435057018005</v>
          </cell>
        </row>
        <row r="6618">
          <cell r="A6618">
            <v>511002</v>
          </cell>
          <cell r="B6618" t="str">
            <v>KINACTIF DAILY MOISTURIZING SHAMPOO 300 ML</v>
          </cell>
          <cell r="C6618" t="str">
            <v>8435057018012</v>
          </cell>
        </row>
        <row r="6619">
          <cell r="A6619">
            <v>511003</v>
          </cell>
          <cell r="B6619" t="str">
            <v>KINACTIF DAILY MOISTURIZING SHAMPOO 1.000 ML</v>
          </cell>
          <cell r="C6619" t="str">
            <v>8435057018029</v>
          </cell>
        </row>
        <row r="6620">
          <cell r="A6620">
            <v>511004</v>
          </cell>
          <cell r="B6620" t="str">
            <v>KINACTIF RICH NOURISHING SHAMPOO 300 ML</v>
          </cell>
          <cell r="C6620" t="str">
            <v>8435057018036</v>
          </cell>
        </row>
        <row r="6621">
          <cell r="A6621">
            <v>511005</v>
          </cell>
          <cell r="B6621" t="str">
            <v>KINACTIF RICH NOURISHING SHAMPOO 1.000 ML</v>
          </cell>
          <cell r="C6621" t="str">
            <v>8435057018043</v>
          </cell>
        </row>
        <row r="6622">
          <cell r="A6622">
            <v>511006</v>
          </cell>
          <cell r="B6622" t="str">
            <v>KINACTIF NOURISHING 2-IN-1 MASK 200 ML</v>
          </cell>
          <cell r="C6622" t="str">
            <v>8435057018050</v>
          </cell>
        </row>
        <row r="6623">
          <cell r="A6623">
            <v>511007</v>
          </cell>
          <cell r="B6623" t="str">
            <v>KINACTIF NOURISHING 2-IN-1 MASK 900 ML</v>
          </cell>
          <cell r="C6623" t="str">
            <v>8435057018067</v>
          </cell>
        </row>
        <row r="6624">
          <cell r="A6624">
            <v>511008</v>
          </cell>
          <cell r="B6624" t="str">
            <v>KINACTIF INTENSIVE NOURISHING SHOT 100 ML</v>
          </cell>
          <cell r="C6624" t="str">
            <v>8435057018074</v>
          </cell>
        </row>
        <row r="6625">
          <cell r="A6625">
            <v>511009</v>
          </cell>
          <cell r="B6625" t="str">
            <v>KINACTIF MOISTURIZING CONDITIONING SPRAY 200 ML</v>
          </cell>
          <cell r="C6625" t="str">
            <v>8435057018081</v>
          </cell>
        </row>
        <row r="6626">
          <cell r="A6626">
            <v>511010</v>
          </cell>
          <cell r="B6626" t="str">
            <v>KINACTIF NOURISHING MELTING EXTRACT 150 ML</v>
          </cell>
          <cell r="C6626" t="str">
            <v>8435057018098</v>
          </cell>
        </row>
        <row r="6627">
          <cell r="A6627">
            <v>511011</v>
          </cell>
          <cell r="B6627" t="str">
            <v>KINACTIF RICH RECONSTRUCTING SHAMPOO 300 ML</v>
          </cell>
          <cell r="C6627" t="str">
            <v>8435057018104</v>
          </cell>
        </row>
        <row r="6628">
          <cell r="A6628">
            <v>511012</v>
          </cell>
          <cell r="B6628" t="str">
            <v>KINACTIF RICH RECONSTRUCTING SHAMPOO 1.000 ML</v>
          </cell>
          <cell r="C6628" t="str">
            <v>8435057018111</v>
          </cell>
        </row>
        <row r="6629">
          <cell r="A6629">
            <v>511013</v>
          </cell>
          <cell r="B6629" t="str">
            <v>KINACTIF RECONSTRUCTING 2-IN-1 MASK 200 ML</v>
          </cell>
          <cell r="C6629" t="str">
            <v>8435057018128</v>
          </cell>
        </row>
        <row r="6630">
          <cell r="A6630">
            <v>511014</v>
          </cell>
          <cell r="B6630" t="str">
            <v>KINACTIF RECONSTRUCTING 2-IN-1 MASK 900 ML</v>
          </cell>
          <cell r="C6630" t="str">
            <v>8435057018135</v>
          </cell>
        </row>
        <row r="6631">
          <cell r="A6631">
            <v>511015</v>
          </cell>
          <cell r="B6631" t="str">
            <v>KINACTIF INTENSIVE RECONSTRUCTING SHOT 100 ML</v>
          </cell>
          <cell r="C6631" t="str">
            <v>8435057018142</v>
          </cell>
        </row>
        <row r="6632">
          <cell r="A6632">
            <v>511016</v>
          </cell>
          <cell r="B6632" t="str">
            <v>KINACTIF RECONSTRUCTING MELTING EXTRACT 150 ML</v>
          </cell>
          <cell r="C6632" t="str">
            <v>8435057018159</v>
          </cell>
        </row>
        <row r="6633">
          <cell r="A6633">
            <v>511017</v>
          </cell>
          <cell r="B6633" t="str">
            <v>KINACTIF MILD EXPANDING SHAMPOO 300 ML</v>
          </cell>
          <cell r="C6633" t="str">
            <v>8435057018166</v>
          </cell>
        </row>
        <row r="6634">
          <cell r="A6634">
            <v>511018</v>
          </cell>
          <cell r="B6634" t="str">
            <v>KINACTIF MILD EXPANDING SHAMPOO 1.000 ML</v>
          </cell>
          <cell r="C6634" t="str">
            <v>8435057018173</v>
          </cell>
        </row>
        <row r="6635">
          <cell r="A6635">
            <v>511019</v>
          </cell>
          <cell r="B6635" t="str">
            <v>KINACTIF EXPANDING 2-IN-1 MASK 200 ML</v>
          </cell>
          <cell r="C6635" t="str">
            <v>8435057018180</v>
          </cell>
        </row>
        <row r="6636">
          <cell r="A6636">
            <v>511020</v>
          </cell>
          <cell r="B6636" t="str">
            <v>KINACTIF EXPANDING ROOT FOAM 150 ML</v>
          </cell>
          <cell r="C6636" t="str">
            <v>8435057018197</v>
          </cell>
        </row>
        <row r="6637">
          <cell r="A6637">
            <v>511021</v>
          </cell>
          <cell r="B6637" t="str">
            <v>KINACTIF CALMING AFTER S. SHAMPOO &amp; SH. GEL 300 ML</v>
          </cell>
          <cell r="C6637" t="str">
            <v>8435057018203</v>
          </cell>
        </row>
        <row r="6638">
          <cell r="A6638">
            <v>511022</v>
          </cell>
          <cell r="B6638" t="str">
            <v>KINACTIF CALMING AFTER SUN 2-IN-1 MASK 200 ML</v>
          </cell>
          <cell r="C6638" t="str">
            <v>8435057018210</v>
          </cell>
        </row>
        <row r="6639">
          <cell r="A6639">
            <v>511023</v>
          </cell>
          <cell r="B6639" t="str">
            <v>KINACTIF SUN PROTECTIVE SHIELD MILK 200 ML</v>
          </cell>
          <cell r="C6639" t="str">
            <v>8435057018227</v>
          </cell>
        </row>
        <row r="6640">
          <cell r="A6640">
            <v>511024</v>
          </cell>
          <cell r="B6640" t="str">
            <v>PACK SACHETS KINACTIF DAILY MOISTURIZING SHAMPOO</v>
          </cell>
          <cell r="C6640" t="str">
            <v>8435057018500</v>
          </cell>
        </row>
        <row r="6641">
          <cell r="A6641">
            <v>511025</v>
          </cell>
          <cell r="B6641" t="str">
            <v>PACK SACHETS KINACTIF RICH NOURISHING SHAMPOO</v>
          </cell>
          <cell r="C6641" t="str">
            <v>8435057018517</v>
          </cell>
        </row>
        <row r="6642">
          <cell r="A6642">
            <v>511026</v>
          </cell>
          <cell r="B6642" t="str">
            <v>PACK SACHETS KINACTIF NOURISHING 2-IN-1 MASK</v>
          </cell>
          <cell r="C6642" t="str">
            <v>8435057018524</v>
          </cell>
        </row>
        <row r="6643">
          <cell r="A6643">
            <v>511027</v>
          </cell>
          <cell r="B6643" t="str">
            <v>PACK SACHETS KINACTIF NOURISHING MELTING EXTRACT</v>
          </cell>
          <cell r="C6643" t="str">
            <v>8435057018531</v>
          </cell>
        </row>
        <row r="6644">
          <cell r="A6644">
            <v>511028</v>
          </cell>
          <cell r="B6644" t="str">
            <v>PACK SACHETS KINACTIF RICH RECONSTRUCTING SHAMPOO</v>
          </cell>
          <cell r="C6644" t="str">
            <v>8435057018548</v>
          </cell>
        </row>
        <row r="6645">
          <cell r="A6645">
            <v>511029</v>
          </cell>
          <cell r="B6645" t="str">
            <v>PACK SACHETS KINACTIF RECONSTRUCTING 2-IN-1 MASK</v>
          </cell>
          <cell r="C6645" t="str">
            <v>8435057018555</v>
          </cell>
        </row>
        <row r="6646">
          <cell r="A6646">
            <v>511030</v>
          </cell>
          <cell r="B6646" t="str">
            <v>PACK SACHETS KINACTIF RECONSTRUCTING MELT. EXTRACT</v>
          </cell>
          <cell r="C6646" t="str">
            <v>8435057018562</v>
          </cell>
        </row>
        <row r="6647">
          <cell r="A6647">
            <v>511031</v>
          </cell>
          <cell r="B6647" t="str">
            <v>PACK SACHETS KINACTIF MILD EXPANDING SHAMPOO</v>
          </cell>
          <cell r="C6647" t="str">
            <v>8435057018579</v>
          </cell>
        </row>
        <row r="6648">
          <cell r="A6648">
            <v>511032</v>
          </cell>
          <cell r="B6648" t="str">
            <v>PACK SACHETS KINACTIF EXPANDING 2-IN-1 MASK</v>
          </cell>
          <cell r="C6648" t="str">
            <v>8435057018586</v>
          </cell>
        </row>
        <row r="6649">
          <cell r="A6649">
            <v>511033</v>
          </cell>
          <cell r="B6649" t="str">
            <v>KINACTIF DAILY MOISTURIZING SHAMPOO 50 ML</v>
          </cell>
          <cell r="C6649" t="str">
            <v>8435057018616</v>
          </cell>
        </row>
        <row r="6650">
          <cell r="A6650">
            <v>512001</v>
          </cell>
          <cell r="B6650" t="str">
            <v>KINESSENCES SHAMPOO 300 ML</v>
          </cell>
          <cell r="C6650" t="str">
            <v>8435057010269</v>
          </cell>
        </row>
        <row r="6651">
          <cell r="A6651">
            <v>512002</v>
          </cell>
          <cell r="B6651" t="str">
            <v>KINESSENCES SHAMPOO OES 60 ML</v>
          </cell>
          <cell r="C6651" t="str">
            <v>8435057010276</v>
          </cell>
        </row>
        <row r="6652">
          <cell r="A6652">
            <v>512003</v>
          </cell>
          <cell r="B6652" t="str">
            <v>KINESSENCES MASK 200 ML</v>
          </cell>
          <cell r="C6652" t="str">
            <v>8435057010283</v>
          </cell>
        </row>
        <row r="6653">
          <cell r="A6653">
            <v>512004</v>
          </cell>
          <cell r="B6653" t="str">
            <v>KINESSENCES MASK OES 60 ML.</v>
          </cell>
          <cell r="C6653" t="str">
            <v>8435057010290</v>
          </cell>
        </row>
        <row r="6654">
          <cell r="A6654">
            <v>512005</v>
          </cell>
          <cell r="B6654" t="str">
            <v>KINESSENCES OIL 30 ML</v>
          </cell>
          <cell r="C6654" t="str">
            <v>8435057011433</v>
          </cell>
        </row>
        <row r="6655">
          <cell r="A6655">
            <v>512005</v>
          </cell>
          <cell r="B6655" t="str">
            <v>KINESSENCES OIL 30 ML</v>
          </cell>
          <cell r="C6655" t="str">
            <v>8435057011440</v>
          </cell>
        </row>
        <row r="6656">
          <cell r="A6656">
            <v>512005</v>
          </cell>
          <cell r="B6656" t="str">
            <v>KINESSENCES OIL 30 ML</v>
          </cell>
          <cell r="C6656" t="str">
            <v>8435057010306</v>
          </cell>
        </row>
        <row r="6657">
          <cell r="A6657">
            <v>512006</v>
          </cell>
          <cell r="B6657" t="str">
            <v>KINESSENCES OIL 10 ML</v>
          </cell>
          <cell r="C6657" t="str">
            <v>8435057010313</v>
          </cell>
        </row>
        <row r="6658">
          <cell r="A6658">
            <v>512007</v>
          </cell>
          <cell r="B6658" t="str">
            <v>KINESSENCES OIL CAJA EXPENDED.</v>
          </cell>
          <cell r="C6658" t="str">
            <v>8435057058148</v>
          </cell>
        </row>
        <row r="6659">
          <cell r="A6659">
            <v>512008</v>
          </cell>
          <cell r="B6659" t="str">
            <v>KINESSENCES KIT MINI</v>
          </cell>
          <cell r="C6659" t="str">
            <v>8435057058155</v>
          </cell>
        </row>
        <row r="6660">
          <cell r="A6660">
            <v>512009</v>
          </cell>
          <cell r="B6660" t="str">
            <v>KINESSENCES MALETA 3 PROD</v>
          </cell>
          <cell r="C6660" t="str">
            <v>0000000512009</v>
          </cell>
        </row>
        <row r="6661">
          <cell r="A6661">
            <v>512010</v>
          </cell>
          <cell r="B6661" t="str">
            <v>KINESSENCES LOTE 6 UDS</v>
          </cell>
          <cell r="C6661" t="str">
            <v>0000000512010</v>
          </cell>
        </row>
        <row r="6662">
          <cell r="A6662">
            <v>512011</v>
          </cell>
          <cell r="B6662" t="str">
            <v>KINESSENCES LOTE 12 UDS</v>
          </cell>
          <cell r="C6662" t="str">
            <v>0000000512011</v>
          </cell>
        </row>
        <row r="6663">
          <cell r="A6663">
            <v>512012</v>
          </cell>
          <cell r="B6663" t="str">
            <v>KINESSENCES LOTE 12 UDS...</v>
          </cell>
          <cell r="C6663" t="str">
            <v>0000000512012</v>
          </cell>
        </row>
        <row r="6664">
          <cell r="A6664">
            <v>512015</v>
          </cell>
          <cell r="B6664" t="str">
            <v>KINESSENCES PACK RETAIL</v>
          </cell>
          <cell r="C6664" t="str">
            <v>8435057010504</v>
          </cell>
        </row>
        <row r="6665">
          <cell r="A6665">
            <v>512016</v>
          </cell>
          <cell r="B6665" t="str">
            <v>KINESSENCES LOT 12 PACKS</v>
          </cell>
          <cell r="C6665" t="str">
            <v>0000000512016</v>
          </cell>
        </row>
        <row r="6666">
          <cell r="A6666">
            <v>512018</v>
          </cell>
          <cell r="B6666" t="str">
            <v>KINESSENCES OIL CREAM 50 ML</v>
          </cell>
          <cell r="C6666" t="str">
            <v>8435057010603</v>
          </cell>
        </row>
        <row r="6667">
          <cell r="A6667">
            <v>512019</v>
          </cell>
          <cell r="B6667" t="str">
            <v>KINESSENCES OIL CREAM EXP T/50</v>
          </cell>
          <cell r="C6667" t="str">
            <v>8435057010603</v>
          </cell>
        </row>
        <row r="6668">
          <cell r="A6668">
            <v>512020</v>
          </cell>
          <cell r="B6668" t="str">
            <v>KINESSENCE MASK ESTUCHE SOBRE</v>
          </cell>
          <cell r="C6668" t="str">
            <v>8435057058179</v>
          </cell>
        </row>
        <row r="6669">
          <cell r="A6669">
            <v>512023</v>
          </cell>
          <cell r="B6669" t="str">
            <v>KINESSENCES MASK C/EXPENDEDORA</v>
          </cell>
          <cell r="C6669" t="str">
            <v>8435057010672</v>
          </cell>
        </row>
        <row r="6670">
          <cell r="A6670">
            <v>512024</v>
          </cell>
          <cell r="B6670" t="str">
            <v>SACHET OIL CREAM 3 ML</v>
          </cell>
          <cell r="C6670" t="str">
            <v>8435057010771</v>
          </cell>
        </row>
        <row r="6671">
          <cell r="A6671">
            <v>512025</v>
          </cell>
          <cell r="B6671" t="str">
            <v>KINESSENCES INTRO KIT</v>
          </cell>
          <cell r="C6671" t="str">
            <v>8435057010696</v>
          </cell>
        </row>
        <row r="6672">
          <cell r="A6672">
            <v>512028</v>
          </cell>
          <cell r="B6672" t="str">
            <v>KINESSENCES DEVELOPER 12V 1000</v>
          </cell>
          <cell r="C6672" t="str">
            <v>8435057010788</v>
          </cell>
        </row>
        <row r="6673">
          <cell r="A6673">
            <v>512029</v>
          </cell>
          <cell r="B6673" t="str">
            <v>KINESSENCES DEVELOPER 24V 1000</v>
          </cell>
          <cell r="C6673" t="str">
            <v>8435057010795</v>
          </cell>
        </row>
        <row r="6674">
          <cell r="A6674">
            <v>512030</v>
          </cell>
          <cell r="B6674" t="str">
            <v>KINESSENCES DEVELOPER 36V 1000</v>
          </cell>
          <cell r="C6674" t="str">
            <v>8435057010801</v>
          </cell>
        </row>
        <row r="6675">
          <cell r="A6675">
            <v>512031</v>
          </cell>
          <cell r="B6675" t="str">
            <v>KINESSENCES DEVELOPER 12V 60 ML</v>
          </cell>
          <cell r="C6675" t="str">
            <v>8435057010818</v>
          </cell>
        </row>
        <row r="6676">
          <cell r="A6676">
            <v>512032</v>
          </cell>
          <cell r="B6676" t="str">
            <v>KINESSENCES DEVELOPER 24V 60</v>
          </cell>
          <cell r="C6676" t="str">
            <v>8435057010825</v>
          </cell>
        </row>
        <row r="6677">
          <cell r="A6677">
            <v>512033</v>
          </cell>
          <cell r="B6677" t="str">
            <v>KINESSENCES DEVELOPER 36V 60 ML</v>
          </cell>
          <cell r="C6677" t="str">
            <v>8435057010832</v>
          </cell>
        </row>
        <row r="6678">
          <cell r="A6678">
            <v>512034</v>
          </cell>
          <cell r="B6678" t="str">
            <v>KINESSENCES COLOR nº 1.0</v>
          </cell>
          <cell r="C6678" t="str">
            <v>KE10</v>
          </cell>
        </row>
        <row r="6679">
          <cell r="A6679">
            <v>512034</v>
          </cell>
          <cell r="B6679" t="str">
            <v>KINESSENCES COLOR nº 1.0</v>
          </cell>
          <cell r="C6679" t="str">
            <v>8435057010849</v>
          </cell>
        </row>
        <row r="6680">
          <cell r="A6680">
            <v>512035</v>
          </cell>
          <cell r="B6680" t="str">
            <v>KINESSENCES COLOR nº 3.0</v>
          </cell>
          <cell r="C6680" t="str">
            <v>8435057010856</v>
          </cell>
        </row>
        <row r="6681">
          <cell r="A6681">
            <v>512036</v>
          </cell>
          <cell r="B6681" t="str">
            <v>KINESSENCES COLOR nº 4.0</v>
          </cell>
          <cell r="C6681" t="str">
            <v>8435057010863</v>
          </cell>
        </row>
        <row r="6682">
          <cell r="A6682">
            <v>512037</v>
          </cell>
          <cell r="B6682" t="str">
            <v>KINESSENCES COLOR nº 5.0</v>
          </cell>
          <cell r="C6682" t="str">
            <v>8435057010870</v>
          </cell>
        </row>
        <row r="6683">
          <cell r="A6683">
            <v>512038</v>
          </cell>
          <cell r="B6683" t="str">
            <v>KINESSENCES COLOR nº 6.0</v>
          </cell>
          <cell r="C6683" t="str">
            <v>8435057010887</v>
          </cell>
        </row>
        <row r="6684">
          <cell r="A6684">
            <v>512039</v>
          </cell>
          <cell r="B6684" t="str">
            <v>KINESSENCES COLOR nº 7.0</v>
          </cell>
          <cell r="C6684" t="str">
            <v>8435057010894</v>
          </cell>
        </row>
        <row r="6685">
          <cell r="A6685">
            <v>512040</v>
          </cell>
          <cell r="B6685" t="str">
            <v>KINESSENCES COLOR nº 8.0</v>
          </cell>
          <cell r="C6685" t="str">
            <v>8435057010900</v>
          </cell>
        </row>
        <row r="6686">
          <cell r="A6686">
            <v>512041</v>
          </cell>
          <cell r="B6686" t="str">
            <v>KINESSENCES COLOR nº 9.0</v>
          </cell>
          <cell r="C6686" t="str">
            <v>8435057010917</v>
          </cell>
        </row>
        <row r="6687">
          <cell r="A6687">
            <v>512042</v>
          </cell>
          <cell r="B6687" t="str">
            <v>KINESSENCES COLOR nº 10.0</v>
          </cell>
          <cell r="C6687" t="str">
            <v>8435057010924</v>
          </cell>
        </row>
        <row r="6688">
          <cell r="A6688">
            <v>512043</v>
          </cell>
          <cell r="B6688" t="str">
            <v>KINESSENCES COLOR nº 8.1</v>
          </cell>
          <cell r="C6688" t="str">
            <v>8435057010931</v>
          </cell>
        </row>
        <row r="6689">
          <cell r="A6689">
            <v>512044</v>
          </cell>
          <cell r="B6689" t="str">
            <v>KINESSENCES COLOR nº 10.1</v>
          </cell>
          <cell r="C6689" t="str">
            <v>8435057010948</v>
          </cell>
        </row>
        <row r="6690">
          <cell r="A6690">
            <v>512045</v>
          </cell>
          <cell r="B6690" t="str">
            <v>KINESSENCES COLOR nº 7.3</v>
          </cell>
          <cell r="C6690" t="str">
            <v>8435057010955</v>
          </cell>
        </row>
        <row r="6691">
          <cell r="A6691">
            <v>512046</v>
          </cell>
          <cell r="B6691" t="str">
            <v>KINESSENCES COLOR nº 8.3</v>
          </cell>
          <cell r="C6691" t="str">
            <v>8435057010962</v>
          </cell>
        </row>
        <row r="6692">
          <cell r="A6692">
            <v>512047</v>
          </cell>
          <cell r="B6692" t="str">
            <v>KINESSENCES COLOR nº 7.32</v>
          </cell>
          <cell r="C6692" t="str">
            <v>8435057010979</v>
          </cell>
        </row>
        <row r="6693">
          <cell r="A6693">
            <v>512048</v>
          </cell>
          <cell r="B6693" t="str">
            <v>KINESSENCES COLOR nº 8.32</v>
          </cell>
          <cell r="C6693" t="str">
            <v>8435057010986</v>
          </cell>
        </row>
        <row r="6694">
          <cell r="A6694">
            <v>512049</v>
          </cell>
          <cell r="B6694" t="str">
            <v>KINESSENCES COLOR nº 9.32</v>
          </cell>
          <cell r="C6694" t="str">
            <v>8435057010993</v>
          </cell>
        </row>
        <row r="6695">
          <cell r="A6695">
            <v>512050</v>
          </cell>
          <cell r="B6695" t="str">
            <v>KINESSENCES COLOR nº 8.34</v>
          </cell>
          <cell r="C6695" t="str">
            <v>8435057011006</v>
          </cell>
        </row>
        <row r="6696">
          <cell r="A6696">
            <v>512051</v>
          </cell>
          <cell r="B6696" t="str">
            <v>KINESSENCES COLOR 7.44</v>
          </cell>
          <cell r="C6696" t="str">
            <v>8435057011013</v>
          </cell>
        </row>
        <row r="6697">
          <cell r="A6697">
            <v>512052</v>
          </cell>
          <cell r="B6697" t="str">
            <v>KINESSENCES COLOR nº 5.50</v>
          </cell>
          <cell r="C6697" t="str">
            <v>8435057011020</v>
          </cell>
        </row>
        <row r="6698">
          <cell r="A6698">
            <v>512053</v>
          </cell>
          <cell r="B6698" t="str">
            <v>KINESSENCES COLOR nº 6.50</v>
          </cell>
          <cell r="C6698" t="str">
            <v>8435057011037</v>
          </cell>
        </row>
        <row r="6699">
          <cell r="A6699">
            <v>512054</v>
          </cell>
          <cell r="B6699" t="str">
            <v>KINESSENCES COLOR nº 7.50</v>
          </cell>
          <cell r="C6699" t="str">
            <v>8435057011044</v>
          </cell>
        </row>
        <row r="6700">
          <cell r="A6700">
            <v>512055</v>
          </cell>
          <cell r="B6700" t="str">
            <v>KINESSENCES COLOR nº 4.51</v>
          </cell>
          <cell r="C6700" t="str">
            <v>8435057011051</v>
          </cell>
        </row>
        <row r="6701">
          <cell r="A6701">
            <v>512056</v>
          </cell>
          <cell r="B6701" t="str">
            <v>KINESSENCES COLOR nº 6.51</v>
          </cell>
          <cell r="C6701" t="str">
            <v>8435057011068</v>
          </cell>
        </row>
        <row r="6702">
          <cell r="A6702">
            <v>512057</v>
          </cell>
          <cell r="B6702" t="str">
            <v>KINESSENCES COLOR nº 8.51</v>
          </cell>
          <cell r="C6702" t="str">
            <v>8435057011075</v>
          </cell>
        </row>
        <row r="6703">
          <cell r="A6703">
            <v>512058</v>
          </cell>
          <cell r="B6703" t="str">
            <v>KINESSENCES COLOR nº 6.53</v>
          </cell>
          <cell r="C6703" t="str">
            <v>8435057011082</v>
          </cell>
        </row>
        <row r="6704">
          <cell r="A6704">
            <v>512059</v>
          </cell>
          <cell r="B6704" t="str">
            <v>KINESSENCES COLOR nº 8.53</v>
          </cell>
          <cell r="C6704" t="str">
            <v>8435057011099</v>
          </cell>
        </row>
        <row r="6705">
          <cell r="A6705">
            <v>512060</v>
          </cell>
          <cell r="B6705" t="str">
            <v>KINESSENCES COLOR nº 7.56</v>
          </cell>
          <cell r="C6705" t="str">
            <v>8435057011105</v>
          </cell>
        </row>
        <row r="6706">
          <cell r="A6706">
            <v>512061</v>
          </cell>
          <cell r="B6706" t="str">
            <v>KINESSENCES COLOR nº 6.66</v>
          </cell>
          <cell r="C6706" t="str">
            <v>8435057011112</v>
          </cell>
        </row>
        <row r="6707">
          <cell r="A6707">
            <v>512062</v>
          </cell>
          <cell r="B6707" t="str">
            <v>KINESSENCES COLOR nº 5.67</v>
          </cell>
          <cell r="C6707" t="str">
            <v>8435057011129</v>
          </cell>
        </row>
        <row r="6708">
          <cell r="A6708">
            <v>512063</v>
          </cell>
          <cell r="B6708" t="str">
            <v>KINESSENCES COLOR nº 4.77</v>
          </cell>
          <cell r="C6708" t="str">
            <v>8435057011136</v>
          </cell>
        </row>
        <row r="6709">
          <cell r="A6709">
            <v>512065</v>
          </cell>
          <cell r="B6709" t="str">
            <v>KINESSENCES CREMA MANOS 30 ML</v>
          </cell>
          <cell r="C6709" t="str">
            <v>8435057011242</v>
          </cell>
        </row>
        <row r="6710">
          <cell r="A6710">
            <v>512068</v>
          </cell>
          <cell r="B6710" t="str">
            <v>KINESSENCES SHAMPOO 1.000 ML</v>
          </cell>
          <cell r="C6710" t="str">
            <v>8435057011273</v>
          </cell>
        </row>
        <row r="6711">
          <cell r="A6711">
            <v>512069</v>
          </cell>
          <cell r="B6711" t="str">
            <v>KINESSENCES MASK 900 ML</v>
          </cell>
          <cell r="C6711" t="str">
            <v>8435057011280</v>
          </cell>
        </row>
        <row r="6712">
          <cell r="A6712">
            <v>512070</v>
          </cell>
          <cell r="B6712" t="str">
            <v>KINESSENCES OIL CREAM 20 ML</v>
          </cell>
          <cell r="C6712" t="str">
            <v>8435057011396</v>
          </cell>
        </row>
        <row r="6713">
          <cell r="A6713">
            <v>512073</v>
          </cell>
          <cell r="B6713" t="str">
            <v>KINESSENCES CREMA DE MANOS 75 ML</v>
          </cell>
          <cell r="C6713" t="str">
            <v>8435057011426</v>
          </cell>
        </row>
        <row r="6714">
          <cell r="A6714">
            <v>512074</v>
          </cell>
          <cell r="B6714" t="str">
            <v>KINESSENCES DEVELOPER 6V 1000</v>
          </cell>
          <cell r="C6714" t="str">
            <v>8435057011808</v>
          </cell>
        </row>
        <row r="6715">
          <cell r="A6715">
            <v>512075</v>
          </cell>
          <cell r="B6715" t="str">
            <v>KINESSENCES DEVELOPER 6V 120</v>
          </cell>
          <cell r="C6715" t="str">
            <v>8435057011815</v>
          </cell>
        </row>
        <row r="6716">
          <cell r="A6716">
            <v>512076</v>
          </cell>
          <cell r="B6716" t="str">
            <v>KINESSENCES COLOR 5.02</v>
          </cell>
          <cell r="C6716" t="str">
            <v>8435057011464</v>
          </cell>
        </row>
        <row r="6717">
          <cell r="A6717">
            <v>512077</v>
          </cell>
          <cell r="B6717" t="str">
            <v>KINESSENCES COLOR 6.02</v>
          </cell>
          <cell r="C6717" t="str">
            <v>8435057011471</v>
          </cell>
        </row>
        <row r="6718">
          <cell r="A6718">
            <v>512078</v>
          </cell>
          <cell r="B6718" t="str">
            <v>KINESSENCES COLOR 7.02</v>
          </cell>
          <cell r="C6718" t="str">
            <v>8435057011488</v>
          </cell>
        </row>
        <row r="6719">
          <cell r="A6719">
            <v>512079</v>
          </cell>
          <cell r="B6719" t="str">
            <v>KINESSENCES COLOR 8.02</v>
          </cell>
          <cell r="C6719" t="str">
            <v>8435057011495</v>
          </cell>
        </row>
        <row r="6720">
          <cell r="A6720">
            <v>512080</v>
          </cell>
          <cell r="B6720" t="str">
            <v>KINESSENCES COLOR 9.02</v>
          </cell>
          <cell r="C6720" t="str">
            <v>8435057011501</v>
          </cell>
        </row>
        <row r="6721">
          <cell r="A6721">
            <v>512081</v>
          </cell>
          <cell r="B6721" t="str">
            <v>KINESSENCES COLOR 1.1</v>
          </cell>
          <cell r="C6721" t="str">
            <v>8435057011518</v>
          </cell>
        </row>
        <row r="6722">
          <cell r="A6722">
            <v>512082</v>
          </cell>
          <cell r="B6722" t="str">
            <v>KINESSENCES COLOR 6.1</v>
          </cell>
          <cell r="C6722" t="str">
            <v>8435057011525</v>
          </cell>
        </row>
        <row r="6723">
          <cell r="A6723">
            <v>512083</v>
          </cell>
          <cell r="B6723" t="str">
            <v>KINESSENCES COLOR 7.1</v>
          </cell>
          <cell r="C6723" t="str">
            <v>8435057011532</v>
          </cell>
        </row>
        <row r="6724">
          <cell r="A6724">
            <v>512084</v>
          </cell>
          <cell r="B6724" t="str">
            <v>KINESSENCES COLOR 9.1</v>
          </cell>
          <cell r="C6724" t="str">
            <v>8435057011549</v>
          </cell>
        </row>
        <row r="6725">
          <cell r="A6725">
            <v>512085</v>
          </cell>
          <cell r="B6725" t="str">
            <v>KINESSENCES COLOR 9.21</v>
          </cell>
          <cell r="C6725" t="str">
            <v>8435057011556</v>
          </cell>
        </row>
        <row r="6726">
          <cell r="A6726">
            <v>512086</v>
          </cell>
          <cell r="B6726" t="str">
            <v>KINESSENCES COLOR 7.23</v>
          </cell>
          <cell r="C6726" t="str">
            <v>8435057011563</v>
          </cell>
        </row>
        <row r="6727">
          <cell r="A6727">
            <v>512087</v>
          </cell>
          <cell r="B6727" t="str">
            <v>KINESSENCES COLOR 9.23</v>
          </cell>
          <cell r="C6727" t="str">
            <v>8435057011570</v>
          </cell>
        </row>
        <row r="6728">
          <cell r="A6728">
            <v>512088</v>
          </cell>
          <cell r="B6728" t="str">
            <v>KINESSENCES COLOR 6.3</v>
          </cell>
          <cell r="C6728" t="str">
            <v>8435057011587</v>
          </cell>
        </row>
        <row r="6729">
          <cell r="A6729">
            <v>512089</v>
          </cell>
          <cell r="B6729" t="str">
            <v>KINESSENCES COLOR 9.3</v>
          </cell>
          <cell r="C6729" t="str">
            <v>8435057011594</v>
          </cell>
        </row>
        <row r="6730">
          <cell r="A6730">
            <v>512090</v>
          </cell>
          <cell r="B6730" t="str">
            <v>KINESSENCES COLOR 7.31</v>
          </cell>
          <cell r="C6730" t="str">
            <v>8435057011600</v>
          </cell>
        </row>
        <row r="6731">
          <cell r="A6731">
            <v>512091</v>
          </cell>
          <cell r="B6731" t="str">
            <v>KINESSENCES COLOR 8.31</v>
          </cell>
          <cell r="C6731" t="str">
            <v>8435057011617</v>
          </cell>
        </row>
        <row r="6732">
          <cell r="A6732">
            <v>512092</v>
          </cell>
          <cell r="B6732" t="str">
            <v>KINESSENCES COLOR 6.32</v>
          </cell>
          <cell r="C6732" t="str">
            <v>8435057011624</v>
          </cell>
        </row>
        <row r="6733">
          <cell r="A6733">
            <v>512093</v>
          </cell>
          <cell r="B6733" t="str">
            <v>KINESSENCES COLOR 10.32</v>
          </cell>
          <cell r="C6733" t="str">
            <v>8435057011631</v>
          </cell>
        </row>
        <row r="6734">
          <cell r="A6734">
            <v>512094</v>
          </cell>
          <cell r="B6734" t="str">
            <v>KINESSENCES COLOR 6.34</v>
          </cell>
          <cell r="C6734" t="str">
            <v>8435057011648</v>
          </cell>
        </row>
        <row r="6735">
          <cell r="A6735">
            <v>512095</v>
          </cell>
          <cell r="B6735" t="str">
            <v>KINESSENCES COLOR 7.4</v>
          </cell>
          <cell r="C6735" t="str">
            <v>8435057011655</v>
          </cell>
        </row>
        <row r="6736">
          <cell r="A6736">
            <v>512096</v>
          </cell>
          <cell r="B6736" t="str">
            <v>KINESSENCES COLOR 6.43</v>
          </cell>
          <cell r="C6736" t="str">
            <v>8435057011662</v>
          </cell>
        </row>
        <row r="6737">
          <cell r="A6737">
            <v>512097</v>
          </cell>
          <cell r="B6737" t="str">
            <v>KINESSENCES COLOR 8.43</v>
          </cell>
          <cell r="C6737" t="str">
            <v>8435057011679</v>
          </cell>
        </row>
        <row r="6738">
          <cell r="A6738">
            <v>512098</v>
          </cell>
          <cell r="B6738" t="str">
            <v>KINESSENCES COLOR 8.44</v>
          </cell>
          <cell r="C6738" t="str">
            <v>8435057011686</v>
          </cell>
        </row>
        <row r="6739">
          <cell r="A6739">
            <v>512099</v>
          </cell>
          <cell r="B6739" t="str">
            <v>KINESSENCES COLOR 4.50</v>
          </cell>
          <cell r="C6739" t="str">
            <v>8435057011693</v>
          </cell>
        </row>
        <row r="6740">
          <cell r="A6740">
            <v>512100</v>
          </cell>
          <cell r="B6740" t="str">
            <v>KINESSENCES COLOR 5.51</v>
          </cell>
          <cell r="C6740" t="str">
            <v>8435057011709</v>
          </cell>
        </row>
        <row r="6741">
          <cell r="A6741">
            <v>512101</v>
          </cell>
          <cell r="B6741" t="str">
            <v>KINESSENCES COLOR 7.51</v>
          </cell>
          <cell r="C6741" t="str">
            <v>8435057011716</v>
          </cell>
        </row>
        <row r="6742">
          <cell r="A6742">
            <v>512102</v>
          </cell>
          <cell r="B6742" t="str">
            <v>KINESSENCES COLOR 6.52</v>
          </cell>
          <cell r="C6742" t="str">
            <v>8435057011723</v>
          </cell>
        </row>
        <row r="6743">
          <cell r="A6743">
            <v>512103</v>
          </cell>
          <cell r="B6743" t="str">
            <v>KINESSENCES COLOR 7.52</v>
          </cell>
          <cell r="C6743" t="str">
            <v>8435057011730</v>
          </cell>
        </row>
        <row r="6744">
          <cell r="A6744">
            <v>512104</v>
          </cell>
          <cell r="B6744" t="str">
            <v>KINESSENCES COLOR 5.53</v>
          </cell>
          <cell r="C6744" t="str">
            <v>8435057011747</v>
          </cell>
        </row>
        <row r="6745">
          <cell r="A6745">
            <v>512105</v>
          </cell>
          <cell r="B6745" t="str">
            <v>KINESSENCES COLOR 7.53</v>
          </cell>
          <cell r="C6745" t="str">
            <v>8435057011754</v>
          </cell>
        </row>
        <row r="6746">
          <cell r="A6746">
            <v>512106</v>
          </cell>
          <cell r="B6746" t="str">
            <v>KINESSENCES COLOR 5.56</v>
          </cell>
          <cell r="C6746" t="str">
            <v>8435057011761</v>
          </cell>
        </row>
        <row r="6747">
          <cell r="A6747">
            <v>512107</v>
          </cell>
          <cell r="B6747" t="str">
            <v>KINESSENCES COLOR 7.66</v>
          </cell>
          <cell r="C6747" t="str">
            <v>8435057011778</v>
          </cell>
        </row>
        <row r="6748">
          <cell r="A6748">
            <v>512108</v>
          </cell>
          <cell r="B6748" t="str">
            <v>KINESSENCES COLOR 6.67</v>
          </cell>
          <cell r="C6748" t="str">
            <v>8435057011785</v>
          </cell>
        </row>
        <row r="6749">
          <cell r="A6749">
            <v>512109</v>
          </cell>
          <cell r="B6749" t="str">
            <v>KINESSENCES COLOR 6.77</v>
          </cell>
          <cell r="C6749" t="str">
            <v>8435057011792</v>
          </cell>
        </row>
        <row r="6750">
          <cell r="A6750">
            <v>512113</v>
          </cell>
          <cell r="B6750" t="str">
            <v>KINESSENCES CREMA DE MANOS 300 ML</v>
          </cell>
          <cell r="C6750" t="str">
            <v>8435057011457</v>
          </cell>
        </row>
        <row r="6751">
          <cell r="A6751">
            <v>512115</v>
          </cell>
          <cell r="B6751" t="str">
            <v>KINESSENCES DEVELOPER 12V 120</v>
          </cell>
          <cell r="C6751" t="str">
            <v>8435057011839</v>
          </cell>
        </row>
        <row r="6752">
          <cell r="A6752">
            <v>512117</v>
          </cell>
          <cell r="B6752" t="str">
            <v>KINESSENCES HAND CREAM LOTE EXPO</v>
          </cell>
          <cell r="C6752" t="str">
            <v>8435057058247</v>
          </cell>
        </row>
        <row r="6753">
          <cell r="A6753">
            <v>512119</v>
          </cell>
          <cell r="B6753" t="str">
            <v>KINESSENCES DETOX SHAMPOO 60 ML</v>
          </cell>
          <cell r="C6753" t="str">
            <v>8435057011853</v>
          </cell>
        </row>
        <row r="6754">
          <cell r="A6754">
            <v>512120</v>
          </cell>
          <cell r="B6754" t="str">
            <v>KINESSENCES DETOX SHAMPOO 300 ML</v>
          </cell>
          <cell r="C6754" t="str">
            <v>8435057011860</v>
          </cell>
        </row>
        <row r="6755">
          <cell r="A6755">
            <v>512121</v>
          </cell>
          <cell r="B6755" t="str">
            <v>KINESSENCES DETOX SHAMPOO 1.000 ML</v>
          </cell>
          <cell r="C6755" t="str">
            <v>8435057011877</v>
          </cell>
        </row>
        <row r="6756">
          <cell r="A6756">
            <v>512122</v>
          </cell>
          <cell r="B6756" t="str">
            <v>KINESSENCES DETOX MASK 60 ML</v>
          </cell>
          <cell r="C6756" t="str">
            <v>8435057011884</v>
          </cell>
        </row>
        <row r="6757">
          <cell r="A6757">
            <v>512123</v>
          </cell>
          <cell r="B6757" t="str">
            <v>KINESSENCES DETOX MASK 200 ML</v>
          </cell>
          <cell r="C6757" t="str">
            <v>8435057011891</v>
          </cell>
        </row>
        <row r="6758">
          <cell r="A6758">
            <v>512124</v>
          </cell>
          <cell r="B6758" t="str">
            <v>KINESSENCES DETOX MASK 900 ML</v>
          </cell>
          <cell r="C6758" t="str">
            <v>8435057011907</v>
          </cell>
        </row>
        <row r="6759">
          <cell r="A6759">
            <v>512125</v>
          </cell>
          <cell r="B6759" t="str">
            <v>KINESSENCES DETOX SMOOTHIE 20 ML</v>
          </cell>
          <cell r="C6759" t="str">
            <v>8435057011914</v>
          </cell>
        </row>
        <row r="6760">
          <cell r="A6760">
            <v>512126</v>
          </cell>
          <cell r="B6760" t="str">
            <v>KINESSENCES DETOX SMOOTHIE 50 ML</v>
          </cell>
          <cell r="C6760" t="str">
            <v>8435057011921</v>
          </cell>
        </row>
        <row r="6761">
          <cell r="A6761">
            <v>512127</v>
          </cell>
          <cell r="B6761" t="str">
            <v>KINESSENCES DETOX TRAVEL KIT (ANTIGUO)</v>
          </cell>
          <cell r="C6761" t="str">
            <v>8435057058261</v>
          </cell>
        </row>
        <row r="6762">
          <cell r="A6762">
            <v>512128</v>
          </cell>
          <cell r="B6762" t="str">
            <v>KINESSENCES DETOX LOTE 380€</v>
          </cell>
          <cell r="C6762" t="str">
            <v>8435057011945</v>
          </cell>
        </row>
        <row r="6763">
          <cell r="A6763">
            <v>512129</v>
          </cell>
          <cell r="B6763" t="str">
            <v>KINESSENCES DETOX LOTE</v>
          </cell>
          <cell r="C6763" t="str">
            <v>8435057011952</v>
          </cell>
        </row>
        <row r="6764">
          <cell r="A6764">
            <v>512130</v>
          </cell>
          <cell r="B6764" t="str">
            <v>KINESSENCES DETOX EXPORT LOTE</v>
          </cell>
          <cell r="C6764" t="str">
            <v>8435057011969</v>
          </cell>
        </row>
        <row r="6765">
          <cell r="A6765">
            <v>512132</v>
          </cell>
          <cell r="B6765" t="str">
            <v>KINESSENCES DETOX NECTAR 20 ML</v>
          </cell>
          <cell r="C6765" t="str">
            <v>8435057011938</v>
          </cell>
        </row>
        <row r="6766">
          <cell r="A6766">
            <v>512133</v>
          </cell>
          <cell r="B6766" t="str">
            <v>KINESSENCES DETOX NECTAR 150 ML</v>
          </cell>
          <cell r="C6766" t="str">
            <v>8435057011976</v>
          </cell>
        </row>
        <row r="6767">
          <cell r="A6767">
            <v>512134</v>
          </cell>
          <cell r="B6767" t="str">
            <v>LOTE INTRODUCCION NECTAR 18 UDS</v>
          </cell>
          <cell r="C6767" t="str">
            <v>8435057011990</v>
          </cell>
        </row>
        <row r="6768">
          <cell r="A6768">
            <v>512135</v>
          </cell>
          <cell r="B6768" t="str">
            <v>LOTE INTRODUCCION NECTAR 6 UDS</v>
          </cell>
          <cell r="C6768" t="str">
            <v>8435057012003</v>
          </cell>
        </row>
        <row r="6769">
          <cell r="A6769">
            <v>512136</v>
          </cell>
          <cell r="B6769" t="str">
            <v>LOTE INTRODUCCION NECTAR 12 UDS</v>
          </cell>
          <cell r="C6769" t="str">
            <v>8435057012010</v>
          </cell>
        </row>
        <row r="6770">
          <cell r="A6770">
            <v>512140</v>
          </cell>
          <cell r="B6770" t="str">
            <v>KINESSENCES HANDCREAM LOTE EXPO</v>
          </cell>
          <cell r="C6770" t="str">
            <v>8435057058278</v>
          </cell>
        </row>
        <row r="6771">
          <cell r="A6771">
            <v>512141</v>
          </cell>
          <cell r="B6771" t="str">
            <v>KINESSENCES LOT OIL CREAM 2017</v>
          </cell>
          <cell r="C6771" t="str">
            <v>8435057058315</v>
          </cell>
        </row>
        <row r="6772">
          <cell r="A6772">
            <v>512142</v>
          </cell>
          <cell r="B6772" t="str">
            <v>KINESS. DETOX INTROKIT 2017 D</v>
          </cell>
          <cell r="C6772" t="str">
            <v>8435057058329</v>
          </cell>
        </row>
        <row r="6773">
          <cell r="A6773">
            <v>512143</v>
          </cell>
          <cell r="B6773" t="str">
            <v>KINESS. DETOX INTROKIT 2017 VD</v>
          </cell>
          <cell r="C6773" t="str">
            <v>8435057058339</v>
          </cell>
        </row>
        <row r="6774">
          <cell r="A6774">
            <v>512146</v>
          </cell>
          <cell r="B6774" t="str">
            <v>KINESSENCES LOTE REVENTA 2017</v>
          </cell>
          <cell r="C6774" t="str">
            <v>8435057012041</v>
          </cell>
        </row>
        <row r="6775">
          <cell r="A6775">
            <v>512148</v>
          </cell>
          <cell r="B6775" t="str">
            <v>KINESSENCES BLONDES BLEACHING CREAM</v>
          </cell>
          <cell r="C6775" t="str">
            <v>8435057013666</v>
          </cell>
        </row>
        <row r="6776">
          <cell r="A6776">
            <v>512152</v>
          </cell>
          <cell r="B6776" t="str">
            <v>KINESSENCES BLONDES 01 PINK</v>
          </cell>
          <cell r="C6776" t="str">
            <v>8435057013673</v>
          </cell>
        </row>
        <row r="6777">
          <cell r="A6777">
            <v>512153</v>
          </cell>
          <cell r="B6777" t="str">
            <v>KINESSENCES BLONDES 02 PEACH</v>
          </cell>
          <cell r="C6777" t="str">
            <v>8435057013680</v>
          </cell>
        </row>
        <row r="6778">
          <cell r="A6778">
            <v>512154</v>
          </cell>
          <cell r="B6778" t="str">
            <v>KINESSENCES BLONDES 03 SAND</v>
          </cell>
          <cell r="C6778" t="str">
            <v>8435057013697</v>
          </cell>
        </row>
        <row r="6779">
          <cell r="A6779">
            <v>512155</v>
          </cell>
          <cell r="B6779" t="str">
            <v>KINESSENCES BLONDES 04 LILAC</v>
          </cell>
          <cell r="C6779" t="str">
            <v>8435057013703</v>
          </cell>
        </row>
        <row r="6780">
          <cell r="A6780">
            <v>512156</v>
          </cell>
          <cell r="B6780" t="str">
            <v>KINESSENCES BLONDES 05 STEEL</v>
          </cell>
          <cell r="C6780" t="str">
            <v>8435057013710</v>
          </cell>
        </row>
        <row r="6781">
          <cell r="A6781">
            <v>512159</v>
          </cell>
          <cell r="B6781" t="str">
            <v>KINESSENCES OES PACK OIL</v>
          </cell>
          <cell r="C6781" t="str">
            <v>8435057013833</v>
          </cell>
        </row>
        <row r="6782">
          <cell r="A6782">
            <v>512160</v>
          </cell>
          <cell r="B6782" t="str">
            <v>KINESSENCES OES PACK OIL CREAM</v>
          </cell>
          <cell r="C6782" t="str">
            <v>8435057013840</v>
          </cell>
        </row>
        <row r="6783">
          <cell r="A6783">
            <v>512161</v>
          </cell>
          <cell r="B6783" t="str">
            <v>KINESSENCES DETOX PACK SMOOTH.</v>
          </cell>
          <cell r="C6783" t="str">
            <v>8435057013857</v>
          </cell>
        </row>
        <row r="6784">
          <cell r="A6784">
            <v>512162</v>
          </cell>
          <cell r="B6784" t="str">
            <v>KINESSENCES DETOX PACK NECTAR</v>
          </cell>
          <cell r="C6784" t="str">
            <v>8435057013864</v>
          </cell>
        </row>
        <row r="6785">
          <cell r="A6785">
            <v>512164</v>
          </cell>
          <cell r="B6785" t="str">
            <v>KINESSENCES RESTORE OVERNIGHT 150 ML</v>
          </cell>
          <cell r="C6785" t="str">
            <v>8435057013970</v>
          </cell>
        </row>
        <row r="6786">
          <cell r="A6786">
            <v>512166</v>
          </cell>
          <cell r="B6786" t="str">
            <v>KINESSENCES RESTORE SHAMPOO 300 ML</v>
          </cell>
          <cell r="C6786" t="str">
            <v>8435057014069</v>
          </cell>
        </row>
        <row r="6787">
          <cell r="A6787">
            <v>512167</v>
          </cell>
          <cell r="B6787" t="str">
            <v>KINESSENCES RESTORE SHAMPOO 1.000 ML</v>
          </cell>
          <cell r="C6787" t="str">
            <v>8435057014076</v>
          </cell>
        </row>
        <row r="6788">
          <cell r="A6788">
            <v>512168</v>
          </cell>
          <cell r="B6788" t="str">
            <v>KINESSENCES RESTORE MASK 200 ML</v>
          </cell>
          <cell r="C6788" t="str">
            <v>8435057014083</v>
          </cell>
        </row>
        <row r="6789">
          <cell r="A6789">
            <v>512169</v>
          </cell>
          <cell r="B6789" t="str">
            <v>KINESSENCES RESTORE MASK 900 ML</v>
          </cell>
          <cell r="C6789" t="str">
            <v>8435057014090</v>
          </cell>
        </row>
        <row r="6790">
          <cell r="A6790">
            <v>512170</v>
          </cell>
          <cell r="B6790" t="str">
            <v>KINESSENCES RESTORE PRE-BASE 6 X 25 ML</v>
          </cell>
          <cell r="C6790" t="str">
            <v>8435057014106</v>
          </cell>
        </row>
        <row r="6791">
          <cell r="A6791">
            <v>512171</v>
          </cell>
          <cell r="B6791" t="str">
            <v>KINESSENCES DETOX PACK NECTAR</v>
          </cell>
          <cell r="C6791" t="str">
            <v>8435057014127</v>
          </cell>
        </row>
        <row r="6792">
          <cell r="A6792">
            <v>512172</v>
          </cell>
          <cell r="B6792" t="str">
            <v>KINESSENCES OES PACK OIL</v>
          </cell>
          <cell r="C6792" t="str">
            <v>8435057014144</v>
          </cell>
        </row>
        <row r="6793">
          <cell r="A6793">
            <v>512173</v>
          </cell>
          <cell r="B6793" t="str">
            <v>KINESSENCES OES PACK OIL CREAM</v>
          </cell>
          <cell r="C6793" t="str">
            <v>8435057014151</v>
          </cell>
        </row>
        <row r="6794">
          <cell r="A6794">
            <v>512174</v>
          </cell>
          <cell r="B6794" t="str">
            <v>KINESSENCES DETOX PACK SMOOTHIE</v>
          </cell>
          <cell r="C6794" t="str">
            <v>8435057014168</v>
          </cell>
        </row>
        <row r="6795">
          <cell r="A6795">
            <v>512175</v>
          </cell>
          <cell r="B6795" t="str">
            <v>KINESSENCES RESTORE PACK</v>
          </cell>
          <cell r="C6795" t="str">
            <v>8435057014120</v>
          </cell>
        </row>
        <row r="6796">
          <cell r="A6796">
            <v>512179</v>
          </cell>
          <cell r="B6796" t="str">
            <v>KINESSENCES RESTORE MASK 50 ml</v>
          </cell>
          <cell r="C6796" t="str">
            <v>8435057014205</v>
          </cell>
        </row>
        <row r="6797">
          <cell r="A6797">
            <v>512180</v>
          </cell>
          <cell r="B6797" t="str">
            <v>KINESSENCES OES MASK 50 ml</v>
          </cell>
          <cell r="C6797" t="str">
            <v>8435057014212</v>
          </cell>
        </row>
        <row r="6798">
          <cell r="A6798">
            <v>512181</v>
          </cell>
          <cell r="B6798" t="str">
            <v>KINESSENCES DETOX MASK 50 ml</v>
          </cell>
          <cell r="C6798" t="str">
            <v>8435057014229</v>
          </cell>
        </row>
        <row r="6799">
          <cell r="A6799">
            <v>512183</v>
          </cell>
          <cell r="B6799" t="str">
            <v>RUST COLLECTION 5.519</v>
          </cell>
          <cell r="C6799" t="str">
            <v>8435057014694</v>
          </cell>
        </row>
        <row r="6800">
          <cell r="A6800">
            <v>512184</v>
          </cell>
          <cell r="B6800" t="str">
            <v>RUST COLLECTION 6.762</v>
          </cell>
          <cell r="C6800" t="str">
            <v>8435057014700</v>
          </cell>
        </row>
        <row r="6801">
          <cell r="A6801">
            <v>512185</v>
          </cell>
          <cell r="B6801" t="str">
            <v>RUST COLLECTION 7.456</v>
          </cell>
          <cell r="C6801" t="str">
            <v>8435057014717</v>
          </cell>
        </row>
        <row r="6802">
          <cell r="A6802">
            <v>512186</v>
          </cell>
          <cell r="B6802" t="str">
            <v>RUST COLLECTION 9.231</v>
          </cell>
          <cell r="C6802" t="str">
            <v>8435057014724</v>
          </cell>
        </row>
        <row r="6803">
          <cell r="A6803">
            <v>512194</v>
          </cell>
          <cell r="B6803" t="str">
            <v>KINESSENCES RESTORE OVERNIGHT 20 ML</v>
          </cell>
          <cell r="C6803" t="str">
            <v>8435057014830</v>
          </cell>
        </row>
        <row r="6804">
          <cell r="A6804">
            <v>512195</v>
          </cell>
          <cell r="B6804" t="str">
            <v>KINESSENCES OES TRAVEL KIT</v>
          </cell>
          <cell r="C6804" t="str">
            <v>8435057014977</v>
          </cell>
        </row>
        <row r="6805">
          <cell r="A6805">
            <v>512196</v>
          </cell>
          <cell r="B6805" t="str">
            <v>KINESSENCES DETOX TRAVEL KIT</v>
          </cell>
          <cell r="C6805" t="str">
            <v>8435057014984</v>
          </cell>
        </row>
        <row r="6806">
          <cell r="A6806">
            <v>512197</v>
          </cell>
          <cell r="B6806" t="str">
            <v>KINESSENCES RESTORE TRAVEL KIT</v>
          </cell>
          <cell r="C6806" t="str">
            <v>8435057014991</v>
          </cell>
        </row>
        <row r="6807">
          <cell r="A6807">
            <v>512198</v>
          </cell>
          <cell r="B6807" t="str">
            <v>KINESSENCES RESTORE SHAMPOO 60 ML</v>
          </cell>
          <cell r="C6807" t="str">
            <v>8435057014847</v>
          </cell>
        </row>
        <row r="6808">
          <cell r="A6808">
            <v>512199</v>
          </cell>
          <cell r="B6808" t="str">
            <v>PACK SACHETS DUPLO KINESSENCES OES</v>
          </cell>
          <cell r="C6808" t="str">
            <v>8435057016629</v>
          </cell>
        </row>
        <row r="6809">
          <cell r="A6809">
            <v>512200</v>
          </cell>
          <cell r="B6809" t="str">
            <v>PACK SACHETS DUPLO KINESSENCES DETOX</v>
          </cell>
          <cell r="C6809" t="str">
            <v>8435057016636</v>
          </cell>
        </row>
        <row r="6810">
          <cell r="A6810">
            <v>512201</v>
          </cell>
          <cell r="B6810" t="str">
            <v>PACK SACHETS DUPLO KINESSENCES RESTORE</v>
          </cell>
          <cell r="C6810" t="str">
            <v>8435057016643</v>
          </cell>
        </row>
        <row r="6811">
          <cell r="A6811">
            <v>512203</v>
          </cell>
          <cell r="B6811" t="str">
            <v>KINESSENCES OES PACK OIL</v>
          </cell>
          <cell r="C6811" t="str">
            <v>8435057016896</v>
          </cell>
        </row>
        <row r="6812">
          <cell r="A6812">
            <v>512204</v>
          </cell>
          <cell r="B6812" t="str">
            <v>KINESSENCES OES PACK OIL CREAM</v>
          </cell>
          <cell r="C6812" t="str">
            <v>8435057016902</v>
          </cell>
        </row>
        <row r="6813">
          <cell r="A6813">
            <v>512205</v>
          </cell>
          <cell r="B6813" t="str">
            <v>KINESSENCES DETOX PACK SMOOTHIE</v>
          </cell>
          <cell r="C6813" t="str">
            <v>8435057016919</v>
          </cell>
        </row>
        <row r="6814">
          <cell r="A6814">
            <v>512206</v>
          </cell>
          <cell r="B6814" t="str">
            <v>KINESSENCES DETOX PACK NECTAR</v>
          </cell>
          <cell r="C6814" t="str">
            <v>8435057016926</v>
          </cell>
        </row>
        <row r="6815">
          <cell r="A6815">
            <v>512207</v>
          </cell>
          <cell r="B6815" t="str">
            <v>KINESSENCES RESTORE PACK</v>
          </cell>
          <cell r="C6815" t="str">
            <v>8435057016933</v>
          </cell>
        </row>
        <row r="6816">
          <cell r="A6816">
            <v>513001</v>
          </cell>
          <cell r="B6816" t="str">
            <v>KINESSENCES NOURISH GENTLE SHAMPOO 300 ML</v>
          </cell>
          <cell r="C6816" t="str">
            <v>8435057017039</v>
          </cell>
        </row>
        <row r="6817">
          <cell r="A6817">
            <v>513002</v>
          </cell>
          <cell r="B6817" t="str">
            <v>KINESSENCES NOURISH GENTLE SHAMPOO 1.000 ML</v>
          </cell>
          <cell r="C6817" t="str">
            <v>8435057017046</v>
          </cell>
        </row>
        <row r="6818">
          <cell r="A6818">
            <v>513003</v>
          </cell>
          <cell r="B6818" t="str">
            <v>KINESSENCES NOURISH INTENSE MASK 200 ML</v>
          </cell>
          <cell r="C6818" t="str">
            <v>8435057017053</v>
          </cell>
        </row>
        <row r="6819">
          <cell r="A6819">
            <v>513004</v>
          </cell>
          <cell r="B6819" t="str">
            <v>KINESSENCES NOURISH INTENSE MASK 900 ML</v>
          </cell>
          <cell r="C6819" t="str">
            <v>8435057017060</v>
          </cell>
        </row>
        <row r="6820">
          <cell r="A6820">
            <v>513005</v>
          </cell>
          <cell r="B6820" t="str">
            <v>KINESSENCES NOURISH OIL 30 ML</v>
          </cell>
          <cell r="C6820" t="str">
            <v>8435057017077</v>
          </cell>
        </row>
        <row r="6821">
          <cell r="A6821">
            <v>513006</v>
          </cell>
          <cell r="B6821" t="str">
            <v>KINESSENCES NOURISH OIL CREAM 50 ML</v>
          </cell>
          <cell r="C6821" t="str">
            <v>8435057017084</v>
          </cell>
        </row>
        <row r="6822">
          <cell r="A6822">
            <v>513007</v>
          </cell>
          <cell r="B6822" t="str">
            <v>KINESSENCES ANTIOX GENTLE SHAMPOO 300 ML</v>
          </cell>
          <cell r="C6822" t="str">
            <v>8435057017091</v>
          </cell>
        </row>
        <row r="6823">
          <cell r="A6823">
            <v>513008</v>
          </cell>
          <cell r="B6823" t="str">
            <v>KINESSENCES ANTIOX GENTLE SHAMPOO 1.000 ML</v>
          </cell>
          <cell r="C6823" t="str">
            <v>8435057017107</v>
          </cell>
        </row>
        <row r="6824">
          <cell r="A6824">
            <v>513009</v>
          </cell>
          <cell r="B6824" t="str">
            <v>KINESSENCES ANTIOX INTENSE MASK 200 ML</v>
          </cell>
          <cell r="C6824" t="str">
            <v>8435057017114</v>
          </cell>
        </row>
        <row r="6825">
          <cell r="A6825">
            <v>513010</v>
          </cell>
          <cell r="B6825" t="str">
            <v>KINESSENCES ANTIOX INTENSE MASK 900 ML</v>
          </cell>
          <cell r="C6825" t="str">
            <v>8435057017121</v>
          </cell>
        </row>
        <row r="6826">
          <cell r="A6826">
            <v>513011</v>
          </cell>
          <cell r="B6826" t="str">
            <v>KINESSENCES ANTIOX SMOOTHIE 50 ML</v>
          </cell>
          <cell r="C6826" t="str">
            <v>8435057017138</v>
          </cell>
        </row>
        <row r="6827">
          <cell r="A6827">
            <v>513012</v>
          </cell>
          <cell r="B6827" t="str">
            <v>KINESSENCES ANTIOX NECTAR 150 ML</v>
          </cell>
          <cell r="C6827" t="str">
            <v>8435057017145</v>
          </cell>
        </row>
        <row r="6828">
          <cell r="A6828">
            <v>513013</v>
          </cell>
          <cell r="B6828" t="str">
            <v>KINESSENCES RESTORE GENTLE SHAMPOO 300 ML</v>
          </cell>
          <cell r="C6828" t="str">
            <v>8435057017152</v>
          </cell>
        </row>
        <row r="6829">
          <cell r="A6829">
            <v>513014</v>
          </cell>
          <cell r="B6829" t="str">
            <v>KINESSENCES RESTORE GENTLE SHAMPOO 1.000 ML</v>
          </cell>
          <cell r="C6829" t="str">
            <v>8435057017169</v>
          </cell>
        </row>
        <row r="6830">
          <cell r="A6830">
            <v>513015</v>
          </cell>
          <cell r="B6830" t="str">
            <v>KINESSENCES RESTORE INTENSE MASK 200 ML</v>
          </cell>
          <cell r="C6830" t="str">
            <v>8435057017176</v>
          </cell>
        </row>
        <row r="6831">
          <cell r="A6831">
            <v>513016</v>
          </cell>
          <cell r="B6831" t="str">
            <v>KINESSENCES RESTORE INTENSE MASK 900 ML</v>
          </cell>
          <cell r="C6831" t="str">
            <v>8435057017183</v>
          </cell>
        </row>
        <row r="6832">
          <cell r="A6832">
            <v>513017</v>
          </cell>
          <cell r="B6832" t="str">
            <v>KINESSENCES RESTORE OVERNIGHT INFUSION 150 ML</v>
          </cell>
          <cell r="C6832" t="str">
            <v>8435057017190</v>
          </cell>
        </row>
        <row r="6833">
          <cell r="A6833">
            <v>513018</v>
          </cell>
          <cell r="B6833" t="str">
            <v>KINESSENCES RESTORE REPAIRING BOOSTER 125 ML</v>
          </cell>
          <cell r="C6833" t="str">
            <v>8435057017206</v>
          </cell>
        </row>
        <row r="6834">
          <cell r="A6834">
            <v>513019</v>
          </cell>
          <cell r="B6834" t="str">
            <v>PACK SACHETS KINESS. NOURISH GENTLE SHAMPOO</v>
          </cell>
          <cell r="C6834" t="str">
            <v>8435057018234</v>
          </cell>
        </row>
        <row r="6835">
          <cell r="A6835">
            <v>513020</v>
          </cell>
          <cell r="B6835" t="str">
            <v>PACK SACHETS KINESS. NOURISH INTENSE MASK</v>
          </cell>
          <cell r="C6835" t="str">
            <v>8435057018241</v>
          </cell>
        </row>
        <row r="6836">
          <cell r="A6836">
            <v>513021</v>
          </cell>
          <cell r="B6836" t="str">
            <v>PACK SACHETS KINESS. NOURISH OIL CREAM</v>
          </cell>
          <cell r="C6836" t="str">
            <v>8435057018258</v>
          </cell>
        </row>
        <row r="6837">
          <cell r="A6837">
            <v>513022</v>
          </cell>
          <cell r="B6837" t="str">
            <v>PACK SACHETS KINESS. ANTIOX GENTLE SHAMPOO</v>
          </cell>
          <cell r="C6837" t="str">
            <v>8435057018265</v>
          </cell>
        </row>
        <row r="6838">
          <cell r="A6838">
            <v>513023</v>
          </cell>
          <cell r="B6838" t="str">
            <v>PACK SACHETS KINESS. ANTIOX INTENSE MASK</v>
          </cell>
          <cell r="C6838" t="str">
            <v>8435057018272</v>
          </cell>
        </row>
        <row r="6839">
          <cell r="A6839">
            <v>513024</v>
          </cell>
          <cell r="B6839" t="str">
            <v>PACK SACHETS KINESS. ANTIOX SMOOTHIE</v>
          </cell>
          <cell r="C6839" t="str">
            <v>8435057018289</v>
          </cell>
        </row>
        <row r="6840">
          <cell r="A6840">
            <v>513025</v>
          </cell>
          <cell r="B6840" t="str">
            <v>PACK SACHETS KINESS. RESTORE GENTLE SHAMPOO</v>
          </cell>
          <cell r="C6840" t="str">
            <v>8435057018296</v>
          </cell>
        </row>
        <row r="6841">
          <cell r="A6841">
            <v>513026</v>
          </cell>
          <cell r="B6841" t="str">
            <v>PACK SACHETS KINESS. RESTORE INTENSE MASK</v>
          </cell>
          <cell r="C6841" t="str">
            <v>8435057018302</v>
          </cell>
        </row>
        <row r="6842">
          <cell r="A6842">
            <v>513027</v>
          </cell>
          <cell r="B6842" t="str">
            <v>PACK SACHETS KINESS. RESTORE OVERNIGHT INFUSION</v>
          </cell>
          <cell r="C6842" t="str">
            <v>8435057018319</v>
          </cell>
        </row>
        <row r="6843">
          <cell r="A6843">
            <v>513028</v>
          </cell>
          <cell r="B6843" t="str">
            <v>KINESSENCES NOURISH HAND CREAM 50 ML</v>
          </cell>
          <cell r="C6843" t="str">
            <v>8435057018593</v>
          </cell>
        </row>
        <row r="6844">
          <cell r="A6844">
            <v>513101</v>
          </cell>
          <cell r="B6844" t="str">
            <v>KINESSENCES COLOR 1.0 100 ML.</v>
          </cell>
          <cell r="C6844" t="str">
            <v>8435057017237</v>
          </cell>
        </row>
        <row r="6845">
          <cell r="A6845">
            <v>513102</v>
          </cell>
          <cell r="B6845" t="str">
            <v>KINESSENCES COLOR 3.0 100 ML.</v>
          </cell>
          <cell r="C6845" t="str">
            <v>8435057017251</v>
          </cell>
        </row>
        <row r="6846">
          <cell r="A6846">
            <v>513103</v>
          </cell>
          <cell r="B6846" t="str">
            <v>KINESSENCES COLOR 4.0 100 ML.</v>
          </cell>
          <cell r="C6846" t="str">
            <v>8435057017268</v>
          </cell>
        </row>
        <row r="6847">
          <cell r="A6847">
            <v>513104</v>
          </cell>
          <cell r="B6847" t="str">
            <v>KINESSENCES COLOR 5.0 100 ML.</v>
          </cell>
          <cell r="C6847" t="str">
            <v>8435057017275</v>
          </cell>
        </row>
        <row r="6848">
          <cell r="A6848">
            <v>513105</v>
          </cell>
          <cell r="B6848" t="str">
            <v>KINESSENCES COLOR 6.0 100 ML.</v>
          </cell>
          <cell r="C6848" t="str">
            <v>8435057017282</v>
          </cell>
        </row>
        <row r="6849">
          <cell r="A6849">
            <v>513106</v>
          </cell>
          <cell r="B6849" t="str">
            <v>KINESSENCES COLOR 7.0 100 ML.</v>
          </cell>
          <cell r="C6849" t="str">
            <v>8435057017299</v>
          </cell>
        </row>
        <row r="6850">
          <cell r="A6850">
            <v>513107</v>
          </cell>
          <cell r="B6850" t="str">
            <v>KINESSENCES COLOR 8.0 100 ML.</v>
          </cell>
          <cell r="C6850" t="str">
            <v>8435057017305</v>
          </cell>
        </row>
        <row r="6851">
          <cell r="A6851">
            <v>513108</v>
          </cell>
          <cell r="B6851" t="str">
            <v>KINESSENCES COLOR 9.0 100 ML.</v>
          </cell>
          <cell r="C6851" t="str">
            <v>8435057017312</v>
          </cell>
        </row>
        <row r="6852">
          <cell r="A6852">
            <v>513109</v>
          </cell>
          <cell r="B6852" t="str">
            <v>KINESSENCES COLOR 10.0 100 ML.</v>
          </cell>
          <cell r="C6852" t="str">
            <v>8435057017329</v>
          </cell>
        </row>
        <row r="6853">
          <cell r="A6853">
            <v>513110</v>
          </cell>
          <cell r="B6853" t="str">
            <v>KINESSENCES COLOR 6.02 100 ML.</v>
          </cell>
          <cell r="C6853" t="str">
            <v>8435057017336</v>
          </cell>
        </row>
        <row r="6854">
          <cell r="A6854">
            <v>513111</v>
          </cell>
          <cell r="B6854" t="str">
            <v>KINESSENCES COLOR 7.02 100 ML.</v>
          </cell>
          <cell r="C6854" t="str">
            <v>8435057017343</v>
          </cell>
        </row>
        <row r="6855">
          <cell r="A6855">
            <v>513112</v>
          </cell>
          <cell r="B6855" t="str">
            <v>KINESSENCES COLOR 8.02 100 ML.</v>
          </cell>
          <cell r="C6855" t="str">
            <v>8435057017350</v>
          </cell>
        </row>
        <row r="6856">
          <cell r="A6856">
            <v>513113</v>
          </cell>
          <cell r="B6856" t="str">
            <v>KINESSENCES COLOR 9.02 100 ML.</v>
          </cell>
          <cell r="C6856" t="str">
            <v>8435057017367</v>
          </cell>
        </row>
        <row r="6857">
          <cell r="A6857">
            <v>513114</v>
          </cell>
          <cell r="B6857" t="str">
            <v>KINESSENCES COLOR 1.1 100 ML.</v>
          </cell>
          <cell r="C6857" t="str">
            <v>8435057017374</v>
          </cell>
        </row>
        <row r="6858">
          <cell r="A6858">
            <v>513115</v>
          </cell>
          <cell r="B6858" t="str">
            <v>KINESSENCES COLOR 5.1 100 ML.</v>
          </cell>
          <cell r="C6858" t="str">
            <v>8435057017381</v>
          </cell>
        </row>
        <row r="6859">
          <cell r="A6859">
            <v>513116</v>
          </cell>
          <cell r="B6859" t="str">
            <v>KINESSENCES COLOR 6.1 100 ML.</v>
          </cell>
          <cell r="C6859" t="str">
            <v>8435057017398</v>
          </cell>
        </row>
        <row r="6860">
          <cell r="A6860">
            <v>513117</v>
          </cell>
          <cell r="B6860" t="str">
            <v>KINESSENCES COLOR 7.1 100 ML.</v>
          </cell>
          <cell r="C6860" t="str">
            <v>8435057017404</v>
          </cell>
        </row>
        <row r="6861">
          <cell r="A6861">
            <v>513118</v>
          </cell>
          <cell r="B6861" t="str">
            <v>KINESSENCES COLOR 8.1 100 ML.</v>
          </cell>
          <cell r="C6861" t="str">
            <v>8435057017411</v>
          </cell>
        </row>
        <row r="6862">
          <cell r="A6862">
            <v>513119</v>
          </cell>
          <cell r="B6862" t="str">
            <v>KINESSENCES COLOR 9.1 100 ML.</v>
          </cell>
          <cell r="C6862" t="str">
            <v>8435057017428</v>
          </cell>
        </row>
        <row r="6863">
          <cell r="A6863">
            <v>513120</v>
          </cell>
          <cell r="B6863" t="str">
            <v>KINESSENCES COLOR 10.1 100 ML.</v>
          </cell>
          <cell r="C6863" t="str">
            <v>8435057017985</v>
          </cell>
        </row>
        <row r="6864">
          <cell r="A6864">
            <v>513121</v>
          </cell>
          <cell r="B6864" t="str">
            <v>KINESSENCES COLOR 6.12 100 ML.</v>
          </cell>
          <cell r="C6864" t="str">
            <v>8435057017459</v>
          </cell>
        </row>
        <row r="6865">
          <cell r="A6865">
            <v>513122</v>
          </cell>
          <cell r="B6865" t="str">
            <v>KINESSENCES COLOR 7.12 100 ML.</v>
          </cell>
          <cell r="C6865" t="str">
            <v>8435057017466</v>
          </cell>
        </row>
        <row r="6866">
          <cell r="A6866">
            <v>513123</v>
          </cell>
          <cell r="B6866" t="str">
            <v>KINESSENCES COLOR 9.12 100 ML.</v>
          </cell>
          <cell r="C6866" t="str">
            <v>8435057017473</v>
          </cell>
        </row>
        <row r="6867">
          <cell r="A6867">
            <v>513124</v>
          </cell>
          <cell r="B6867" t="str">
            <v>KINESSENCES COLOR 10.12 100 ML.</v>
          </cell>
          <cell r="C6867" t="str">
            <v>8435057017480</v>
          </cell>
        </row>
        <row r="6868">
          <cell r="A6868">
            <v>513125</v>
          </cell>
          <cell r="B6868" t="str">
            <v>KINESSENCES COLOR 7.13 100 ML.</v>
          </cell>
          <cell r="C6868" t="str">
            <v>8435057017497</v>
          </cell>
        </row>
        <row r="6869">
          <cell r="A6869">
            <v>513126</v>
          </cell>
          <cell r="B6869" t="str">
            <v>KINESSENCES COLOR 9.13 100 ML.</v>
          </cell>
          <cell r="C6869" t="str">
            <v>8435057017503</v>
          </cell>
        </row>
        <row r="6870">
          <cell r="A6870">
            <v>513127</v>
          </cell>
          <cell r="B6870" t="str">
            <v>KINESSENCES COLOR 10.13 100 ML.</v>
          </cell>
          <cell r="C6870" t="str">
            <v>8435057017510</v>
          </cell>
        </row>
        <row r="6871">
          <cell r="A6871">
            <v>513128</v>
          </cell>
          <cell r="B6871" t="str">
            <v>KINESSENCES COLOR 5.19 100 ML.</v>
          </cell>
          <cell r="C6871" t="str">
            <v>8435057017435</v>
          </cell>
        </row>
        <row r="6872">
          <cell r="A6872">
            <v>513129</v>
          </cell>
          <cell r="B6872" t="str">
            <v>KINESSENCES COLOR 7.19 100 ML.</v>
          </cell>
          <cell r="C6872" t="str">
            <v>8435057017442</v>
          </cell>
        </row>
        <row r="6873">
          <cell r="A6873">
            <v>513130</v>
          </cell>
          <cell r="B6873" t="str">
            <v>KINESSENCES COLOR 9.21 100 ML.</v>
          </cell>
          <cell r="C6873" t="str">
            <v>8435057017527</v>
          </cell>
        </row>
        <row r="6874">
          <cell r="A6874">
            <v>513131</v>
          </cell>
          <cell r="B6874" t="str">
            <v>KINESSENCES COLOR 10.21 100 ML.</v>
          </cell>
          <cell r="C6874" t="str">
            <v>8435057017534</v>
          </cell>
        </row>
        <row r="6875">
          <cell r="A6875">
            <v>513132</v>
          </cell>
          <cell r="B6875" t="str">
            <v>KINESSENCES COLOR 7.23 100 ML.</v>
          </cell>
          <cell r="C6875" t="str">
            <v>8435057017541</v>
          </cell>
        </row>
        <row r="6876">
          <cell r="A6876">
            <v>513133</v>
          </cell>
          <cell r="B6876" t="str">
            <v>KINESSENCES COLOR 9.23 100 ML.</v>
          </cell>
          <cell r="C6876" t="str">
            <v>8435057017558</v>
          </cell>
        </row>
        <row r="6877">
          <cell r="A6877">
            <v>513134</v>
          </cell>
          <cell r="B6877" t="str">
            <v>KINESSENCES COLOR 6.3 100 ML.</v>
          </cell>
          <cell r="C6877" t="str">
            <v>8435057017565</v>
          </cell>
        </row>
        <row r="6878">
          <cell r="A6878">
            <v>513135</v>
          </cell>
          <cell r="B6878" t="str">
            <v>KINESSENCES COLOR 7.3 100 ML.</v>
          </cell>
          <cell r="C6878" t="str">
            <v>8435057017572</v>
          </cell>
        </row>
        <row r="6879">
          <cell r="A6879">
            <v>513136</v>
          </cell>
          <cell r="B6879" t="str">
            <v>KINESSENCES COLOR 8.3 100 ML.</v>
          </cell>
          <cell r="C6879" t="str">
            <v>8435057017589</v>
          </cell>
        </row>
        <row r="6880">
          <cell r="A6880">
            <v>513137</v>
          </cell>
          <cell r="B6880" t="str">
            <v>KINESSENCES COLOR 9.3 100 ML.</v>
          </cell>
          <cell r="C6880" t="str">
            <v>8435057017596</v>
          </cell>
        </row>
        <row r="6881">
          <cell r="A6881">
            <v>513138</v>
          </cell>
          <cell r="B6881" t="str">
            <v>KINESSENCES COLOR 7.32 100 ML.</v>
          </cell>
          <cell r="C6881" t="str">
            <v>8435057017602</v>
          </cell>
        </row>
        <row r="6882">
          <cell r="A6882">
            <v>513139</v>
          </cell>
          <cell r="B6882" t="str">
            <v>KINESSENCES COLOR 8.32 100 ML.</v>
          </cell>
          <cell r="C6882" t="str">
            <v>8435057017619</v>
          </cell>
        </row>
        <row r="6883">
          <cell r="A6883">
            <v>513140</v>
          </cell>
          <cell r="B6883" t="str">
            <v>KINESSENCES COLOR 9.32 100 ML.</v>
          </cell>
          <cell r="C6883" t="str">
            <v>8435057017626</v>
          </cell>
        </row>
        <row r="6884">
          <cell r="A6884">
            <v>513141</v>
          </cell>
          <cell r="B6884" t="str">
            <v>KINESSENCES COLOR 10.32 100 ML.</v>
          </cell>
          <cell r="C6884" t="str">
            <v>8435057017633</v>
          </cell>
        </row>
        <row r="6885">
          <cell r="A6885">
            <v>513142</v>
          </cell>
          <cell r="B6885" t="str">
            <v>KINESSENCES COLOR 6.34 100 ML.</v>
          </cell>
          <cell r="C6885" t="str">
            <v>8435057017640</v>
          </cell>
        </row>
        <row r="6886">
          <cell r="A6886">
            <v>513143</v>
          </cell>
          <cell r="B6886" t="str">
            <v>KINESSENCES COLOR 8.34 100 ML.</v>
          </cell>
          <cell r="C6886" t="str">
            <v>8435057017657</v>
          </cell>
        </row>
        <row r="6887">
          <cell r="A6887">
            <v>513144</v>
          </cell>
          <cell r="B6887" t="str">
            <v>KINESSENCES COLOR 7.4 100 ML.</v>
          </cell>
          <cell r="C6887" t="str">
            <v>8435057017664</v>
          </cell>
        </row>
        <row r="6888">
          <cell r="A6888">
            <v>513145</v>
          </cell>
          <cell r="B6888" t="str">
            <v>KINESSENCES COLOR 6.43 100 ML.</v>
          </cell>
          <cell r="C6888" t="str">
            <v>8435057017671</v>
          </cell>
        </row>
        <row r="6889">
          <cell r="A6889">
            <v>513146</v>
          </cell>
          <cell r="B6889" t="str">
            <v>KINESSENCES COLOR 8.43 100 ML.</v>
          </cell>
          <cell r="C6889" t="str">
            <v>8435057017688</v>
          </cell>
        </row>
        <row r="6890">
          <cell r="A6890">
            <v>513147</v>
          </cell>
          <cell r="B6890" t="str">
            <v>KINESSENCES COLOR 7.44 100 ML.</v>
          </cell>
          <cell r="C6890" t="str">
            <v>8435057017695</v>
          </cell>
        </row>
        <row r="6891">
          <cell r="A6891">
            <v>513148</v>
          </cell>
          <cell r="B6891" t="str">
            <v>KINESSENCES COLOR 8.44 100 ML.</v>
          </cell>
          <cell r="C6891" t="str">
            <v>8435057017701</v>
          </cell>
        </row>
        <row r="6892">
          <cell r="A6892">
            <v>513149</v>
          </cell>
          <cell r="B6892" t="str">
            <v>KINESSENCES COLOR 4.50 100 ML.</v>
          </cell>
          <cell r="C6892" t="str">
            <v>8435057017718</v>
          </cell>
        </row>
        <row r="6893">
          <cell r="A6893">
            <v>513150</v>
          </cell>
          <cell r="B6893" t="str">
            <v>KINESSENCES COLOR 5.50 100 ML.</v>
          </cell>
          <cell r="C6893" t="str">
            <v>8435057017725</v>
          </cell>
        </row>
        <row r="6894">
          <cell r="A6894">
            <v>513151</v>
          </cell>
          <cell r="B6894" t="str">
            <v>KINESSENCES COLOR 6.50 100 ML.</v>
          </cell>
          <cell r="C6894" t="str">
            <v>8435057017732</v>
          </cell>
        </row>
        <row r="6895">
          <cell r="A6895">
            <v>513152</v>
          </cell>
          <cell r="B6895" t="str">
            <v>KINESSENCES COLOR 7.50 100 ML.</v>
          </cell>
          <cell r="C6895" t="str">
            <v>8435057017749</v>
          </cell>
        </row>
        <row r="6896">
          <cell r="A6896">
            <v>513153</v>
          </cell>
          <cell r="B6896" t="str">
            <v>KINESSENCES COLOR 4.51 100 ML.</v>
          </cell>
          <cell r="C6896" t="str">
            <v>8435057017756</v>
          </cell>
        </row>
        <row r="6897">
          <cell r="A6897">
            <v>513154</v>
          </cell>
          <cell r="B6897" t="str">
            <v>KINESSENCES COLOR 5.51 100 ML.</v>
          </cell>
          <cell r="C6897" t="str">
            <v>8435057017763</v>
          </cell>
        </row>
        <row r="6898">
          <cell r="A6898">
            <v>513155</v>
          </cell>
          <cell r="B6898" t="str">
            <v>KINESSENCES COLOR 6.51 100 ML.</v>
          </cell>
          <cell r="C6898" t="str">
            <v>8435057017770</v>
          </cell>
        </row>
        <row r="6899">
          <cell r="A6899">
            <v>513156</v>
          </cell>
          <cell r="B6899" t="str">
            <v>KINESSENCES COLOR 7.51 100 ML.</v>
          </cell>
          <cell r="C6899" t="str">
            <v>8435057017787</v>
          </cell>
        </row>
        <row r="6900">
          <cell r="A6900">
            <v>513157</v>
          </cell>
          <cell r="B6900" t="str">
            <v>KINESSENCES COLOR 8.51 100 ML.</v>
          </cell>
          <cell r="C6900" t="str">
            <v>8435057017794</v>
          </cell>
        </row>
        <row r="6901">
          <cell r="A6901">
            <v>513158</v>
          </cell>
          <cell r="B6901" t="str">
            <v>KINESSENCES COLOR 6.53 100 ML.</v>
          </cell>
          <cell r="C6901" t="str">
            <v>8435057017800</v>
          </cell>
        </row>
        <row r="6902">
          <cell r="A6902">
            <v>513159</v>
          </cell>
          <cell r="B6902" t="str">
            <v>KINESSENCES COLOR 7.53 100 ML.</v>
          </cell>
          <cell r="C6902" t="str">
            <v>8435057017817</v>
          </cell>
        </row>
        <row r="6903">
          <cell r="A6903">
            <v>513160</v>
          </cell>
          <cell r="B6903" t="str">
            <v>KINESSENCES COLOR 5.56 100 ML.</v>
          </cell>
          <cell r="C6903" t="str">
            <v>8435057017824</v>
          </cell>
        </row>
        <row r="6904">
          <cell r="A6904">
            <v>513161</v>
          </cell>
          <cell r="B6904" t="str">
            <v>KINESSENCES COLOR 6.66 100 ML.</v>
          </cell>
          <cell r="C6904" t="str">
            <v>8435057017831</v>
          </cell>
        </row>
        <row r="6905">
          <cell r="A6905">
            <v>513162</v>
          </cell>
          <cell r="B6905" t="str">
            <v>KINESSENCES COLOR 7.66 100 ML.</v>
          </cell>
          <cell r="C6905" t="str">
            <v>8435057017848</v>
          </cell>
        </row>
        <row r="6906">
          <cell r="A6906">
            <v>513163</v>
          </cell>
          <cell r="B6906" t="str">
            <v>KINESSENCES COLOR 5.67 100 ML.</v>
          </cell>
          <cell r="C6906" t="str">
            <v>8435057017855</v>
          </cell>
        </row>
        <row r="6907">
          <cell r="A6907">
            <v>513164</v>
          </cell>
          <cell r="B6907" t="str">
            <v>KINESSENCES COLOR 6.67 100 ML.</v>
          </cell>
          <cell r="C6907" t="str">
            <v>8435057017862</v>
          </cell>
        </row>
        <row r="6908">
          <cell r="A6908">
            <v>513165</v>
          </cell>
          <cell r="B6908" t="str">
            <v>KINESSENCES COLOR 6.76 100 ML.</v>
          </cell>
          <cell r="C6908" t="str">
            <v>8435057017879</v>
          </cell>
        </row>
        <row r="6909">
          <cell r="A6909">
            <v>513166</v>
          </cell>
          <cell r="B6909" t="str">
            <v>KINESSENCES COLOR 4.77 100 ML.</v>
          </cell>
          <cell r="C6909" t="str">
            <v>8435057017886</v>
          </cell>
        </row>
        <row r="6910">
          <cell r="A6910">
            <v>513167</v>
          </cell>
          <cell r="B6910" t="str">
            <v>KINESSENCES COLOR 6.77 100 ML.</v>
          </cell>
          <cell r="C6910" t="str">
            <v>8435057017893</v>
          </cell>
        </row>
        <row r="6911">
          <cell r="A6911">
            <v>513169</v>
          </cell>
          <cell r="B6911" t="str">
            <v>KINESS. COLOR ACTIVE C. DEVELOPER 6 VOL 1.000 ML.</v>
          </cell>
          <cell r="C6911" t="str">
            <v>8435057017909</v>
          </cell>
        </row>
        <row r="6912">
          <cell r="A6912">
            <v>513170</v>
          </cell>
          <cell r="B6912" t="str">
            <v>KINESS. COLOR ACTIVE C. DEVELOPER 12 VOL 1.000 ML.</v>
          </cell>
          <cell r="C6912" t="str">
            <v>8435057017916</v>
          </cell>
        </row>
        <row r="6913">
          <cell r="A6913">
            <v>513171</v>
          </cell>
          <cell r="B6913" t="str">
            <v>KINESS. COLOR ACTIVE C. DEVELOPER 24 VOL 1.000 ML.</v>
          </cell>
          <cell r="C6913" t="str">
            <v>8435057017923</v>
          </cell>
        </row>
        <row r="6914">
          <cell r="A6914">
            <v>513172</v>
          </cell>
          <cell r="B6914" t="str">
            <v>KINESS. COLOR ACTIVE C. DEVELOPER 36 VOL 1.000 ML.</v>
          </cell>
          <cell r="C6914" t="str">
            <v>8435057017930</v>
          </cell>
        </row>
        <row r="6915">
          <cell r="A6915">
            <v>513173</v>
          </cell>
          <cell r="B6915" t="str">
            <v>KINESS. COLOR ACTIVE C. DEVELOPER 6 VOL 100 ML.</v>
          </cell>
          <cell r="C6915" t="str">
            <v>8435057017947</v>
          </cell>
        </row>
        <row r="6916">
          <cell r="A6916">
            <v>513174</v>
          </cell>
          <cell r="B6916" t="str">
            <v>KINESS. COLOR ACTIVE C. DEVELOPER 12 VOL 100 ML.</v>
          </cell>
          <cell r="C6916" t="str">
            <v>8435057017954</v>
          </cell>
        </row>
        <row r="6917">
          <cell r="A6917">
            <v>513175</v>
          </cell>
          <cell r="B6917" t="str">
            <v>KINESS. COLOR ACTIVE C. DEVELOPER 24 VOL 100 ML.</v>
          </cell>
          <cell r="C6917" t="str">
            <v>8435057017961</v>
          </cell>
        </row>
        <row r="6918">
          <cell r="A6918">
            <v>513176</v>
          </cell>
          <cell r="B6918" t="str">
            <v>KINESS. COLOR ACTIVE C. DEVELOPER 36 VOL 100 ML.</v>
          </cell>
          <cell r="C6918" t="str">
            <v>8435057017978</v>
          </cell>
        </row>
        <row r="6919">
          <cell r="A6919">
            <v>520001</v>
          </cell>
          <cell r="B6919" t="str">
            <v>STYLIUM AIRMOUSSE Fco. 150 ml.</v>
          </cell>
          <cell r="C6919" t="str">
            <v>STAIRM</v>
          </cell>
        </row>
        <row r="6920">
          <cell r="A6920">
            <v>520001</v>
          </cell>
          <cell r="B6920" t="str">
            <v>STYLIUM AIRMOUSSE Fco. 150 ml.</v>
          </cell>
          <cell r="C6920" t="str">
            <v>8435057002691</v>
          </cell>
        </row>
        <row r="6921">
          <cell r="A6921">
            <v>520002</v>
          </cell>
          <cell r="B6921" t="str">
            <v>STYLIUM CRYSTAL JELLY 250 ml.</v>
          </cell>
          <cell r="C6921" t="str">
            <v>STCJ25</v>
          </cell>
        </row>
        <row r="6922">
          <cell r="A6922">
            <v>520002</v>
          </cell>
          <cell r="B6922" t="str">
            <v>STYLIUM CRYSTAL JELLY 250 ml.</v>
          </cell>
          <cell r="C6922" t="str">
            <v>8435057002936</v>
          </cell>
        </row>
        <row r="6923">
          <cell r="A6923">
            <v>520003</v>
          </cell>
          <cell r="B6923" t="str">
            <v>STYLIUM CRYSTAL JELLY Tarro 75</v>
          </cell>
          <cell r="C6923" t="str">
            <v>STCRJE</v>
          </cell>
        </row>
        <row r="6924">
          <cell r="A6924">
            <v>520003</v>
          </cell>
          <cell r="B6924" t="str">
            <v>STYLIUM CRYSTAL JELLY Tarro 75</v>
          </cell>
          <cell r="C6924" t="str">
            <v>8435057002608</v>
          </cell>
        </row>
        <row r="6925">
          <cell r="A6925">
            <v>520004</v>
          </cell>
          <cell r="B6925" t="str">
            <v>STYLIUM CURLY Fco. 200 ml.</v>
          </cell>
          <cell r="C6925" t="str">
            <v>STCURL</v>
          </cell>
        </row>
        <row r="6926">
          <cell r="A6926">
            <v>520004</v>
          </cell>
          <cell r="B6926" t="str">
            <v>STYLIUM CURLY Fco. 200 ml.</v>
          </cell>
          <cell r="C6926" t="str">
            <v>8435057002783</v>
          </cell>
        </row>
        <row r="6927">
          <cell r="A6927">
            <v>520005</v>
          </cell>
          <cell r="B6927" t="str">
            <v>STYLIUM DEFINER Tarro 75 ml.</v>
          </cell>
          <cell r="C6927" t="str">
            <v>STDEFI</v>
          </cell>
        </row>
        <row r="6928">
          <cell r="A6928">
            <v>520005</v>
          </cell>
          <cell r="B6928" t="str">
            <v>STYLIUM DEFINER Tarro 75 ml.</v>
          </cell>
          <cell r="C6928" t="str">
            <v>8435057002578</v>
          </cell>
        </row>
        <row r="6929">
          <cell r="A6929">
            <v>520006</v>
          </cell>
          <cell r="B6929" t="str">
            <v>STYLIUM DYNAMIC Bote 500 ml.</v>
          </cell>
          <cell r="C6929" t="str">
            <v>STDYNA</v>
          </cell>
        </row>
        <row r="6930">
          <cell r="A6930">
            <v>520006</v>
          </cell>
          <cell r="B6930" t="str">
            <v>STYLIUM DYNAMIC Bote 500 ml.</v>
          </cell>
          <cell r="C6930" t="str">
            <v>8435057002714</v>
          </cell>
        </row>
        <row r="6931">
          <cell r="A6931">
            <v>520007</v>
          </cell>
          <cell r="B6931" t="str">
            <v>STYLIUM DYNAMIC Bote 50 ml.</v>
          </cell>
          <cell r="C6931" t="str">
            <v>STDYNAP</v>
          </cell>
        </row>
        <row r="6932">
          <cell r="A6932">
            <v>520007</v>
          </cell>
          <cell r="B6932" t="str">
            <v>STYLIUM DYNAMIC Bote 50 ml.</v>
          </cell>
          <cell r="C6932" t="str">
            <v>8435057002844</v>
          </cell>
        </row>
        <row r="6933">
          <cell r="A6933">
            <v>520008</v>
          </cell>
          <cell r="B6933" t="str">
            <v>STYLIUM ENERGIC 500 ml.</v>
          </cell>
          <cell r="C6933" t="str">
            <v>STENER</v>
          </cell>
        </row>
        <row r="6934">
          <cell r="A6934">
            <v>520008</v>
          </cell>
          <cell r="B6934" t="str">
            <v>STYLIUM ENERGIC 500 ml.</v>
          </cell>
          <cell r="C6934" t="str">
            <v>8435057002769</v>
          </cell>
        </row>
        <row r="6935">
          <cell r="A6935">
            <v>520009</v>
          </cell>
          <cell r="B6935" t="str">
            <v>STYLIUM ENERGIC Bote 50 ml.</v>
          </cell>
          <cell r="C6935" t="str">
            <v>STENERP</v>
          </cell>
        </row>
        <row r="6936">
          <cell r="A6936">
            <v>520009</v>
          </cell>
          <cell r="B6936" t="str">
            <v>STYLIUM ENERGIC Bote 50 ml.</v>
          </cell>
          <cell r="C6936" t="str">
            <v>8435057002837</v>
          </cell>
        </row>
        <row r="6937">
          <cell r="A6937">
            <v>520010</v>
          </cell>
          <cell r="B6937" t="str">
            <v>STYLIUM FIBER Tarro 75 ml.</v>
          </cell>
          <cell r="C6937" t="str">
            <v>STFIBE</v>
          </cell>
        </row>
        <row r="6938">
          <cell r="A6938">
            <v>520010</v>
          </cell>
          <cell r="B6938" t="str">
            <v>STYLIUM FIBER Tarro 75 ml.</v>
          </cell>
          <cell r="C6938" t="str">
            <v>8435057002585</v>
          </cell>
        </row>
        <row r="6939">
          <cell r="A6939">
            <v>520011</v>
          </cell>
          <cell r="B6939" t="str">
            <v>STYLIUM GLAZER Tarro 75 ml.</v>
          </cell>
          <cell r="C6939" t="str">
            <v>STGLAZ</v>
          </cell>
        </row>
        <row r="6940">
          <cell r="A6940">
            <v>520011</v>
          </cell>
          <cell r="B6940" t="str">
            <v>STYLIUM GLAZER Tarro 75 ml.</v>
          </cell>
          <cell r="C6940" t="str">
            <v>8435057002592</v>
          </cell>
        </row>
        <row r="6941">
          <cell r="A6941">
            <v>520012</v>
          </cell>
          <cell r="B6941" t="str">
            <v>STYLIUM GLOSSY Stick de 50 ml.</v>
          </cell>
          <cell r="C6941" t="str">
            <v>STGLOS</v>
          </cell>
        </row>
        <row r="6942">
          <cell r="A6942">
            <v>520012</v>
          </cell>
          <cell r="B6942" t="str">
            <v>STYLIUM GLOSSY Stick de 50 ml.</v>
          </cell>
          <cell r="C6942" t="str">
            <v>8435057002813</v>
          </cell>
        </row>
        <row r="6943">
          <cell r="A6943">
            <v>520013</v>
          </cell>
          <cell r="B6943" t="str">
            <v>STYLIUM GOOP tubo 150 ml.</v>
          </cell>
          <cell r="C6943" t="str">
            <v>STGOOP</v>
          </cell>
        </row>
        <row r="6944">
          <cell r="A6944">
            <v>520013</v>
          </cell>
          <cell r="B6944" t="str">
            <v>STYLIUM GOOP tubo 150 ml.</v>
          </cell>
          <cell r="C6944" t="str">
            <v>8435057002660</v>
          </cell>
        </row>
        <row r="6945">
          <cell r="A6945">
            <v>520014</v>
          </cell>
          <cell r="B6945" t="str">
            <v>STYLIUM GUMMY stick de 50 ml.</v>
          </cell>
          <cell r="C6945" t="str">
            <v>STGUMM</v>
          </cell>
        </row>
        <row r="6946">
          <cell r="A6946">
            <v>520014</v>
          </cell>
          <cell r="B6946" t="str">
            <v>STYLIUM GUMMY stick de 50 ml.</v>
          </cell>
          <cell r="C6946" t="str">
            <v>8435057002653</v>
          </cell>
        </row>
        <row r="6947">
          <cell r="A6947">
            <v>520015</v>
          </cell>
          <cell r="B6947" t="str">
            <v>STYLIUM MODELE 300 ml.</v>
          </cell>
          <cell r="C6947" t="str">
            <v>STMODE</v>
          </cell>
        </row>
        <row r="6948">
          <cell r="A6948">
            <v>520015</v>
          </cell>
          <cell r="B6948" t="str">
            <v>STYLIUM MODELE 300 ml.</v>
          </cell>
          <cell r="C6948" t="str">
            <v>8435057002752</v>
          </cell>
        </row>
        <row r="6949">
          <cell r="A6949">
            <v>520016</v>
          </cell>
          <cell r="B6949" t="str">
            <v>STYLIUM MODELE Bote 50 ml.</v>
          </cell>
          <cell r="C6949" t="str">
            <v>STMODEP</v>
          </cell>
        </row>
        <row r="6950">
          <cell r="A6950">
            <v>520016</v>
          </cell>
          <cell r="B6950" t="str">
            <v>STYLIUM MODELE Bote 50 ml.</v>
          </cell>
          <cell r="C6950" t="str">
            <v>8435057002851</v>
          </cell>
        </row>
        <row r="6951">
          <cell r="A6951">
            <v>520017</v>
          </cell>
          <cell r="B6951" t="str">
            <v>STYLIUM MOULDER Tarro 75 ml.</v>
          </cell>
          <cell r="C6951" t="str">
            <v>STMOUL</v>
          </cell>
        </row>
        <row r="6952">
          <cell r="A6952">
            <v>520017</v>
          </cell>
          <cell r="B6952" t="str">
            <v>STYLIUM MOULDER Tarro 75 ml.</v>
          </cell>
          <cell r="C6952" t="str">
            <v>8435057002561</v>
          </cell>
        </row>
        <row r="6953">
          <cell r="A6953">
            <v>520018</v>
          </cell>
          <cell r="B6953" t="str">
            <v>STYLIUM RADIANCE Fco. 100 ml.</v>
          </cell>
          <cell r="C6953" t="str">
            <v>STRADI</v>
          </cell>
        </row>
        <row r="6954">
          <cell r="A6954">
            <v>520018</v>
          </cell>
          <cell r="B6954" t="str">
            <v>STYLIUM RADIANCE Fco. 100 ml.</v>
          </cell>
          <cell r="C6954" t="str">
            <v>8435057002820</v>
          </cell>
        </row>
        <row r="6955">
          <cell r="A6955">
            <v>520019</v>
          </cell>
          <cell r="B6955" t="str">
            <v>STYLIUM SKULPTOR Tubo 200 ml.</v>
          </cell>
          <cell r="C6955" t="str">
            <v>STSKUL</v>
          </cell>
        </row>
        <row r="6956">
          <cell r="A6956">
            <v>520019</v>
          </cell>
          <cell r="B6956" t="str">
            <v>STYLIUM SKULPTOR Tubo 200 ml.</v>
          </cell>
          <cell r="C6956" t="str">
            <v>8435057002790</v>
          </cell>
        </row>
        <row r="6957">
          <cell r="A6957">
            <v>520020</v>
          </cell>
          <cell r="B6957" t="str">
            <v>STYLIUM SKULPTOR Tubo 50 ml.</v>
          </cell>
          <cell r="C6957" t="str">
            <v>STSKULP</v>
          </cell>
        </row>
        <row r="6958">
          <cell r="A6958">
            <v>520020</v>
          </cell>
          <cell r="B6958" t="str">
            <v>STYLIUM SKULPTOR Tubo 50 ml.</v>
          </cell>
          <cell r="C6958" t="str">
            <v>8435057002875</v>
          </cell>
        </row>
        <row r="6959">
          <cell r="A6959">
            <v>520021</v>
          </cell>
          <cell r="B6959" t="str">
            <v>STYLIUM STICK 75 ml.</v>
          </cell>
          <cell r="C6959" t="str">
            <v>STSTIC</v>
          </cell>
        </row>
        <row r="6960">
          <cell r="A6960">
            <v>520021</v>
          </cell>
          <cell r="B6960" t="str">
            <v>STYLIUM STICK 75 ml.</v>
          </cell>
          <cell r="C6960" t="str">
            <v>8435057002646</v>
          </cell>
        </row>
        <row r="6961">
          <cell r="A6961">
            <v>520022</v>
          </cell>
          <cell r="B6961" t="str">
            <v>STYLIUM THERMIC Fco. 200 ml.</v>
          </cell>
          <cell r="C6961" t="str">
            <v>STTHER</v>
          </cell>
        </row>
        <row r="6962">
          <cell r="A6962">
            <v>520022</v>
          </cell>
          <cell r="B6962" t="str">
            <v>STYLIUM THERMIC Fco. 200 ml.</v>
          </cell>
          <cell r="C6962" t="str">
            <v>8435057002721</v>
          </cell>
        </row>
        <row r="6963">
          <cell r="A6963">
            <v>520023</v>
          </cell>
          <cell r="B6963" t="str">
            <v>STYLIUM VOLUME Bote 300 ml.</v>
          </cell>
          <cell r="C6963" t="str">
            <v>STVOLU</v>
          </cell>
        </row>
        <row r="6964">
          <cell r="A6964">
            <v>520023</v>
          </cell>
          <cell r="B6964" t="str">
            <v>STYLIUM VOLUME Bote 300 ml.</v>
          </cell>
          <cell r="C6964" t="str">
            <v>8435057002707</v>
          </cell>
        </row>
        <row r="6965">
          <cell r="A6965">
            <v>520024</v>
          </cell>
          <cell r="B6965" t="str">
            <v>STYLIUM VOLUME Bote 50 ml.</v>
          </cell>
          <cell r="C6965" t="str">
            <v>STVOLUP</v>
          </cell>
        </row>
        <row r="6966">
          <cell r="A6966">
            <v>520024</v>
          </cell>
          <cell r="B6966" t="str">
            <v>STYLIUM VOLUME Bote 50 ml.</v>
          </cell>
          <cell r="C6966" t="str">
            <v>8435057002868</v>
          </cell>
        </row>
        <row r="6967">
          <cell r="A6967">
            <v>520025</v>
          </cell>
          <cell r="B6967" t="str">
            <v>STYLIUM WET &amp; SHINE Tubo 150</v>
          </cell>
          <cell r="C6967" t="str">
            <v>STWESH</v>
          </cell>
        </row>
        <row r="6968">
          <cell r="A6968">
            <v>520025</v>
          </cell>
          <cell r="B6968" t="str">
            <v>STYLIUM WET &amp; SHINE Tubo 150</v>
          </cell>
          <cell r="C6968" t="str">
            <v>8435057002806</v>
          </cell>
        </row>
        <row r="6969">
          <cell r="A6969">
            <v>520026</v>
          </cell>
          <cell r="B6969" t="str">
            <v>STYLIUM X-LASTIC Tubo 200 ml.</v>
          </cell>
          <cell r="C6969" t="str">
            <v>STXLAS</v>
          </cell>
        </row>
        <row r="6970">
          <cell r="A6970">
            <v>520026</v>
          </cell>
          <cell r="B6970" t="str">
            <v>STYLIUM X-LASTIC Tubo 200 ml.</v>
          </cell>
          <cell r="C6970" t="str">
            <v>8435057002745</v>
          </cell>
        </row>
        <row r="6971">
          <cell r="A6971">
            <v>520027</v>
          </cell>
          <cell r="B6971" t="str">
            <v>STYLIUM X-LASTIC Tubo 50 ml.</v>
          </cell>
          <cell r="C6971" t="str">
            <v>STXLASP</v>
          </cell>
        </row>
        <row r="6972">
          <cell r="A6972">
            <v>520027</v>
          </cell>
          <cell r="B6972" t="str">
            <v>STYLIUM X-LASTIC Tubo 50 ml.</v>
          </cell>
          <cell r="C6972" t="str">
            <v>8435057002882</v>
          </cell>
        </row>
        <row r="6973">
          <cell r="A6973">
            <v>520028</v>
          </cell>
          <cell r="B6973" t="str">
            <v>STYLIUM XPANSOR Fco. 200 ml.</v>
          </cell>
          <cell r="C6973" t="str">
            <v>STXPAN</v>
          </cell>
        </row>
        <row r="6974">
          <cell r="A6974">
            <v>520028</v>
          </cell>
          <cell r="B6974" t="str">
            <v>STYLIUM XPANSOR Fco. 200 ml.</v>
          </cell>
          <cell r="C6974" t="str">
            <v>8435057002738</v>
          </cell>
        </row>
        <row r="6975">
          <cell r="A6975">
            <v>520029</v>
          </cell>
          <cell r="B6975" t="str">
            <v>STYLIUM X-TREM Fco. 200 ml.</v>
          </cell>
          <cell r="C6975" t="str">
            <v>STXTRE</v>
          </cell>
        </row>
        <row r="6976">
          <cell r="A6976">
            <v>520029</v>
          </cell>
          <cell r="B6976" t="str">
            <v>STYLIUM X-TREM Fco. 200 ml.</v>
          </cell>
          <cell r="C6976" t="str">
            <v>8435057002776</v>
          </cell>
        </row>
        <row r="6977">
          <cell r="A6977">
            <v>520034</v>
          </cell>
          <cell r="B6977" t="str">
            <v>KINSTYLE ESSENTIAL HAIRSPRAY</v>
          </cell>
          <cell r="C6977" t="str">
            <v>8435057009201</v>
          </cell>
        </row>
        <row r="6978">
          <cell r="A6978">
            <v>520035</v>
          </cell>
          <cell r="B6978" t="str">
            <v>KINSTYLE EXTREME HAIRSPRAY</v>
          </cell>
          <cell r="C6978" t="str">
            <v>8435057009218</v>
          </cell>
        </row>
        <row r="6979">
          <cell r="A6979">
            <v>520036</v>
          </cell>
          <cell r="B6979" t="str">
            <v>KINSTYLE ESSENTIAL MOUSSE</v>
          </cell>
          <cell r="C6979" t="str">
            <v>8435057009225</v>
          </cell>
        </row>
        <row r="6980">
          <cell r="A6980">
            <v>520037</v>
          </cell>
          <cell r="B6980" t="str">
            <v>KINSTYLE EXTREME MOUSSE</v>
          </cell>
          <cell r="C6980" t="str">
            <v>8435057009232</v>
          </cell>
        </row>
        <row r="6981">
          <cell r="A6981">
            <v>520038</v>
          </cell>
          <cell r="B6981" t="str">
            <v>KINSTYLE RADICAL VOLUME</v>
          </cell>
          <cell r="C6981" t="str">
            <v>8435057009249</v>
          </cell>
        </row>
        <row r="6982">
          <cell r="A6982">
            <v>520039</v>
          </cell>
          <cell r="B6982" t="str">
            <v>KINSTYLE CRYSTAL JELLY 250 ML.</v>
          </cell>
          <cell r="C6982" t="str">
            <v>8435057009256</v>
          </cell>
        </row>
        <row r="6983">
          <cell r="A6983">
            <v>520040</v>
          </cell>
          <cell r="B6983" t="str">
            <v>KINSTYLE MAT GUM 100 ML.</v>
          </cell>
          <cell r="C6983" t="str">
            <v>8435057009263</v>
          </cell>
        </row>
        <row r="6984">
          <cell r="A6984">
            <v>520041</v>
          </cell>
          <cell r="B6984" t="str">
            <v>KINSTYLE CURLY CREAM 150 ML</v>
          </cell>
          <cell r="C6984" t="str">
            <v>8435057009270</v>
          </cell>
        </row>
        <row r="6985">
          <cell r="A6985">
            <v>520042</v>
          </cell>
          <cell r="B6985" t="str">
            <v>KINSTYLE THERMIC SPRAY 200 ML</v>
          </cell>
          <cell r="C6985" t="str">
            <v>8435057009287</v>
          </cell>
        </row>
        <row r="6986">
          <cell r="A6986">
            <v>520043</v>
          </cell>
          <cell r="B6986" t="str">
            <v>KINSTYLE GLAM TOUCH 125 ML.</v>
          </cell>
          <cell r="C6986" t="str">
            <v>8435057009294</v>
          </cell>
        </row>
        <row r="6987">
          <cell r="A6987">
            <v>520056</v>
          </cell>
          <cell r="B6987" t="str">
            <v>KINSTYLE X-TREM ECO SPRAY 200 ML</v>
          </cell>
          <cell r="C6987" t="str">
            <v>8435057009751</v>
          </cell>
        </row>
        <row r="6988">
          <cell r="A6988">
            <v>520057</v>
          </cell>
          <cell r="B6988" t="str">
            <v>KINSTYLE HARD ROCK 200 ML</v>
          </cell>
          <cell r="C6988" t="str">
            <v>8435057009928</v>
          </cell>
        </row>
        <row r="6989">
          <cell r="A6989">
            <v>520060</v>
          </cell>
          <cell r="B6989" t="str">
            <v>KINSTYLE FIBER PASTE 100 ML</v>
          </cell>
          <cell r="C6989" t="str">
            <v>8435057010214</v>
          </cell>
        </row>
        <row r="6990">
          <cell r="A6990">
            <v>520063</v>
          </cell>
          <cell r="B6990" t="str">
            <v>KINSTYLE STAR WAX 100 ml.</v>
          </cell>
          <cell r="C6990" t="str">
            <v>8435057010320</v>
          </cell>
        </row>
        <row r="6991">
          <cell r="A6991">
            <v>520064</v>
          </cell>
          <cell r="B6991" t="str">
            <v>KINSTYLE POTION CREAM 150 ML</v>
          </cell>
          <cell r="C6991" t="str">
            <v>8435057010375</v>
          </cell>
        </row>
        <row r="6992">
          <cell r="A6992">
            <v>520067</v>
          </cell>
          <cell r="B6992" t="str">
            <v>LOTE  KINSTYLE POTION</v>
          </cell>
          <cell r="C6992" t="str">
            <v>0000000520067</v>
          </cell>
        </row>
        <row r="6993">
          <cell r="A6993">
            <v>520069</v>
          </cell>
          <cell r="B6993" t="str">
            <v>KINSTYLE GELLIN 200 ml</v>
          </cell>
          <cell r="C6993" t="str">
            <v>8435057011402</v>
          </cell>
        </row>
        <row r="6994">
          <cell r="A6994">
            <v>520072</v>
          </cell>
          <cell r="B6994" t="str">
            <v>KINSTYLE GLAM TOUCH 100 ml</v>
          </cell>
          <cell r="C6994" t="str">
            <v>8435057011983</v>
          </cell>
        </row>
        <row r="6995">
          <cell r="A6995">
            <v>520073</v>
          </cell>
          <cell r="B6995" t="str">
            <v>SACHET MAKING WAVES 8 ML DÍPTICO</v>
          </cell>
          <cell r="C6995" t="str">
            <v>8435057012027</v>
          </cell>
        </row>
        <row r="6996">
          <cell r="A6996">
            <v>520074</v>
          </cell>
          <cell r="B6996" t="str">
            <v>KINSTYLE MAKING WAVES 150 ML.</v>
          </cell>
          <cell r="C6996" t="str">
            <v>8435057012034</v>
          </cell>
        </row>
        <row r="6997">
          <cell r="A6997">
            <v>520082</v>
          </cell>
          <cell r="B6997" t="str">
            <v>KINSTYLE CURLY CREAM 30 ML</v>
          </cell>
          <cell r="C6997" t="str">
            <v>8435057013987</v>
          </cell>
        </row>
        <row r="6998">
          <cell r="A6998">
            <v>520083</v>
          </cell>
          <cell r="B6998" t="str">
            <v>KINSTYLE POTION CREAM 30 ML</v>
          </cell>
          <cell r="C6998" t="str">
            <v>8435057013994</v>
          </cell>
        </row>
        <row r="6999">
          <cell r="A6999">
            <v>520084</v>
          </cell>
          <cell r="B6999" t="str">
            <v>KINSTYLE MAKING WAVES 30 ML</v>
          </cell>
          <cell r="C6999" t="str">
            <v>8435057014007</v>
          </cell>
        </row>
        <row r="7000">
          <cell r="A7000">
            <v>520085</v>
          </cell>
          <cell r="B7000" t="str">
            <v>HAUTE HAIR SHIMMER 150 ML</v>
          </cell>
          <cell r="C7000" t="str">
            <v>8435057014748</v>
          </cell>
        </row>
        <row r="7001">
          <cell r="A7001">
            <v>520086</v>
          </cell>
          <cell r="B7001" t="str">
            <v>HAUTE SEA SALT MIST 200 ML</v>
          </cell>
          <cell r="C7001" t="str">
            <v>8435057014755</v>
          </cell>
        </row>
        <row r="7002">
          <cell r="A7002">
            <v>520087</v>
          </cell>
          <cell r="B7002" t="str">
            <v>HAUTE THICKENING CREAM 150 ML</v>
          </cell>
          <cell r="C7002" t="str">
            <v>8435057014762</v>
          </cell>
        </row>
        <row r="7003">
          <cell r="A7003">
            <v>520088</v>
          </cell>
          <cell r="B7003" t="str">
            <v>HAUTE DRY SHAMPOO &amp; VOLUME</v>
          </cell>
          <cell r="C7003" t="str">
            <v>8435057014779</v>
          </cell>
        </row>
        <row r="7004">
          <cell r="A7004">
            <v>520089</v>
          </cell>
          <cell r="B7004" t="str">
            <v>HAUTE WAX STICK 50 ML</v>
          </cell>
          <cell r="C7004" t="str">
            <v>8435057014786</v>
          </cell>
        </row>
        <row r="7005">
          <cell r="A7005">
            <v>520090</v>
          </cell>
          <cell r="B7005" t="str">
            <v>HAUTE BLOW DRY HAIRSPRAY</v>
          </cell>
          <cell r="C7005" t="str">
            <v>8435057014793</v>
          </cell>
        </row>
        <row r="7006">
          <cell r="A7006">
            <v>520098</v>
          </cell>
          <cell r="B7006" t="str">
            <v>KINSTYLE POTION C. COLOMBIA 30 ML</v>
          </cell>
          <cell r="C7006" t="str">
            <v>8435057014854</v>
          </cell>
        </row>
        <row r="7007">
          <cell r="A7007">
            <v>520099</v>
          </cell>
          <cell r="B7007" t="str">
            <v>PACK SACHETS KINSTYLE CURLY CREAM</v>
          </cell>
          <cell r="C7007" t="str">
            <v>8435057016650</v>
          </cell>
        </row>
        <row r="7008">
          <cell r="A7008">
            <v>520100</v>
          </cell>
          <cell r="B7008" t="str">
            <v>PACK SACHETS KINSTYLE POTION CREAM</v>
          </cell>
          <cell r="C7008" t="str">
            <v>8435057016667</v>
          </cell>
        </row>
        <row r="7009">
          <cell r="A7009">
            <v>520101</v>
          </cell>
          <cell r="B7009" t="str">
            <v>PACK SACHETS KINSTYLE MAKING WAVES</v>
          </cell>
          <cell r="C7009" t="str">
            <v>8435057016674</v>
          </cell>
        </row>
        <row r="7010">
          <cell r="A7010">
            <v>520102</v>
          </cell>
          <cell r="B7010" t="str">
            <v>HAUTE THICKENING CREAM 30 ML</v>
          </cell>
          <cell r="C7010" t="str">
            <v>8435057014939</v>
          </cell>
        </row>
        <row r="7011">
          <cell r="A7011">
            <v>520104</v>
          </cell>
          <cell r="B7011" t="str">
            <v>KINSTYLE POTION PINK EDITION 150 ML</v>
          </cell>
          <cell r="C7011" t="str">
            <v>8435057015004</v>
          </cell>
        </row>
        <row r="7012">
          <cell r="A7012">
            <v>520105</v>
          </cell>
          <cell r="B7012" t="str">
            <v>KINSTYLE CURLY PINK EDITION 150 ML</v>
          </cell>
          <cell r="C7012" t="str">
            <v>8435057015011</v>
          </cell>
        </row>
        <row r="7013">
          <cell r="A7013">
            <v>520114</v>
          </cell>
          <cell r="B7013" t="str">
            <v>KINSTYLE POTION CREAM XMAS EDIT. 30 ML</v>
          </cell>
          <cell r="C7013" t="str">
            <v>8435057016803</v>
          </cell>
        </row>
        <row r="7014">
          <cell r="A7014">
            <v>520115</v>
          </cell>
          <cell r="B7014" t="str">
            <v>PACK SACHETS KINSTYLE CURLY CREAM</v>
          </cell>
          <cell r="C7014" t="str">
            <v>8435057016940</v>
          </cell>
        </row>
        <row r="7015">
          <cell r="A7015">
            <v>520116</v>
          </cell>
          <cell r="B7015" t="str">
            <v>PACK SACHETS KINSTYLE POTION CREAM</v>
          </cell>
          <cell r="C7015" t="str">
            <v>8435057016957</v>
          </cell>
        </row>
        <row r="7016">
          <cell r="A7016">
            <v>530001</v>
          </cell>
          <cell r="B7016" t="str">
            <v>KINWORKS FIXING GEL EXTRAF.</v>
          </cell>
          <cell r="C7016" t="str">
            <v>KWFXGE</v>
          </cell>
        </row>
        <row r="7017">
          <cell r="A7017">
            <v>530001</v>
          </cell>
          <cell r="B7017" t="str">
            <v>KINWORKS FIXING GEL EXTRAF.</v>
          </cell>
          <cell r="C7017" t="str">
            <v>8435057003605</v>
          </cell>
        </row>
        <row r="7018">
          <cell r="A7018">
            <v>530002</v>
          </cell>
          <cell r="B7018" t="str">
            <v>KINWORKS FIXING GEL FUERTE</v>
          </cell>
          <cell r="C7018" t="str">
            <v>KWFXGF</v>
          </cell>
        </row>
        <row r="7019">
          <cell r="A7019">
            <v>530002</v>
          </cell>
          <cell r="B7019" t="str">
            <v>KINWORKS FIXING GEL FUERTE</v>
          </cell>
          <cell r="C7019" t="str">
            <v>8435057003599</v>
          </cell>
        </row>
        <row r="7020">
          <cell r="A7020">
            <v>530003</v>
          </cell>
          <cell r="B7020" t="str">
            <v>KINWORKS FIXING LAC EXTRAFUER.</v>
          </cell>
          <cell r="C7020" t="str">
            <v>KWFXLE</v>
          </cell>
        </row>
        <row r="7021">
          <cell r="A7021">
            <v>530003</v>
          </cell>
          <cell r="B7021" t="str">
            <v>KINWORKS FIXING LAC EXTRAFUER.</v>
          </cell>
          <cell r="C7021" t="str">
            <v>8435057003513</v>
          </cell>
        </row>
        <row r="7022">
          <cell r="A7022">
            <v>530004</v>
          </cell>
          <cell r="B7022" t="str">
            <v>KINWORKS FIXING LAC FUERTE</v>
          </cell>
          <cell r="C7022" t="str">
            <v>KWFXLF</v>
          </cell>
        </row>
        <row r="7023">
          <cell r="A7023">
            <v>530004</v>
          </cell>
          <cell r="B7023" t="str">
            <v>KINWORKS FIXING LAC FUERTE</v>
          </cell>
          <cell r="C7023" t="str">
            <v>8435057003520</v>
          </cell>
        </row>
        <row r="7024">
          <cell r="A7024">
            <v>530005</v>
          </cell>
          <cell r="B7024" t="str">
            <v>KINWORKS FINISH SPRAY EXTRAF</v>
          </cell>
          <cell r="C7024" t="str">
            <v>KWLAE1</v>
          </cell>
        </row>
        <row r="7025">
          <cell r="A7025">
            <v>530005</v>
          </cell>
          <cell r="B7025" t="str">
            <v>KINWORKS FINISH SPRAY EXTRAF</v>
          </cell>
          <cell r="C7025" t="str">
            <v>8435057002684</v>
          </cell>
        </row>
        <row r="7026">
          <cell r="A7026">
            <v>530006</v>
          </cell>
          <cell r="B7026" t="str">
            <v>KINWORKS FINISH SPRAY FUERTE</v>
          </cell>
          <cell r="C7026" t="str">
            <v>KWLAF1</v>
          </cell>
        </row>
        <row r="7027">
          <cell r="A7027">
            <v>530006</v>
          </cell>
          <cell r="B7027" t="str">
            <v>KINWORKS FINISH SPRAY FUERTE</v>
          </cell>
          <cell r="C7027" t="str">
            <v>8435057002677</v>
          </cell>
        </row>
        <row r="7028">
          <cell r="A7028">
            <v>530007</v>
          </cell>
          <cell r="B7028" t="str">
            <v>KINWORKS SHAPING WET 500 ml.</v>
          </cell>
          <cell r="C7028" t="str">
            <v>KWSHWE</v>
          </cell>
        </row>
        <row r="7029">
          <cell r="A7029">
            <v>530007</v>
          </cell>
          <cell r="B7029" t="str">
            <v>KINWORKS SHAPING WET 500 ml.</v>
          </cell>
          <cell r="C7029" t="str">
            <v>8435057002943</v>
          </cell>
        </row>
        <row r="7030">
          <cell r="A7030">
            <v>530008</v>
          </cell>
          <cell r="B7030" t="str">
            <v>KINWORKS SETTING P. C. GRUESOS</v>
          </cell>
          <cell r="C7030" t="str">
            <v>KWSPCG</v>
          </cell>
        </row>
        <row r="7031">
          <cell r="A7031">
            <v>530008</v>
          </cell>
          <cell r="B7031" t="str">
            <v>KINWORKS SETTING P. C. GRUESOS</v>
          </cell>
          <cell r="C7031" t="str">
            <v>8435057005760</v>
          </cell>
        </row>
        <row r="7032">
          <cell r="A7032">
            <v>530009</v>
          </cell>
          <cell r="B7032" t="str">
            <v>KINWORKS SETTING P. C. NORMAL</v>
          </cell>
          <cell r="C7032" t="str">
            <v>KWSPCN</v>
          </cell>
        </row>
        <row r="7033">
          <cell r="A7033">
            <v>530009</v>
          </cell>
          <cell r="B7033" t="str">
            <v>KINWORKS SETTING P. C. NORMAL</v>
          </cell>
          <cell r="C7033" t="str">
            <v>8435057005753</v>
          </cell>
        </row>
        <row r="7034">
          <cell r="A7034">
            <v>530010</v>
          </cell>
          <cell r="B7034" t="str">
            <v>KINWORKS TOUCHING SPRAY 400 ml</v>
          </cell>
          <cell r="C7034" t="str">
            <v>KWTOUC</v>
          </cell>
        </row>
        <row r="7035">
          <cell r="A7035">
            <v>530010</v>
          </cell>
          <cell r="B7035" t="str">
            <v>KINWORKS TOUCHING SPRAY 400 ml</v>
          </cell>
          <cell r="C7035" t="str">
            <v>8435057003537</v>
          </cell>
        </row>
        <row r="7036">
          <cell r="A7036">
            <v>530011</v>
          </cell>
          <cell r="B7036" t="str">
            <v>KINWORKS BLEACHING POWDER 1 KG</v>
          </cell>
          <cell r="C7036" t="str">
            <v>KWDECO</v>
          </cell>
        </row>
        <row r="7037">
          <cell r="A7037">
            <v>530011</v>
          </cell>
          <cell r="B7037" t="str">
            <v>KINWORKS BLEACHING POWDER 1 KG</v>
          </cell>
          <cell r="C7037" t="str">
            <v>8435057003582</v>
          </cell>
        </row>
        <row r="7038">
          <cell r="A7038">
            <v>530012</v>
          </cell>
          <cell r="B7038" t="str">
            <v>KINWORKS BLEACHING POWDER 2</v>
          </cell>
          <cell r="C7038" t="str">
            <v>KWDECO2</v>
          </cell>
        </row>
        <row r="7039">
          <cell r="A7039">
            <v>530012</v>
          </cell>
          <cell r="B7039" t="str">
            <v>KINWORKS BLEACHING POWDER 2</v>
          </cell>
          <cell r="C7039" t="str">
            <v>8435057006002</v>
          </cell>
        </row>
        <row r="7040">
          <cell r="A7040">
            <v>530013</v>
          </cell>
          <cell r="B7040" t="str">
            <v>KINWORKS  I-GLOO 500 ML.</v>
          </cell>
          <cell r="C7040" t="str">
            <v>8435057009935</v>
          </cell>
        </row>
        <row r="7041">
          <cell r="A7041">
            <v>530014</v>
          </cell>
          <cell r="B7041" t="str">
            <v>KW. SHAMPOO MANZANA ACIDA</v>
          </cell>
          <cell r="C7041" t="str">
            <v>8435057009942</v>
          </cell>
        </row>
        <row r="7042">
          <cell r="A7042">
            <v>530015</v>
          </cell>
          <cell r="B7042" t="str">
            <v>KW. SHAMPOO TROPICAL FRUITS</v>
          </cell>
          <cell r="C7042" t="str">
            <v>8435057009959</v>
          </cell>
        </row>
        <row r="7043">
          <cell r="A7043">
            <v>530016</v>
          </cell>
          <cell r="B7043" t="str">
            <v>KW. SHAMPOO SWEET KOKO 400 ML.</v>
          </cell>
          <cell r="C7043" t="str">
            <v>8435057010221</v>
          </cell>
        </row>
        <row r="7044">
          <cell r="A7044">
            <v>530017</v>
          </cell>
          <cell r="B7044" t="str">
            <v>KW. SHAMPOO POWER SPORTS 400 ML</v>
          </cell>
          <cell r="C7044" t="str">
            <v>8435057010238</v>
          </cell>
        </row>
        <row r="7045">
          <cell r="A7045">
            <v>530018</v>
          </cell>
          <cell r="B7045" t="str">
            <v>KINWORKS PURE &amp; FRESH SHAMPOO 400 ML</v>
          </cell>
          <cell r="C7045" t="str">
            <v>8435057010245</v>
          </cell>
        </row>
        <row r="7046">
          <cell r="A7046">
            <v>530019</v>
          </cell>
          <cell r="B7046" t="str">
            <v>KINWORKS BLEACHING POWDER 500 G</v>
          </cell>
          <cell r="C7046" t="str">
            <v>8435057010252</v>
          </cell>
        </row>
        <row r="7047">
          <cell r="A7047">
            <v>530020</v>
          </cell>
          <cell r="B7047" t="str">
            <v>LOTE  KINWORKS PURE &amp; FRESH</v>
          </cell>
          <cell r="C7047" t="str">
            <v>0000000530020</v>
          </cell>
        </row>
        <row r="7048">
          <cell r="A7048">
            <v>530021</v>
          </cell>
          <cell r="B7048" t="str">
            <v>KW EQUILIBRE BIPHASE 400 ML</v>
          </cell>
          <cell r="C7048" t="str">
            <v>8435057010610</v>
          </cell>
        </row>
        <row r="7049">
          <cell r="A7049">
            <v>530022</v>
          </cell>
          <cell r="B7049" t="str">
            <v>KINWORKS TSUBAKI SHAMPOO 400 ML</v>
          </cell>
          <cell r="C7049" t="str">
            <v>8435057010641</v>
          </cell>
        </row>
        <row r="7050">
          <cell r="A7050">
            <v>530023</v>
          </cell>
          <cell r="B7050" t="str">
            <v>KW. MASCARILLA TSUBAKI 200 ML.</v>
          </cell>
          <cell r="C7050" t="str">
            <v>8435057010658</v>
          </cell>
        </row>
        <row r="7051">
          <cell r="A7051">
            <v>530024</v>
          </cell>
          <cell r="B7051" t="str">
            <v>KINWORKS PURE &amp; FRESH BI-PHASE 400 ML</v>
          </cell>
          <cell r="C7051" t="str">
            <v>8435057010702</v>
          </cell>
        </row>
        <row r="7052">
          <cell r="A7052">
            <v>530030</v>
          </cell>
          <cell r="B7052" t="str">
            <v>KINWORKS FIXING LAC 400 ML</v>
          </cell>
          <cell r="C7052" t="str">
            <v>8435057011341</v>
          </cell>
        </row>
        <row r="7053">
          <cell r="A7053">
            <v>530031</v>
          </cell>
          <cell r="B7053" t="str">
            <v>KINWORKS SHAPING WET 2 MEDIUM</v>
          </cell>
          <cell r="C7053" t="str">
            <v>8435057011358</v>
          </cell>
        </row>
        <row r="7054">
          <cell r="A7054">
            <v>530032</v>
          </cell>
          <cell r="B7054" t="str">
            <v>KINWORKS L-33 COMPLEX</v>
          </cell>
          <cell r="C7054" t="str">
            <v>8435057011419</v>
          </cell>
        </row>
        <row r="7055">
          <cell r="A7055">
            <v>530034</v>
          </cell>
          <cell r="B7055" t="str">
            <v>KINWORKS GREEN APPLE SHAMPOO 5 L</v>
          </cell>
          <cell r="C7055" t="str">
            <v>8435057016964</v>
          </cell>
        </row>
        <row r="7056">
          <cell r="A7056">
            <v>530035</v>
          </cell>
          <cell r="B7056" t="str">
            <v>KINWORKS PURE &amp; FRESH SHAMPOO 400 ML</v>
          </cell>
          <cell r="C7056" t="str">
            <v>8435057016988</v>
          </cell>
        </row>
        <row r="7057">
          <cell r="A7057">
            <v>530036</v>
          </cell>
          <cell r="B7057" t="str">
            <v>KINWORKS EQUILIBRE BI-PHASE 400 ML</v>
          </cell>
          <cell r="C7057" t="str">
            <v>8435057016995</v>
          </cell>
        </row>
        <row r="7058">
          <cell r="A7058">
            <v>530037</v>
          </cell>
          <cell r="B7058" t="str">
            <v>KINWORKS SHAPING WET 400 ML</v>
          </cell>
          <cell r="C7058" t="str">
            <v>8435057016971</v>
          </cell>
        </row>
        <row r="7059">
          <cell r="A7059">
            <v>530038</v>
          </cell>
          <cell r="B7059" t="str">
            <v>KINWORKS FIXING LAC 4-FIRM 400 ML</v>
          </cell>
          <cell r="C7059" t="str">
            <v>8435057018609</v>
          </cell>
        </row>
        <row r="7060">
          <cell r="A7060">
            <v>540001</v>
          </cell>
          <cell r="B7060" t="str">
            <v>CHAMPU HIERBAS GFA. 5 Lts</v>
          </cell>
          <cell r="C7060" t="str">
            <v>CHHRE</v>
          </cell>
        </row>
        <row r="7061">
          <cell r="A7061">
            <v>540001</v>
          </cell>
          <cell r="B7061" t="str">
            <v>CHAMPU HIERBAS GFA. 5 Lts</v>
          </cell>
          <cell r="C7061" t="str">
            <v>8435057005371</v>
          </cell>
        </row>
        <row r="7062">
          <cell r="A7062">
            <v>540002</v>
          </cell>
          <cell r="B7062" t="str">
            <v>CHAMPU PINO GFA. 5 Lts.</v>
          </cell>
          <cell r="C7062" t="str">
            <v>CHPRE</v>
          </cell>
        </row>
        <row r="7063">
          <cell r="A7063">
            <v>540002</v>
          </cell>
          <cell r="B7063" t="str">
            <v>CHAMPU PINO GFA. 5 Lts.</v>
          </cell>
          <cell r="C7063" t="str">
            <v>8435057005388</v>
          </cell>
        </row>
        <row r="7064">
          <cell r="A7064">
            <v>540003</v>
          </cell>
          <cell r="B7064" t="str">
            <v>CREMA SEDINOR 1 LT.</v>
          </cell>
          <cell r="C7064" t="str">
            <v>CRS10</v>
          </cell>
        </row>
        <row r="7065">
          <cell r="A7065">
            <v>540003</v>
          </cell>
          <cell r="B7065" t="str">
            <v>CREMA SEDINOR 1 LT.</v>
          </cell>
          <cell r="C7065" t="str">
            <v>8435057005395</v>
          </cell>
        </row>
        <row r="7066">
          <cell r="A7066">
            <v>540004</v>
          </cell>
          <cell r="B7066" t="str">
            <v>L-33 PLACENTA</v>
          </cell>
          <cell r="C7066" t="str">
            <v>LOA33</v>
          </cell>
        </row>
        <row r="7067">
          <cell r="A7067">
            <v>540004</v>
          </cell>
          <cell r="B7067" t="str">
            <v>L-33 PLACENTA</v>
          </cell>
          <cell r="C7067" t="str">
            <v>8435057003896</v>
          </cell>
        </row>
        <row r="7068">
          <cell r="A7068">
            <v>540005</v>
          </cell>
          <cell r="B7068" t="str">
            <v>PROTECTOR ACONDICIONADOR</v>
          </cell>
          <cell r="C7068" t="str">
            <v>LOPRO</v>
          </cell>
        </row>
        <row r="7069">
          <cell r="A7069">
            <v>540005</v>
          </cell>
          <cell r="B7069" t="str">
            <v>PROTECTOR ACONDICIONADOR</v>
          </cell>
          <cell r="C7069" t="str">
            <v>8435057005418</v>
          </cell>
        </row>
        <row r="7070">
          <cell r="A7070">
            <v>540006</v>
          </cell>
          <cell r="B7070" t="str">
            <v>SEDINOR LOCION Brushing</v>
          </cell>
          <cell r="C7070" t="str">
            <v>PLBSL</v>
          </cell>
        </row>
        <row r="7071">
          <cell r="A7071">
            <v>540006</v>
          </cell>
          <cell r="B7071" t="str">
            <v>SEDINOR LOCION Brushing</v>
          </cell>
          <cell r="C7071" t="str">
            <v>8435057005401</v>
          </cell>
        </row>
        <row r="7072">
          <cell r="A7072">
            <v>540007</v>
          </cell>
          <cell r="B7072" t="str">
            <v>NEUTRALIZANTE KINPERM  1000</v>
          </cell>
          <cell r="C7072" t="str">
            <v>NEKP1</v>
          </cell>
        </row>
        <row r="7073">
          <cell r="A7073">
            <v>540007</v>
          </cell>
          <cell r="B7073" t="str">
            <v>NEUTRALIZANTE KINPERM  1000</v>
          </cell>
          <cell r="C7073" t="str">
            <v>8435057002486</v>
          </cell>
        </row>
        <row r="7074">
          <cell r="A7074">
            <v>540008</v>
          </cell>
          <cell r="B7074" t="str">
            <v>NEUTRALIZANTE KINPERM EST.</v>
          </cell>
          <cell r="C7074" t="str">
            <v>NEKPE</v>
          </cell>
        </row>
        <row r="7075">
          <cell r="A7075">
            <v>540008</v>
          </cell>
          <cell r="B7075" t="str">
            <v>NEUTRALIZANTE KINPERM EST.</v>
          </cell>
          <cell r="C7075" t="str">
            <v>8435057002530</v>
          </cell>
        </row>
        <row r="7076">
          <cell r="A7076">
            <v>540009</v>
          </cell>
          <cell r="B7076" t="str">
            <v>KINPERM Nº 0 Est.</v>
          </cell>
          <cell r="C7076" t="str">
            <v>PEKP0</v>
          </cell>
        </row>
        <row r="7077">
          <cell r="A7077">
            <v>540009</v>
          </cell>
          <cell r="B7077" t="str">
            <v>KINPERM Nº 0 Est.</v>
          </cell>
          <cell r="C7077" t="str">
            <v>8435057002493</v>
          </cell>
        </row>
        <row r="7078">
          <cell r="A7078">
            <v>540010</v>
          </cell>
          <cell r="B7078" t="str">
            <v>KINPERM Nº 1 Est.</v>
          </cell>
          <cell r="C7078" t="str">
            <v>PEKP1</v>
          </cell>
        </row>
        <row r="7079">
          <cell r="A7079">
            <v>540010</v>
          </cell>
          <cell r="B7079" t="str">
            <v>KINPERM Nº 1 Est.</v>
          </cell>
          <cell r="C7079" t="str">
            <v>8435057002509</v>
          </cell>
        </row>
        <row r="7080">
          <cell r="A7080">
            <v>540011</v>
          </cell>
          <cell r="B7080" t="str">
            <v>KINPERM Nº 2 Est.</v>
          </cell>
          <cell r="C7080" t="str">
            <v>PEKP2</v>
          </cell>
        </row>
        <row r="7081">
          <cell r="A7081">
            <v>540011</v>
          </cell>
          <cell r="B7081" t="str">
            <v>KINPERM Nº 2 Est.</v>
          </cell>
          <cell r="C7081" t="str">
            <v>8435057002516</v>
          </cell>
        </row>
        <row r="7082">
          <cell r="A7082">
            <v>540012</v>
          </cell>
          <cell r="B7082" t="str">
            <v>KINPERM Nº 3 Est.</v>
          </cell>
          <cell r="C7082" t="str">
            <v>PEKP3</v>
          </cell>
        </row>
        <row r="7083">
          <cell r="A7083">
            <v>540012</v>
          </cell>
          <cell r="B7083" t="str">
            <v>KINPERM Nº 3 Est.</v>
          </cell>
          <cell r="C7083" t="str">
            <v>8435057002523</v>
          </cell>
        </row>
        <row r="7084">
          <cell r="A7084">
            <v>540013</v>
          </cell>
          <cell r="B7084" t="str">
            <v>KIN FIX ESPUMOSO</v>
          </cell>
          <cell r="C7084" t="str">
            <v>NEFES</v>
          </cell>
        </row>
        <row r="7085">
          <cell r="A7085">
            <v>540013</v>
          </cell>
          <cell r="B7085" t="str">
            <v>KIN FIX ESPUMOSO</v>
          </cell>
          <cell r="C7085" t="str">
            <v>8435057002899</v>
          </cell>
        </row>
        <row r="7086">
          <cell r="A7086">
            <v>540014</v>
          </cell>
          <cell r="B7086" t="str">
            <v>PERMAN. CLASSIC Nº 0 FUERTE</v>
          </cell>
          <cell r="C7086" t="str">
            <v>PECN0</v>
          </cell>
        </row>
        <row r="7087">
          <cell r="A7087">
            <v>540014</v>
          </cell>
          <cell r="B7087" t="str">
            <v>PERMAN. CLASSIC Nº 0 FUERTE</v>
          </cell>
          <cell r="C7087" t="str">
            <v>PECN0</v>
          </cell>
        </row>
        <row r="7088">
          <cell r="A7088">
            <v>540014</v>
          </cell>
          <cell r="B7088" t="str">
            <v>PERMAN. CLASSIC Nº 0 FUERTE</v>
          </cell>
          <cell r="C7088" t="str">
            <v>8435057002905</v>
          </cell>
        </row>
        <row r="7089">
          <cell r="A7089">
            <v>540015</v>
          </cell>
          <cell r="B7089" t="str">
            <v>PERMAN. CLASSIC Nº 1 NORMAL</v>
          </cell>
          <cell r="C7089" t="str">
            <v>PECN1</v>
          </cell>
        </row>
        <row r="7090">
          <cell r="A7090">
            <v>540015</v>
          </cell>
          <cell r="B7090" t="str">
            <v>PERMAN. CLASSIC Nº 1 NORMAL</v>
          </cell>
          <cell r="C7090" t="str">
            <v>PECN1</v>
          </cell>
        </row>
        <row r="7091">
          <cell r="A7091">
            <v>540015</v>
          </cell>
          <cell r="B7091" t="str">
            <v>PERMAN. CLASSIC Nº 1 NORMAL</v>
          </cell>
          <cell r="C7091" t="str">
            <v>8435057002912</v>
          </cell>
        </row>
        <row r="7092">
          <cell r="A7092">
            <v>540016</v>
          </cell>
          <cell r="B7092" t="str">
            <v>PERMAN. CLASSIC Nº 2 SUAVE</v>
          </cell>
          <cell r="C7092" t="str">
            <v>PECN2</v>
          </cell>
        </row>
        <row r="7093">
          <cell r="A7093">
            <v>540016</v>
          </cell>
          <cell r="B7093" t="str">
            <v>PERMAN. CLASSIC Nº 2 SUAVE</v>
          </cell>
          <cell r="C7093" t="str">
            <v>PECN2</v>
          </cell>
        </row>
        <row r="7094">
          <cell r="A7094">
            <v>540016</v>
          </cell>
          <cell r="B7094" t="str">
            <v>PERMAN. CLASSIC Nº 2 SUAVE</v>
          </cell>
          <cell r="C7094" t="str">
            <v>8435057002929</v>
          </cell>
        </row>
        <row r="7095">
          <cell r="A7095">
            <v>540017</v>
          </cell>
          <cell r="B7095" t="str">
            <v>BRUSHING BRILLANTE</v>
          </cell>
          <cell r="C7095" t="str">
            <v>PLBBR</v>
          </cell>
        </row>
        <row r="7096">
          <cell r="A7096">
            <v>540017</v>
          </cell>
          <cell r="B7096" t="str">
            <v>BRUSHING BRILLANTE</v>
          </cell>
          <cell r="C7096" t="str">
            <v>8435057005609</v>
          </cell>
        </row>
        <row r="7097">
          <cell r="A7097">
            <v>540018</v>
          </cell>
          <cell r="B7097" t="str">
            <v>BRUSHING CENIZA</v>
          </cell>
          <cell r="C7097" t="str">
            <v>PLBCE</v>
          </cell>
        </row>
        <row r="7098">
          <cell r="A7098">
            <v>540018</v>
          </cell>
          <cell r="B7098" t="str">
            <v>BRUSHING CENIZA</v>
          </cell>
          <cell r="C7098" t="str">
            <v>8435057005616</v>
          </cell>
        </row>
        <row r="7099">
          <cell r="A7099">
            <v>540019</v>
          </cell>
          <cell r="B7099" t="str">
            <v>BRUSHING NACAR</v>
          </cell>
          <cell r="C7099" t="str">
            <v>PLBNA</v>
          </cell>
        </row>
        <row r="7100">
          <cell r="A7100">
            <v>540019</v>
          </cell>
          <cell r="B7100" t="str">
            <v>BRUSHING NACAR</v>
          </cell>
          <cell r="C7100" t="str">
            <v>8435057005623</v>
          </cell>
        </row>
        <row r="7101">
          <cell r="A7101">
            <v>540020</v>
          </cell>
          <cell r="B7101" t="str">
            <v>BRUSHING PERLA</v>
          </cell>
          <cell r="C7101" t="str">
            <v>PLBPE</v>
          </cell>
        </row>
        <row r="7102">
          <cell r="A7102">
            <v>540020</v>
          </cell>
          <cell r="B7102" t="str">
            <v>BRUSHING PERLA</v>
          </cell>
          <cell r="C7102" t="str">
            <v>8435057005630</v>
          </cell>
        </row>
        <row r="7103">
          <cell r="A7103">
            <v>540021</v>
          </cell>
          <cell r="B7103" t="str">
            <v>BRUSHING PLATA</v>
          </cell>
          <cell r="C7103" t="str">
            <v>PLBPL</v>
          </cell>
        </row>
        <row r="7104">
          <cell r="A7104">
            <v>540021</v>
          </cell>
          <cell r="B7104" t="str">
            <v>BRUSHING PLATA</v>
          </cell>
          <cell r="C7104" t="str">
            <v>8435057005647</v>
          </cell>
        </row>
        <row r="7105">
          <cell r="A7105">
            <v>540022</v>
          </cell>
          <cell r="B7105" t="str">
            <v>BRUSHING RUBIO SAFARI</v>
          </cell>
          <cell r="C7105" t="str">
            <v>PLBRS</v>
          </cell>
        </row>
        <row r="7106">
          <cell r="A7106">
            <v>540022</v>
          </cell>
          <cell r="B7106" t="str">
            <v>BRUSHING RUBIO SAFARI</v>
          </cell>
          <cell r="C7106" t="str">
            <v>8435057005654</v>
          </cell>
        </row>
        <row r="7107">
          <cell r="A7107">
            <v>540023</v>
          </cell>
          <cell r="B7107" t="str">
            <v>KINPLIS CABELLOS GRASOS</v>
          </cell>
          <cell r="C7107" t="str">
            <v>PLKAZ</v>
          </cell>
        </row>
        <row r="7108">
          <cell r="A7108">
            <v>540023</v>
          </cell>
          <cell r="B7108" t="str">
            <v>KINPLIS CABELLOS GRASOS</v>
          </cell>
          <cell r="C7108" t="str">
            <v>8435057005661</v>
          </cell>
        </row>
        <row r="7109">
          <cell r="A7109">
            <v>540024</v>
          </cell>
          <cell r="B7109" t="str">
            <v>KINPLIS COLOR CASTAÑO</v>
          </cell>
          <cell r="C7109" t="str">
            <v>PLKCA</v>
          </cell>
        </row>
        <row r="7110">
          <cell r="A7110">
            <v>540024</v>
          </cell>
          <cell r="B7110" t="str">
            <v>KINPLIS COLOR CASTAÑO</v>
          </cell>
          <cell r="C7110" t="str">
            <v>8435057005678</v>
          </cell>
        </row>
        <row r="7111">
          <cell r="A7111">
            <v>540025</v>
          </cell>
          <cell r="B7111" t="str">
            <v>KINPLIS COLOR CENIZA</v>
          </cell>
          <cell r="C7111" t="str">
            <v>PLKCE</v>
          </cell>
        </row>
        <row r="7112">
          <cell r="A7112">
            <v>540025</v>
          </cell>
          <cell r="B7112" t="str">
            <v>KINPLIS COLOR CENIZA</v>
          </cell>
          <cell r="C7112" t="str">
            <v>8435057005685</v>
          </cell>
        </row>
        <row r="7113">
          <cell r="A7113">
            <v>540026</v>
          </cell>
          <cell r="B7113" t="str">
            <v>KINPLIS COLOR GRIS ESTELAR</v>
          </cell>
          <cell r="C7113" t="str">
            <v>PLKGE</v>
          </cell>
        </row>
        <row r="7114">
          <cell r="A7114">
            <v>540026</v>
          </cell>
          <cell r="B7114" t="str">
            <v>KINPLIS COLOR GRIS ESTELAR</v>
          </cell>
          <cell r="C7114" t="str">
            <v>8435057005692</v>
          </cell>
        </row>
        <row r="7115">
          <cell r="A7115">
            <v>540027</v>
          </cell>
          <cell r="B7115" t="str">
            <v>KINPLIS COLOR GRIS PERLA</v>
          </cell>
          <cell r="C7115" t="str">
            <v>PLKGP</v>
          </cell>
        </row>
        <row r="7116">
          <cell r="A7116">
            <v>540027</v>
          </cell>
          <cell r="B7116" t="str">
            <v>KINPLIS COLOR GRIS PERLA</v>
          </cell>
          <cell r="C7116" t="str">
            <v>8435057005708</v>
          </cell>
        </row>
        <row r="7117">
          <cell r="A7117">
            <v>540028</v>
          </cell>
          <cell r="B7117" t="str">
            <v>KINPLIS COLOR PLATA</v>
          </cell>
          <cell r="C7117" t="str">
            <v>PLKPL</v>
          </cell>
        </row>
        <row r="7118">
          <cell r="A7118">
            <v>540028</v>
          </cell>
          <cell r="B7118" t="str">
            <v>KINPLIS COLOR PLATA</v>
          </cell>
          <cell r="C7118" t="str">
            <v>8435057005715</v>
          </cell>
        </row>
        <row r="7119">
          <cell r="A7119">
            <v>540029</v>
          </cell>
          <cell r="B7119" t="str">
            <v>KINPLIS CABELLOS NORMALES</v>
          </cell>
          <cell r="C7119" t="str">
            <v>PLKRO</v>
          </cell>
        </row>
        <row r="7120">
          <cell r="A7120">
            <v>540029</v>
          </cell>
          <cell r="B7120" t="str">
            <v>KINPLIS CABELLOS NORMALES</v>
          </cell>
          <cell r="C7120" t="str">
            <v>8435057005722</v>
          </cell>
        </row>
        <row r="7121">
          <cell r="A7121">
            <v>540030</v>
          </cell>
          <cell r="B7121" t="str">
            <v>KINPLIS CABELLOS SECOS</v>
          </cell>
          <cell r="C7121" t="str">
            <v>PLKVE</v>
          </cell>
        </row>
        <row r="7122">
          <cell r="A7122">
            <v>540030</v>
          </cell>
          <cell r="B7122" t="str">
            <v>KINPLIS CABELLOS SECOS</v>
          </cell>
          <cell r="C7122" t="str">
            <v>8435057005739</v>
          </cell>
        </row>
        <row r="7123">
          <cell r="A7123">
            <v>540031</v>
          </cell>
          <cell r="B7123" t="str">
            <v>PLIS MOLDEADOR</v>
          </cell>
          <cell r="C7123" t="str">
            <v>PLPMO</v>
          </cell>
        </row>
        <row r="7124">
          <cell r="A7124">
            <v>540031</v>
          </cell>
          <cell r="B7124" t="str">
            <v>PLIS MOLDEADOR</v>
          </cell>
          <cell r="C7124" t="str">
            <v>8435057005746</v>
          </cell>
        </row>
        <row r="7125">
          <cell r="A7125">
            <v>540032</v>
          </cell>
          <cell r="B7125" t="str">
            <v>KINLISS SHAMPOO 500</v>
          </cell>
          <cell r="C7125" t="str">
            <v>KLSHAM</v>
          </cell>
        </row>
        <row r="7126">
          <cell r="A7126">
            <v>540032</v>
          </cell>
          <cell r="B7126" t="str">
            <v>KINLISS SHAMPOO 500</v>
          </cell>
          <cell r="C7126" t="str">
            <v>8435057008563</v>
          </cell>
        </row>
        <row r="7127">
          <cell r="A7127">
            <v>540033</v>
          </cell>
          <cell r="B7127" t="str">
            <v>KINLISS CREAM INTENSE 1</v>
          </cell>
          <cell r="C7127" t="str">
            <v>KLINT1</v>
          </cell>
        </row>
        <row r="7128">
          <cell r="A7128">
            <v>540033</v>
          </cell>
          <cell r="B7128" t="str">
            <v>KINLISS CREAM INTENSE 1</v>
          </cell>
          <cell r="C7128" t="str">
            <v>8435057008570</v>
          </cell>
        </row>
        <row r="7129">
          <cell r="A7129">
            <v>540034</v>
          </cell>
          <cell r="B7129" t="str">
            <v>KINLISS CREAM SOFT 2</v>
          </cell>
          <cell r="C7129" t="str">
            <v>KLSOF2</v>
          </cell>
        </row>
        <row r="7130">
          <cell r="A7130">
            <v>540034</v>
          </cell>
          <cell r="B7130" t="str">
            <v>KINLISS CREAM SOFT 2</v>
          </cell>
          <cell r="C7130" t="str">
            <v>8435057008587</v>
          </cell>
        </row>
        <row r="7131">
          <cell r="A7131">
            <v>540035</v>
          </cell>
          <cell r="B7131" t="str">
            <v>KINLISS TREAT 500</v>
          </cell>
          <cell r="C7131" t="str">
            <v>KLTREA</v>
          </cell>
        </row>
        <row r="7132">
          <cell r="A7132">
            <v>540035</v>
          </cell>
          <cell r="B7132" t="str">
            <v>KINLISS TREAT 500</v>
          </cell>
          <cell r="C7132" t="str">
            <v>8435057008594</v>
          </cell>
        </row>
        <row r="7133">
          <cell r="A7133">
            <v>540036</v>
          </cell>
          <cell r="B7133" t="str">
            <v>KINLISS LOTE 1</v>
          </cell>
          <cell r="C7133" t="str">
            <v>540036</v>
          </cell>
        </row>
        <row r="7134">
          <cell r="A7134">
            <v>540038</v>
          </cell>
          <cell r="B7134" t="str">
            <v>INTRO KIT KINLISS 2012</v>
          </cell>
          <cell r="C7134" t="str">
            <v>540038</v>
          </cell>
        </row>
        <row r="7135">
          <cell r="A7135">
            <v>540039</v>
          </cell>
          <cell r="B7135" t="str">
            <v>KINLISS LOTE EXPORT</v>
          </cell>
          <cell r="C7135" t="str">
            <v>540039</v>
          </cell>
        </row>
        <row r="7136">
          <cell r="A7136">
            <v>540041</v>
          </cell>
          <cell r="B7136" t="str">
            <v>BIOTIN SHAMPOO LIMIT EDITION</v>
          </cell>
          <cell r="C7136" t="str">
            <v>8435057009317</v>
          </cell>
        </row>
        <row r="7137">
          <cell r="A7137">
            <v>540042</v>
          </cell>
          <cell r="B7137" t="str">
            <v>DECOLORANTE GOLD EDITION 500</v>
          </cell>
          <cell r="C7137" t="str">
            <v>8435057009300</v>
          </cell>
        </row>
        <row r="7138">
          <cell r="A7138">
            <v>540043</v>
          </cell>
          <cell r="B7138" t="str">
            <v>SOBRE SHAMPOO ACIDPLUS 15ml</v>
          </cell>
          <cell r="C7138" t="str">
            <v>8435057009362</v>
          </cell>
        </row>
        <row r="7139">
          <cell r="A7139">
            <v>540044</v>
          </cell>
          <cell r="B7139" t="str">
            <v>SOBRE BALSAM ACIDPLUS 15 ML.</v>
          </cell>
          <cell r="C7139" t="str">
            <v>8435057009379</v>
          </cell>
        </row>
        <row r="7140">
          <cell r="A7140">
            <v>540049</v>
          </cell>
          <cell r="B7140" t="str">
            <v>DRY SHAMPOO 200 ml</v>
          </cell>
          <cell r="C7140" t="str">
            <v>8435057010382</v>
          </cell>
        </row>
        <row r="7141">
          <cell r="A7141">
            <v>540051</v>
          </cell>
          <cell r="B7141" t="str">
            <v>KINBOX PROSPECCION COMERCIAL</v>
          </cell>
          <cell r="C7141" t="str">
            <v>8435057013291</v>
          </cell>
        </row>
        <row r="7142">
          <cell r="A7142">
            <v>540052</v>
          </cell>
          <cell r="B7142" t="str">
            <v>KINBOX KIT PROSPECTS</v>
          </cell>
          <cell r="C7142" t="str">
            <v>8435057013307</v>
          </cell>
        </row>
        <row r="7143">
          <cell r="A7143">
            <v>540056</v>
          </cell>
          <cell r="B7143" t="str">
            <v>KINMASTER EQUILIBRANT SHAMPOO</v>
          </cell>
          <cell r="C7143" t="str">
            <v>8435057013871</v>
          </cell>
        </row>
        <row r="7144">
          <cell r="A7144">
            <v>540057</v>
          </cell>
          <cell r="B7144" t="str">
            <v>KINMASTER DEEP CLEANSING SHAMPOO</v>
          </cell>
          <cell r="C7144" t="str">
            <v>8435057013888</v>
          </cell>
        </row>
        <row r="7145">
          <cell r="A7145">
            <v>540058</v>
          </cell>
          <cell r="B7145" t="str">
            <v>KINMASTER COLOR CLEANSER 75 ML</v>
          </cell>
          <cell r="C7145" t="str">
            <v>8435057013949</v>
          </cell>
        </row>
        <row r="7146">
          <cell r="A7146">
            <v>540059</v>
          </cell>
          <cell r="B7146" t="str">
            <v>KINMASTER COLOR SCREEN 75 ML</v>
          </cell>
          <cell r="C7146" t="str">
            <v>8435057013956</v>
          </cell>
        </row>
        <row r="7147">
          <cell r="A7147">
            <v>540060</v>
          </cell>
          <cell r="B7147" t="str">
            <v>KINMASTER COLOR REMOVER 2 x 50 ML</v>
          </cell>
          <cell r="C7147" t="str">
            <v>8435057013963</v>
          </cell>
        </row>
        <row r="7148">
          <cell r="A7148">
            <v>540064</v>
          </cell>
          <cell r="B7148" t="str">
            <v>KINMASTER NO YELLOW 1.000 ML</v>
          </cell>
          <cell r="C7148" t="str">
            <v>8435057014243</v>
          </cell>
        </row>
        <row r="7149">
          <cell r="A7149">
            <v>540074</v>
          </cell>
          <cell r="B7149" t="str">
            <v>KINMASTER TOTAL CONTROL 125 ML</v>
          </cell>
          <cell r="C7149" t="str">
            <v>8435057014809</v>
          </cell>
        </row>
        <row r="7150">
          <cell r="A7150">
            <v>540075</v>
          </cell>
          <cell r="B7150" t="str">
            <v>KIN HAND SANITIZER GEL 200 ML</v>
          </cell>
          <cell r="C7150" t="str">
            <v>8435057014946</v>
          </cell>
        </row>
        <row r="7151">
          <cell r="A7151">
            <v>540076</v>
          </cell>
          <cell r="B7151" t="str">
            <v>KIN HAND SANITIZER GEL 1.000 ML</v>
          </cell>
          <cell r="C7151" t="str">
            <v>8435057014953</v>
          </cell>
        </row>
        <row r="7152">
          <cell r="A7152">
            <v>540077</v>
          </cell>
          <cell r="B7152" t="str">
            <v>KIN HAND SANITIZER GEL 75 ML</v>
          </cell>
          <cell r="C7152" t="str">
            <v>8435057014960</v>
          </cell>
        </row>
        <row r="7153">
          <cell r="A7153">
            <v>540079</v>
          </cell>
          <cell r="B7153" t="str">
            <v>KINMASTER NO YELLOW SHAMPOO 250 ML</v>
          </cell>
          <cell r="C7153" t="str">
            <v>8435057015196</v>
          </cell>
        </row>
        <row r="7154">
          <cell r="A7154">
            <v>540080</v>
          </cell>
          <cell r="B7154" t="str">
            <v>KINMASTER NO ORANGE 1.000 ML</v>
          </cell>
          <cell r="C7154" t="str">
            <v>8435057015202</v>
          </cell>
        </row>
        <row r="7155">
          <cell r="A7155">
            <v>540082</v>
          </cell>
          <cell r="B7155" t="str">
            <v>KINMASTER NO ORANGE SHAMPOO 250 ML</v>
          </cell>
          <cell r="C7155" t="str">
            <v>8435057015219</v>
          </cell>
        </row>
        <row r="7156">
          <cell r="A7156">
            <v>540083</v>
          </cell>
          <cell r="B7156" t="str">
            <v>KINPERM SHAPING LOTION Nº 0</v>
          </cell>
          <cell r="C7156" t="str">
            <v>8435057016834</v>
          </cell>
        </row>
        <row r="7157">
          <cell r="A7157">
            <v>540084</v>
          </cell>
          <cell r="B7157" t="str">
            <v>KINPERM SHAPING LOTION Nº 1</v>
          </cell>
          <cell r="C7157" t="str">
            <v>8435057016841</v>
          </cell>
        </row>
        <row r="7158">
          <cell r="A7158">
            <v>540085</v>
          </cell>
          <cell r="B7158" t="str">
            <v>KINPERM SHAPING LOTION Nº 2</v>
          </cell>
          <cell r="C7158" t="str">
            <v>8435057016858</v>
          </cell>
        </row>
        <row r="7159">
          <cell r="A7159">
            <v>540086</v>
          </cell>
          <cell r="B7159" t="str">
            <v>KINPERM SHAPING LOTION Nº 3</v>
          </cell>
          <cell r="C7159" t="str">
            <v>8435057016865</v>
          </cell>
        </row>
        <row r="7160">
          <cell r="A7160">
            <v>540087</v>
          </cell>
          <cell r="B7160" t="str">
            <v>KINPERM NEUTRALIZING LOTION</v>
          </cell>
          <cell r="C7160" t="str">
            <v>8435057016872</v>
          </cell>
        </row>
        <row r="7161">
          <cell r="A7161">
            <v>550001</v>
          </cell>
          <cell r="B7161" t="str">
            <v>KINMEN SHAMPOO ENERGY 250 ML.</v>
          </cell>
          <cell r="C7161" t="str">
            <v>KMSHEN</v>
          </cell>
        </row>
        <row r="7162">
          <cell r="A7162">
            <v>550001</v>
          </cell>
          <cell r="B7162" t="str">
            <v>KINMEN SHAMPOO ENERGY 250 ML.</v>
          </cell>
          <cell r="C7162" t="str">
            <v>8435057006149</v>
          </cell>
        </row>
        <row r="7163">
          <cell r="A7163">
            <v>550002</v>
          </cell>
          <cell r="B7163" t="str">
            <v>KINMEN SHAMPOO PURITY 250 ML.</v>
          </cell>
          <cell r="C7163" t="str">
            <v>KMSHPU</v>
          </cell>
        </row>
        <row r="7164">
          <cell r="A7164">
            <v>550002</v>
          </cell>
          <cell r="B7164" t="str">
            <v>KINMEN SHAMPOO PURITY 250 ML.</v>
          </cell>
          <cell r="C7164" t="str">
            <v>8435057006163</v>
          </cell>
        </row>
        <row r="7165">
          <cell r="A7165">
            <v>550003</v>
          </cell>
          <cell r="B7165" t="str">
            <v>KINMEN SHAMPOO FORCE 250 ML</v>
          </cell>
          <cell r="C7165" t="str">
            <v>KMSHFO</v>
          </cell>
        </row>
        <row r="7166">
          <cell r="A7166">
            <v>550003</v>
          </cell>
          <cell r="B7166" t="str">
            <v>KINMEN SHAMPOO FORCE 250 ML</v>
          </cell>
          <cell r="C7166" t="str">
            <v>8435057006156</v>
          </cell>
        </row>
        <row r="7167">
          <cell r="A7167">
            <v>550004</v>
          </cell>
          <cell r="B7167" t="str">
            <v>KINMEN TONIC PURITY 150 ML.</v>
          </cell>
          <cell r="C7167" t="str">
            <v>KMTOPU</v>
          </cell>
        </row>
        <row r="7168">
          <cell r="A7168">
            <v>550004</v>
          </cell>
          <cell r="B7168" t="str">
            <v>KINMEN TONIC PURITY 150 ML.</v>
          </cell>
          <cell r="C7168" t="str">
            <v>8435057006194</v>
          </cell>
        </row>
        <row r="7169">
          <cell r="A7169">
            <v>550005</v>
          </cell>
          <cell r="B7169" t="str">
            <v>KINMEN FORCE TONIC 150 ML</v>
          </cell>
          <cell r="C7169" t="str">
            <v>KMTOFO</v>
          </cell>
        </row>
        <row r="7170">
          <cell r="A7170">
            <v>550005</v>
          </cell>
          <cell r="B7170" t="str">
            <v>KINMEN FORCE TONIC 150 ML</v>
          </cell>
          <cell r="C7170" t="str">
            <v>8435057006187</v>
          </cell>
        </row>
        <row r="7171">
          <cell r="A7171">
            <v>550006</v>
          </cell>
          <cell r="B7171" t="str">
            <v>KINMEN STYLING WET GEL 200 ML.</v>
          </cell>
          <cell r="C7171" t="str">
            <v>KMWEGE</v>
          </cell>
        </row>
        <row r="7172">
          <cell r="A7172">
            <v>550006</v>
          </cell>
          <cell r="B7172" t="str">
            <v>KINMEN STYLING WET GEL 200 ML.</v>
          </cell>
          <cell r="C7172" t="str">
            <v>8435057006170</v>
          </cell>
        </row>
        <row r="7173">
          <cell r="A7173">
            <v>550007</v>
          </cell>
          <cell r="B7173" t="str">
            <v>KINMEN STYLING MAT WAX 75 ML.</v>
          </cell>
          <cell r="C7173" t="str">
            <v>KMMAWA</v>
          </cell>
        </row>
        <row r="7174">
          <cell r="A7174">
            <v>550007</v>
          </cell>
          <cell r="B7174" t="str">
            <v>KINMEN STYLING MAT WAX 75 ML.</v>
          </cell>
          <cell r="C7174" t="str">
            <v>8435057006200</v>
          </cell>
        </row>
        <row r="7175">
          <cell r="A7175">
            <v>550008</v>
          </cell>
          <cell r="B7175" t="str">
            <v>KINMEN STYLING WILD PASTE</v>
          </cell>
          <cell r="C7175" t="str">
            <v>KMWIPA</v>
          </cell>
        </row>
        <row r="7176">
          <cell r="A7176">
            <v>550008</v>
          </cell>
          <cell r="B7176" t="str">
            <v>KINMEN STYLING WILD PASTE</v>
          </cell>
          <cell r="C7176" t="str">
            <v>8435057006217</v>
          </cell>
        </row>
        <row r="7177">
          <cell r="A7177">
            <v>550009</v>
          </cell>
          <cell r="B7177" t="str">
            <v>KINMEN STYLING POWER JELLY</v>
          </cell>
          <cell r="C7177" t="str">
            <v>KMPOJE</v>
          </cell>
        </row>
        <row r="7178">
          <cell r="A7178">
            <v>550009</v>
          </cell>
          <cell r="B7178" t="str">
            <v>KINMEN STYLING POWER JELLY</v>
          </cell>
          <cell r="C7178" t="str">
            <v>8435057006224</v>
          </cell>
        </row>
        <row r="7179">
          <cell r="A7179">
            <v>550010</v>
          </cell>
          <cell r="B7179" t="str">
            <v>SOBRE KINMEN SHAMPOO + WET GEL</v>
          </cell>
          <cell r="C7179" t="str">
            <v>SMKMSHWG</v>
          </cell>
        </row>
        <row r="7180">
          <cell r="A7180">
            <v>550010</v>
          </cell>
          <cell r="B7180" t="str">
            <v>SOBRE KINMEN SHAMPOO + WET GEL</v>
          </cell>
          <cell r="C7180" t="str">
            <v>8435057054683</v>
          </cell>
        </row>
        <row r="7181">
          <cell r="A7181">
            <v>550011</v>
          </cell>
          <cell r="B7181" t="str">
            <v>LOTE INTRO. KINMEN 1</v>
          </cell>
          <cell r="C7181" t="str">
            <v>8435057055079</v>
          </cell>
        </row>
        <row r="7182">
          <cell r="A7182">
            <v>550012</v>
          </cell>
          <cell r="B7182" t="str">
            <v>LOTE INTRO. KINMEN 2</v>
          </cell>
          <cell r="C7182" t="str">
            <v>KMLO2</v>
          </cell>
        </row>
        <row r="7183">
          <cell r="A7183">
            <v>550012</v>
          </cell>
          <cell r="B7183" t="str">
            <v>LOTE INTRO. KINMEN 2</v>
          </cell>
          <cell r="C7183" t="str">
            <v>8435057055086</v>
          </cell>
        </row>
        <row r="7184">
          <cell r="A7184">
            <v>550013</v>
          </cell>
          <cell r="B7184" t="str">
            <v>LOTE KINMEN BELGIUM</v>
          </cell>
          <cell r="C7184" t="str">
            <v>KMLOBE</v>
          </cell>
        </row>
        <row r="7185">
          <cell r="A7185">
            <v>550013</v>
          </cell>
          <cell r="B7185" t="str">
            <v>LOTE KINMEN BELGIUM</v>
          </cell>
          <cell r="C7185" t="str">
            <v>8435057055987</v>
          </cell>
        </row>
        <row r="7186">
          <cell r="A7186">
            <v>550014</v>
          </cell>
          <cell r="B7186" t="str">
            <v>LOTE KINMEN BELGIUM 2</v>
          </cell>
          <cell r="C7186" t="str">
            <v>KMLOBE2</v>
          </cell>
        </row>
        <row r="7187">
          <cell r="A7187">
            <v>550014</v>
          </cell>
          <cell r="B7187" t="str">
            <v>LOTE KINMEN BELGIUM 2</v>
          </cell>
          <cell r="C7187" t="str">
            <v>8435057055994</v>
          </cell>
        </row>
        <row r="7188">
          <cell r="A7188">
            <v>550015</v>
          </cell>
          <cell r="B7188" t="str">
            <v>LOTE KINMEN 'Inglés'</v>
          </cell>
          <cell r="C7188" t="str">
            <v>LOKMIN</v>
          </cell>
        </row>
        <row r="7189">
          <cell r="A7189">
            <v>550015</v>
          </cell>
          <cell r="B7189" t="str">
            <v>LOTE KINMEN 'Inglés'</v>
          </cell>
          <cell r="C7189" t="str">
            <v>8435057056007</v>
          </cell>
        </row>
        <row r="7190">
          <cell r="A7190">
            <v>550016</v>
          </cell>
          <cell r="B7190" t="str">
            <v>LOTE KINMEN 'Alemán'</v>
          </cell>
          <cell r="C7190" t="str">
            <v>KMLOAL</v>
          </cell>
        </row>
        <row r="7191">
          <cell r="A7191">
            <v>550016</v>
          </cell>
          <cell r="B7191" t="str">
            <v>LOTE KINMEN 'Alemán'</v>
          </cell>
          <cell r="C7191" t="str">
            <v>8435057055970</v>
          </cell>
        </row>
        <row r="7192">
          <cell r="A7192">
            <v>550017</v>
          </cell>
          <cell r="B7192" t="str">
            <v>LOTE KINMEN 1 "Francés"</v>
          </cell>
          <cell r="C7192" t="str">
            <v>KMLOFR1</v>
          </cell>
        </row>
        <row r="7193">
          <cell r="A7193">
            <v>550017</v>
          </cell>
          <cell r="B7193" t="str">
            <v>LOTE KINMEN 1 "Francés"</v>
          </cell>
          <cell r="C7193" t="str">
            <v>8435057056274</v>
          </cell>
        </row>
        <row r="7194">
          <cell r="A7194">
            <v>550018</v>
          </cell>
          <cell r="B7194" t="str">
            <v>LOTE KINMEN ESPECIAL</v>
          </cell>
          <cell r="C7194" t="str">
            <v>550018</v>
          </cell>
        </row>
        <row r="7195">
          <cell r="A7195">
            <v>550020</v>
          </cell>
          <cell r="B7195" t="str">
            <v>SOBRE KINMEN SHAMP.ENERGY 8 ml</v>
          </cell>
          <cell r="C7195" t="str">
            <v>8435057009461</v>
          </cell>
        </row>
        <row r="7196">
          <cell r="A7196">
            <v>550025</v>
          </cell>
          <cell r="B7196" t="str">
            <v>KINMEN STYLING MAT WAX 100 ML.</v>
          </cell>
          <cell r="C7196" t="str">
            <v>8435057010757</v>
          </cell>
        </row>
        <row r="7197">
          <cell r="A7197">
            <v>550026</v>
          </cell>
          <cell r="B7197" t="str">
            <v>KINMEN STYLING WILD PASTE 100</v>
          </cell>
          <cell r="C7197" t="str">
            <v>8435057010764</v>
          </cell>
        </row>
        <row r="7198">
          <cell r="A7198">
            <v>550027</v>
          </cell>
          <cell r="B7198" t="str">
            <v>KINMEN FORCE PACK 2015</v>
          </cell>
          <cell r="C7198" t="str">
            <v>8435057011327</v>
          </cell>
        </row>
        <row r="7199">
          <cell r="A7199">
            <v>550028</v>
          </cell>
          <cell r="B7199" t="str">
            <v>KINMEN PURITY PACK 2015</v>
          </cell>
          <cell r="C7199" t="str">
            <v>8435057011334</v>
          </cell>
        </row>
        <row r="7200">
          <cell r="A7200">
            <v>550029</v>
          </cell>
          <cell r="B7200" t="str">
            <v>KINMEN STYLING POWER JELLY 250</v>
          </cell>
          <cell r="C7200" t="str">
            <v>8435057011365</v>
          </cell>
        </row>
        <row r="7201">
          <cell r="A7201">
            <v>550034</v>
          </cell>
          <cell r="B7201" t="str">
            <v>KINMEN 3-IN-1 SHAMPOO 100 ML</v>
          </cell>
          <cell r="C7201" t="str">
            <v>8435057013475</v>
          </cell>
        </row>
        <row r="7202">
          <cell r="A7202">
            <v>550035</v>
          </cell>
          <cell r="B7202" t="str">
            <v>KINMEN 3-IN-1 SHAMPOO 500 ML</v>
          </cell>
          <cell r="C7202" t="str">
            <v>8435057013482</v>
          </cell>
        </row>
        <row r="7203">
          <cell r="A7203">
            <v>550036</v>
          </cell>
          <cell r="B7203" t="str">
            <v>KINMEN SILVER SHAMPOO 500 ML</v>
          </cell>
          <cell r="C7203" t="str">
            <v>8435057013499</v>
          </cell>
        </row>
        <row r="7204">
          <cell r="A7204">
            <v>550037</v>
          </cell>
          <cell r="B7204" t="str">
            <v>KINMEN SILVER SHAMPOO 1.000 ML</v>
          </cell>
          <cell r="C7204" t="str">
            <v>8435057013505</v>
          </cell>
        </row>
        <row r="7205">
          <cell r="A7205">
            <v>550038</v>
          </cell>
          <cell r="B7205" t="str">
            <v>KINMEN FORCE SHAMPOO 500 ML</v>
          </cell>
          <cell r="C7205" t="str">
            <v>8435057013512</v>
          </cell>
        </row>
        <row r="7206">
          <cell r="A7206">
            <v>550039</v>
          </cell>
          <cell r="B7206" t="str">
            <v>KINMEN FORCE SHAMPOO 1.000 ML</v>
          </cell>
          <cell r="C7206" t="str">
            <v>8435057013529</v>
          </cell>
        </row>
        <row r="7207">
          <cell r="A7207">
            <v>550040</v>
          </cell>
          <cell r="B7207" t="str">
            <v>KINMEN FORCE TONIC 125 ML</v>
          </cell>
          <cell r="C7207" t="str">
            <v>8435057013536</v>
          </cell>
        </row>
        <row r="7208">
          <cell r="A7208">
            <v>550041</v>
          </cell>
          <cell r="B7208" t="str">
            <v>KINMEN BEARD SHAMPOO 250 ML</v>
          </cell>
          <cell r="C7208" t="str">
            <v>8435057013543</v>
          </cell>
        </row>
        <row r="7209">
          <cell r="A7209">
            <v>550042</v>
          </cell>
          <cell r="B7209" t="str">
            <v>KINMEN BEARD CREAM 50 ML</v>
          </cell>
          <cell r="C7209" t="str">
            <v>8435057013550</v>
          </cell>
        </row>
        <row r="7210">
          <cell r="A7210">
            <v>550043</v>
          </cell>
          <cell r="B7210" t="str">
            <v>KINMEN HAIR MATTE CLAY 100 ML</v>
          </cell>
          <cell r="C7210" t="str">
            <v>8435057013567</v>
          </cell>
        </row>
        <row r="7211">
          <cell r="A7211">
            <v>550044</v>
          </cell>
          <cell r="B7211" t="str">
            <v>KINMEN HAIR FIBER PASTE 100 ML</v>
          </cell>
          <cell r="C7211" t="str">
            <v>8435057013574</v>
          </cell>
        </row>
        <row r="7212">
          <cell r="A7212">
            <v>550045</v>
          </cell>
          <cell r="B7212" t="str">
            <v>KINMEN HAIR POMADE 100 ML</v>
          </cell>
          <cell r="C7212" t="str">
            <v>8435057013581</v>
          </cell>
        </row>
        <row r="7213">
          <cell r="A7213">
            <v>550046</v>
          </cell>
          <cell r="B7213" t="str">
            <v>KINMEN HAIR JELLY 100 ML</v>
          </cell>
          <cell r="C7213" t="str">
            <v>8435057013598</v>
          </cell>
        </row>
        <row r="7214">
          <cell r="A7214">
            <v>550047</v>
          </cell>
          <cell r="B7214" t="str">
            <v>KINMEN FINISHING SET 4 x 15 ML</v>
          </cell>
          <cell r="C7214" t="str">
            <v>8435057013642</v>
          </cell>
        </row>
        <row r="7215">
          <cell r="A7215">
            <v>550048</v>
          </cell>
          <cell r="B7215" t="str">
            <v>KINMEN HAIR MATTE CLAY 15 ml</v>
          </cell>
          <cell r="C7215" t="str">
            <v>8435057013604</v>
          </cell>
        </row>
        <row r="7216">
          <cell r="A7216">
            <v>550049</v>
          </cell>
          <cell r="B7216" t="str">
            <v>KINMEN HAIR FIBER PASTE 15 ml</v>
          </cell>
          <cell r="C7216" t="str">
            <v>8435057013611</v>
          </cell>
        </row>
        <row r="7217">
          <cell r="A7217">
            <v>550050</v>
          </cell>
          <cell r="B7217" t="str">
            <v>KINMEN HAIR POMADE 15 ml</v>
          </cell>
          <cell r="C7217" t="str">
            <v>8435057013628</v>
          </cell>
        </row>
        <row r="7218">
          <cell r="A7218">
            <v>550051</v>
          </cell>
          <cell r="B7218" t="str">
            <v>KINMEN HAIR JELLY 15 ml</v>
          </cell>
          <cell r="C7218" t="str">
            <v>8435057013635</v>
          </cell>
        </row>
        <row r="7219">
          <cell r="A7219">
            <v>550052</v>
          </cell>
          <cell r="B7219" t="str">
            <v>KINMEN 3-IN-1 DUO PACK</v>
          </cell>
          <cell r="C7219" t="str">
            <v>8435057013659</v>
          </cell>
        </row>
        <row r="7220">
          <cell r="A7220">
            <v>550055</v>
          </cell>
          <cell r="B7220" t="str">
            <v>KINMEN FORCE DUO KRAFT PACK</v>
          </cell>
          <cell r="C7220" t="str">
            <v>8435057013895</v>
          </cell>
        </row>
        <row r="7221">
          <cell r="A7221">
            <v>550056</v>
          </cell>
          <cell r="B7221" t="str">
            <v>KINMEN BEARD DUO PACK</v>
          </cell>
          <cell r="C7221" t="str">
            <v>8435057013901</v>
          </cell>
        </row>
        <row r="7222">
          <cell r="A7222">
            <v>550057</v>
          </cell>
          <cell r="B7222" t="str">
            <v>KINMEN SILVER SHAMPOO 100 ML</v>
          </cell>
          <cell r="C7222" t="str">
            <v>8435057013925</v>
          </cell>
        </row>
        <row r="7223">
          <cell r="A7223">
            <v>550058</v>
          </cell>
          <cell r="B7223" t="str">
            <v>KINMEN FORCE SHAMPOO 100 ML</v>
          </cell>
          <cell r="C7223" t="str">
            <v>8435057013932</v>
          </cell>
        </row>
        <row r="7224">
          <cell r="A7224">
            <v>550063</v>
          </cell>
          <cell r="B7224" t="str">
            <v>KINMEN FORCE DUO PACK</v>
          </cell>
          <cell r="C7224" t="str">
            <v>8435057014052</v>
          </cell>
        </row>
        <row r="7225">
          <cell r="A7225">
            <v>550064</v>
          </cell>
          <cell r="B7225" t="str">
            <v>KINMEN SHAVING CREAM 125 ML</v>
          </cell>
          <cell r="C7225" t="str">
            <v>8435057014175</v>
          </cell>
        </row>
        <row r="7226">
          <cell r="A7226">
            <v>550065</v>
          </cell>
          <cell r="B7226" t="str">
            <v>KINMEN AFTER SHAVE BALM 75 ML</v>
          </cell>
          <cell r="C7226" t="str">
            <v>8435057014182</v>
          </cell>
        </row>
        <row r="7227">
          <cell r="A7227">
            <v>550075</v>
          </cell>
          <cell r="B7227" t="str">
            <v>KINMEN 3-IN-1 SHAMPOO 300 ML</v>
          </cell>
          <cell r="C7227" t="str">
            <v>8435057016513</v>
          </cell>
        </row>
        <row r="7228">
          <cell r="A7228">
            <v>550076</v>
          </cell>
          <cell r="B7228" t="str">
            <v>KINMEN SILVER SHAMPOO 300 ML</v>
          </cell>
          <cell r="C7228" t="str">
            <v>8435057016520</v>
          </cell>
        </row>
        <row r="7229">
          <cell r="A7229">
            <v>550077</v>
          </cell>
          <cell r="B7229" t="str">
            <v>KINMEN FORCE SHAMPOO 300 ML</v>
          </cell>
          <cell r="C7229" t="str">
            <v>8435057016537</v>
          </cell>
        </row>
        <row r="7230">
          <cell r="A7230">
            <v>550078</v>
          </cell>
          <cell r="B7230" t="str">
            <v>KINMEN HAIR MATTE CLAY 100 ML</v>
          </cell>
          <cell r="C7230" t="str">
            <v>8435057016544</v>
          </cell>
        </row>
        <row r="7231">
          <cell r="A7231">
            <v>550079</v>
          </cell>
          <cell r="B7231" t="str">
            <v>KINMEN HAIR FIBER PASTE 100 ML</v>
          </cell>
          <cell r="C7231" t="str">
            <v>8435057016551</v>
          </cell>
        </row>
        <row r="7232">
          <cell r="A7232">
            <v>550080</v>
          </cell>
          <cell r="B7232" t="str">
            <v>KINMEN HAIR POMADE 100 ML</v>
          </cell>
          <cell r="C7232" t="str">
            <v>8435057016568</v>
          </cell>
        </row>
        <row r="7233">
          <cell r="A7233">
            <v>550081</v>
          </cell>
          <cell r="B7233" t="str">
            <v>PACK SACHETS KINMEN HAIR WET GEL</v>
          </cell>
          <cell r="C7233" t="str">
            <v>8435057016681</v>
          </cell>
        </row>
        <row r="7234">
          <cell r="A7234">
            <v>550082</v>
          </cell>
          <cell r="B7234" t="str">
            <v>PACK SACHETS KINMEN 3-IN-1</v>
          </cell>
          <cell r="C7234" t="str">
            <v>8435057016698</v>
          </cell>
        </row>
        <row r="7235">
          <cell r="A7235">
            <v>550083</v>
          </cell>
          <cell r="B7235" t="str">
            <v>PACK SACHETS KINMEN BEARD CREAM</v>
          </cell>
          <cell r="C7235" t="str">
            <v>8435057016704</v>
          </cell>
        </row>
        <row r="7236">
          <cell r="A7236">
            <v>550084</v>
          </cell>
          <cell r="B7236" t="str">
            <v>KINMEN HAIR WET GEL 150 ML</v>
          </cell>
          <cell r="C7236" t="str">
            <v>8435057016605</v>
          </cell>
        </row>
        <row r="7237">
          <cell r="A7237">
            <v>550085</v>
          </cell>
          <cell r="B7237" t="str">
            <v>KINMEN HAIR POWER GEL 150 ML</v>
          </cell>
          <cell r="C7237" t="str">
            <v>8435057016612</v>
          </cell>
        </row>
        <row r="7238">
          <cell r="A7238">
            <v>550086</v>
          </cell>
          <cell r="B7238" t="str">
            <v>KINMEN FORCE DUO PACK</v>
          </cell>
          <cell r="C7238" t="str">
            <v>8435057017992</v>
          </cell>
        </row>
        <row r="7239">
          <cell r="A7239">
            <v>700001</v>
          </cell>
          <cell r="B7239" t="str">
            <v>KREMATIN 6 (60 GRS) : A</v>
          </cell>
          <cell r="C7239" t="str">
            <v>FAK60A</v>
          </cell>
        </row>
        <row r="7240">
          <cell r="A7240">
            <v>700001</v>
          </cell>
          <cell r="B7240" t="str">
            <v>KREMATIN 6 (60 GRS) : A</v>
          </cell>
          <cell r="C7240" t="str">
            <v>8435057049993</v>
          </cell>
        </row>
        <row r="7241">
          <cell r="A7241">
            <v>700002</v>
          </cell>
          <cell r="B7241" t="str">
            <v>KREMATIN 6 (60 GRS) : B</v>
          </cell>
          <cell r="C7241" t="str">
            <v>FAK60B</v>
          </cell>
        </row>
        <row r="7242">
          <cell r="A7242">
            <v>700002</v>
          </cell>
          <cell r="B7242" t="str">
            <v>KREMATIN 6 (60 GRS) : B</v>
          </cell>
          <cell r="C7242" t="str">
            <v>8435057049986</v>
          </cell>
        </row>
        <row r="7243">
          <cell r="A7243">
            <v>700003</v>
          </cell>
          <cell r="B7243" t="str">
            <v>KREMATIN 6 (60 GRS) : C</v>
          </cell>
          <cell r="C7243" t="str">
            <v>FAK60C</v>
          </cell>
        </row>
        <row r="7244">
          <cell r="A7244">
            <v>700003</v>
          </cell>
          <cell r="B7244" t="str">
            <v>KREMATIN 6 (60 GRS) : C</v>
          </cell>
          <cell r="C7244" t="str">
            <v>8435057049979</v>
          </cell>
        </row>
        <row r="7245">
          <cell r="A7245">
            <v>700004</v>
          </cell>
          <cell r="B7245" t="str">
            <v>KREMATIN 6 (60 GRS) : D</v>
          </cell>
          <cell r="C7245" t="str">
            <v>FAK60D</v>
          </cell>
        </row>
        <row r="7246">
          <cell r="A7246">
            <v>700004</v>
          </cell>
          <cell r="B7246" t="str">
            <v>KREMATIN 6 (60 GRS) : D</v>
          </cell>
          <cell r="C7246" t="str">
            <v>8435057049962</v>
          </cell>
        </row>
        <row r="7247">
          <cell r="A7247">
            <v>700005</v>
          </cell>
          <cell r="B7247" t="str">
            <v>KREMATIN 6 (60 GRS) : E</v>
          </cell>
          <cell r="C7247" t="str">
            <v>FAK60E</v>
          </cell>
        </row>
        <row r="7248">
          <cell r="A7248">
            <v>700005</v>
          </cell>
          <cell r="B7248" t="str">
            <v>KREMATIN 6 (60 GRS) : E</v>
          </cell>
          <cell r="C7248" t="str">
            <v>8435057049955</v>
          </cell>
        </row>
        <row r="7249">
          <cell r="A7249">
            <v>700006</v>
          </cell>
          <cell r="B7249" t="str">
            <v>KREMATIN 6 (60 GRS) : F</v>
          </cell>
          <cell r="C7249" t="str">
            <v>FAK60F</v>
          </cell>
        </row>
        <row r="7250">
          <cell r="A7250">
            <v>700006</v>
          </cell>
          <cell r="B7250" t="str">
            <v>KREMATIN 6 (60 GRS) : F</v>
          </cell>
          <cell r="C7250" t="str">
            <v>8435057049948</v>
          </cell>
        </row>
        <row r="7251">
          <cell r="A7251">
            <v>700007</v>
          </cell>
          <cell r="B7251" t="str">
            <v>KREMATIN 6 (60 GRS) : G</v>
          </cell>
          <cell r="C7251" t="str">
            <v>FAK60G</v>
          </cell>
        </row>
        <row r="7252">
          <cell r="A7252">
            <v>700007</v>
          </cell>
          <cell r="B7252" t="str">
            <v>KREMATIN 6 (60 GRS) : G</v>
          </cell>
          <cell r="C7252" t="str">
            <v>8435057049931</v>
          </cell>
        </row>
        <row r="7253">
          <cell r="A7253">
            <v>700008</v>
          </cell>
          <cell r="B7253" t="str">
            <v>KREMATIN 6 (60 GRS) : H</v>
          </cell>
          <cell r="C7253" t="str">
            <v>FAK60H</v>
          </cell>
        </row>
        <row r="7254">
          <cell r="A7254">
            <v>700008</v>
          </cell>
          <cell r="B7254" t="str">
            <v>KREMATIN 6 (60 GRS) : H</v>
          </cell>
          <cell r="C7254" t="str">
            <v>8435057049924</v>
          </cell>
        </row>
        <row r="7255">
          <cell r="A7255">
            <v>700009</v>
          </cell>
          <cell r="B7255" t="str">
            <v>KREMATIN 6 (60 GRS) : I</v>
          </cell>
          <cell r="C7255" t="str">
            <v>FAK60I</v>
          </cell>
        </row>
        <row r="7256">
          <cell r="A7256">
            <v>700009</v>
          </cell>
          <cell r="B7256" t="str">
            <v>KREMATIN 6 (60 GRS) : I</v>
          </cell>
          <cell r="C7256" t="str">
            <v>8435057049917</v>
          </cell>
        </row>
        <row r="7257">
          <cell r="A7257">
            <v>700010</v>
          </cell>
          <cell r="B7257" t="str">
            <v>KREMATIN 6 (60 GRS) : J</v>
          </cell>
          <cell r="C7257" t="str">
            <v>FAK60J</v>
          </cell>
        </row>
        <row r="7258">
          <cell r="A7258">
            <v>700010</v>
          </cell>
          <cell r="B7258" t="str">
            <v>KREMATIN 6 (60 GRS) : J</v>
          </cell>
          <cell r="C7258" t="str">
            <v>8435057049900</v>
          </cell>
        </row>
        <row r="7259">
          <cell r="A7259">
            <v>700011</v>
          </cell>
          <cell r="B7259" t="str">
            <v>KREMATIN 6 (60 GRS) : K</v>
          </cell>
          <cell r="C7259" t="str">
            <v>FAK60K</v>
          </cell>
        </row>
        <row r="7260">
          <cell r="A7260">
            <v>700011</v>
          </cell>
          <cell r="B7260" t="str">
            <v>KREMATIN 6 (60 GRS) : K</v>
          </cell>
          <cell r="C7260" t="str">
            <v>8435057049894</v>
          </cell>
        </row>
        <row r="7261">
          <cell r="A7261">
            <v>700012</v>
          </cell>
          <cell r="B7261" t="str">
            <v>KREMATIN 6 (60 GRS) : L</v>
          </cell>
          <cell r="C7261" t="str">
            <v>FAK60L</v>
          </cell>
        </row>
        <row r="7262">
          <cell r="A7262">
            <v>700012</v>
          </cell>
          <cell r="B7262" t="str">
            <v>KREMATIN 6 (60 GRS) : L</v>
          </cell>
          <cell r="C7262" t="str">
            <v>8435057049887</v>
          </cell>
        </row>
        <row r="7263">
          <cell r="A7263">
            <v>700013</v>
          </cell>
          <cell r="B7263" t="str">
            <v>KREMATIN 6 (60 GRS) : M</v>
          </cell>
          <cell r="C7263" t="str">
            <v>FAK60M</v>
          </cell>
        </row>
        <row r="7264">
          <cell r="A7264">
            <v>700013</v>
          </cell>
          <cell r="B7264" t="str">
            <v>KREMATIN 6 (60 GRS) : M</v>
          </cell>
          <cell r="C7264" t="str">
            <v>8435057049870</v>
          </cell>
        </row>
        <row r="7265">
          <cell r="A7265">
            <v>700014</v>
          </cell>
          <cell r="B7265" t="str">
            <v>KREMATIN 6 (60 GRS) : Ñ</v>
          </cell>
          <cell r="C7265" t="str">
            <v>FAK60Ñ</v>
          </cell>
        </row>
        <row r="7266">
          <cell r="A7266">
            <v>700014</v>
          </cell>
          <cell r="B7266" t="str">
            <v>KREMATIN 6 (60 GRS) : Ñ</v>
          </cell>
          <cell r="C7266" t="str">
            <v>8435057049863</v>
          </cell>
        </row>
        <row r="7267">
          <cell r="A7267">
            <v>700015</v>
          </cell>
          <cell r="B7267" t="str">
            <v>KREMATIN 6 (60 GRS) : O</v>
          </cell>
          <cell r="C7267" t="str">
            <v>FAK60O</v>
          </cell>
        </row>
        <row r="7268">
          <cell r="A7268">
            <v>700015</v>
          </cell>
          <cell r="B7268" t="str">
            <v>KREMATIN 6 (60 GRS) : O</v>
          </cell>
          <cell r="C7268" t="str">
            <v>8435057049856</v>
          </cell>
        </row>
        <row r="7269">
          <cell r="A7269">
            <v>700016</v>
          </cell>
          <cell r="B7269" t="str">
            <v>KREMATIN 6 (60 GRS) : P</v>
          </cell>
          <cell r="C7269" t="str">
            <v>FAK60P</v>
          </cell>
        </row>
        <row r="7270">
          <cell r="A7270">
            <v>700016</v>
          </cell>
          <cell r="B7270" t="str">
            <v>KREMATIN 6 (60 GRS) : P</v>
          </cell>
          <cell r="C7270" t="str">
            <v>8435057049849</v>
          </cell>
        </row>
        <row r="7271">
          <cell r="A7271">
            <v>700017</v>
          </cell>
          <cell r="B7271" t="str">
            <v>KREMATIN 6 (60 GRS) : Q</v>
          </cell>
          <cell r="C7271" t="str">
            <v>FAK60Q</v>
          </cell>
        </row>
        <row r="7272">
          <cell r="A7272">
            <v>700017</v>
          </cell>
          <cell r="B7272" t="str">
            <v>KREMATIN 6 (60 GRS) : Q</v>
          </cell>
          <cell r="C7272" t="str">
            <v>8435057049832</v>
          </cell>
        </row>
        <row r="7273">
          <cell r="A7273">
            <v>700018</v>
          </cell>
          <cell r="B7273" t="str">
            <v>KREMATIN 6 (60 GRS) : R</v>
          </cell>
          <cell r="C7273" t="str">
            <v>FAK60R</v>
          </cell>
        </row>
        <row r="7274">
          <cell r="A7274">
            <v>700018</v>
          </cell>
          <cell r="B7274" t="str">
            <v>KREMATIN 6 (60 GRS) : R</v>
          </cell>
          <cell r="C7274" t="str">
            <v>8435057049825</v>
          </cell>
        </row>
        <row r="7275">
          <cell r="A7275">
            <v>700019</v>
          </cell>
          <cell r="B7275" t="str">
            <v>KREMATIN 6 (60 GRS) : S</v>
          </cell>
          <cell r="C7275" t="str">
            <v>FAK60S</v>
          </cell>
        </row>
        <row r="7276">
          <cell r="A7276">
            <v>700019</v>
          </cell>
          <cell r="B7276" t="str">
            <v>KREMATIN 6 (60 GRS) : S</v>
          </cell>
          <cell r="C7276" t="str">
            <v>8435057049818</v>
          </cell>
        </row>
        <row r="7277">
          <cell r="A7277">
            <v>700020</v>
          </cell>
          <cell r="B7277" t="str">
            <v>KREMATIN 6 (60 GRS) : T</v>
          </cell>
          <cell r="C7277" t="str">
            <v>FAK60T</v>
          </cell>
        </row>
        <row r="7278">
          <cell r="A7278">
            <v>700020</v>
          </cell>
          <cell r="B7278" t="str">
            <v>KREMATIN 6 (60 GRS) : T</v>
          </cell>
          <cell r="C7278" t="str">
            <v>8435057049801</v>
          </cell>
        </row>
        <row r="7279">
          <cell r="A7279">
            <v>700021</v>
          </cell>
          <cell r="B7279" t="str">
            <v>KREMATIN 6 (60 GRS) : V</v>
          </cell>
          <cell r="C7279" t="str">
            <v>FAK60V</v>
          </cell>
        </row>
        <row r="7280">
          <cell r="A7280">
            <v>700021</v>
          </cell>
          <cell r="B7280" t="str">
            <v>KREMATIN 6 (60 GRS) : V</v>
          </cell>
          <cell r="C7280" t="str">
            <v>8435057049795</v>
          </cell>
        </row>
        <row r="7281">
          <cell r="A7281">
            <v>700022</v>
          </cell>
          <cell r="B7281" t="str">
            <v>KREMATIN 6 (60 GRS) : W</v>
          </cell>
          <cell r="C7281" t="str">
            <v>FAK60W</v>
          </cell>
        </row>
        <row r="7282">
          <cell r="A7282">
            <v>700022</v>
          </cell>
          <cell r="B7282" t="str">
            <v>KREMATIN 6 (60 GRS) : W</v>
          </cell>
          <cell r="C7282" t="str">
            <v>8435057049788</v>
          </cell>
        </row>
        <row r="7283">
          <cell r="A7283">
            <v>700023</v>
          </cell>
          <cell r="B7283" t="str">
            <v>KREMATIN 6 (60 GRS) : Y</v>
          </cell>
          <cell r="C7283" t="str">
            <v>FAK60Y</v>
          </cell>
        </row>
        <row r="7284">
          <cell r="A7284">
            <v>700023</v>
          </cell>
          <cell r="B7284" t="str">
            <v>KREMATIN 6 (60 GRS) : Y</v>
          </cell>
          <cell r="C7284" t="str">
            <v>8435057049771</v>
          </cell>
        </row>
        <row r="7285">
          <cell r="A7285">
            <v>700024</v>
          </cell>
          <cell r="B7285" t="str">
            <v>KREMATIN 6 (60 GRS) : CH</v>
          </cell>
          <cell r="C7285" t="str">
            <v>FAK6CH</v>
          </cell>
        </row>
        <row r="7286">
          <cell r="A7286">
            <v>700024</v>
          </cell>
          <cell r="B7286" t="str">
            <v>KREMATIN 6 (60 GRS) : CH</v>
          </cell>
          <cell r="C7286" t="str">
            <v>8435057049764</v>
          </cell>
        </row>
        <row r="7287">
          <cell r="A7287">
            <v>700025</v>
          </cell>
          <cell r="B7287" t="str">
            <v>KREMATIN 6 (60 GRS) : E/1</v>
          </cell>
          <cell r="C7287" t="str">
            <v>FAK6E1</v>
          </cell>
        </row>
        <row r="7288">
          <cell r="A7288">
            <v>700025</v>
          </cell>
          <cell r="B7288" t="str">
            <v>KREMATIN 6 (60 GRS) : E/1</v>
          </cell>
          <cell r="C7288" t="str">
            <v>8435057049757</v>
          </cell>
        </row>
        <row r="7289">
          <cell r="A7289">
            <v>700026</v>
          </cell>
          <cell r="B7289" t="str">
            <v>KREMATIN 6 (60 GRS) : LL</v>
          </cell>
          <cell r="C7289" t="str">
            <v>FAK6LL</v>
          </cell>
        </row>
        <row r="7290">
          <cell r="A7290">
            <v>700026</v>
          </cell>
          <cell r="B7290" t="str">
            <v>KREMATIN 6 (60 GRS) : LL</v>
          </cell>
          <cell r="C7290" t="str">
            <v>8435057049740</v>
          </cell>
        </row>
        <row r="7291">
          <cell r="A7291">
            <v>700027</v>
          </cell>
          <cell r="B7291" t="str">
            <v>KREMATIN 6 (60 GRS) : P/1</v>
          </cell>
          <cell r="C7291" t="str">
            <v>FAK6P1</v>
          </cell>
        </row>
        <row r="7292">
          <cell r="A7292">
            <v>700027</v>
          </cell>
          <cell r="B7292" t="str">
            <v>KREMATIN 6 (60 GRS) : P/1</v>
          </cell>
          <cell r="C7292" t="str">
            <v>8435057049733</v>
          </cell>
        </row>
        <row r="7293">
          <cell r="A7293">
            <v>700028</v>
          </cell>
          <cell r="B7293" t="str">
            <v>KREMATIN 6 (60 GRS) : Q/A</v>
          </cell>
          <cell r="C7293" t="str">
            <v>FAK6QA</v>
          </cell>
        </row>
        <row r="7294">
          <cell r="A7294">
            <v>700028</v>
          </cell>
          <cell r="B7294" t="str">
            <v>KREMATIN 6 (60 GRS) : Q/A</v>
          </cell>
          <cell r="C7294" t="str">
            <v>8435057049726</v>
          </cell>
        </row>
        <row r="7295">
          <cell r="A7295">
            <v>700029</v>
          </cell>
          <cell r="B7295" t="str">
            <v>KREMATIN 6 (60 GRS) : V/A</v>
          </cell>
          <cell r="C7295" t="str">
            <v>FAK6VA</v>
          </cell>
        </row>
        <row r="7296">
          <cell r="A7296">
            <v>700029</v>
          </cell>
          <cell r="B7296" t="str">
            <v>KREMATIN 6 (60 GRS) : V/A</v>
          </cell>
          <cell r="C7296" t="str">
            <v>8435057049719</v>
          </cell>
        </row>
        <row r="7297">
          <cell r="A7297">
            <v>700030</v>
          </cell>
          <cell r="B7297" t="str">
            <v>KREMATIN 6 (60 GRS) : X/A</v>
          </cell>
          <cell r="C7297" t="str">
            <v>FAK6XA</v>
          </cell>
        </row>
        <row r="7298">
          <cell r="A7298">
            <v>700030</v>
          </cell>
          <cell r="B7298" t="str">
            <v>KREMATIN 6 (60 GRS) : X/A</v>
          </cell>
          <cell r="C7298" t="str">
            <v>8435057049702</v>
          </cell>
        </row>
        <row r="7299">
          <cell r="A7299">
            <v>700031</v>
          </cell>
          <cell r="B7299" t="str">
            <v>FASHION BAÑO Nº 1-N</v>
          </cell>
          <cell r="C7299" t="str">
            <v>FB001N</v>
          </cell>
        </row>
        <row r="7300">
          <cell r="A7300">
            <v>700031</v>
          </cell>
          <cell r="B7300" t="str">
            <v>FASHION BAÑO Nº 1-N</v>
          </cell>
          <cell r="C7300" t="str">
            <v>8435057049696</v>
          </cell>
        </row>
        <row r="7301">
          <cell r="A7301">
            <v>700032</v>
          </cell>
          <cell r="B7301" t="str">
            <v>FASHION BAÑO Nº 3-N</v>
          </cell>
          <cell r="C7301" t="str">
            <v>FB003N</v>
          </cell>
        </row>
        <row r="7302">
          <cell r="A7302">
            <v>700032</v>
          </cell>
          <cell r="B7302" t="str">
            <v>FASHION BAÑO Nº 3-N</v>
          </cell>
          <cell r="C7302" t="str">
            <v>8435057049689</v>
          </cell>
        </row>
        <row r="7303">
          <cell r="A7303">
            <v>700033</v>
          </cell>
          <cell r="B7303" t="str">
            <v>FASHION BAÑO Nº 4-N</v>
          </cell>
          <cell r="C7303" t="str">
            <v>FB004N</v>
          </cell>
        </row>
        <row r="7304">
          <cell r="A7304">
            <v>700033</v>
          </cell>
          <cell r="B7304" t="str">
            <v>FASHION BAÑO Nº 4-N</v>
          </cell>
          <cell r="C7304" t="str">
            <v>8435057049672</v>
          </cell>
        </row>
        <row r="7305">
          <cell r="A7305">
            <v>700034</v>
          </cell>
          <cell r="B7305" t="str">
            <v>FASHION BAÑO Nº 5-N</v>
          </cell>
          <cell r="C7305" t="str">
            <v>FB005N</v>
          </cell>
        </row>
        <row r="7306">
          <cell r="A7306">
            <v>700034</v>
          </cell>
          <cell r="B7306" t="str">
            <v>FASHION BAÑO Nº 5-N</v>
          </cell>
          <cell r="C7306" t="str">
            <v>8435057049665</v>
          </cell>
        </row>
        <row r="7307">
          <cell r="A7307">
            <v>700035</v>
          </cell>
          <cell r="B7307" t="str">
            <v>FASHION BAÑO Nº 7-N</v>
          </cell>
          <cell r="C7307" t="str">
            <v>FB007N</v>
          </cell>
        </row>
        <row r="7308">
          <cell r="A7308">
            <v>700035</v>
          </cell>
          <cell r="B7308" t="str">
            <v>FASHION BAÑO Nº 7-N</v>
          </cell>
          <cell r="C7308" t="str">
            <v>8435057049658</v>
          </cell>
        </row>
        <row r="7309">
          <cell r="A7309">
            <v>700036</v>
          </cell>
          <cell r="B7309" t="str">
            <v>FASHION BAÑO Nº 8-N</v>
          </cell>
          <cell r="C7309" t="str">
            <v>FB008N</v>
          </cell>
        </row>
        <row r="7310">
          <cell r="A7310">
            <v>700036</v>
          </cell>
          <cell r="B7310" t="str">
            <v>FASHION BAÑO Nº 8-N</v>
          </cell>
          <cell r="C7310" t="str">
            <v>8435057049641</v>
          </cell>
        </row>
        <row r="7311">
          <cell r="A7311">
            <v>700037</v>
          </cell>
          <cell r="B7311" t="str">
            <v>FASHION BAÑO Nº 3.57</v>
          </cell>
          <cell r="C7311" t="str">
            <v>FB0357</v>
          </cell>
        </row>
        <row r="7312">
          <cell r="A7312">
            <v>700037</v>
          </cell>
          <cell r="B7312" t="str">
            <v>FASHION BAÑO Nº 3.57</v>
          </cell>
          <cell r="C7312" t="str">
            <v>8435057049634</v>
          </cell>
        </row>
        <row r="7313">
          <cell r="A7313">
            <v>700038</v>
          </cell>
          <cell r="B7313" t="str">
            <v>FASHION BAÑO Nº 4.70</v>
          </cell>
          <cell r="C7313" t="str">
            <v>FB0470</v>
          </cell>
        </row>
        <row r="7314">
          <cell r="A7314">
            <v>700038</v>
          </cell>
          <cell r="B7314" t="str">
            <v>FASHION BAÑO Nº 4.70</v>
          </cell>
          <cell r="C7314" t="str">
            <v>8435057049627</v>
          </cell>
        </row>
        <row r="7315">
          <cell r="A7315">
            <v>700039</v>
          </cell>
          <cell r="B7315" t="str">
            <v>FASHION BAÑO Nº 5.50</v>
          </cell>
          <cell r="C7315" t="str">
            <v>FB0550</v>
          </cell>
        </row>
        <row r="7316">
          <cell r="A7316">
            <v>700039</v>
          </cell>
          <cell r="B7316" t="str">
            <v>FASHION BAÑO Nº 5.50</v>
          </cell>
          <cell r="C7316" t="str">
            <v>8435057049610</v>
          </cell>
        </row>
        <row r="7317">
          <cell r="A7317">
            <v>700040</v>
          </cell>
          <cell r="B7317" t="str">
            <v>FASHION BAÑO Nº 6.24</v>
          </cell>
          <cell r="C7317" t="str">
            <v>FB0624</v>
          </cell>
        </row>
        <row r="7318">
          <cell r="A7318">
            <v>700040</v>
          </cell>
          <cell r="B7318" t="str">
            <v>FASHION BAÑO Nº 6.24</v>
          </cell>
          <cell r="C7318" t="str">
            <v>8435057049603</v>
          </cell>
        </row>
        <row r="7319">
          <cell r="A7319">
            <v>700041</v>
          </cell>
          <cell r="B7319" t="str">
            <v>FASHION BAÑO Nº 6.35</v>
          </cell>
          <cell r="C7319" t="str">
            <v>FB0635</v>
          </cell>
        </row>
        <row r="7320">
          <cell r="A7320">
            <v>700041</v>
          </cell>
          <cell r="B7320" t="str">
            <v>FASHION BAÑO Nº 6.35</v>
          </cell>
          <cell r="C7320" t="str">
            <v>8435057049597</v>
          </cell>
        </row>
        <row r="7321">
          <cell r="A7321">
            <v>700042</v>
          </cell>
          <cell r="B7321" t="str">
            <v>FASHION BAÑO Nº 6.50</v>
          </cell>
          <cell r="C7321" t="str">
            <v>FB0650</v>
          </cell>
        </row>
        <row r="7322">
          <cell r="A7322">
            <v>700042</v>
          </cell>
          <cell r="B7322" t="str">
            <v>FASHION BAÑO Nº 6.50</v>
          </cell>
          <cell r="C7322" t="str">
            <v>8435057049580</v>
          </cell>
        </row>
        <row r="7323">
          <cell r="A7323">
            <v>700043</v>
          </cell>
          <cell r="B7323" t="str">
            <v>FASHION BAÑO Nº 6.62</v>
          </cell>
          <cell r="C7323" t="str">
            <v>FB0662</v>
          </cell>
        </row>
        <row r="7324">
          <cell r="A7324">
            <v>700043</v>
          </cell>
          <cell r="B7324" t="str">
            <v>FASHION BAÑO Nº 6.62</v>
          </cell>
          <cell r="C7324" t="str">
            <v>8435057049573</v>
          </cell>
        </row>
        <row r="7325">
          <cell r="A7325">
            <v>700044</v>
          </cell>
          <cell r="B7325" t="str">
            <v>FASHION BAÑO Nº 7.53</v>
          </cell>
          <cell r="C7325" t="str">
            <v>FB0753</v>
          </cell>
        </row>
        <row r="7326">
          <cell r="A7326">
            <v>700044</v>
          </cell>
          <cell r="B7326" t="str">
            <v>FASHION BAÑO Nº 7.53</v>
          </cell>
          <cell r="C7326" t="str">
            <v>8435057049566</v>
          </cell>
        </row>
        <row r="7327">
          <cell r="A7327">
            <v>700045</v>
          </cell>
          <cell r="B7327" t="str">
            <v>FASHION BAÑO Nº 7.66</v>
          </cell>
          <cell r="C7327" t="str">
            <v>FB0766</v>
          </cell>
        </row>
        <row r="7328">
          <cell r="A7328">
            <v>700045</v>
          </cell>
          <cell r="B7328" t="str">
            <v>FASHION BAÑO Nº 7.66</v>
          </cell>
          <cell r="C7328" t="str">
            <v>8435057049559</v>
          </cell>
        </row>
        <row r="7329">
          <cell r="A7329">
            <v>700046</v>
          </cell>
          <cell r="B7329" t="str">
            <v>FASHION BAÑO Nº 8.33</v>
          </cell>
          <cell r="C7329" t="str">
            <v>FB0833</v>
          </cell>
        </row>
        <row r="7330">
          <cell r="A7330">
            <v>700046</v>
          </cell>
          <cell r="B7330" t="str">
            <v>FASHION BAÑO Nº 8.33</v>
          </cell>
          <cell r="C7330" t="str">
            <v>8435057049542</v>
          </cell>
        </row>
        <row r="7331">
          <cell r="A7331">
            <v>700047</v>
          </cell>
          <cell r="B7331" t="str">
            <v>FASHION BAÑO Nº 8.3-N</v>
          </cell>
          <cell r="C7331" t="str">
            <v>FB083N</v>
          </cell>
        </row>
        <row r="7332">
          <cell r="A7332">
            <v>700047</v>
          </cell>
          <cell r="B7332" t="str">
            <v>FASHION BAÑO Nº 8.3-N</v>
          </cell>
          <cell r="C7332" t="str">
            <v>8435057049535</v>
          </cell>
        </row>
        <row r="7333">
          <cell r="A7333">
            <v>700048</v>
          </cell>
          <cell r="B7333" t="str">
            <v>FASHION BAÑO Nº D-44</v>
          </cell>
          <cell r="C7333" t="str">
            <v>FB0D44</v>
          </cell>
        </row>
        <row r="7334">
          <cell r="A7334">
            <v>700048</v>
          </cell>
          <cell r="B7334" t="str">
            <v>FASHION BAÑO Nº D-44</v>
          </cell>
          <cell r="C7334" t="str">
            <v>8435057049528</v>
          </cell>
        </row>
        <row r="7335">
          <cell r="A7335">
            <v>700049</v>
          </cell>
          <cell r="B7335" t="str">
            <v>FASHION BAÑO Nº D-66</v>
          </cell>
          <cell r="C7335" t="str">
            <v>FB0D66</v>
          </cell>
        </row>
        <row r="7336">
          <cell r="A7336">
            <v>700049</v>
          </cell>
          <cell r="B7336" t="str">
            <v>FASHION BAÑO Nº D-66</v>
          </cell>
          <cell r="C7336" t="str">
            <v>8435057049511</v>
          </cell>
        </row>
        <row r="7337">
          <cell r="A7337">
            <v>700050</v>
          </cell>
          <cell r="B7337" t="str">
            <v>FASHION BAÑO Nº D-77</v>
          </cell>
          <cell r="C7337" t="str">
            <v>FB0D77</v>
          </cell>
        </row>
        <row r="7338">
          <cell r="A7338">
            <v>700050</v>
          </cell>
          <cell r="B7338" t="str">
            <v>FASHION BAÑO Nº D-77</v>
          </cell>
          <cell r="C7338" t="str">
            <v>8435057049504</v>
          </cell>
        </row>
        <row r="7339">
          <cell r="A7339">
            <v>700051</v>
          </cell>
          <cell r="B7339" t="str">
            <v>TINTE KHATIONS nº 101</v>
          </cell>
          <cell r="C7339" t="str">
            <v>TH0101</v>
          </cell>
        </row>
        <row r="7340">
          <cell r="A7340">
            <v>700051</v>
          </cell>
          <cell r="B7340" t="str">
            <v>TINTE KHATIONS nº 101</v>
          </cell>
          <cell r="C7340" t="str">
            <v>8435057049498</v>
          </cell>
        </row>
        <row r="7341">
          <cell r="A7341">
            <v>700052</v>
          </cell>
          <cell r="B7341" t="str">
            <v>TINTE KHATIONS nº 102</v>
          </cell>
          <cell r="C7341" t="str">
            <v>TH0102</v>
          </cell>
        </row>
        <row r="7342">
          <cell r="A7342">
            <v>700052</v>
          </cell>
          <cell r="B7342" t="str">
            <v>TINTE KHATIONS nº 102</v>
          </cell>
          <cell r="C7342" t="str">
            <v>8435057049481</v>
          </cell>
        </row>
        <row r="7343">
          <cell r="A7343">
            <v>700053</v>
          </cell>
          <cell r="B7343" t="str">
            <v>TINTE KHATIONS nº 103</v>
          </cell>
          <cell r="C7343" t="str">
            <v>TH0103</v>
          </cell>
        </row>
        <row r="7344">
          <cell r="A7344">
            <v>700053</v>
          </cell>
          <cell r="B7344" t="str">
            <v>TINTE KHATIONS nº 103</v>
          </cell>
          <cell r="C7344" t="str">
            <v>8435057049474</v>
          </cell>
        </row>
        <row r="7345">
          <cell r="A7345">
            <v>700054</v>
          </cell>
          <cell r="B7345" t="str">
            <v>TINTE KHATIONS nº 104</v>
          </cell>
          <cell r="C7345" t="str">
            <v>TH0104</v>
          </cell>
        </row>
        <row r="7346">
          <cell r="A7346">
            <v>700054</v>
          </cell>
          <cell r="B7346" t="str">
            <v>TINTE KHATIONS nº 104</v>
          </cell>
          <cell r="C7346" t="str">
            <v>8435057049467</v>
          </cell>
        </row>
        <row r="7347">
          <cell r="A7347">
            <v>700055</v>
          </cell>
          <cell r="B7347" t="str">
            <v>TINTE KHATIONS nº 105</v>
          </cell>
          <cell r="C7347" t="str">
            <v>TH0105</v>
          </cell>
        </row>
        <row r="7348">
          <cell r="A7348">
            <v>700055</v>
          </cell>
          <cell r="B7348" t="str">
            <v>TINTE KHATIONS nº 105</v>
          </cell>
          <cell r="C7348" t="str">
            <v>8435057049450</v>
          </cell>
        </row>
        <row r="7349">
          <cell r="A7349">
            <v>700056</v>
          </cell>
          <cell r="B7349" t="str">
            <v>TINTE KHATIONS nº 106</v>
          </cell>
          <cell r="C7349" t="str">
            <v>TH0106</v>
          </cell>
        </row>
        <row r="7350">
          <cell r="A7350">
            <v>700056</v>
          </cell>
          <cell r="B7350" t="str">
            <v>TINTE KHATIONS nº 106</v>
          </cell>
          <cell r="C7350" t="str">
            <v>8435057049443</v>
          </cell>
        </row>
        <row r="7351">
          <cell r="A7351">
            <v>700057</v>
          </cell>
          <cell r="B7351" t="str">
            <v>TINTE KHATIONS nº 107</v>
          </cell>
          <cell r="C7351" t="str">
            <v>TH0107</v>
          </cell>
        </row>
        <row r="7352">
          <cell r="A7352">
            <v>700057</v>
          </cell>
          <cell r="B7352" t="str">
            <v>TINTE KHATIONS nº 107</v>
          </cell>
          <cell r="C7352" t="str">
            <v>8435057049436</v>
          </cell>
        </row>
        <row r="7353">
          <cell r="A7353">
            <v>700058</v>
          </cell>
          <cell r="B7353" t="str">
            <v>TINTE KHATIONS nº 108</v>
          </cell>
          <cell r="C7353" t="str">
            <v>TH0108</v>
          </cell>
        </row>
        <row r="7354">
          <cell r="A7354">
            <v>700058</v>
          </cell>
          <cell r="B7354" t="str">
            <v>TINTE KHATIONS nº 108</v>
          </cell>
          <cell r="C7354" t="str">
            <v>8435057049429</v>
          </cell>
        </row>
        <row r="7355">
          <cell r="A7355">
            <v>700059</v>
          </cell>
          <cell r="B7355" t="str">
            <v>TINTE KHATIONS nº 109</v>
          </cell>
          <cell r="C7355" t="str">
            <v>TH0109</v>
          </cell>
        </row>
        <row r="7356">
          <cell r="A7356">
            <v>700059</v>
          </cell>
          <cell r="B7356" t="str">
            <v>TINTE KHATIONS nº 109</v>
          </cell>
          <cell r="C7356" t="str">
            <v>8435057049412</v>
          </cell>
        </row>
        <row r="7357">
          <cell r="A7357">
            <v>700060</v>
          </cell>
          <cell r="B7357" t="str">
            <v>TINTE KHATIONS nº 125</v>
          </cell>
          <cell r="C7357" t="str">
            <v>TH0125</v>
          </cell>
        </row>
        <row r="7358">
          <cell r="A7358">
            <v>700060</v>
          </cell>
          <cell r="B7358" t="str">
            <v>TINTE KHATIONS nº 125</v>
          </cell>
          <cell r="C7358" t="str">
            <v>8435057049405</v>
          </cell>
        </row>
        <row r="7359">
          <cell r="A7359">
            <v>700061</v>
          </cell>
          <cell r="B7359" t="str">
            <v>TINTE KHATIONS nº 126</v>
          </cell>
          <cell r="C7359" t="str">
            <v>TH0126</v>
          </cell>
        </row>
        <row r="7360">
          <cell r="A7360">
            <v>700061</v>
          </cell>
          <cell r="B7360" t="str">
            <v>TINTE KHATIONS nº 126</v>
          </cell>
          <cell r="C7360" t="str">
            <v>8435057049399</v>
          </cell>
        </row>
        <row r="7361">
          <cell r="A7361">
            <v>700062</v>
          </cell>
          <cell r="B7361" t="str">
            <v>TINTE KHATIONS nº 127</v>
          </cell>
          <cell r="C7361" t="str">
            <v>TH0127</v>
          </cell>
        </row>
        <row r="7362">
          <cell r="A7362">
            <v>700062</v>
          </cell>
          <cell r="B7362" t="str">
            <v>TINTE KHATIONS nº 127</v>
          </cell>
          <cell r="C7362" t="str">
            <v>8435057049382</v>
          </cell>
        </row>
        <row r="7363">
          <cell r="A7363">
            <v>700063</v>
          </cell>
          <cell r="B7363" t="str">
            <v>TINTE KHATIONS nº 128</v>
          </cell>
          <cell r="C7363" t="str">
            <v>TH0128</v>
          </cell>
        </row>
        <row r="7364">
          <cell r="A7364">
            <v>700063</v>
          </cell>
          <cell r="B7364" t="str">
            <v>TINTE KHATIONS nº 128</v>
          </cell>
          <cell r="C7364" t="str">
            <v>8435057049375</v>
          </cell>
        </row>
        <row r="7365">
          <cell r="A7365">
            <v>700064</v>
          </cell>
          <cell r="B7365" t="str">
            <v>TINTE KHATIONS nº 129</v>
          </cell>
          <cell r="C7365" t="str">
            <v>TH0129</v>
          </cell>
        </row>
        <row r="7366">
          <cell r="A7366">
            <v>700064</v>
          </cell>
          <cell r="B7366" t="str">
            <v>TINTE KHATIONS nº 129</v>
          </cell>
          <cell r="C7366" t="str">
            <v>8435057049368</v>
          </cell>
        </row>
        <row r="7367">
          <cell r="A7367">
            <v>700065</v>
          </cell>
          <cell r="B7367" t="str">
            <v>TINTE KHATIONS nº 145</v>
          </cell>
          <cell r="C7367" t="str">
            <v>TH0145</v>
          </cell>
        </row>
        <row r="7368">
          <cell r="A7368">
            <v>700065</v>
          </cell>
          <cell r="B7368" t="str">
            <v>TINTE KHATIONS nº 145</v>
          </cell>
          <cell r="C7368" t="str">
            <v>8435057049351</v>
          </cell>
        </row>
        <row r="7369">
          <cell r="A7369">
            <v>700066</v>
          </cell>
          <cell r="B7369" t="str">
            <v>TINTE KHATIONS nº 146</v>
          </cell>
          <cell r="C7369" t="str">
            <v>TH0146</v>
          </cell>
        </row>
        <row r="7370">
          <cell r="A7370">
            <v>700066</v>
          </cell>
          <cell r="B7370" t="str">
            <v>TINTE KHATIONS nº 146</v>
          </cell>
          <cell r="C7370" t="str">
            <v>8435057049344</v>
          </cell>
        </row>
        <row r="7371">
          <cell r="A7371">
            <v>700067</v>
          </cell>
          <cell r="B7371" t="str">
            <v>TINTE KHATIONS nº 147</v>
          </cell>
          <cell r="C7371" t="str">
            <v>TH0147</v>
          </cell>
        </row>
        <row r="7372">
          <cell r="A7372">
            <v>700067</v>
          </cell>
          <cell r="B7372" t="str">
            <v>TINTE KHATIONS nº 147</v>
          </cell>
          <cell r="C7372" t="str">
            <v>8435057049337</v>
          </cell>
        </row>
        <row r="7373">
          <cell r="A7373">
            <v>700068</v>
          </cell>
          <cell r="B7373" t="str">
            <v>TINTE KHATIONS nº 148</v>
          </cell>
          <cell r="C7373" t="str">
            <v>TH0148</v>
          </cell>
        </row>
        <row r="7374">
          <cell r="A7374">
            <v>700068</v>
          </cell>
          <cell r="B7374" t="str">
            <v>TINTE KHATIONS nº 148</v>
          </cell>
          <cell r="C7374" t="str">
            <v>8435057049320</v>
          </cell>
        </row>
        <row r="7375">
          <cell r="A7375">
            <v>700069</v>
          </cell>
          <cell r="B7375" t="str">
            <v>TINTE KHATIONS nº 153</v>
          </cell>
          <cell r="C7375" t="str">
            <v>TH0153</v>
          </cell>
        </row>
        <row r="7376">
          <cell r="A7376">
            <v>700069</v>
          </cell>
          <cell r="B7376" t="str">
            <v>TINTE KHATIONS nº 153</v>
          </cell>
          <cell r="C7376" t="str">
            <v>8435057049313</v>
          </cell>
        </row>
        <row r="7377">
          <cell r="A7377">
            <v>700070</v>
          </cell>
          <cell r="B7377" t="str">
            <v>TINTE KHATIONS nº 154</v>
          </cell>
          <cell r="C7377" t="str">
            <v>TH0154</v>
          </cell>
        </row>
        <row r="7378">
          <cell r="A7378">
            <v>700070</v>
          </cell>
          <cell r="B7378" t="str">
            <v>TINTE KHATIONS nº 154</v>
          </cell>
          <cell r="C7378" t="str">
            <v>8435057049306</v>
          </cell>
        </row>
        <row r="7379">
          <cell r="A7379">
            <v>700071</v>
          </cell>
          <cell r="B7379" t="str">
            <v>TINTE KHATIONS nº 155</v>
          </cell>
          <cell r="C7379" t="str">
            <v>TH0155</v>
          </cell>
        </row>
        <row r="7380">
          <cell r="A7380">
            <v>700071</v>
          </cell>
          <cell r="B7380" t="str">
            <v>TINTE KHATIONS nº 155</v>
          </cell>
          <cell r="C7380" t="str">
            <v>8435057049290</v>
          </cell>
        </row>
        <row r="7381">
          <cell r="A7381">
            <v>700072</v>
          </cell>
          <cell r="B7381" t="str">
            <v>TINTE KHATIONS nº 156</v>
          </cell>
          <cell r="C7381" t="str">
            <v>TH0156</v>
          </cell>
        </row>
        <row r="7382">
          <cell r="A7382">
            <v>700072</v>
          </cell>
          <cell r="B7382" t="str">
            <v>TINTE KHATIONS nº 156</v>
          </cell>
          <cell r="C7382" t="str">
            <v>8435057049283</v>
          </cell>
        </row>
        <row r="7383">
          <cell r="A7383">
            <v>700073</v>
          </cell>
          <cell r="B7383" t="str">
            <v>TINTE KHATIONS nº 110 A</v>
          </cell>
          <cell r="C7383" t="str">
            <v>TH110A</v>
          </cell>
        </row>
        <row r="7384">
          <cell r="A7384">
            <v>700073</v>
          </cell>
          <cell r="B7384" t="str">
            <v>TINTE KHATIONS nº 110 A</v>
          </cell>
          <cell r="C7384" t="str">
            <v>8435057047562</v>
          </cell>
        </row>
        <row r="7385">
          <cell r="A7385">
            <v>700074</v>
          </cell>
          <cell r="B7385" t="str">
            <v>TINTE KHATIONS nº 130 A</v>
          </cell>
          <cell r="C7385" t="str">
            <v>TH130A</v>
          </cell>
        </row>
        <row r="7386">
          <cell r="A7386">
            <v>700074</v>
          </cell>
          <cell r="B7386" t="str">
            <v>TINTE KHATIONS nº 130 A</v>
          </cell>
          <cell r="C7386" t="str">
            <v>8435057047548</v>
          </cell>
        </row>
        <row r="7387">
          <cell r="A7387">
            <v>700075</v>
          </cell>
          <cell r="B7387" t="str">
            <v>TINTE KHATIONS nº 1</v>
          </cell>
          <cell r="C7387" t="str">
            <v>TH0001</v>
          </cell>
        </row>
        <row r="7388">
          <cell r="A7388">
            <v>700075</v>
          </cell>
          <cell r="B7388" t="str">
            <v>TINTE KHATIONS nº 1</v>
          </cell>
          <cell r="C7388" t="str">
            <v>8435057049252</v>
          </cell>
        </row>
        <row r="7389">
          <cell r="A7389">
            <v>700076</v>
          </cell>
          <cell r="B7389" t="str">
            <v>TINTE KHATIONS nº 2</v>
          </cell>
          <cell r="C7389" t="str">
            <v>TH0002</v>
          </cell>
        </row>
        <row r="7390">
          <cell r="A7390">
            <v>700076</v>
          </cell>
          <cell r="B7390" t="str">
            <v>TINTE KHATIONS nº 2</v>
          </cell>
          <cell r="C7390" t="str">
            <v>8435057049245</v>
          </cell>
        </row>
        <row r="7391">
          <cell r="A7391">
            <v>700077</v>
          </cell>
          <cell r="B7391" t="str">
            <v>TINTE KHATIONS nº 3</v>
          </cell>
          <cell r="C7391" t="str">
            <v>TH0003</v>
          </cell>
        </row>
        <row r="7392">
          <cell r="A7392">
            <v>700077</v>
          </cell>
          <cell r="B7392" t="str">
            <v>TINTE KHATIONS nº 3</v>
          </cell>
          <cell r="C7392" t="str">
            <v>8435057049238</v>
          </cell>
        </row>
        <row r="7393">
          <cell r="A7393">
            <v>700078</v>
          </cell>
          <cell r="B7393" t="str">
            <v>TINTE KHATIONS nº 4</v>
          </cell>
          <cell r="C7393" t="str">
            <v>TH0004</v>
          </cell>
        </row>
        <row r="7394">
          <cell r="A7394">
            <v>700078</v>
          </cell>
          <cell r="B7394" t="str">
            <v>TINTE KHATIONS nº 4</v>
          </cell>
          <cell r="C7394" t="str">
            <v>8435057049221</v>
          </cell>
        </row>
        <row r="7395">
          <cell r="A7395">
            <v>700079</v>
          </cell>
          <cell r="B7395" t="str">
            <v>TINTE KHATIONS nº 5</v>
          </cell>
          <cell r="C7395" t="str">
            <v>TH0005</v>
          </cell>
        </row>
        <row r="7396">
          <cell r="A7396">
            <v>700079</v>
          </cell>
          <cell r="B7396" t="str">
            <v>TINTE KHATIONS nº 5</v>
          </cell>
          <cell r="C7396" t="str">
            <v>8435057049214</v>
          </cell>
        </row>
        <row r="7397">
          <cell r="A7397">
            <v>700080</v>
          </cell>
          <cell r="B7397" t="str">
            <v>TINTE KHATIONS nº 6</v>
          </cell>
          <cell r="C7397" t="str">
            <v>TH0006</v>
          </cell>
        </row>
        <row r="7398">
          <cell r="A7398">
            <v>700080</v>
          </cell>
          <cell r="B7398" t="str">
            <v>TINTE KHATIONS nº 6</v>
          </cell>
          <cell r="C7398" t="str">
            <v>8435057049207</v>
          </cell>
        </row>
        <row r="7399">
          <cell r="A7399">
            <v>700081</v>
          </cell>
          <cell r="B7399" t="str">
            <v>TINTE KHATIONS nº 7</v>
          </cell>
          <cell r="C7399" t="str">
            <v>TH0007</v>
          </cell>
        </row>
        <row r="7400">
          <cell r="A7400">
            <v>700081</v>
          </cell>
          <cell r="B7400" t="str">
            <v>TINTE KHATIONS nº 7</v>
          </cell>
          <cell r="C7400" t="str">
            <v>8435057049191</v>
          </cell>
        </row>
        <row r="7401">
          <cell r="A7401">
            <v>700082</v>
          </cell>
          <cell r="B7401" t="str">
            <v>TINTE KHATIONS nº 8</v>
          </cell>
          <cell r="C7401" t="str">
            <v>TH0008</v>
          </cell>
        </row>
        <row r="7402">
          <cell r="A7402">
            <v>700082</v>
          </cell>
          <cell r="B7402" t="str">
            <v>TINTE KHATIONS nº 8</v>
          </cell>
          <cell r="C7402" t="str">
            <v>8435057049184</v>
          </cell>
        </row>
        <row r="7403">
          <cell r="A7403">
            <v>700083</v>
          </cell>
          <cell r="B7403" t="str">
            <v>TINTE KHATIONS nº 9</v>
          </cell>
          <cell r="C7403" t="str">
            <v>TH0009</v>
          </cell>
        </row>
        <row r="7404">
          <cell r="A7404">
            <v>700083</v>
          </cell>
          <cell r="B7404" t="str">
            <v>TINTE KHATIONS nº 9</v>
          </cell>
          <cell r="C7404" t="str">
            <v>8435057049177</v>
          </cell>
        </row>
        <row r="7405">
          <cell r="A7405">
            <v>700084</v>
          </cell>
          <cell r="B7405" t="str">
            <v>TINTE KHATIONS nº 10</v>
          </cell>
          <cell r="C7405" t="str">
            <v>TH0010</v>
          </cell>
        </row>
        <row r="7406">
          <cell r="A7406">
            <v>700084</v>
          </cell>
          <cell r="B7406" t="str">
            <v>TINTE KHATIONS nº 10</v>
          </cell>
          <cell r="C7406" t="str">
            <v>8435057049160</v>
          </cell>
        </row>
        <row r="7407">
          <cell r="A7407">
            <v>700085</v>
          </cell>
          <cell r="B7407" t="str">
            <v>TINTE KHATIONS nº 135</v>
          </cell>
          <cell r="C7407" t="str">
            <v>TH0135</v>
          </cell>
        </row>
        <row r="7408">
          <cell r="A7408">
            <v>700085</v>
          </cell>
          <cell r="B7408" t="str">
            <v>TINTE KHATIONS nº 135</v>
          </cell>
          <cell r="C7408" t="str">
            <v>8435057049153</v>
          </cell>
        </row>
        <row r="7409">
          <cell r="A7409">
            <v>700086</v>
          </cell>
          <cell r="B7409" t="str">
            <v>TINTE KHATIONS nº 136</v>
          </cell>
          <cell r="C7409" t="str">
            <v>TH0136</v>
          </cell>
        </row>
        <row r="7410">
          <cell r="A7410">
            <v>700086</v>
          </cell>
          <cell r="B7410" t="str">
            <v>TINTE KHATIONS nº 136</v>
          </cell>
          <cell r="C7410" t="str">
            <v>8435057049146</v>
          </cell>
        </row>
        <row r="7411">
          <cell r="A7411">
            <v>700087</v>
          </cell>
          <cell r="B7411" t="str">
            <v>TINTE KHATIONS nº 137</v>
          </cell>
          <cell r="C7411" t="str">
            <v>TH0137</v>
          </cell>
        </row>
        <row r="7412">
          <cell r="A7412">
            <v>700087</v>
          </cell>
          <cell r="B7412" t="str">
            <v>TINTE KHATIONS nº 137</v>
          </cell>
          <cell r="C7412" t="str">
            <v>8435057049139</v>
          </cell>
        </row>
        <row r="7413">
          <cell r="A7413">
            <v>700088</v>
          </cell>
          <cell r="B7413" t="str">
            <v>TINTE KHATIONS nº 138</v>
          </cell>
          <cell r="C7413" t="str">
            <v>TH0138</v>
          </cell>
        </row>
        <row r="7414">
          <cell r="A7414">
            <v>700088</v>
          </cell>
          <cell r="B7414" t="str">
            <v>TINTE KHATIONS nº 138</v>
          </cell>
          <cell r="C7414" t="str">
            <v>8435057049122</v>
          </cell>
        </row>
        <row r="7415">
          <cell r="A7415">
            <v>700089</v>
          </cell>
          <cell r="B7415" t="str">
            <v>TINTE KHATIONS nº 139</v>
          </cell>
          <cell r="C7415" t="str">
            <v>TH0139</v>
          </cell>
        </row>
        <row r="7416">
          <cell r="A7416">
            <v>700089</v>
          </cell>
          <cell r="B7416" t="str">
            <v>TINTE KHATIONS nº 139</v>
          </cell>
          <cell r="C7416" t="str">
            <v>8435057049115</v>
          </cell>
        </row>
        <row r="7417">
          <cell r="A7417">
            <v>700090</v>
          </cell>
          <cell r="B7417" t="str">
            <v>TINTE KHATIONS nº 407</v>
          </cell>
          <cell r="C7417" t="str">
            <v>TH0407</v>
          </cell>
        </row>
        <row r="7418">
          <cell r="A7418">
            <v>700090</v>
          </cell>
          <cell r="B7418" t="str">
            <v>TINTE KHATIONS nº 407</v>
          </cell>
          <cell r="C7418" t="str">
            <v>8435057049108</v>
          </cell>
        </row>
        <row r="7419">
          <cell r="A7419">
            <v>700091</v>
          </cell>
          <cell r="B7419" t="str">
            <v>TINTE KHATIONS nº 408</v>
          </cell>
          <cell r="C7419" t="str">
            <v>TH0408</v>
          </cell>
        </row>
        <row r="7420">
          <cell r="A7420">
            <v>700091</v>
          </cell>
          <cell r="B7420" t="str">
            <v>TINTE KHATIONS nº 408</v>
          </cell>
          <cell r="C7420" t="str">
            <v>8435057049092</v>
          </cell>
        </row>
        <row r="7421">
          <cell r="A7421">
            <v>700092</v>
          </cell>
          <cell r="B7421" t="str">
            <v>TINTE KHATIONS nº 409</v>
          </cell>
          <cell r="C7421" t="str">
            <v>TH0409</v>
          </cell>
        </row>
        <row r="7422">
          <cell r="A7422">
            <v>700092</v>
          </cell>
          <cell r="B7422" t="str">
            <v>TINTE KHATIONS nº 409</v>
          </cell>
          <cell r="C7422" t="str">
            <v>8435057049085</v>
          </cell>
        </row>
        <row r="7423">
          <cell r="A7423">
            <v>700093</v>
          </cell>
          <cell r="B7423" t="str">
            <v>TINTE KHATIONS nº 120 A</v>
          </cell>
          <cell r="C7423" t="str">
            <v>TH120A</v>
          </cell>
        </row>
        <row r="7424">
          <cell r="A7424">
            <v>700093</v>
          </cell>
          <cell r="B7424" t="str">
            <v>TINTE KHATIONS nº 120 A</v>
          </cell>
          <cell r="C7424" t="str">
            <v>8435057047555</v>
          </cell>
        </row>
        <row r="7425">
          <cell r="A7425">
            <v>700094</v>
          </cell>
          <cell r="B7425" t="str">
            <v>TINTE KHATIONS nº 140 A</v>
          </cell>
          <cell r="C7425" t="str">
            <v>TH140A</v>
          </cell>
        </row>
        <row r="7426">
          <cell r="A7426">
            <v>700094</v>
          </cell>
          <cell r="B7426" t="str">
            <v>TINTE KHATIONS nº 140 A</v>
          </cell>
          <cell r="C7426" t="str">
            <v>8435057047531</v>
          </cell>
        </row>
        <row r="7427">
          <cell r="A7427">
            <v>700095</v>
          </cell>
          <cell r="B7427" t="str">
            <v>TINTE KHATIONS nº 253</v>
          </cell>
          <cell r="C7427" t="str">
            <v>TH0253</v>
          </cell>
        </row>
        <row r="7428">
          <cell r="A7428">
            <v>700095</v>
          </cell>
          <cell r="B7428" t="str">
            <v>TINTE KHATIONS nº 253</v>
          </cell>
          <cell r="C7428" t="str">
            <v>8435057049047</v>
          </cell>
        </row>
        <row r="7429">
          <cell r="A7429">
            <v>700096</v>
          </cell>
          <cell r="B7429" t="str">
            <v>TINTE KHATIONS nº 254</v>
          </cell>
          <cell r="C7429" t="str">
            <v>TH0254</v>
          </cell>
        </row>
        <row r="7430">
          <cell r="A7430">
            <v>700096</v>
          </cell>
          <cell r="B7430" t="str">
            <v>TINTE KHATIONS nº 254</v>
          </cell>
          <cell r="C7430" t="str">
            <v>8435057049030</v>
          </cell>
        </row>
        <row r="7431">
          <cell r="A7431">
            <v>700097</v>
          </cell>
          <cell r="B7431" t="str">
            <v>TINTE KHATIONS nº 255</v>
          </cell>
          <cell r="C7431" t="str">
            <v>TH0255</v>
          </cell>
        </row>
        <row r="7432">
          <cell r="A7432">
            <v>700097</v>
          </cell>
          <cell r="B7432" t="str">
            <v>TINTE KHATIONS nº 255</v>
          </cell>
          <cell r="C7432" t="str">
            <v>8435057049023</v>
          </cell>
        </row>
        <row r="7433">
          <cell r="A7433">
            <v>700098</v>
          </cell>
          <cell r="B7433" t="str">
            <v>TINTE KHATIONS nº 264</v>
          </cell>
          <cell r="C7433" t="str">
            <v>TH0264</v>
          </cell>
        </row>
        <row r="7434">
          <cell r="A7434">
            <v>700098</v>
          </cell>
          <cell r="B7434" t="str">
            <v>TINTE KHATIONS nº 264</v>
          </cell>
          <cell r="C7434" t="str">
            <v>8435057049016</v>
          </cell>
        </row>
        <row r="7435">
          <cell r="A7435">
            <v>700099</v>
          </cell>
          <cell r="B7435" t="str">
            <v>TINTE KHATIONS nº 265</v>
          </cell>
          <cell r="C7435" t="str">
            <v>TH0265</v>
          </cell>
        </row>
        <row r="7436">
          <cell r="A7436">
            <v>700099</v>
          </cell>
          <cell r="B7436" t="str">
            <v>TINTE KHATIONS nº 265</v>
          </cell>
          <cell r="C7436" t="str">
            <v>8435057049009</v>
          </cell>
        </row>
        <row r="7437">
          <cell r="A7437">
            <v>700100</v>
          </cell>
          <cell r="B7437" t="str">
            <v>TINTE KHATIONS nº 266</v>
          </cell>
          <cell r="C7437" t="str">
            <v>TH0266</v>
          </cell>
        </row>
        <row r="7438">
          <cell r="A7438">
            <v>700100</v>
          </cell>
          <cell r="B7438" t="str">
            <v>TINTE KHATIONS nº 266</v>
          </cell>
          <cell r="C7438" t="str">
            <v>8435057048996</v>
          </cell>
        </row>
        <row r="7439">
          <cell r="A7439">
            <v>700101</v>
          </cell>
          <cell r="B7439" t="str">
            <v>TINTE KHATIONS nº 267</v>
          </cell>
          <cell r="C7439" t="str">
            <v>TH0267</v>
          </cell>
        </row>
        <row r="7440">
          <cell r="A7440">
            <v>700101</v>
          </cell>
          <cell r="B7440" t="str">
            <v>TINTE KHATIONS nº 267</v>
          </cell>
          <cell r="C7440" t="str">
            <v>8435057048989</v>
          </cell>
        </row>
        <row r="7441">
          <cell r="A7441">
            <v>700102</v>
          </cell>
          <cell r="B7441" t="str">
            <v>TINTE KHATIONS nº 366</v>
          </cell>
          <cell r="C7441" t="str">
            <v>TH0366</v>
          </cell>
        </row>
        <row r="7442">
          <cell r="A7442">
            <v>700102</v>
          </cell>
          <cell r="B7442" t="str">
            <v>TINTE KHATIONS nº 366</v>
          </cell>
          <cell r="C7442" t="str">
            <v>8435057048972</v>
          </cell>
        </row>
        <row r="7443">
          <cell r="A7443">
            <v>700103</v>
          </cell>
          <cell r="B7443" t="str">
            <v>TINTE KHATIONS nº 377</v>
          </cell>
          <cell r="C7443" t="str">
            <v>TH0377</v>
          </cell>
        </row>
        <row r="7444">
          <cell r="A7444">
            <v>700103</v>
          </cell>
          <cell r="B7444" t="str">
            <v>TINTE KHATIONS nº 377</v>
          </cell>
          <cell r="C7444" t="str">
            <v>8435057048965</v>
          </cell>
        </row>
        <row r="7445">
          <cell r="A7445">
            <v>700104</v>
          </cell>
          <cell r="B7445" t="str">
            <v>TINTE KHATIONS nº 155 A</v>
          </cell>
          <cell r="C7445" t="str">
            <v>TH155A</v>
          </cell>
        </row>
        <row r="7446">
          <cell r="A7446">
            <v>700104</v>
          </cell>
          <cell r="B7446" t="str">
            <v>TINTE KHATIONS nº 155 A</v>
          </cell>
          <cell r="C7446" t="str">
            <v>8435057048958</v>
          </cell>
        </row>
        <row r="7447">
          <cell r="A7447">
            <v>700105</v>
          </cell>
          <cell r="B7447" t="str">
            <v>TINTE KHATIONS nº 366 A</v>
          </cell>
          <cell r="C7447" t="str">
            <v>TH366A</v>
          </cell>
        </row>
        <row r="7448">
          <cell r="A7448">
            <v>700105</v>
          </cell>
          <cell r="B7448" t="str">
            <v>TINTE KHATIONS nº 366 A</v>
          </cell>
          <cell r="C7448" t="str">
            <v>8435057048941</v>
          </cell>
        </row>
        <row r="7449">
          <cell r="A7449">
            <v>700106</v>
          </cell>
          <cell r="B7449" t="str">
            <v>TINTE KHATIONS nº 367 A</v>
          </cell>
          <cell r="C7449" t="str">
            <v>TH367A</v>
          </cell>
        </row>
        <row r="7450">
          <cell r="A7450">
            <v>700106</v>
          </cell>
          <cell r="B7450" t="str">
            <v>TINTE KHATIONS nº 367 A</v>
          </cell>
          <cell r="C7450" t="str">
            <v>8435057048934</v>
          </cell>
        </row>
        <row r="7451">
          <cell r="A7451">
            <v>700187</v>
          </cell>
          <cell r="B7451" t="str">
            <v>SPEJO'S COLOR Nº 1</v>
          </cell>
          <cell r="C7451" t="str">
            <v>SP0001</v>
          </cell>
        </row>
        <row r="7452">
          <cell r="A7452">
            <v>700187</v>
          </cell>
          <cell r="B7452" t="str">
            <v>SPEJO'S COLOR Nº 1</v>
          </cell>
          <cell r="C7452" t="str">
            <v>8435057048927</v>
          </cell>
        </row>
        <row r="7453">
          <cell r="A7453">
            <v>700188</v>
          </cell>
          <cell r="B7453" t="str">
            <v>SPEJO'S COLOR Nº 2</v>
          </cell>
          <cell r="C7453" t="str">
            <v>SP0002</v>
          </cell>
        </row>
        <row r="7454">
          <cell r="A7454">
            <v>700188</v>
          </cell>
          <cell r="B7454" t="str">
            <v>SPEJO'S COLOR Nº 2</v>
          </cell>
          <cell r="C7454" t="str">
            <v>8435057048910</v>
          </cell>
        </row>
        <row r="7455">
          <cell r="A7455">
            <v>700189</v>
          </cell>
          <cell r="B7455" t="str">
            <v>SPEJO'S COLOR Nº 3</v>
          </cell>
          <cell r="C7455" t="str">
            <v>SP0003</v>
          </cell>
        </row>
        <row r="7456">
          <cell r="A7456">
            <v>700189</v>
          </cell>
          <cell r="B7456" t="str">
            <v>SPEJO'S COLOR Nº 3</v>
          </cell>
          <cell r="C7456" t="str">
            <v>8435057048903</v>
          </cell>
        </row>
        <row r="7457">
          <cell r="A7457">
            <v>700190</v>
          </cell>
          <cell r="B7457" t="str">
            <v>SPEJO'S COLOR Nº 4</v>
          </cell>
          <cell r="C7457" t="str">
            <v>SP0004</v>
          </cell>
        </row>
        <row r="7458">
          <cell r="A7458">
            <v>700190</v>
          </cell>
          <cell r="B7458" t="str">
            <v>SPEJO'S COLOR Nº 4</v>
          </cell>
          <cell r="C7458" t="str">
            <v>8435057048897</v>
          </cell>
        </row>
        <row r="7459">
          <cell r="A7459">
            <v>700191</v>
          </cell>
          <cell r="B7459" t="str">
            <v>SPEJO'S COLOR Nº 5</v>
          </cell>
          <cell r="C7459" t="str">
            <v>SP0005</v>
          </cell>
        </row>
        <row r="7460">
          <cell r="A7460">
            <v>700191</v>
          </cell>
          <cell r="B7460" t="str">
            <v>SPEJO'S COLOR Nº 5</v>
          </cell>
          <cell r="C7460" t="str">
            <v>8435057048880</v>
          </cell>
        </row>
        <row r="7461">
          <cell r="A7461">
            <v>700192</v>
          </cell>
          <cell r="B7461" t="str">
            <v>SPEJO'S COLOR Nº 6</v>
          </cell>
          <cell r="C7461" t="str">
            <v>SP0006</v>
          </cell>
        </row>
        <row r="7462">
          <cell r="A7462">
            <v>700192</v>
          </cell>
          <cell r="B7462" t="str">
            <v>SPEJO'S COLOR Nº 6</v>
          </cell>
          <cell r="C7462" t="str">
            <v>8435057048873</v>
          </cell>
        </row>
        <row r="7463">
          <cell r="A7463">
            <v>700193</v>
          </cell>
          <cell r="B7463" t="str">
            <v>SPEJO'S COLOR Nº 7</v>
          </cell>
          <cell r="C7463" t="str">
            <v>SP0007</v>
          </cell>
        </row>
        <row r="7464">
          <cell r="A7464">
            <v>700193</v>
          </cell>
          <cell r="B7464" t="str">
            <v>SPEJO'S COLOR Nº 7</v>
          </cell>
          <cell r="C7464" t="str">
            <v>8435057048866</v>
          </cell>
        </row>
        <row r="7465">
          <cell r="A7465">
            <v>700194</v>
          </cell>
          <cell r="B7465" t="str">
            <v>SPEJO'S COLOR Nº 8</v>
          </cell>
          <cell r="C7465" t="str">
            <v>SP0008</v>
          </cell>
        </row>
        <row r="7466">
          <cell r="A7466">
            <v>700194</v>
          </cell>
          <cell r="B7466" t="str">
            <v>SPEJO'S COLOR Nº 8</v>
          </cell>
          <cell r="C7466" t="str">
            <v>8435057048859</v>
          </cell>
        </row>
        <row r="7467">
          <cell r="A7467">
            <v>700195</v>
          </cell>
          <cell r="B7467" t="str">
            <v>SPEJO'S COLOR Nº 9</v>
          </cell>
          <cell r="C7467" t="str">
            <v>SP0009</v>
          </cell>
        </row>
        <row r="7468">
          <cell r="A7468">
            <v>700195</v>
          </cell>
          <cell r="B7468" t="str">
            <v>SPEJO'S COLOR Nº 9</v>
          </cell>
          <cell r="C7468" t="str">
            <v>8435057048842</v>
          </cell>
        </row>
        <row r="7469">
          <cell r="A7469">
            <v>700196</v>
          </cell>
          <cell r="B7469" t="str">
            <v>SPEJO'S COLOR Nº 10</v>
          </cell>
          <cell r="C7469" t="str">
            <v>SP0010</v>
          </cell>
        </row>
        <row r="7470">
          <cell r="A7470">
            <v>700196</v>
          </cell>
          <cell r="B7470" t="str">
            <v>SPEJO'S COLOR Nº 10</v>
          </cell>
          <cell r="C7470" t="str">
            <v>8435057048835</v>
          </cell>
        </row>
        <row r="7471">
          <cell r="A7471">
            <v>700197</v>
          </cell>
          <cell r="B7471" t="str">
            <v>SPEJO'S COLOR Nº 1.1</v>
          </cell>
          <cell r="C7471" t="str">
            <v>SP0011</v>
          </cell>
        </row>
        <row r="7472">
          <cell r="A7472">
            <v>700197</v>
          </cell>
          <cell r="B7472" t="str">
            <v>SPEJO'S COLOR Nº 1.1</v>
          </cell>
          <cell r="C7472" t="str">
            <v>8435057048828</v>
          </cell>
        </row>
        <row r="7473">
          <cell r="A7473">
            <v>700198</v>
          </cell>
          <cell r="B7473" t="str">
            <v>SPEJO'S COLOR Nº 4.3</v>
          </cell>
          <cell r="C7473" t="str">
            <v>SP0043</v>
          </cell>
        </row>
        <row r="7474">
          <cell r="A7474">
            <v>700198</v>
          </cell>
          <cell r="B7474" t="str">
            <v>SPEJO'S COLOR Nº 4.3</v>
          </cell>
          <cell r="C7474" t="str">
            <v>8435057048798</v>
          </cell>
        </row>
        <row r="7475">
          <cell r="A7475">
            <v>700199</v>
          </cell>
          <cell r="B7475" t="str">
            <v>SPEJO'S COLOR Nº 5.3</v>
          </cell>
          <cell r="C7475" t="str">
            <v>SP0053</v>
          </cell>
        </row>
        <row r="7476">
          <cell r="A7476">
            <v>700199</v>
          </cell>
          <cell r="B7476" t="str">
            <v>SPEJO'S COLOR Nº 5.3</v>
          </cell>
          <cell r="C7476" t="str">
            <v>8435057048767</v>
          </cell>
        </row>
        <row r="7477">
          <cell r="A7477">
            <v>700200</v>
          </cell>
          <cell r="B7477" t="str">
            <v>SPEJO'S COLOR Nº 5.4</v>
          </cell>
          <cell r="C7477" t="str">
            <v>SP0054</v>
          </cell>
        </row>
        <row r="7478">
          <cell r="A7478">
            <v>700200</v>
          </cell>
          <cell r="B7478" t="str">
            <v>SPEJO'S COLOR Nº 5.4</v>
          </cell>
          <cell r="C7478" t="str">
            <v>8435057047364</v>
          </cell>
        </row>
        <row r="7479">
          <cell r="A7479">
            <v>700201</v>
          </cell>
          <cell r="B7479" t="str">
            <v>SPEJO'S COLOR Nº 5.5</v>
          </cell>
          <cell r="C7479" t="str">
            <v>SP0055</v>
          </cell>
        </row>
        <row r="7480">
          <cell r="A7480">
            <v>700201</v>
          </cell>
          <cell r="B7480" t="str">
            <v>SPEJO'S COLOR Nº 5.5</v>
          </cell>
          <cell r="C7480" t="str">
            <v>8435057048750</v>
          </cell>
        </row>
        <row r="7481">
          <cell r="A7481">
            <v>700202</v>
          </cell>
          <cell r="B7481" t="str">
            <v>SPEJO'S COLOR Nº 6.1</v>
          </cell>
          <cell r="C7481" t="str">
            <v>SP0061</v>
          </cell>
        </row>
        <row r="7482">
          <cell r="A7482">
            <v>700202</v>
          </cell>
          <cell r="B7482" t="str">
            <v>SPEJO'S COLOR Nº 6.1</v>
          </cell>
          <cell r="C7482" t="str">
            <v>8435057048743</v>
          </cell>
        </row>
        <row r="7483">
          <cell r="A7483">
            <v>700203</v>
          </cell>
          <cell r="B7483" t="str">
            <v>SPEJO'S COLOR Nº 6.3</v>
          </cell>
          <cell r="C7483" t="str">
            <v>SP0063</v>
          </cell>
        </row>
        <row r="7484">
          <cell r="A7484">
            <v>700203</v>
          </cell>
          <cell r="B7484" t="str">
            <v>SPEJO'S COLOR Nº 6.3</v>
          </cell>
          <cell r="C7484" t="str">
            <v>8435057048736</v>
          </cell>
        </row>
        <row r="7485">
          <cell r="A7485">
            <v>700204</v>
          </cell>
          <cell r="B7485" t="str">
            <v>SPEJO'S COLOR Nº 6.5</v>
          </cell>
          <cell r="C7485" t="str">
            <v>SP0065</v>
          </cell>
        </row>
        <row r="7486">
          <cell r="A7486">
            <v>700204</v>
          </cell>
          <cell r="B7486" t="str">
            <v>SPEJO'S COLOR Nº 6.5</v>
          </cell>
          <cell r="C7486" t="str">
            <v>8435057048729</v>
          </cell>
        </row>
        <row r="7487">
          <cell r="A7487">
            <v>700205</v>
          </cell>
          <cell r="B7487" t="str">
            <v>SPEJO'S COLOR Nº 6.6</v>
          </cell>
          <cell r="C7487" t="str">
            <v>SP0066</v>
          </cell>
        </row>
        <row r="7488">
          <cell r="A7488">
            <v>700205</v>
          </cell>
          <cell r="B7488" t="str">
            <v>SPEJO'S COLOR Nº 6.6</v>
          </cell>
          <cell r="C7488" t="str">
            <v>8435057048712</v>
          </cell>
        </row>
        <row r="7489">
          <cell r="A7489">
            <v>700206</v>
          </cell>
          <cell r="B7489" t="str">
            <v>SPEJO'S COLOR Nº 7.1</v>
          </cell>
          <cell r="C7489" t="str">
            <v>SP0071</v>
          </cell>
        </row>
        <row r="7490">
          <cell r="A7490">
            <v>700206</v>
          </cell>
          <cell r="B7490" t="str">
            <v>SPEJO'S COLOR Nº 7.1</v>
          </cell>
          <cell r="C7490" t="str">
            <v>8435057048705</v>
          </cell>
        </row>
        <row r="7491">
          <cell r="A7491">
            <v>700207</v>
          </cell>
          <cell r="B7491" t="str">
            <v>SPEJO'S COLOR Nº 7.3</v>
          </cell>
          <cell r="C7491" t="str">
            <v>SP0073</v>
          </cell>
        </row>
        <row r="7492">
          <cell r="A7492">
            <v>700207</v>
          </cell>
          <cell r="B7492" t="str">
            <v>SPEJO'S COLOR Nº 7.3</v>
          </cell>
          <cell r="C7492" t="str">
            <v>8435057048699</v>
          </cell>
        </row>
        <row r="7493">
          <cell r="A7493">
            <v>700208</v>
          </cell>
          <cell r="B7493" t="str">
            <v>SPEJO'S COLOR Nº 7.4</v>
          </cell>
          <cell r="C7493" t="str">
            <v>SP0074</v>
          </cell>
        </row>
        <row r="7494">
          <cell r="A7494">
            <v>700208</v>
          </cell>
          <cell r="B7494" t="str">
            <v>SPEJO'S COLOR Nº 7.4</v>
          </cell>
          <cell r="C7494" t="str">
            <v>8435057048682</v>
          </cell>
        </row>
        <row r="7495">
          <cell r="A7495">
            <v>700209</v>
          </cell>
          <cell r="B7495" t="str">
            <v>SPEJO'S COLOR Nº 7.5</v>
          </cell>
          <cell r="C7495" t="str">
            <v>SP0075</v>
          </cell>
        </row>
        <row r="7496">
          <cell r="A7496">
            <v>700209</v>
          </cell>
          <cell r="B7496" t="str">
            <v>SPEJO'S COLOR Nº 7.5</v>
          </cell>
          <cell r="C7496" t="str">
            <v>8435057048675</v>
          </cell>
        </row>
        <row r="7497">
          <cell r="A7497">
            <v>700210</v>
          </cell>
          <cell r="B7497" t="str">
            <v>SPEJO'S COLOR Nº 7.6</v>
          </cell>
          <cell r="C7497" t="str">
            <v>SP0076</v>
          </cell>
        </row>
        <row r="7498">
          <cell r="A7498">
            <v>700210</v>
          </cell>
          <cell r="B7498" t="str">
            <v>SPEJO'S COLOR Nº 7.6</v>
          </cell>
          <cell r="C7498" t="str">
            <v>8435057048668</v>
          </cell>
        </row>
        <row r="7499">
          <cell r="A7499">
            <v>700211</v>
          </cell>
          <cell r="B7499" t="str">
            <v>SPEJO'S COLOR Nº 8.1</v>
          </cell>
          <cell r="C7499" t="str">
            <v>SP0081</v>
          </cell>
        </row>
        <row r="7500">
          <cell r="A7500">
            <v>700211</v>
          </cell>
          <cell r="B7500" t="str">
            <v>SPEJO'S COLOR Nº 8.1</v>
          </cell>
          <cell r="C7500" t="str">
            <v>8435057048651</v>
          </cell>
        </row>
        <row r="7501">
          <cell r="A7501">
            <v>700212</v>
          </cell>
          <cell r="B7501" t="str">
            <v>SPEJO'S COLOR Nº 8.3</v>
          </cell>
          <cell r="C7501" t="str">
            <v>SP0083</v>
          </cell>
        </row>
        <row r="7502">
          <cell r="A7502">
            <v>700212</v>
          </cell>
          <cell r="B7502" t="str">
            <v>SPEJO'S COLOR Nº 8.3</v>
          </cell>
          <cell r="C7502" t="str">
            <v>8435057048644</v>
          </cell>
        </row>
        <row r="7503">
          <cell r="A7503">
            <v>700213</v>
          </cell>
          <cell r="B7503" t="str">
            <v>SPEJO'S COLOR Nº 8.6</v>
          </cell>
          <cell r="C7503" t="str">
            <v>SP0086</v>
          </cell>
        </row>
        <row r="7504">
          <cell r="A7504">
            <v>700213</v>
          </cell>
          <cell r="B7504" t="str">
            <v>SPEJO'S COLOR Nº 8.6</v>
          </cell>
          <cell r="C7504" t="str">
            <v>8435057048637</v>
          </cell>
        </row>
        <row r="7505">
          <cell r="A7505">
            <v>700214</v>
          </cell>
          <cell r="B7505" t="str">
            <v>SPEJO'S COLOR Nº 9.1</v>
          </cell>
          <cell r="C7505" t="str">
            <v>SP0091</v>
          </cell>
        </row>
        <row r="7506">
          <cell r="A7506">
            <v>700214</v>
          </cell>
          <cell r="B7506" t="str">
            <v>SPEJO'S COLOR Nº 9.1</v>
          </cell>
          <cell r="C7506" t="str">
            <v>8435057048620</v>
          </cell>
        </row>
        <row r="7507">
          <cell r="A7507">
            <v>700215</v>
          </cell>
          <cell r="B7507" t="str">
            <v>SPEJO'S COLOR Nº 9.3</v>
          </cell>
          <cell r="C7507" t="str">
            <v>SP0093</v>
          </cell>
        </row>
        <row r="7508">
          <cell r="A7508">
            <v>700215</v>
          </cell>
          <cell r="B7508" t="str">
            <v>SPEJO'S COLOR Nº 9.3</v>
          </cell>
          <cell r="C7508" t="str">
            <v>8435057048613</v>
          </cell>
        </row>
        <row r="7509">
          <cell r="A7509">
            <v>700216</v>
          </cell>
          <cell r="B7509" t="str">
            <v>SPEJO'S COLOR Nº 9.6</v>
          </cell>
          <cell r="C7509" t="str">
            <v>SP0096</v>
          </cell>
        </row>
        <row r="7510">
          <cell r="A7510">
            <v>700216</v>
          </cell>
          <cell r="B7510" t="str">
            <v>SPEJO'S COLOR Nº 9.6</v>
          </cell>
          <cell r="C7510" t="str">
            <v>8435057048606</v>
          </cell>
        </row>
        <row r="7511">
          <cell r="A7511">
            <v>700217</v>
          </cell>
          <cell r="B7511" t="str">
            <v>SPEJO'S COLOR Nº 10.1</v>
          </cell>
          <cell r="C7511" t="str">
            <v>SP0101</v>
          </cell>
        </row>
        <row r="7512">
          <cell r="A7512">
            <v>700217</v>
          </cell>
          <cell r="B7512" t="str">
            <v>SPEJO'S COLOR Nº 10.1</v>
          </cell>
          <cell r="C7512" t="str">
            <v>8435057048521</v>
          </cell>
        </row>
        <row r="7513">
          <cell r="A7513">
            <v>700218</v>
          </cell>
          <cell r="B7513" t="str">
            <v>SPEJO'S COLOR Nº 10.3</v>
          </cell>
          <cell r="C7513" t="str">
            <v>SP0103</v>
          </cell>
        </row>
        <row r="7514">
          <cell r="A7514">
            <v>700218</v>
          </cell>
          <cell r="B7514" t="str">
            <v>SPEJO'S COLOR Nº 10.3</v>
          </cell>
          <cell r="C7514" t="str">
            <v>8435057048514</v>
          </cell>
        </row>
        <row r="7515">
          <cell r="A7515">
            <v>700219</v>
          </cell>
          <cell r="B7515" t="str">
            <v>SPEJO'S COLOR Nº 10.6</v>
          </cell>
          <cell r="C7515" t="str">
            <v>SP0106</v>
          </cell>
        </row>
        <row r="7516">
          <cell r="A7516">
            <v>700219</v>
          </cell>
          <cell r="B7516" t="str">
            <v>SPEJO'S COLOR Nº 10.6</v>
          </cell>
          <cell r="C7516" t="str">
            <v>8435057048507</v>
          </cell>
        </row>
        <row r="7517">
          <cell r="A7517">
            <v>700220</v>
          </cell>
          <cell r="B7517" t="str">
            <v>SPEJO'S COLOR Nº 11.0</v>
          </cell>
          <cell r="C7517" t="str">
            <v>SP0110</v>
          </cell>
        </row>
        <row r="7518">
          <cell r="A7518">
            <v>700220</v>
          </cell>
          <cell r="B7518" t="str">
            <v>SPEJO'S COLOR Nº 11.0</v>
          </cell>
          <cell r="C7518" t="str">
            <v>8435057048491</v>
          </cell>
        </row>
        <row r="7519">
          <cell r="A7519">
            <v>700221</v>
          </cell>
          <cell r="B7519" t="str">
            <v>SPEJO'S COLOR Nº 11.1</v>
          </cell>
          <cell r="C7519" t="str">
            <v>SP0111</v>
          </cell>
        </row>
        <row r="7520">
          <cell r="A7520">
            <v>700221</v>
          </cell>
          <cell r="B7520" t="str">
            <v>SPEJO'S COLOR Nº 11.1</v>
          </cell>
          <cell r="C7520" t="str">
            <v>8435057048484</v>
          </cell>
        </row>
        <row r="7521">
          <cell r="A7521">
            <v>700222</v>
          </cell>
          <cell r="B7521" t="str">
            <v>SPEJO'S COLOR Nº 11.3</v>
          </cell>
          <cell r="C7521" t="str">
            <v>SP0113</v>
          </cell>
        </row>
        <row r="7522">
          <cell r="A7522">
            <v>700222</v>
          </cell>
          <cell r="B7522" t="str">
            <v>SPEJO'S COLOR Nº 11.3</v>
          </cell>
          <cell r="C7522" t="str">
            <v>8435057048132</v>
          </cell>
        </row>
        <row r="7523">
          <cell r="A7523">
            <v>700223</v>
          </cell>
          <cell r="B7523" t="str">
            <v>SPEJO'S COLOR Nº 11.6</v>
          </cell>
          <cell r="C7523" t="str">
            <v>SP0116</v>
          </cell>
        </row>
        <row r="7524">
          <cell r="A7524">
            <v>700223</v>
          </cell>
          <cell r="B7524" t="str">
            <v>SPEJO'S COLOR Nº 11.6</v>
          </cell>
          <cell r="C7524" t="str">
            <v>8435057048477</v>
          </cell>
        </row>
        <row r="7525">
          <cell r="A7525">
            <v>700224</v>
          </cell>
          <cell r="B7525" t="str">
            <v>SPEJO'S COLOR Nº 12.0</v>
          </cell>
          <cell r="C7525" t="str">
            <v>SP0120</v>
          </cell>
        </row>
        <row r="7526">
          <cell r="A7526">
            <v>700224</v>
          </cell>
          <cell r="B7526" t="str">
            <v>SPEJO'S COLOR Nº 12.0</v>
          </cell>
          <cell r="C7526" t="str">
            <v>8435057048781</v>
          </cell>
        </row>
        <row r="7527">
          <cell r="A7527">
            <v>700225</v>
          </cell>
          <cell r="B7527" t="str">
            <v>SPEJO'S COLOR Nº 12.1</v>
          </cell>
          <cell r="C7527" t="str">
            <v>SP0121</v>
          </cell>
        </row>
        <row r="7528">
          <cell r="A7528">
            <v>700225</v>
          </cell>
          <cell r="B7528" t="str">
            <v>SPEJO'S COLOR Nº 12.1</v>
          </cell>
          <cell r="C7528" t="str">
            <v>8435057048774</v>
          </cell>
        </row>
        <row r="7529">
          <cell r="A7529">
            <v>700226</v>
          </cell>
          <cell r="B7529" t="str">
            <v>SPEJO'S COLOR Nº 4.00</v>
          </cell>
          <cell r="C7529" t="str">
            <v>SP0400</v>
          </cell>
        </row>
        <row r="7530">
          <cell r="A7530">
            <v>700226</v>
          </cell>
          <cell r="B7530" t="str">
            <v>SPEJO'S COLOR Nº 4.00</v>
          </cell>
          <cell r="C7530" t="str">
            <v>8435057048163</v>
          </cell>
        </row>
        <row r="7531">
          <cell r="A7531">
            <v>700227</v>
          </cell>
          <cell r="B7531" t="str">
            <v>SPEJO'S COLOR Nº 4.20</v>
          </cell>
          <cell r="C7531" t="str">
            <v>SP0420</v>
          </cell>
        </row>
        <row r="7532">
          <cell r="A7532">
            <v>700227</v>
          </cell>
          <cell r="B7532" t="str">
            <v>SPEJO'S COLOR Nº 4.20</v>
          </cell>
          <cell r="C7532" t="str">
            <v>8435057048453</v>
          </cell>
        </row>
        <row r="7533">
          <cell r="A7533">
            <v>700228</v>
          </cell>
          <cell r="B7533" t="str">
            <v>SPEJO'S COLOR Nº 4.72</v>
          </cell>
          <cell r="C7533" t="str">
            <v>SP0472</v>
          </cell>
        </row>
        <row r="7534">
          <cell r="A7534">
            <v>700228</v>
          </cell>
          <cell r="B7534" t="str">
            <v>SPEJO'S COLOR Nº 4.72</v>
          </cell>
          <cell r="C7534" t="str">
            <v>8435057048460</v>
          </cell>
        </row>
        <row r="7535">
          <cell r="A7535">
            <v>700229</v>
          </cell>
          <cell r="B7535" t="str">
            <v>SPEJO'S COLOR Nº 5.00</v>
          </cell>
          <cell r="C7535" t="str">
            <v>SP0500</v>
          </cell>
        </row>
        <row r="7536">
          <cell r="A7536">
            <v>700229</v>
          </cell>
          <cell r="B7536" t="str">
            <v>SPEJO'S COLOR Nº 5.00</v>
          </cell>
          <cell r="C7536" t="str">
            <v>8435057048187</v>
          </cell>
        </row>
        <row r="7537">
          <cell r="A7537">
            <v>700230</v>
          </cell>
          <cell r="B7537" t="str">
            <v>SPEJO'S COLOR Nº 5.51</v>
          </cell>
          <cell r="C7537" t="str">
            <v>SP0551</v>
          </cell>
        </row>
        <row r="7538">
          <cell r="A7538">
            <v>700230</v>
          </cell>
          <cell r="B7538" t="str">
            <v>SPEJO'S COLOR Nº 5.51</v>
          </cell>
          <cell r="C7538" t="str">
            <v>8435057048446</v>
          </cell>
        </row>
        <row r="7539">
          <cell r="A7539">
            <v>700231</v>
          </cell>
          <cell r="B7539" t="str">
            <v>SPEJO'S COLOR Nº 5.52</v>
          </cell>
          <cell r="C7539" t="str">
            <v>SP0552</v>
          </cell>
        </row>
        <row r="7540">
          <cell r="A7540">
            <v>700231</v>
          </cell>
          <cell r="B7540" t="str">
            <v>SPEJO'S COLOR Nº 5.52</v>
          </cell>
          <cell r="C7540" t="str">
            <v>8435057048439</v>
          </cell>
        </row>
        <row r="7541">
          <cell r="A7541">
            <v>700232</v>
          </cell>
          <cell r="B7541" t="str">
            <v>SPEJO'S COLOR Nº 5.53</v>
          </cell>
          <cell r="C7541" t="str">
            <v>SP0553</v>
          </cell>
        </row>
        <row r="7542">
          <cell r="A7542">
            <v>700232</v>
          </cell>
          <cell r="B7542" t="str">
            <v>SPEJO'S COLOR Nº 5.53</v>
          </cell>
          <cell r="C7542" t="str">
            <v>8435057048422</v>
          </cell>
        </row>
        <row r="7543">
          <cell r="A7543">
            <v>700233</v>
          </cell>
          <cell r="B7543" t="str">
            <v>SPEJO'S COLOR Nº 5.72</v>
          </cell>
          <cell r="C7543" t="str">
            <v>SP0572</v>
          </cell>
        </row>
        <row r="7544">
          <cell r="A7544">
            <v>700233</v>
          </cell>
          <cell r="B7544" t="str">
            <v>SPEJO'S COLOR Nº 5.72</v>
          </cell>
          <cell r="C7544" t="str">
            <v>8435057048408</v>
          </cell>
        </row>
        <row r="7545">
          <cell r="A7545">
            <v>700234</v>
          </cell>
          <cell r="B7545" t="str">
            <v>SPEJO'S COLOR Nº 6.00</v>
          </cell>
          <cell r="C7545" t="str">
            <v>SP0600</v>
          </cell>
        </row>
        <row r="7546">
          <cell r="A7546">
            <v>700234</v>
          </cell>
          <cell r="B7546" t="str">
            <v>SPEJO'S COLOR Nº 6.00</v>
          </cell>
          <cell r="C7546" t="str">
            <v>8435057048392</v>
          </cell>
        </row>
        <row r="7547">
          <cell r="A7547">
            <v>700235</v>
          </cell>
          <cell r="B7547" t="str">
            <v>SPEJO'S COLOR Nº 6.20</v>
          </cell>
          <cell r="C7547" t="str">
            <v>SP0620</v>
          </cell>
        </row>
        <row r="7548">
          <cell r="A7548">
            <v>700235</v>
          </cell>
          <cell r="B7548" t="str">
            <v>SPEJO'S COLOR Nº 6.20</v>
          </cell>
          <cell r="C7548" t="str">
            <v>8435057048415</v>
          </cell>
        </row>
        <row r="7549">
          <cell r="A7549">
            <v>700236</v>
          </cell>
          <cell r="B7549" t="str">
            <v>SPEJO'S COLOR Nº 6.31</v>
          </cell>
          <cell r="C7549" t="str">
            <v>SP0631</v>
          </cell>
        </row>
        <row r="7550">
          <cell r="A7550">
            <v>700236</v>
          </cell>
          <cell r="B7550" t="str">
            <v>SPEJO'S COLOR Nº 6.31</v>
          </cell>
          <cell r="C7550" t="str">
            <v>8435057048385</v>
          </cell>
        </row>
        <row r="7551">
          <cell r="A7551">
            <v>700237</v>
          </cell>
          <cell r="B7551" t="str">
            <v>SPEJO'S COLOR Nº 6.43</v>
          </cell>
          <cell r="C7551" t="str">
            <v>SP0643</v>
          </cell>
        </row>
        <row r="7552">
          <cell r="A7552">
            <v>700237</v>
          </cell>
          <cell r="B7552" t="str">
            <v>SPEJO'S COLOR Nº 6.43</v>
          </cell>
          <cell r="C7552" t="str">
            <v>8435057048378</v>
          </cell>
        </row>
        <row r="7553">
          <cell r="A7553">
            <v>700238</v>
          </cell>
          <cell r="B7553" t="str">
            <v>SPEJO'S COLOR Nº 6.45</v>
          </cell>
          <cell r="C7553" t="str">
            <v>SP0645</v>
          </cell>
        </row>
        <row r="7554">
          <cell r="A7554">
            <v>700238</v>
          </cell>
          <cell r="B7554" t="str">
            <v>SPEJO'S COLOR Nº 6.45</v>
          </cell>
          <cell r="C7554" t="str">
            <v>8435057048361</v>
          </cell>
        </row>
        <row r="7555">
          <cell r="A7555">
            <v>700239</v>
          </cell>
          <cell r="B7555" t="str">
            <v>SPEJO'S COLOR Nº 6.51</v>
          </cell>
          <cell r="C7555" t="str">
            <v>SP0651</v>
          </cell>
        </row>
        <row r="7556">
          <cell r="A7556">
            <v>700239</v>
          </cell>
          <cell r="B7556" t="str">
            <v>SPEJO'S COLOR Nº 6.51</v>
          </cell>
          <cell r="C7556" t="str">
            <v>8435057048354</v>
          </cell>
        </row>
        <row r="7557">
          <cell r="A7557">
            <v>700240</v>
          </cell>
          <cell r="B7557" t="str">
            <v>SPEJO'S COLOR Nº 6.52</v>
          </cell>
          <cell r="C7557" t="str">
            <v>SP0652</v>
          </cell>
        </row>
        <row r="7558">
          <cell r="A7558">
            <v>700240</v>
          </cell>
          <cell r="B7558" t="str">
            <v>SPEJO'S COLOR Nº 6.52</v>
          </cell>
          <cell r="C7558" t="str">
            <v>8435057047357</v>
          </cell>
        </row>
        <row r="7559">
          <cell r="A7559">
            <v>700241</v>
          </cell>
          <cell r="B7559" t="str">
            <v>SPEJO'S COLOR Nº 6.53</v>
          </cell>
          <cell r="C7559" t="str">
            <v>SP0653</v>
          </cell>
        </row>
        <row r="7560">
          <cell r="A7560">
            <v>700241</v>
          </cell>
          <cell r="B7560" t="str">
            <v>SPEJO'S COLOR Nº 6.53</v>
          </cell>
          <cell r="C7560" t="str">
            <v>8435057048347</v>
          </cell>
        </row>
        <row r="7561">
          <cell r="A7561">
            <v>700242</v>
          </cell>
          <cell r="B7561" t="str">
            <v>SPEJO'S COLOR Nº 6.72</v>
          </cell>
          <cell r="C7561" t="str">
            <v>SP0672</v>
          </cell>
        </row>
        <row r="7562">
          <cell r="A7562">
            <v>700242</v>
          </cell>
          <cell r="B7562" t="str">
            <v>SPEJO'S COLOR Nº 6.72</v>
          </cell>
          <cell r="C7562" t="str">
            <v>8435057048330</v>
          </cell>
        </row>
        <row r="7563">
          <cell r="A7563">
            <v>700243</v>
          </cell>
          <cell r="B7563" t="str">
            <v>SPEJO'S COLOR Nº 6.74</v>
          </cell>
          <cell r="C7563" t="str">
            <v>SP0674</v>
          </cell>
        </row>
        <row r="7564">
          <cell r="A7564">
            <v>700243</v>
          </cell>
          <cell r="B7564" t="str">
            <v>SPEJO'S COLOR Nº 6.74</v>
          </cell>
          <cell r="C7564" t="str">
            <v>8435057048323</v>
          </cell>
        </row>
        <row r="7565">
          <cell r="A7565">
            <v>700244</v>
          </cell>
          <cell r="B7565" t="str">
            <v>SPEJO'S COLOR Nº 6.77</v>
          </cell>
          <cell r="C7565" t="str">
            <v>SP0677</v>
          </cell>
        </row>
        <row r="7566">
          <cell r="A7566">
            <v>700244</v>
          </cell>
          <cell r="B7566" t="str">
            <v>SPEJO'S COLOR Nº 6.77</v>
          </cell>
          <cell r="C7566" t="str">
            <v>8435057048316</v>
          </cell>
        </row>
        <row r="7567">
          <cell r="A7567">
            <v>700245</v>
          </cell>
          <cell r="B7567" t="str">
            <v>SPEJO'S COLOR Nº 7.00</v>
          </cell>
          <cell r="C7567" t="str">
            <v>SP0700</v>
          </cell>
        </row>
        <row r="7568">
          <cell r="A7568">
            <v>700245</v>
          </cell>
          <cell r="B7568" t="str">
            <v>SPEJO'S COLOR Nº 7.00</v>
          </cell>
          <cell r="C7568" t="str">
            <v>8435057048309</v>
          </cell>
        </row>
        <row r="7569">
          <cell r="A7569">
            <v>700246</v>
          </cell>
          <cell r="B7569" t="str">
            <v>SPEJO'S COLOR Nº 7.20</v>
          </cell>
          <cell r="C7569" t="str">
            <v>SP0720</v>
          </cell>
        </row>
        <row r="7570">
          <cell r="A7570">
            <v>700246</v>
          </cell>
          <cell r="B7570" t="str">
            <v>SPEJO'S COLOR Nº 7.20</v>
          </cell>
          <cell r="C7570" t="str">
            <v>8435057048156</v>
          </cell>
        </row>
        <row r="7571">
          <cell r="A7571">
            <v>700247</v>
          </cell>
          <cell r="B7571" t="str">
            <v>SPEJO'S COLOR Nº 7.31</v>
          </cell>
          <cell r="C7571" t="str">
            <v>SP0731</v>
          </cell>
        </row>
        <row r="7572">
          <cell r="A7572">
            <v>700247</v>
          </cell>
          <cell r="B7572" t="str">
            <v>SPEJO'S COLOR Nº 7.31</v>
          </cell>
          <cell r="C7572" t="str">
            <v>8435057048286</v>
          </cell>
        </row>
        <row r="7573">
          <cell r="A7573">
            <v>700248</v>
          </cell>
          <cell r="B7573" t="str">
            <v>SPEJO'S COLOR Nº 7.44</v>
          </cell>
          <cell r="C7573" t="str">
            <v>SP0744</v>
          </cell>
        </row>
        <row r="7574">
          <cell r="A7574">
            <v>700248</v>
          </cell>
          <cell r="B7574" t="str">
            <v>SPEJO'S COLOR Nº 7.44</v>
          </cell>
          <cell r="C7574" t="str">
            <v>8435057048279</v>
          </cell>
        </row>
        <row r="7575">
          <cell r="A7575">
            <v>700249</v>
          </cell>
          <cell r="B7575" t="str">
            <v>SPEJO'S COLOR Nº 7.45</v>
          </cell>
          <cell r="C7575" t="str">
            <v>SP0745</v>
          </cell>
        </row>
        <row r="7576">
          <cell r="A7576">
            <v>700249</v>
          </cell>
          <cell r="B7576" t="str">
            <v>SPEJO'S COLOR Nº 7.45</v>
          </cell>
          <cell r="C7576" t="str">
            <v>8435057048262</v>
          </cell>
        </row>
        <row r="7577">
          <cell r="A7577">
            <v>700250</v>
          </cell>
          <cell r="B7577" t="str">
            <v>SPEJO'S COLOR Nº 7.51</v>
          </cell>
          <cell r="C7577" t="str">
            <v>SP0751</v>
          </cell>
        </row>
        <row r="7578">
          <cell r="A7578">
            <v>700250</v>
          </cell>
          <cell r="B7578" t="str">
            <v>SPEJO'S COLOR Nº 7.51</v>
          </cell>
          <cell r="C7578" t="str">
            <v>8435057047340</v>
          </cell>
        </row>
        <row r="7579">
          <cell r="A7579">
            <v>700251</v>
          </cell>
          <cell r="B7579" t="str">
            <v>SPEJO'S COLOR Nº 7.52</v>
          </cell>
          <cell r="C7579" t="str">
            <v>SP0752</v>
          </cell>
        </row>
        <row r="7580">
          <cell r="A7580">
            <v>700251</v>
          </cell>
          <cell r="B7580" t="str">
            <v>SPEJO'S COLOR Nº 7.52</v>
          </cell>
          <cell r="C7580" t="str">
            <v>8435057047333</v>
          </cell>
        </row>
        <row r="7581">
          <cell r="A7581">
            <v>700252</v>
          </cell>
          <cell r="B7581" t="str">
            <v>SPEJO'S COLOR Nº 7.53</v>
          </cell>
          <cell r="C7581" t="str">
            <v>SP0753</v>
          </cell>
        </row>
        <row r="7582">
          <cell r="A7582">
            <v>700252</v>
          </cell>
          <cell r="B7582" t="str">
            <v>SPEJO'S COLOR Nº 7.53</v>
          </cell>
          <cell r="C7582" t="str">
            <v>8435057047326</v>
          </cell>
        </row>
        <row r="7583">
          <cell r="A7583">
            <v>700253</v>
          </cell>
          <cell r="B7583" t="str">
            <v>SPEJO'S COLOR Nº 7.74</v>
          </cell>
          <cell r="C7583" t="str">
            <v>SP0774</v>
          </cell>
        </row>
        <row r="7584">
          <cell r="A7584">
            <v>700253</v>
          </cell>
          <cell r="B7584" t="str">
            <v>SPEJO'S COLOR Nº 7.74</v>
          </cell>
          <cell r="C7584" t="str">
            <v>8435057048255</v>
          </cell>
        </row>
        <row r="7585">
          <cell r="A7585">
            <v>700254</v>
          </cell>
          <cell r="B7585" t="str">
            <v>SPEJO'S COLOR Nº 7.77</v>
          </cell>
          <cell r="C7585" t="str">
            <v>SP0777</v>
          </cell>
        </row>
        <row r="7586">
          <cell r="A7586">
            <v>700254</v>
          </cell>
          <cell r="B7586" t="str">
            <v>SPEJO'S COLOR Nº 7.77</v>
          </cell>
          <cell r="C7586" t="str">
            <v>8435057048293</v>
          </cell>
        </row>
        <row r="7587">
          <cell r="A7587">
            <v>700255</v>
          </cell>
          <cell r="B7587" t="str">
            <v>SPEJO'S COLOR Nº 8.00</v>
          </cell>
          <cell r="C7587" t="str">
            <v>SP0800</v>
          </cell>
        </row>
        <row r="7588">
          <cell r="A7588">
            <v>700255</v>
          </cell>
          <cell r="B7588" t="str">
            <v>SPEJO'S COLOR Nº 8.00</v>
          </cell>
          <cell r="C7588" t="str">
            <v>8435057048248</v>
          </cell>
        </row>
        <row r="7589">
          <cell r="A7589">
            <v>700256</v>
          </cell>
          <cell r="B7589" t="str">
            <v>SPEJO'S COLOR Nº 8.31</v>
          </cell>
          <cell r="C7589" t="str">
            <v>SP0831</v>
          </cell>
        </row>
        <row r="7590">
          <cell r="A7590">
            <v>700256</v>
          </cell>
          <cell r="B7590" t="str">
            <v>SPEJO'S COLOR Nº 8.31</v>
          </cell>
          <cell r="C7590" t="str">
            <v>8435057048231</v>
          </cell>
        </row>
        <row r="7591">
          <cell r="A7591">
            <v>700257</v>
          </cell>
          <cell r="B7591" t="str">
            <v>SPEJO'S COLOR Nº 8.33</v>
          </cell>
          <cell r="C7591" t="str">
            <v>SP0833</v>
          </cell>
        </row>
        <row r="7592">
          <cell r="A7592">
            <v>700257</v>
          </cell>
          <cell r="B7592" t="str">
            <v>SPEJO'S COLOR Nº 8.33</v>
          </cell>
          <cell r="C7592" t="str">
            <v>8435057048224</v>
          </cell>
        </row>
        <row r="7593">
          <cell r="A7593">
            <v>700258</v>
          </cell>
          <cell r="B7593" t="str">
            <v>SPEJO'S COLOR Nº 8.34</v>
          </cell>
          <cell r="C7593" t="str">
            <v>SP0834</v>
          </cell>
        </row>
        <row r="7594">
          <cell r="A7594">
            <v>700258</v>
          </cell>
          <cell r="B7594" t="str">
            <v>SPEJO'S COLOR Nº 8.34</v>
          </cell>
          <cell r="C7594" t="str">
            <v>8435057048217</v>
          </cell>
        </row>
        <row r="7595">
          <cell r="A7595">
            <v>700259</v>
          </cell>
          <cell r="B7595" t="str">
            <v>SPEJO'S COLOR Nº 8.44</v>
          </cell>
          <cell r="C7595" t="str">
            <v>SP0844</v>
          </cell>
        </row>
        <row r="7596">
          <cell r="A7596">
            <v>700259</v>
          </cell>
          <cell r="B7596" t="str">
            <v>SPEJO'S COLOR Nº 8.44</v>
          </cell>
          <cell r="C7596" t="str">
            <v>8435057047319</v>
          </cell>
        </row>
        <row r="7597">
          <cell r="A7597">
            <v>700260</v>
          </cell>
          <cell r="B7597" t="str">
            <v>SPEJO'S COLOR Nº 8.45</v>
          </cell>
          <cell r="C7597" t="str">
            <v>SP0845</v>
          </cell>
        </row>
        <row r="7598">
          <cell r="A7598">
            <v>700260</v>
          </cell>
          <cell r="B7598" t="str">
            <v>SPEJO'S COLOR Nº 8.45</v>
          </cell>
          <cell r="C7598" t="str">
            <v>8435057048200</v>
          </cell>
        </row>
        <row r="7599">
          <cell r="A7599">
            <v>700261</v>
          </cell>
          <cell r="B7599" t="str">
            <v>SPEJO'S COLOR Nº 8.51</v>
          </cell>
          <cell r="C7599" t="str">
            <v>SP0851</v>
          </cell>
        </row>
        <row r="7600">
          <cell r="A7600">
            <v>700261</v>
          </cell>
          <cell r="B7600" t="str">
            <v>SPEJO'S COLOR Nº 8.51</v>
          </cell>
          <cell r="C7600" t="str">
            <v>8435057047302</v>
          </cell>
        </row>
        <row r="7601">
          <cell r="A7601">
            <v>700262</v>
          </cell>
          <cell r="B7601" t="str">
            <v>SPEJO'S COLOR Nº 9.00</v>
          </cell>
          <cell r="C7601" t="str">
            <v>SP0900</v>
          </cell>
        </row>
        <row r="7602">
          <cell r="A7602">
            <v>700262</v>
          </cell>
          <cell r="B7602" t="str">
            <v>SPEJO'S COLOR Nº 9.00</v>
          </cell>
          <cell r="C7602" t="str">
            <v>8435057048194</v>
          </cell>
        </row>
        <row r="7603">
          <cell r="A7603">
            <v>700263</v>
          </cell>
          <cell r="B7603" t="str">
            <v>SPEJO'S COLOR Nº 9.31</v>
          </cell>
          <cell r="C7603" t="str">
            <v>SP0931</v>
          </cell>
        </row>
        <row r="7604">
          <cell r="A7604">
            <v>700263</v>
          </cell>
          <cell r="B7604" t="str">
            <v>SPEJO'S COLOR Nº 9.31</v>
          </cell>
          <cell r="C7604" t="str">
            <v>8435057048170</v>
          </cell>
        </row>
        <row r="7605">
          <cell r="A7605">
            <v>700264</v>
          </cell>
          <cell r="B7605" t="str">
            <v>SPEJO'S COLOR Nº 9.91</v>
          </cell>
          <cell r="C7605" t="str">
            <v>SP0991</v>
          </cell>
        </row>
        <row r="7606">
          <cell r="A7606">
            <v>700264</v>
          </cell>
          <cell r="B7606" t="str">
            <v>SPEJO'S COLOR Nº 9.91</v>
          </cell>
          <cell r="C7606" t="str">
            <v>8435057048804</v>
          </cell>
        </row>
        <row r="7607">
          <cell r="A7607">
            <v>700265</v>
          </cell>
          <cell r="B7607" t="str">
            <v>SPEJO'S COLOR Nº C44</v>
          </cell>
          <cell r="C7607" t="str">
            <v>SP0C44</v>
          </cell>
        </row>
        <row r="7608">
          <cell r="A7608">
            <v>700265</v>
          </cell>
          <cell r="B7608" t="str">
            <v>SPEJO'S COLOR Nº C44</v>
          </cell>
          <cell r="C7608" t="str">
            <v>8435057047296</v>
          </cell>
        </row>
        <row r="7609">
          <cell r="A7609">
            <v>700266</v>
          </cell>
          <cell r="B7609" t="str">
            <v>SPEJO'S COLOR Nº C72</v>
          </cell>
          <cell r="C7609" t="str">
            <v>SP0C72</v>
          </cell>
        </row>
        <row r="7610">
          <cell r="A7610">
            <v>700266</v>
          </cell>
          <cell r="B7610" t="str">
            <v>SPEJO'S COLOR Nº C72</v>
          </cell>
          <cell r="C7610" t="str">
            <v>8435057047289</v>
          </cell>
        </row>
        <row r="7611">
          <cell r="A7611">
            <v>700267</v>
          </cell>
          <cell r="B7611" t="str">
            <v>SPEJO'S COLOR Nº C77</v>
          </cell>
          <cell r="C7611" t="str">
            <v>SP0C77</v>
          </cell>
        </row>
        <row r="7612">
          <cell r="A7612">
            <v>700267</v>
          </cell>
          <cell r="B7612" t="str">
            <v>SPEJO'S COLOR Nº C77</v>
          </cell>
          <cell r="C7612" t="str">
            <v>8435057047272</v>
          </cell>
        </row>
        <row r="7613">
          <cell r="A7613">
            <v>700268</v>
          </cell>
          <cell r="B7613" t="str">
            <v>SPEJO'S COLOR Nº 0/00</v>
          </cell>
          <cell r="C7613" t="str">
            <v>SP0M00</v>
          </cell>
        </row>
        <row r="7614">
          <cell r="A7614">
            <v>700268</v>
          </cell>
          <cell r="B7614" t="str">
            <v>SPEJO'S COLOR Nº 0/00</v>
          </cell>
          <cell r="C7614" t="str">
            <v>8435057048811</v>
          </cell>
        </row>
        <row r="7615">
          <cell r="A7615">
            <v>700269</v>
          </cell>
          <cell r="B7615" t="str">
            <v>SPEJO'S COLOR Nº 0/11</v>
          </cell>
          <cell r="C7615" t="str">
            <v>SP0M11</v>
          </cell>
        </row>
        <row r="7616">
          <cell r="A7616">
            <v>700269</v>
          </cell>
          <cell r="B7616" t="str">
            <v>SPEJO'S COLOR Nº 0/11</v>
          </cell>
          <cell r="C7616" t="str">
            <v>8435057048590</v>
          </cell>
        </row>
        <row r="7617">
          <cell r="A7617">
            <v>700270</v>
          </cell>
          <cell r="B7617" t="str">
            <v>SPEJO'S COLOR Nº 0/22</v>
          </cell>
          <cell r="C7617" t="str">
            <v>SP0M22</v>
          </cell>
        </row>
        <row r="7618">
          <cell r="A7618">
            <v>700270</v>
          </cell>
          <cell r="B7618" t="str">
            <v>SPEJO'S COLOR Nº 0/22</v>
          </cell>
          <cell r="C7618" t="str">
            <v>8435057048583</v>
          </cell>
        </row>
        <row r="7619">
          <cell r="A7619">
            <v>700271</v>
          </cell>
          <cell r="B7619" t="str">
            <v>SPEJO'S COLOR Nº 0/33</v>
          </cell>
          <cell r="C7619" t="str">
            <v>SP0M33</v>
          </cell>
        </row>
        <row r="7620">
          <cell r="A7620">
            <v>700271</v>
          </cell>
          <cell r="B7620" t="str">
            <v>SPEJO'S COLOR Nº 0/33</v>
          </cell>
          <cell r="C7620" t="str">
            <v>8435057048576</v>
          </cell>
        </row>
        <row r="7621">
          <cell r="A7621">
            <v>700272</v>
          </cell>
          <cell r="B7621" t="str">
            <v>SPEJO'S COLOR Nº 0/44</v>
          </cell>
          <cell r="C7621" t="str">
            <v>SP0M44</v>
          </cell>
        </row>
        <row r="7622">
          <cell r="A7622">
            <v>700272</v>
          </cell>
          <cell r="B7622" t="str">
            <v>SPEJO'S COLOR Nº 0/44</v>
          </cell>
          <cell r="C7622" t="str">
            <v>8435057048569</v>
          </cell>
        </row>
        <row r="7623">
          <cell r="A7623">
            <v>700273</v>
          </cell>
          <cell r="B7623" t="str">
            <v>SPEJO'S COLOR Nº 0/77</v>
          </cell>
          <cell r="C7623" t="str">
            <v>SP0M77</v>
          </cell>
        </row>
        <row r="7624">
          <cell r="A7624">
            <v>700273</v>
          </cell>
          <cell r="B7624" t="str">
            <v>SPEJO'S COLOR Nº 0/77</v>
          </cell>
          <cell r="C7624" t="str">
            <v>8435057048552</v>
          </cell>
        </row>
        <row r="7625">
          <cell r="A7625">
            <v>700274</v>
          </cell>
          <cell r="B7625" t="str">
            <v>SPEJO'S COLOR Nº 0/88</v>
          </cell>
          <cell r="C7625" t="str">
            <v>SP0M88</v>
          </cell>
        </row>
        <row r="7626">
          <cell r="A7626">
            <v>700274</v>
          </cell>
          <cell r="B7626" t="str">
            <v>SPEJO'S COLOR Nº 0/88</v>
          </cell>
          <cell r="C7626" t="str">
            <v>8435057048545</v>
          </cell>
        </row>
        <row r="7627">
          <cell r="A7627">
            <v>700275</v>
          </cell>
          <cell r="B7627" t="str">
            <v>SPEJO'S COLOR Nº 0/99</v>
          </cell>
          <cell r="C7627" t="str">
            <v>SP0M99</v>
          </cell>
        </row>
        <row r="7628">
          <cell r="A7628">
            <v>700275</v>
          </cell>
          <cell r="B7628" t="str">
            <v>SPEJO'S COLOR Nº 0/99</v>
          </cell>
          <cell r="C7628" t="str">
            <v>8435057048538</v>
          </cell>
        </row>
        <row r="7629">
          <cell r="A7629">
            <v>700276</v>
          </cell>
          <cell r="B7629" t="str">
            <v>SPEJO'S COLOR Nº 11.12</v>
          </cell>
          <cell r="C7629" t="str">
            <v>SP1112</v>
          </cell>
        </row>
        <row r="7630">
          <cell r="A7630">
            <v>700276</v>
          </cell>
          <cell r="B7630" t="str">
            <v>SPEJO'S COLOR Nº 11.12</v>
          </cell>
          <cell r="C7630" t="str">
            <v>8435057048149</v>
          </cell>
        </row>
        <row r="7631">
          <cell r="A7631">
            <v>700286</v>
          </cell>
          <cell r="B7631" t="str">
            <v>DIETISA BALSAMO RECUP. 75 ML.</v>
          </cell>
          <cell r="C7631" t="str">
            <v>DIBARE</v>
          </cell>
        </row>
        <row r="7632">
          <cell r="A7632">
            <v>700286</v>
          </cell>
          <cell r="B7632" t="str">
            <v>DIETISA BALSAMO RECUP. 75 ML.</v>
          </cell>
          <cell r="C7632" t="str">
            <v>8435057048033</v>
          </cell>
        </row>
        <row r="7633">
          <cell r="A7633">
            <v>700287</v>
          </cell>
          <cell r="B7633" t="str">
            <v>KABLANC (400 grs)</v>
          </cell>
          <cell r="C7633" t="str">
            <v>FAK00</v>
          </cell>
        </row>
        <row r="7634">
          <cell r="A7634">
            <v>700287</v>
          </cell>
          <cell r="B7634" t="str">
            <v>KABLANC (400 grs)</v>
          </cell>
          <cell r="C7634" t="str">
            <v>8435057048026</v>
          </cell>
        </row>
        <row r="7635">
          <cell r="A7635">
            <v>700290</v>
          </cell>
          <cell r="B7635" t="str">
            <v>OXIGENADA CREMA 30 VOL.(FANS)</v>
          </cell>
          <cell r="C7635" t="str">
            <v>FAO30</v>
          </cell>
        </row>
        <row r="7636">
          <cell r="A7636">
            <v>700290</v>
          </cell>
          <cell r="B7636" t="str">
            <v>OXIGENADA CREMA 30 VOL.(FANS)</v>
          </cell>
          <cell r="C7636" t="str">
            <v>8435057047999</v>
          </cell>
        </row>
        <row r="7637">
          <cell r="A7637">
            <v>700295</v>
          </cell>
          <cell r="B7637" t="str">
            <v>HERBAL MASC. ANTI-ROTURA RESIS</v>
          </cell>
          <cell r="C7637" t="str">
            <v>HEMAAR</v>
          </cell>
        </row>
        <row r="7638">
          <cell r="A7638">
            <v>700295</v>
          </cell>
          <cell r="B7638" t="str">
            <v>HERBAL MASC. ANTI-ROTURA RESIS</v>
          </cell>
          <cell r="C7638" t="str">
            <v>8435057047951</v>
          </cell>
        </row>
        <row r="7639">
          <cell r="A7639">
            <v>700296</v>
          </cell>
          <cell r="B7639" t="str">
            <v>HERBAL MASC. COLOR LUMIERE</v>
          </cell>
          <cell r="C7639" t="str">
            <v>HEMACL</v>
          </cell>
        </row>
        <row r="7640">
          <cell r="A7640">
            <v>700296</v>
          </cell>
          <cell r="B7640" t="str">
            <v>HERBAL MASC. COLOR LUMIERE</v>
          </cell>
          <cell r="C7640" t="str">
            <v>8435057047944</v>
          </cell>
        </row>
        <row r="7641">
          <cell r="A7641">
            <v>700297</v>
          </cell>
          <cell r="B7641" t="str">
            <v>HERBAL MASC. LISSE ABSOLUTE</v>
          </cell>
          <cell r="C7641" t="str">
            <v>HEMALA</v>
          </cell>
        </row>
        <row r="7642">
          <cell r="A7642">
            <v>700297</v>
          </cell>
          <cell r="B7642" t="str">
            <v>HERBAL MASC. LISSE ABSOLUTE</v>
          </cell>
          <cell r="C7642" t="str">
            <v>8435057047937</v>
          </cell>
        </row>
        <row r="7643">
          <cell r="A7643">
            <v>700298</v>
          </cell>
          <cell r="B7643" t="str">
            <v>HERBAL MASC. HIDRAT. RICH CREM</v>
          </cell>
          <cell r="C7643" t="str">
            <v>HEMARC</v>
          </cell>
        </row>
        <row r="7644">
          <cell r="A7644">
            <v>700298</v>
          </cell>
          <cell r="B7644" t="str">
            <v>HERBAL MASC. HIDRAT. RICH CREM</v>
          </cell>
          <cell r="C7644" t="str">
            <v>8435057047920</v>
          </cell>
        </row>
        <row r="7645">
          <cell r="A7645">
            <v>700299</v>
          </cell>
          <cell r="B7645" t="str">
            <v>HERBAL MASC. RIZOS HIGH DEFIN.</v>
          </cell>
          <cell r="C7645" t="str">
            <v>HEMARI</v>
          </cell>
        </row>
        <row r="7646">
          <cell r="A7646">
            <v>700299</v>
          </cell>
          <cell r="B7646" t="str">
            <v>HERBAL MASC. RIZOS HIGH DEFIN.</v>
          </cell>
          <cell r="C7646" t="str">
            <v>8435057047913</v>
          </cell>
        </row>
        <row r="7647">
          <cell r="A7647">
            <v>700300</v>
          </cell>
          <cell r="B7647" t="str">
            <v>HERBAL MASC. SOLAR</v>
          </cell>
          <cell r="C7647" t="str">
            <v>HEMASO</v>
          </cell>
        </row>
        <row r="7648">
          <cell r="A7648">
            <v>700300</v>
          </cell>
          <cell r="B7648" t="str">
            <v>HERBAL MASC. SOLAR</v>
          </cell>
          <cell r="C7648" t="str">
            <v>8435057047906</v>
          </cell>
        </row>
        <row r="7649">
          <cell r="A7649">
            <v>700301</v>
          </cell>
          <cell r="B7649" t="str">
            <v>HERBAL MASC. COLOR CASTAÑO INT</v>
          </cell>
          <cell r="C7649" t="str">
            <v>HEMCCI</v>
          </cell>
        </row>
        <row r="7650">
          <cell r="A7650">
            <v>700301</v>
          </cell>
          <cell r="B7650" t="str">
            <v>HERBAL MASC. COLOR CASTAÑO INT</v>
          </cell>
          <cell r="C7650" t="str">
            <v>8435057047890</v>
          </cell>
        </row>
        <row r="7651">
          <cell r="A7651">
            <v>700302</v>
          </cell>
          <cell r="B7651" t="str">
            <v>HERBAL MASC. COLOR  DORADOS</v>
          </cell>
          <cell r="C7651" t="str">
            <v>HEMCDO</v>
          </cell>
        </row>
        <row r="7652">
          <cell r="A7652">
            <v>700302</v>
          </cell>
          <cell r="B7652" t="str">
            <v>HERBAL MASC. COLOR  DORADOS</v>
          </cell>
          <cell r="C7652" t="str">
            <v>8435057047883</v>
          </cell>
        </row>
        <row r="7653">
          <cell r="A7653">
            <v>700303</v>
          </cell>
          <cell r="B7653" t="str">
            <v>HERBAL MASC. COLOR NEGRO</v>
          </cell>
          <cell r="C7653" t="str">
            <v>HEMCNA</v>
          </cell>
        </row>
        <row r="7654">
          <cell r="A7654">
            <v>700303</v>
          </cell>
          <cell r="B7654" t="str">
            <v>HERBAL MASC. COLOR NEGRO</v>
          </cell>
          <cell r="C7654" t="str">
            <v>8435057047876</v>
          </cell>
        </row>
        <row r="7655">
          <cell r="A7655">
            <v>700304</v>
          </cell>
          <cell r="B7655" t="str">
            <v>HERBAL MASC. COLOR PLATINOS</v>
          </cell>
          <cell r="C7655" t="str">
            <v>HEMCPL</v>
          </cell>
        </row>
        <row r="7656">
          <cell r="A7656">
            <v>700304</v>
          </cell>
          <cell r="B7656" t="str">
            <v>HERBAL MASC. COLOR PLATINOS</v>
          </cell>
          <cell r="C7656" t="str">
            <v>8435057047869</v>
          </cell>
        </row>
        <row r="7657">
          <cell r="A7657">
            <v>700305</v>
          </cell>
          <cell r="B7657" t="str">
            <v>HERBAL ACOND. ANTI-ROTURA</v>
          </cell>
          <cell r="C7657" t="str">
            <v>HEACAR</v>
          </cell>
        </row>
        <row r="7658">
          <cell r="A7658">
            <v>700305</v>
          </cell>
          <cell r="B7658" t="str">
            <v>HERBAL ACOND. ANTI-ROTURA</v>
          </cell>
          <cell r="C7658" t="str">
            <v>8435057047616</v>
          </cell>
        </row>
        <row r="7659">
          <cell r="A7659">
            <v>700306</v>
          </cell>
          <cell r="B7659" t="str">
            <v>HERBAL ACOND. BRILLO INTENSO</v>
          </cell>
          <cell r="C7659" t="str">
            <v>HEACBI</v>
          </cell>
        </row>
        <row r="7660">
          <cell r="A7660">
            <v>700306</v>
          </cell>
          <cell r="B7660" t="str">
            <v>HERBAL ACOND. BRILLO INTENSO</v>
          </cell>
          <cell r="C7660" t="str">
            <v>8435057047524</v>
          </cell>
        </row>
        <row r="7661">
          <cell r="A7661">
            <v>700307</v>
          </cell>
          <cell r="B7661" t="str">
            <v>HERBAL ACOND. COLOR LUMIERE</v>
          </cell>
          <cell r="C7661" t="str">
            <v>HEACCL</v>
          </cell>
        </row>
        <row r="7662">
          <cell r="A7662">
            <v>700307</v>
          </cell>
          <cell r="B7662" t="str">
            <v>HERBAL ACOND. COLOR LUMIERE</v>
          </cell>
          <cell r="C7662" t="str">
            <v>8435057047609</v>
          </cell>
        </row>
        <row r="7663">
          <cell r="A7663">
            <v>700308</v>
          </cell>
          <cell r="B7663" t="str">
            <v>HERBAL ACOND. CAB. NATURALES</v>
          </cell>
          <cell r="C7663" t="str">
            <v>HEACCN</v>
          </cell>
        </row>
        <row r="7664">
          <cell r="A7664">
            <v>700308</v>
          </cell>
          <cell r="B7664" t="str">
            <v>HERBAL ACOND. CAB. NATURALES</v>
          </cell>
          <cell r="C7664" t="str">
            <v>8435057047517</v>
          </cell>
        </row>
        <row r="7665">
          <cell r="A7665">
            <v>700309</v>
          </cell>
          <cell r="B7665" t="str">
            <v>HERBAL ACOND. HYDRATION RICH</v>
          </cell>
          <cell r="C7665" t="str">
            <v>HEACHR</v>
          </cell>
        </row>
        <row r="7666">
          <cell r="A7666">
            <v>700309</v>
          </cell>
          <cell r="B7666" t="str">
            <v>HERBAL ACOND. HYDRATION RICH</v>
          </cell>
          <cell r="C7666" t="str">
            <v>8435057047593</v>
          </cell>
        </row>
        <row r="7667">
          <cell r="A7667">
            <v>700310</v>
          </cell>
          <cell r="B7667" t="str">
            <v>HERBAL ACOND. LISSE</v>
          </cell>
          <cell r="C7667" t="str">
            <v>HEACLI</v>
          </cell>
        </row>
        <row r="7668">
          <cell r="A7668">
            <v>700310</v>
          </cell>
          <cell r="B7668" t="str">
            <v>HERBAL ACOND. LISSE</v>
          </cell>
          <cell r="C7668" t="str">
            <v>8435057047500</v>
          </cell>
        </row>
        <row r="7669">
          <cell r="A7669">
            <v>700311</v>
          </cell>
          <cell r="B7669" t="str">
            <v>HERBAL ACOND. REFLEJOS DORADOS</v>
          </cell>
          <cell r="C7669" t="str">
            <v>HEACRD</v>
          </cell>
        </row>
        <row r="7670">
          <cell r="A7670">
            <v>700311</v>
          </cell>
          <cell r="B7670" t="str">
            <v>HERBAL ACOND. REFLEJOS DORADOS</v>
          </cell>
          <cell r="C7670" t="str">
            <v>8435057047494</v>
          </cell>
        </row>
        <row r="7671">
          <cell r="A7671">
            <v>700312</v>
          </cell>
          <cell r="B7671" t="str">
            <v>HERBAL ACOND. RIZOS</v>
          </cell>
          <cell r="C7671" t="str">
            <v>HEACRI</v>
          </cell>
        </row>
        <row r="7672">
          <cell r="A7672">
            <v>700312</v>
          </cell>
          <cell r="B7672" t="str">
            <v>HERBAL ACOND. RIZOS</v>
          </cell>
          <cell r="C7672" t="str">
            <v>8435057047586</v>
          </cell>
        </row>
        <row r="7673">
          <cell r="A7673">
            <v>700313</v>
          </cell>
          <cell r="B7673" t="str">
            <v>HERBAL SHAMPOO ANTI-ROTURA</v>
          </cell>
          <cell r="C7673" t="str">
            <v>HESHAR</v>
          </cell>
        </row>
        <row r="7674">
          <cell r="A7674">
            <v>700313</v>
          </cell>
          <cell r="B7674" t="str">
            <v>HERBAL SHAMPOO ANTI-ROTURA</v>
          </cell>
          <cell r="C7674" t="str">
            <v>8435057047487</v>
          </cell>
        </row>
        <row r="7675">
          <cell r="A7675">
            <v>700314</v>
          </cell>
          <cell r="B7675" t="str">
            <v>HERBAL SHAMPOO BRILLO INTENSO</v>
          </cell>
          <cell r="C7675" t="str">
            <v>HESHBI</v>
          </cell>
        </row>
        <row r="7676">
          <cell r="A7676">
            <v>700314</v>
          </cell>
          <cell r="B7676" t="str">
            <v>HERBAL SHAMPOO BRILLO INTENSO</v>
          </cell>
          <cell r="C7676" t="str">
            <v>8435057047418</v>
          </cell>
        </row>
        <row r="7677">
          <cell r="A7677">
            <v>700315</v>
          </cell>
          <cell r="B7677" t="str">
            <v>HERBAL SHAMPOO COLOR LUMIERE</v>
          </cell>
          <cell r="C7677" t="str">
            <v>HESHCL</v>
          </cell>
        </row>
        <row r="7678">
          <cell r="A7678">
            <v>700315</v>
          </cell>
          <cell r="B7678" t="str">
            <v>HERBAL SHAMPOO COLOR LUMIERE</v>
          </cell>
          <cell r="C7678" t="str">
            <v>8435057047470</v>
          </cell>
        </row>
        <row r="7679">
          <cell r="A7679">
            <v>700316</v>
          </cell>
          <cell r="B7679" t="str">
            <v>HERBAL SHAMPOO CAB. NATURAL</v>
          </cell>
          <cell r="C7679" t="str">
            <v>HESHCN</v>
          </cell>
        </row>
        <row r="7680">
          <cell r="A7680">
            <v>700316</v>
          </cell>
          <cell r="B7680" t="str">
            <v>HERBAL SHAMPOO CAB. NATURAL</v>
          </cell>
          <cell r="C7680" t="str">
            <v>8435057047401</v>
          </cell>
        </row>
        <row r="7681">
          <cell r="A7681">
            <v>700317</v>
          </cell>
          <cell r="B7681" t="str">
            <v>HERBAL SHAMPOO HYDRATION</v>
          </cell>
          <cell r="C7681" t="str">
            <v>HESHHR</v>
          </cell>
        </row>
        <row r="7682">
          <cell r="A7682">
            <v>700317</v>
          </cell>
          <cell r="B7682" t="str">
            <v>HERBAL SHAMPOO HYDRATION</v>
          </cell>
          <cell r="C7682" t="str">
            <v>8435057047463</v>
          </cell>
        </row>
        <row r="7683">
          <cell r="A7683">
            <v>700318</v>
          </cell>
          <cell r="B7683" t="str">
            <v>HERBAL SHAMPOO LISSE</v>
          </cell>
          <cell r="C7683" t="str">
            <v>HESHLI</v>
          </cell>
        </row>
        <row r="7684">
          <cell r="A7684">
            <v>700318</v>
          </cell>
          <cell r="B7684" t="str">
            <v>HERBAL SHAMPOO LISSE</v>
          </cell>
          <cell r="C7684" t="str">
            <v>8435057047432</v>
          </cell>
        </row>
        <row r="7685">
          <cell r="A7685">
            <v>700319</v>
          </cell>
          <cell r="B7685" t="str">
            <v>HERBAL SHAMPOO PURIFICANTE</v>
          </cell>
          <cell r="C7685" t="str">
            <v>HESHPU</v>
          </cell>
        </row>
        <row r="7686">
          <cell r="A7686">
            <v>700319</v>
          </cell>
          <cell r="B7686" t="str">
            <v>HERBAL SHAMPOO PURIFICANTE</v>
          </cell>
          <cell r="C7686" t="str">
            <v>8435057047395</v>
          </cell>
        </row>
        <row r="7687">
          <cell r="A7687">
            <v>700320</v>
          </cell>
          <cell r="B7687" t="str">
            <v>HERBAL SHAMPOO REF. DORADOS</v>
          </cell>
          <cell r="C7687" t="str">
            <v>HESHRD</v>
          </cell>
        </row>
        <row r="7688">
          <cell r="A7688">
            <v>700320</v>
          </cell>
          <cell r="B7688" t="str">
            <v>HERBAL SHAMPOO REF. DORADOS</v>
          </cell>
          <cell r="C7688" t="str">
            <v>8435057047371</v>
          </cell>
        </row>
        <row r="7689">
          <cell r="A7689">
            <v>700321</v>
          </cell>
          <cell r="B7689" t="str">
            <v>HERBAL SHAMPOO REVITALIZANTE</v>
          </cell>
          <cell r="C7689" t="str">
            <v>HESHRE</v>
          </cell>
        </row>
        <row r="7690">
          <cell r="A7690">
            <v>700321</v>
          </cell>
          <cell r="B7690" t="str">
            <v>HERBAL SHAMPOO REVITALIZANTE</v>
          </cell>
          <cell r="C7690" t="str">
            <v>8435057047388</v>
          </cell>
        </row>
        <row r="7691">
          <cell r="A7691">
            <v>700322</v>
          </cell>
          <cell r="B7691" t="str">
            <v>HERBAL SHAMPOO RIZOS</v>
          </cell>
          <cell r="C7691" t="str">
            <v>HESHRI</v>
          </cell>
        </row>
        <row r="7692">
          <cell r="A7692">
            <v>700322</v>
          </cell>
          <cell r="B7692" t="str">
            <v>HERBAL SHAMPOO RIZOS</v>
          </cell>
          <cell r="C7692" t="str">
            <v>8435057047425</v>
          </cell>
        </row>
        <row r="7693">
          <cell r="A7693">
            <v>700323</v>
          </cell>
          <cell r="B7693" t="str">
            <v>HERBAL SHAMPOO TONIFICANTE</v>
          </cell>
          <cell r="C7693" t="str">
            <v>HESHTO</v>
          </cell>
        </row>
        <row r="7694">
          <cell r="A7694">
            <v>700323</v>
          </cell>
          <cell r="B7694" t="str">
            <v>HERBAL SHAMPOO TONIFICANTE</v>
          </cell>
          <cell r="C7694" t="str">
            <v>8435057047456</v>
          </cell>
        </row>
        <row r="7695">
          <cell r="A7695">
            <v>700324</v>
          </cell>
          <cell r="B7695" t="str">
            <v>SHAMPOO LOR-MUN NEUTRO</v>
          </cell>
          <cell r="C7695" t="str">
            <v>HUCNE</v>
          </cell>
        </row>
        <row r="7696">
          <cell r="A7696">
            <v>700324</v>
          </cell>
          <cell r="B7696" t="str">
            <v>SHAMPOO LOR-MUN NEUTRO</v>
          </cell>
          <cell r="C7696" t="str">
            <v>8435057047852</v>
          </cell>
        </row>
        <row r="7697">
          <cell r="A7697">
            <v>700325</v>
          </cell>
          <cell r="B7697" t="str">
            <v>CHAMPU PINO 5 LT. (HULMA)</v>
          </cell>
          <cell r="C7697" t="str">
            <v>HUCPR</v>
          </cell>
        </row>
        <row r="7698">
          <cell r="A7698">
            <v>700325</v>
          </cell>
          <cell r="B7698" t="str">
            <v>CHAMPU PINO 5 LT. (HULMA)</v>
          </cell>
          <cell r="C7698" t="str">
            <v>8435057047845</v>
          </cell>
        </row>
        <row r="7699">
          <cell r="A7699">
            <v>700326</v>
          </cell>
          <cell r="B7699" t="str">
            <v>DECOLORACION 500 GR. (HULMA)</v>
          </cell>
          <cell r="C7699" t="str">
            <v>HUD00</v>
          </cell>
        </row>
        <row r="7700">
          <cell r="A7700">
            <v>700326</v>
          </cell>
          <cell r="B7700" t="str">
            <v>DECOLORACION 500 GR. (HULMA)</v>
          </cell>
          <cell r="C7700" t="str">
            <v>8435057047838</v>
          </cell>
        </row>
        <row r="7701">
          <cell r="A7701">
            <v>700327</v>
          </cell>
          <cell r="B7701" t="str">
            <v>KENVIN BRUSHING PLATA</v>
          </cell>
          <cell r="C7701" t="str">
            <v>HUKPL</v>
          </cell>
        </row>
        <row r="7702">
          <cell r="A7702">
            <v>700327</v>
          </cell>
          <cell r="B7702" t="str">
            <v>KENVIN BRUSHING PLATA</v>
          </cell>
          <cell r="C7702" t="str">
            <v>8435057006231</v>
          </cell>
        </row>
        <row r="7703">
          <cell r="A7703">
            <v>700328</v>
          </cell>
          <cell r="B7703" t="str">
            <v>NEUTRALIZANTE LIQUIDO (Hulma)</v>
          </cell>
          <cell r="C7703" t="str">
            <v>HUNLI</v>
          </cell>
        </row>
        <row r="7704">
          <cell r="A7704">
            <v>700328</v>
          </cell>
          <cell r="B7704" t="str">
            <v>NEUTRALIZANTE LIQUIDO (Hulma)</v>
          </cell>
          <cell r="C7704" t="str">
            <v>8435057047821</v>
          </cell>
        </row>
        <row r="7705">
          <cell r="A7705">
            <v>700329</v>
          </cell>
          <cell r="B7705" t="str">
            <v>OXIGENADA CREM 20 Vol.(HULMA)</v>
          </cell>
          <cell r="C7705" t="str">
            <v>HUO20</v>
          </cell>
        </row>
        <row r="7706">
          <cell r="A7706">
            <v>700329</v>
          </cell>
          <cell r="B7706" t="str">
            <v>OXIGENADA CREM 20 Vol.(HULMA)</v>
          </cell>
          <cell r="C7706" t="str">
            <v>8435057047814</v>
          </cell>
        </row>
        <row r="7707">
          <cell r="A7707">
            <v>700330</v>
          </cell>
          <cell r="B7707" t="str">
            <v>OXIGENADA CREM 30 Vol.(Hulma)</v>
          </cell>
          <cell r="C7707" t="str">
            <v>HUO30</v>
          </cell>
        </row>
        <row r="7708">
          <cell r="A7708">
            <v>700330</v>
          </cell>
          <cell r="B7708" t="str">
            <v>OXIGENADA CREM 30 Vol.(Hulma)</v>
          </cell>
          <cell r="C7708" t="str">
            <v>8435057047807</v>
          </cell>
        </row>
        <row r="7709">
          <cell r="A7709">
            <v>700331</v>
          </cell>
          <cell r="B7709" t="str">
            <v>OXIGENADA CREM 40 Vol.(Hulma)</v>
          </cell>
          <cell r="C7709" t="str">
            <v>HUO40</v>
          </cell>
        </row>
        <row r="7710">
          <cell r="A7710">
            <v>700331</v>
          </cell>
          <cell r="B7710" t="str">
            <v>OXIGENADA CREM 40 Vol.(Hulma)</v>
          </cell>
          <cell r="C7710" t="str">
            <v>8435057047791</v>
          </cell>
        </row>
        <row r="7711">
          <cell r="A7711">
            <v>700332</v>
          </cell>
          <cell r="B7711" t="str">
            <v>PERMANENTE H-1 SUAVE</v>
          </cell>
          <cell r="C7711" t="str">
            <v>HUPH1</v>
          </cell>
        </row>
        <row r="7712">
          <cell r="A7712">
            <v>700332</v>
          </cell>
          <cell r="B7712" t="str">
            <v>PERMANENTE H-1 SUAVE</v>
          </cell>
          <cell r="C7712" t="str">
            <v>8435057047784</v>
          </cell>
        </row>
        <row r="7713">
          <cell r="A7713">
            <v>700333</v>
          </cell>
          <cell r="B7713" t="str">
            <v>PERMANENTE H-2 NORMAL</v>
          </cell>
          <cell r="C7713" t="str">
            <v>HUPH2</v>
          </cell>
        </row>
        <row r="7714">
          <cell r="A7714">
            <v>700333</v>
          </cell>
          <cell r="B7714" t="str">
            <v>PERMANENTE H-2 NORMAL</v>
          </cell>
          <cell r="C7714" t="str">
            <v>8435057047777</v>
          </cell>
        </row>
        <row r="7715">
          <cell r="A7715">
            <v>700334</v>
          </cell>
          <cell r="B7715" t="str">
            <v>PERMANENTE H-3 FUERTE</v>
          </cell>
          <cell r="C7715" t="str">
            <v>HUPH3</v>
          </cell>
        </row>
        <row r="7716">
          <cell r="A7716">
            <v>700334</v>
          </cell>
          <cell r="B7716" t="str">
            <v>PERMANENTE H-3 FUERTE</v>
          </cell>
          <cell r="C7716" t="str">
            <v>8435057047760</v>
          </cell>
        </row>
        <row r="7717">
          <cell r="A7717">
            <v>700335</v>
          </cell>
          <cell r="B7717" t="str">
            <v>HULMA PLIS PLATA KALIN 5</v>
          </cell>
          <cell r="C7717" t="str">
            <v>HUPPL</v>
          </cell>
        </row>
        <row r="7718">
          <cell r="A7718">
            <v>700335</v>
          </cell>
          <cell r="B7718" t="str">
            <v>HULMA PLIS PLATA KALIN 5</v>
          </cell>
          <cell r="C7718" t="str">
            <v>8435057047753</v>
          </cell>
        </row>
        <row r="7719">
          <cell r="A7719">
            <v>700336</v>
          </cell>
          <cell r="B7719" t="str">
            <v>REVELADOR REFLEJOS 1 LT.</v>
          </cell>
          <cell r="C7719" t="str">
            <v>HUR10</v>
          </cell>
        </row>
        <row r="7720">
          <cell r="A7720">
            <v>700336</v>
          </cell>
          <cell r="B7720" t="str">
            <v>REVELADOR REFLEJOS 1 LT.</v>
          </cell>
          <cell r="C7720" t="str">
            <v>8435057047746</v>
          </cell>
        </row>
        <row r="7721">
          <cell r="A7721">
            <v>700337</v>
          </cell>
          <cell r="B7721" t="str">
            <v>SIAN CREMA SUAVIZANTE</v>
          </cell>
          <cell r="C7721" t="str">
            <v>HUS00</v>
          </cell>
        </row>
        <row r="7722">
          <cell r="A7722">
            <v>700337</v>
          </cell>
          <cell r="B7722" t="str">
            <v>SIAN CREMA SUAVIZANTE</v>
          </cell>
          <cell r="C7722" t="str">
            <v>8435057047579</v>
          </cell>
        </row>
        <row r="7723">
          <cell r="A7723">
            <v>700342</v>
          </cell>
          <cell r="B7723" t="str">
            <v>OXIGENADA CREMA 40 Vol.(SLOBEL</v>
          </cell>
          <cell r="C7723" t="str">
            <v>SLO40</v>
          </cell>
        </row>
        <row r="7724">
          <cell r="A7724">
            <v>700342</v>
          </cell>
          <cell r="B7724" t="str">
            <v>OXIGENADA CREMA 40 Vol.(SLOBEL</v>
          </cell>
          <cell r="C7724" t="str">
            <v>8435057047708</v>
          </cell>
        </row>
        <row r="7725">
          <cell r="A7725">
            <v>700343</v>
          </cell>
          <cell r="B7725" t="str">
            <v>PLIS ACLARANTE (SLOBEL)</v>
          </cell>
          <cell r="C7725" t="str">
            <v>SLPAC</v>
          </cell>
        </row>
        <row r="7726">
          <cell r="A7726">
            <v>700343</v>
          </cell>
          <cell r="B7726" t="str">
            <v>PLIS ACLARANTE (SLOBEL)</v>
          </cell>
          <cell r="C7726" t="str">
            <v>8435057047692</v>
          </cell>
        </row>
        <row r="7727">
          <cell r="A7727">
            <v>700344</v>
          </cell>
          <cell r="B7727" t="str">
            <v>PLIS COLOR CASTAÑO (SLOBEL)</v>
          </cell>
          <cell r="C7727" t="str">
            <v>SLPCA</v>
          </cell>
        </row>
        <row r="7728">
          <cell r="A7728">
            <v>700344</v>
          </cell>
          <cell r="B7728" t="str">
            <v>PLIS COLOR CASTAÑO (SLOBEL)</v>
          </cell>
          <cell r="C7728" t="str">
            <v>8435057047685</v>
          </cell>
        </row>
        <row r="7729">
          <cell r="A7729">
            <v>700346</v>
          </cell>
          <cell r="B7729" t="str">
            <v>PLIS CABELLOS NORMALES (SL)</v>
          </cell>
          <cell r="C7729" t="str">
            <v>SLPCN</v>
          </cell>
        </row>
        <row r="7730">
          <cell r="A7730">
            <v>700346</v>
          </cell>
          <cell r="B7730" t="str">
            <v>PLIS CABELLOS NORMALES (SL)</v>
          </cell>
          <cell r="C7730" t="str">
            <v>8435057047661</v>
          </cell>
        </row>
        <row r="7731">
          <cell r="A7731">
            <v>700347</v>
          </cell>
          <cell r="B7731" t="str">
            <v>PLIS COLOR CENIZA OSCURO (SL)</v>
          </cell>
          <cell r="C7731" t="str">
            <v>SLPCO</v>
          </cell>
        </row>
        <row r="7732">
          <cell r="A7732">
            <v>700347</v>
          </cell>
          <cell r="B7732" t="str">
            <v>PLIS COLOR CENIZA OSCURO (SL)</v>
          </cell>
          <cell r="C7732" t="str">
            <v>8435057047654</v>
          </cell>
        </row>
        <row r="7733">
          <cell r="A7733">
            <v>700348</v>
          </cell>
          <cell r="B7733" t="str">
            <v>PLIS COLOR GRIS PERLA (SLOBEL)</v>
          </cell>
          <cell r="C7733" t="str">
            <v>SLPGP</v>
          </cell>
        </row>
        <row r="7734">
          <cell r="A7734">
            <v>700348</v>
          </cell>
          <cell r="B7734" t="str">
            <v>PLIS COLOR GRIS PERLA (SLOBEL)</v>
          </cell>
          <cell r="C7734" t="str">
            <v>8435057047647</v>
          </cell>
        </row>
        <row r="7735">
          <cell r="A7735">
            <v>700351</v>
          </cell>
          <cell r="B7735" t="str">
            <v>SPEJOS CERA EFECTO BRILLO 50</v>
          </cell>
          <cell r="C7735" t="str">
            <v>SPCEBR</v>
          </cell>
        </row>
        <row r="7736">
          <cell r="A7736">
            <v>700351</v>
          </cell>
          <cell r="B7736" t="str">
            <v>SPEJOS CERA EFECTO BRILLO 50</v>
          </cell>
          <cell r="C7736" t="str">
            <v>8435057006385</v>
          </cell>
        </row>
        <row r="7737">
          <cell r="A7737">
            <v>700352</v>
          </cell>
          <cell r="B7737" t="str">
            <v>SPEJOS CREMA ALISADORA 200 ml.</v>
          </cell>
          <cell r="C7737" t="str">
            <v>SPCRAL</v>
          </cell>
        </row>
        <row r="7738">
          <cell r="A7738">
            <v>700353</v>
          </cell>
          <cell r="B7738" t="str">
            <v>SPEJOS CREMA ACCION COLOR</v>
          </cell>
          <cell r="C7738" t="str">
            <v>SPCRCO</v>
          </cell>
        </row>
        <row r="7739">
          <cell r="A7739">
            <v>700353</v>
          </cell>
          <cell r="B7739" t="str">
            <v>SPEJOS CREMA ACCION COLOR</v>
          </cell>
          <cell r="C7739" t="str">
            <v>8435057006309</v>
          </cell>
        </row>
        <row r="7740">
          <cell r="A7740">
            <v>700354</v>
          </cell>
          <cell r="B7740" t="str">
            <v>SPEJOS CREMA NUTRIC. INTENSA</v>
          </cell>
          <cell r="C7740" t="str">
            <v>SPCRNU</v>
          </cell>
        </row>
        <row r="7741">
          <cell r="A7741">
            <v>700354</v>
          </cell>
          <cell r="B7741" t="str">
            <v>SPEJOS CREMA NUTRIC. INTENSA</v>
          </cell>
          <cell r="C7741" t="str">
            <v>8435057006316</v>
          </cell>
        </row>
        <row r="7742">
          <cell r="A7742">
            <v>700355</v>
          </cell>
          <cell r="B7742" t="str">
            <v>SPEJOS DECOLORACION 1 KG.</v>
          </cell>
          <cell r="C7742" t="str">
            <v>SPDECO</v>
          </cell>
        </row>
        <row r="7743">
          <cell r="A7743">
            <v>700355</v>
          </cell>
          <cell r="B7743" t="str">
            <v>SPEJOS DECOLORACION 1 KG.</v>
          </cell>
          <cell r="C7743" t="str">
            <v>8435057047449</v>
          </cell>
        </row>
        <row r="7744">
          <cell r="A7744">
            <v>700356</v>
          </cell>
          <cell r="B7744" t="str">
            <v>SPEJOS FLUIDO ALISANTE ACTIVO</v>
          </cell>
          <cell r="C7744" t="str">
            <v>SPFLAL</v>
          </cell>
        </row>
        <row r="7745">
          <cell r="A7745">
            <v>700356</v>
          </cell>
          <cell r="B7745" t="str">
            <v>SPEJOS FLUIDO ALISANTE ACTIVO</v>
          </cell>
          <cell r="C7745" t="str">
            <v>8435057006354</v>
          </cell>
        </row>
        <row r="7746">
          <cell r="A7746">
            <v>700357</v>
          </cell>
          <cell r="B7746" t="str">
            <v>SPEJOS FLUIDO REAFIRM. RIZOS</v>
          </cell>
          <cell r="C7746" t="str">
            <v>SPFLRI</v>
          </cell>
        </row>
        <row r="7747">
          <cell r="A7747">
            <v>700357</v>
          </cell>
          <cell r="B7747" t="str">
            <v>SPEJOS FLUIDO REAFIRM. RIZOS</v>
          </cell>
          <cell r="C7747" t="str">
            <v>8435057006361</v>
          </cell>
        </row>
        <row r="7748">
          <cell r="A7748">
            <v>700358</v>
          </cell>
          <cell r="B7748" t="str">
            <v>SPEJOS MASC. ALISANTE ACTIVA</v>
          </cell>
          <cell r="C7748" t="str">
            <v>SPMAAL</v>
          </cell>
        </row>
        <row r="7749">
          <cell r="A7749">
            <v>700358</v>
          </cell>
          <cell r="B7749" t="str">
            <v>SPEJOS MASC. ALISANTE ACTIVA</v>
          </cell>
          <cell r="C7749" t="str">
            <v>8435057006330</v>
          </cell>
        </row>
        <row r="7750">
          <cell r="A7750">
            <v>700359</v>
          </cell>
          <cell r="B7750" t="str">
            <v>SPEJOS MASC. ACCION COLOR</v>
          </cell>
          <cell r="C7750" t="str">
            <v>SPMACO</v>
          </cell>
        </row>
        <row r="7751">
          <cell r="A7751">
            <v>700359</v>
          </cell>
          <cell r="B7751" t="str">
            <v>SPEJOS MASC. ACCION COLOR</v>
          </cell>
          <cell r="C7751" t="str">
            <v>8435057006323</v>
          </cell>
        </row>
        <row r="7752">
          <cell r="A7752">
            <v>700360</v>
          </cell>
          <cell r="B7752" t="str">
            <v>SPEJOS MASC. NUTRICION INT.</v>
          </cell>
          <cell r="C7752" t="str">
            <v>SPMANI</v>
          </cell>
        </row>
        <row r="7753">
          <cell r="A7753">
            <v>700360</v>
          </cell>
          <cell r="B7753" t="str">
            <v>SPEJOS MASC. NUTRICION INT.</v>
          </cell>
          <cell r="C7753" t="str">
            <v>8435057006347</v>
          </cell>
        </row>
        <row r="7754">
          <cell r="A7754">
            <v>700361</v>
          </cell>
          <cell r="B7754" t="str">
            <v>SPEJOS OXIDANTE CREMA 12 VOL.</v>
          </cell>
          <cell r="C7754" t="str">
            <v>SPOC12</v>
          </cell>
        </row>
        <row r="7755">
          <cell r="A7755">
            <v>700361</v>
          </cell>
          <cell r="B7755" t="str">
            <v>SPEJOS OXIDANTE CREMA 12 VOL.</v>
          </cell>
          <cell r="C7755" t="str">
            <v>8435057047265</v>
          </cell>
        </row>
        <row r="7756">
          <cell r="A7756">
            <v>700362</v>
          </cell>
          <cell r="B7756" t="str">
            <v>SPEJOS OXIDANTE CREMA 20 VOL.</v>
          </cell>
          <cell r="C7756" t="str">
            <v>SPOC20</v>
          </cell>
        </row>
        <row r="7757">
          <cell r="A7757">
            <v>700362</v>
          </cell>
          <cell r="B7757" t="str">
            <v>SPEJOS OXIDANTE CREMA 20 VOL.</v>
          </cell>
          <cell r="C7757" t="str">
            <v>8435057047258</v>
          </cell>
        </row>
        <row r="7758">
          <cell r="A7758">
            <v>700363</v>
          </cell>
          <cell r="B7758" t="str">
            <v>SPEJOS OXIDANTE CREMA 30 VOL.</v>
          </cell>
          <cell r="C7758" t="str">
            <v>SPOC30</v>
          </cell>
        </row>
        <row r="7759">
          <cell r="A7759">
            <v>700363</v>
          </cell>
          <cell r="B7759" t="str">
            <v>SPEJOS OXIDANTE CREMA 30 VOL.</v>
          </cell>
          <cell r="C7759" t="str">
            <v>8435057047241</v>
          </cell>
        </row>
        <row r="7760">
          <cell r="A7760">
            <v>700364</v>
          </cell>
          <cell r="B7760" t="str">
            <v>SPEJOS OXIDANTE CREMA 40 VOL.</v>
          </cell>
          <cell r="C7760" t="str">
            <v>SPOC40</v>
          </cell>
        </row>
        <row r="7761">
          <cell r="A7761">
            <v>700364</v>
          </cell>
          <cell r="B7761" t="str">
            <v>SPEJOS OXIDANTE CREMA 40 VOL.</v>
          </cell>
          <cell r="C7761" t="str">
            <v>8435057047234</v>
          </cell>
        </row>
        <row r="7762">
          <cell r="A7762">
            <v>700365</v>
          </cell>
          <cell r="B7762" t="str">
            <v>SPEJOS SHAMPOO ALISANTE ACT.</v>
          </cell>
          <cell r="C7762" t="str">
            <v>SPSHAL</v>
          </cell>
        </row>
        <row r="7763">
          <cell r="A7763">
            <v>700365</v>
          </cell>
          <cell r="B7763" t="str">
            <v>SPEJOS SHAMPOO ALISANTE ACT.</v>
          </cell>
          <cell r="C7763" t="str">
            <v>8435057006255</v>
          </cell>
        </row>
        <row r="7764">
          <cell r="A7764">
            <v>700366</v>
          </cell>
          <cell r="B7764" t="str">
            <v>SPEJOS SHAMPOO ACCION COLOR</v>
          </cell>
          <cell r="C7764" t="str">
            <v>SPSHCO</v>
          </cell>
        </row>
        <row r="7765">
          <cell r="A7765">
            <v>700366</v>
          </cell>
          <cell r="B7765" t="str">
            <v>SPEJOS SHAMPOO ACCION COLOR</v>
          </cell>
          <cell r="C7765" t="str">
            <v>8435057006248</v>
          </cell>
        </row>
        <row r="7766">
          <cell r="A7766">
            <v>700367</v>
          </cell>
          <cell r="B7766" t="str">
            <v>SPEJOS SHAMPOO VOLUMEN ACTIVO</v>
          </cell>
          <cell r="C7766" t="str">
            <v>SPSHCP</v>
          </cell>
        </row>
        <row r="7767">
          <cell r="A7767">
            <v>700367</v>
          </cell>
          <cell r="B7767" t="str">
            <v>SPEJOS SHAMPOO VOLUMEN ACTIVO</v>
          </cell>
          <cell r="C7767" t="str">
            <v>8435057006262</v>
          </cell>
        </row>
        <row r="7768">
          <cell r="A7768">
            <v>700368</v>
          </cell>
          <cell r="B7768" t="str">
            <v>SPEJOS SHAMPOO ESP. DESCAMACIO</v>
          </cell>
          <cell r="C7768" t="str">
            <v>SPSHCS</v>
          </cell>
        </row>
        <row r="7769">
          <cell r="A7769">
            <v>700368</v>
          </cell>
          <cell r="B7769" t="str">
            <v>SPEJOS SHAMPOO ESP. DESCAMACIO</v>
          </cell>
          <cell r="C7769" t="str">
            <v>8435057006286</v>
          </cell>
        </row>
        <row r="7770">
          <cell r="A7770">
            <v>700369</v>
          </cell>
          <cell r="B7770" t="str">
            <v>SPEJOS SHAMPOO ESP. GRASA</v>
          </cell>
          <cell r="C7770" t="str">
            <v>SPSHGR</v>
          </cell>
        </row>
        <row r="7771">
          <cell r="A7771">
            <v>700369</v>
          </cell>
          <cell r="B7771" t="str">
            <v>SPEJOS SHAMPOO ESP. GRASA</v>
          </cell>
          <cell r="C7771" t="str">
            <v>8435057006293</v>
          </cell>
        </row>
        <row r="7772">
          <cell r="A7772">
            <v>700370</v>
          </cell>
          <cell r="B7772" t="str">
            <v>SPEJOS SHAMPOO NUTRIC. INTENSA</v>
          </cell>
          <cell r="C7772" t="str">
            <v>SPSHNU</v>
          </cell>
        </row>
        <row r="7773">
          <cell r="A7773">
            <v>700370</v>
          </cell>
          <cell r="B7773" t="str">
            <v>SPEJOS SHAMPOO NUTRIC. INTENSA</v>
          </cell>
          <cell r="C7773" t="str">
            <v>8435057006279</v>
          </cell>
        </row>
        <row r="7774">
          <cell r="A7774">
            <v>700371</v>
          </cell>
          <cell r="B7774" t="str">
            <v>FLORAL N.REPAIR SHAMPOO 1000</v>
          </cell>
          <cell r="C7774" t="str">
            <v>8435057006392</v>
          </cell>
        </row>
        <row r="7775">
          <cell r="A7775">
            <v>700372</v>
          </cell>
          <cell r="B7775" t="str">
            <v>FLORAL N.REPAIR SHAMPOO 250</v>
          </cell>
          <cell r="C7775" t="str">
            <v>8435057006408</v>
          </cell>
        </row>
        <row r="7776">
          <cell r="A7776">
            <v>700373</v>
          </cell>
          <cell r="B7776" t="str">
            <v>FLORAL VOLUME SHAMPOO 250</v>
          </cell>
          <cell r="C7776" t="str">
            <v>8435057006415</v>
          </cell>
        </row>
        <row r="7777">
          <cell r="A7777">
            <v>700374</v>
          </cell>
          <cell r="B7777" t="str">
            <v>FLORAL VITAL C. SHAMPOO 1000</v>
          </cell>
          <cell r="C7777" t="str">
            <v>8435057006422</v>
          </cell>
        </row>
        <row r="7778">
          <cell r="A7778">
            <v>700375</v>
          </cell>
          <cell r="B7778" t="str">
            <v>FLORAL VITAL C. SHAMPOO 250</v>
          </cell>
          <cell r="C7778" t="str">
            <v>8435057006439</v>
          </cell>
        </row>
        <row r="7779">
          <cell r="A7779">
            <v>700376</v>
          </cell>
          <cell r="B7779" t="str">
            <v>FLORAL C.SILVER SHAMPOO 250</v>
          </cell>
          <cell r="C7779" t="str">
            <v>8435057006446</v>
          </cell>
        </row>
        <row r="7780">
          <cell r="A7780">
            <v>700377</v>
          </cell>
          <cell r="B7780" t="str">
            <v>FLORAL SENSITIVE SHAMPOO 250</v>
          </cell>
          <cell r="C7780" t="str">
            <v>8435057006453</v>
          </cell>
        </row>
        <row r="7781">
          <cell r="A7781">
            <v>700378</v>
          </cell>
          <cell r="B7781" t="str">
            <v>FLORAL REGUL.CONDITION. 1000</v>
          </cell>
          <cell r="C7781" t="str">
            <v>8435057006460</v>
          </cell>
        </row>
        <row r="7782">
          <cell r="A7782">
            <v>700379</v>
          </cell>
          <cell r="B7782" t="str">
            <v>FLORAL REGUL. CONDITION. 250</v>
          </cell>
          <cell r="C7782" t="str">
            <v>8435057006477</v>
          </cell>
        </row>
        <row r="7783">
          <cell r="A7783">
            <v>700380</v>
          </cell>
          <cell r="B7783" t="str">
            <v>FLORAL REGULAR MASK 150</v>
          </cell>
          <cell r="C7783" t="str">
            <v>8435057006484</v>
          </cell>
        </row>
        <row r="7784">
          <cell r="A7784">
            <v>700381</v>
          </cell>
          <cell r="B7784" t="str">
            <v>FLORAL VITAL C. MASK 150</v>
          </cell>
          <cell r="C7784" t="str">
            <v>8435057006491</v>
          </cell>
        </row>
        <row r="7785">
          <cell r="A7785">
            <v>700382</v>
          </cell>
          <cell r="B7785" t="str">
            <v>FLORAL ENERGY LEAVE-IN 250</v>
          </cell>
          <cell r="C7785" t="str">
            <v>8435057006507</v>
          </cell>
        </row>
        <row r="7786">
          <cell r="A7786">
            <v>700383</v>
          </cell>
          <cell r="B7786" t="str">
            <v>RED'S KERATIN Nº 2.10</v>
          </cell>
          <cell r="C7786" t="str">
            <v>8435290525001</v>
          </cell>
        </row>
        <row r="7787">
          <cell r="A7787">
            <v>700384</v>
          </cell>
          <cell r="B7787" t="str">
            <v>RED'S KERATIN Nº 1.0</v>
          </cell>
          <cell r="C7787" t="str">
            <v>8435290525018</v>
          </cell>
        </row>
        <row r="7788">
          <cell r="A7788">
            <v>700385</v>
          </cell>
          <cell r="B7788" t="str">
            <v>RED'S KERATIN Nº 3.0</v>
          </cell>
          <cell r="C7788" t="str">
            <v>8435290525025</v>
          </cell>
        </row>
        <row r="7789">
          <cell r="A7789">
            <v>700386</v>
          </cell>
          <cell r="B7789" t="str">
            <v>RED'S KERATIN Nº 4.0</v>
          </cell>
          <cell r="C7789" t="str">
            <v>8435290525032</v>
          </cell>
        </row>
        <row r="7790">
          <cell r="A7790">
            <v>700387</v>
          </cell>
          <cell r="B7790" t="str">
            <v>RED'S KERATIN Nº 5.0</v>
          </cell>
          <cell r="C7790" t="str">
            <v>8435290525049</v>
          </cell>
        </row>
        <row r="7791">
          <cell r="A7791">
            <v>700388</v>
          </cell>
          <cell r="B7791" t="str">
            <v>RED'S KERATIN Nº 6.0</v>
          </cell>
          <cell r="C7791" t="str">
            <v>8435290525056</v>
          </cell>
        </row>
        <row r="7792">
          <cell r="A7792">
            <v>700389</v>
          </cell>
          <cell r="B7792" t="str">
            <v>RED'S KERATIN Nº 7.0</v>
          </cell>
          <cell r="C7792" t="str">
            <v>8435290525063</v>
          </cell>
        </row>
        <row r="7793">
          <cell r="A7793">
            <v>700390</v>
          </cell>
          <cell r="B7793" t="str">
            <v>RED'S KERATIN Nº 8.0</v>
          </cell>
          <cell r="C7793" t="str">
            <v>8435290525070</v>
          </cell>
        </row>
        <row r="7794">
          <cell r="A7794">
            <v>700391</v>
          </cell>
          <cell r="B7794" t="str">
            <v>RED'S KERATIN Nº 9.0</v>
          </cell>
          <cell r="C7794" t="str">
            <v>8435290525087</v>
          </cell>
        </row>
        <row r="7795">
          <cell r="A7795">
            <v>700392</v>
          </cell>
          <cell r="B7795" t="str">
            <v>RED'S KERATIN Nº 10.0</v>
          </cell>
          <cell r="C7795" t="str">
            <v>8435290525094</v>
          </cell>
        </row>
        <row r="7796">
          <cell r="A7796">
            <v>700393</v>
          </cell>
          <cell r="B7796" t="str">
            <v>RED'S KERATIN Nº 4.00</v>
          </cell>
          <cell r="C7796" t="str">
            <v>8435290525100</v>
          </cell>
        </row>
        <row r="7797">
          <cell r="A7797">
            <v>700394</v>
          </cell>
          <cell r="B7797" t="str">
            <v>RED'S KERATIN Nº 5.00</v>
          </cell>
          <cell r="C7797" t="str">
            <v>8435290525117</v>
          </cell>
        </row>
        <row r="7798">
          <cell r="A7798">
            <v>700395</v>
          </cell>
          <cell r="B7798" t="str">
            <v>RED'S KERATIN Nº 6.00</v>
          </cell>
          <cell r="C7798" t="str">
            <v>8435290525124</v>
          </cell>
        </row>
        <row r="7799">
          <cell r="A7799">
            <v>700396</v>
          </cell>
          <cell r="B7799" t="str">
            <v>RED'S KERATIN Nº 7.00</v>
          </cell>
          <cell r="C7799" t="str">
            <v>8435290525131</v>
          </cell>
        </row>
        <row r="7800">
          <cell r="A7800">
            <v>700397</v>
          </cell>
          <cell r="B7800" t="str">
            <v>RED'S KERATIN Nº 8.00</v>
          </cell>
          <cell r="C7800" t="str">
            <v>8435290525148</v>
          </cell>
        </row>
        <row r="7801">
          <cell r="A7801">
            <v>700398</v>
          </cell>
          <cell r="B7801" t="str">
            <v>RED'S KERATIN Nº 9.00</v>
          </cell>
          <cell r="C7801" t="str">
            <v>8435290525155</v>
          </cell>
        </row>
        <row r="7802">
          <cell r="A7802">
            <v>700399</v>
          </cell>
          <cell r="B7802" t="str">
            <v>RED'S KERATIN Nº 6.1</v>
          </cell>
          <cell r="C7802" t="str">
            <v>8435290525360</v>
          </cell>
        </row>
        <row r="7803">
          <cell r="A7803">
            <v>700400</v>
          </cell>
          <cell r="B7803" t="str">
            <v>RED'S KERATIN Nº 7.1</v>
          </cell>
          <cell r="C7803" t="str">
            <v>8435290525377</v>
          </cell>
        </row>
        <row r="7804">
          <cell r="A7804">
            <v>700401</v>
          </cell>
          <cell r="B7804" t="str">
            <v>RED'S KERATIN Nº 8.1</v>
          </cell>
          <cell r="C7804" t="str">
            <v>8435290525384</v>
          </cell>
        </row>
        <row r="7805">
          <cell r="A7805">
            <v>700402</v>
          </cell>
          <cell r="B7805" t="str">
            <v>RED'S KERATIN Nº 9.12</v>
          </cell>
          <cell r="C7805" t="str">
            <v>8435290525391</v>
          </cell>
        </row>
        <row r="7806">
          <cell r="A7806">
            <v>700403</v>
          </cell>
          <cell r="B7806" t="str">
            <v>RED'S KERATIN Nº 5.3</v>
          </cell>
          <cell r="C7806" t="str">
            <v>8435290525407</v>
          </cell>
        </row>
        <row r="7807">
          <cell r="A7807">
            <v>700404</v>
          </cell>
          <cell r="B7807" t="str">
            <v>RED'S KERATIN Nº 6.3</v>
          </cell>
          <cell r="C7807" t="str">
            <v>8435290525414</v>
          </cell>
        </row>
        <row r="7808">
          <cell r="A7808">
            <v>700405</v>
          </cell>
          <cell r="B7808" t="str">
            <v>RED'S KERATIN Nº 7.3</v>
          </cell>
          <cell r="C7808" t="str">
            <v>8435290525421</v>
          </cell>
        </row>
        <row r="7809">
          <cell r="A7809">
            <v>700406</v>
          </cell>
          <cell r="B7809" t="str">
            <v>RED'S KERATIN Nº 8.3</v>
          </cell>
          <cell r="C7809" t="str">
            <v>8435290525438</v>
          </cell>
        </row>
        <row r="7810">
          <cell r="A7810">
            <v>700407</v>
          </cell>
          <cell r="B7810" t="str">
            <v>RED'S KERATIN Nº 9.3</v>
          </cell>
          <cell r="C7810" t="str">
            <v>8435290525445</v>
          </cell>
        </row>
        <row r="7811">
          <cell r="A7811">
            <v>700408</v>
          </cell>
          <cell r="B7811" t="str">
            <v>RED'S KERATIN Nº 6.34</v>
          </cell>
          <cell r="C7811" t="str">
            <v>8435290525452</v>
          </cell>
        </row>
        <row r="7812">
          <cell r="A7812">
            <v>700409</v>
          </cell>
          <cell r="B7812" t="str">
            <v>RED'S KERATIN Nº 7.34</v>
          </cell>
          <cell r="C7812" t="str">
            <v>8435290525469</v>
          </cell>
        </row>
        <row r="7813">
          <cell r="A7813">
            <v>700410</v>
          </cell>
          <cell r="B7813" t="str">
            <v>RED'S KERATIN Nº 8.34</v>
          </cell>
          <cell r="C7813" t="str">
            <v>8435290525476</v>
          </cell>
        </row>
        <row r="7814">
          <cell r="A7814">
            <v>700411</v>
          </cell>
          <cell r="B7814" t="str">
            <v>RED'S KERATIN Nº 4.9</v>
          </cell>
          <cell r="C7814" t="str">
            <v>8435290525209</v>
          </cell>
        </row>
        <row r="7815">
          <cell r="A7815">
            <v>700412</v>
          </cell>
          <cell r="B7815" t="str">
            <v>RED'S KERATIN Nº 5.9</v>
          </cell>
          <cell r="C7815" t="str">
            <v>8435290525216</v>
          </cell>
        </row>
        <row r="7816">
          <cell r="A7816">
            <v>700413</v>
          </cell>
          <cell r="B7816" t="str">
            <v>RED'S KERATIN Nº 6.9</v>
          </cell>
          <cell r="C7816" t="str">
            <v>8435290525223</v>
          </cell>
        </row>
        <row r="7817">
          <cell r="A7817">
            <v>700414</v>
          </cell>
          <cell r="B7817" t="str">
            <v>RED'S KERATIN Nº 7.9</v>
          </cell>
          <cell r="C7817" t="str">
            <v>8435290525230</v>
          </cell>
        </row>
        <row r="7818">
          <cell r="A7818">
            <v>700415</v>
          </cell>
          <cell r="B7818" t="str">
            <v>RED'S KERATIN Nº 8.9</v>
          </cell>
          <cell r="C7818" t="str">
            <v>8435290525247</v>
          </cell>
        </row>
        <row r="7819">
          <cell r="A7819">
            <v>700416</v>
          </cell>
          <cell r="B7819" t="str">
            <v>RED'S KERATIN Nº 6.93</v>
          </cell>
          <cell r="C7819" t="str">
            <v>8435290525254</v>
          </cell>
        </row>
        <row r="7820">
          <cell r="A7820">
            <v>700417</v>
          </cell>
          <cell r="B7820" t="str">
            <v>RED'S KERATIN Nº 5.94</v>
          </cell>
          <cell r="C7820" t="str">
            <v>8435290525278</v>
          </cell>
        </row>
        <row r="7821">
          <cell r="A7821">
            <v>700418</v>
          </cell>
          <cell r="B7821" t="str">
            <v>RED'S KERATIN Nº 6.94</v>
          </cell>
          <cell r="C7821" t="str">
            <v>8435290525285</v>
          </cell>
        </row>
        <row r="7822">
          <cell r="A7822">
            <v>700419</v>
          </cell>
          <cell r="B7822" t="str">
            <v>RED'S KERATIN Nº 7.94</v>
          </cell>
          <cell r="C7822" t="str">
            <v>8435290525292</v>
          </cell>
        </row>
        <row r="7823">
          <cell r="A7823">
            <v>700420</v>
          </cell>
          <cell r="B7823" t="str">
            <v>RED'S KERATIN Nº 4CH</v>
          </cell>
          <cell r="C7823" t="str">
            <v>8435290525162</v>
          </cell>
        </row>
        <row r="7824">
          <cell r="A7824">
            <v>700421</v>
          </cell>
          <cell r="B7824" t="str">
            <v>RED'S KERATIN Nº 5CH</v>
          </cell>
          <cell r="C7824" t="str">
            <v>8435290525179</v>
          </cell>
        </row>
        <row r="7825">
          <cell r="A7825">
            <v>700422</v>
          </cell>
          <cell r="B7825" t="str">
            <v>RED'S KERATIN Nº 6CH</v>
          </cell>
          <cell r="C7825" t="str">
            <v>8435290525186</v>
          </cell>
        </row>
        <row r="7826">
          <cell r="A7826">
            <v>700423</v>
          </cell>
          <cell r="B7826" t="str">
            <v>RED'S KERATIN Nº 7CH</v>
          </cell>
          <cell r="C7826" t="str">
            <v>8435290525193</v>
          </cell>
        </row>
        <row r="7827">
          <cell r="A7827">
            <v>700424</v>
          </cell>
          <cell r="B7827" t="str">
            <v>RED'S KERATIN Nº 7.93</v>
          </cell>
          <cell r="C7827" t="str">
            <v>8435290525261</v>
          </cell>
        </row>
        <row r="7828">
          <cell r="A7828">
            <v>700425</v>
          </cell>
          <cell r="B7828" t="str">
            <v>RED'S KERATIN Nº 4.77</v>
          </cell>
          <cell r="C7828" t="str">
            <v>8435290525308</v>
          </cell>
        </row>
        <row r="7829">
          <cell r="A7829">
            <v>700426</v>
          </cell>
          <cell r="B7829" t="str">
            <v>RED'S KERATIN Nº 5.77</v>
          </cell>
          <cell r="C7829" t="str">
            <v>8435290525315</v>
          </cell>
        </row>
        <row r="7830">
          <cell r="A7830">
            <v>700427</v>
          </cell>
          <cell r="B7830" t="str">
            <v>RED'S KERATIN Nº 7.77</v>
          </cell>
          <cell r="C7830" t="str">
            <v>8435290525322</v>
          </cell>
        </row>
        <row r="7831">
          <cell r="A7831">
            <v>700428</v>
          </cell>
          <cell r="B7831" t="str">
            <v>RED'S KERATIN Nº 4.67</v>
          </cell>
          <cell r="C7831" t="str">
            <v>8435290525339</v>
          </cell>
        </row>
        <row r="7832">
          <cell r="A7832">
            <v>700429</v>
          </cell>
          <cell r="B7832" t="str">
            <v>RED'S KERATIN Nº 5.67</v>
          </cell>
          <cell r="C7832" t="str">
            <v>8435290525346</v>
          </cell>
        </row>
        <row r="7833">
          <cell r="A7833">
            <v>700430</v>
          </cell>
          <cell r="B7833" t="str">
            <v>RED'S KERATIN Nº 6.66</v>
          </cell>
          <cell r="C7833" t="str">
            <v>8435290525353</v>
          </cell>
        </row>
        <row r="7834">
          <cell r="A7834">
            <v>700431</v>
          </cell>
          <cell r="B7834" t="str">
            <v>RED'S KERATIN Nº 6.44</v>
          </cell>
          <cell r="C7834" t="str">
            <v>8435290525483</v>
          </cell>
        </row>
        <row r="7835">
          <cell r="A7835">
            <v>700432</v>
          </cell>
          <cell r="B7835" t="str">
            <v>RED'S KERATIN Nº 7.44</v>
          </cell>
          <cell r="C7835" t="str">
            <v>8435290525490</v>
          </cell>
        </row>
        <row r="7836">
          <cell r="A7836">
            <v>700433</v>
          </cell>
          <cell r="B7836" t="str">
            <v>RED'S KERATIN Nº 5.4</v>
          </cell>
          <cell r="C7836" t="str">
            <v>8435290525506</v>
          </cell>
        </row>
        <row r="7837">
          <cell r="A7837">
            <v>700434</v>
          </cell>
          <cell r="B7837" t="str">
            <v>RED'S KERATIN Nº 7.4</v>
          </cell>
          <cell r="C7837" t="str">
            <v>8435290525513</v>
          </cell>
        </row>
        <row r="7838">
          <cell r="A7838">
            <v>700435</v>
          </cell>
          <cell r="B7838" t="str">
            <v>RED'S KERATIN Nº 8.13</v>
          </cell>
          <cell r="C7838" t="str">
            <v>8435290525551</v>
          </cell>
        </row>
        <row r="7839">
          <cell r="A7839">
            <v>700436</v>
          </cell>
          <cell r="B7839" t="str">
            <v>RED'S KERATIN Nº 9.13</v>
          </cell>
          <cell r="C7839" t="str">
            <v>8435290525568</v>
          </cell>
        </row>
        <row r="7840">
          <cell r="A7840">
            <v>700437</v>
          </cell>
          <cell r="B7840" t="str">
            <v>RED'S KERATIN Nº 3.5</v>
          </cell>
          <cell r="C7840" t="str">
            <v>8435290525520</v>
          </cell>
        </row>
        <row r="7841">
          <cell r="A7841">
            <v>700438</v>
          </cell>
          <cell r="B7841" t="str">
            <v>RED'S KERATIN Nº 4.5</v>
          </cell>
          <cell r="C7841" t="str">
            <v>8435290525537</v>
          </cell>
        </row>
        <row r="7842">
          <cell r="A7842">
            <v>700439</v>
          </cell>
          <cell r="B7842" t="str">
            <v>RED'S KERATIN Nº 7.5</v>
          </cell>
          <cell r="C7842" t="str">
            <v>8435290525544</v>
          </cell>
        </row>
        <row r="7843">
          <cell r="A7843">
            <v>700440</v>
          </cell>
          <cell r="B7843" t="str">
            <v>RED'S KERATIN Nº 900 S</v>
          </cell>
          <cell r="C7843" t="str">
            <v>8435290525575</v>
          </cell>
        </row>
        <row r="7844">
          <cell r="A7844">
            <v>700441</v>
          </cell>
          <cell r="B7844" t="str">
            <v>RED'S KERATIN Nº 901 S</v>
          </cell>
          <cell r="C7844" t="str">
            <v>8435290525582</v>
          </cell>
        </row>
        <row r="7845">
          <cell r="A7845">
            <v>700442</v>
          </cell>
          <cell r="B7845" t="str">
            <v>RED'S KERATIN Nº 912 S</v>
          </cell>
          <cell r="C7845" t="str">
            <v>8435290525599</v>
          </cell>
        </row>
        <row r="7846">
          <cell r="A7846">
            <v>700443</v>
          </cell>
          <cell r="B7846" t="str">
            <v>RK OXIDANTE CREMA 20 V. 1 LT.</v>
          </cell>
          <cell r="C7846" t="str">
            <v>8435290520907</v>
          </cell>
        </row>
        <row r="7847">
          <cell r="A7847">
            <v>700444</v>
          </cell>
          <cell r="B7847" t="str">
            <v>RK OXIDANTE CREMA 30 V. 1 LT.</v>
          </cell>
          <cell r="C7847" t="str">
            <v>8435290520914</v>
          </cell>
        </row>
        <row r="7848">
          <cell r="A7848">
            <v>700445</v>
          </cell>
          <cell r="B7848" t="str">
            <v>RK OXIDANTE CREMA 40 V. 1 LT.</v>
          </cell>
          <cell r="C7848" t="str">
            <v>8435290520921</v>
          </cell>
        </row>
        <row r="7849">
          <cell r="A7849">
            <v>700446</v>
          </cell>
          <cell r="B7849" t="str">
            <v>RK OXIDANTE CREMA 20 V. 120 ML</v>
          </cell>
          <cell r="C7849" t="str">
            <v>8435290520938</v>
          </cell>
        </row>
        <row r="7850">
          <cell r="A7850">
            <v>700447</v>
          </cell>
          <cell r="B7850" t="str">
            <v>RK OXIDANTE CREMA 30 V. 120 ML</v>
          </cell>
          <cell r="C7850" t="str">
            <v>8435290520945</v>
          </cell>
        </row>
        <row r="7851">
          <cell r="A7851">
            <v>700448</v>
          </cell>
          <cell r="B7851" t="str">
            <v>RK OXIDANTE CREMA 40 V. 120 ML</v>
          </cell>
          <cell r="C7851" t="str">
            <v>8435290520952</v>
          </cell>
        </row>
        <row r="7852">
          <cell r="A7852">
            <v>700449</v>
          </cell>
          <cell r="B7852" t="str">
            <v>SOBRE RK SHAMPOO ANTICAIDA</v>
          </cell>
          <cell r="C7852" t="str">
            <v>8435290529030</v>
          </cell>
        </row>
        <row r="7853">
          <cell r="A7853">
            <v>700450</v>
          </cell>
          <cell r="B7853" t="str">
            <v>SOBRE RK SHAMPOO EQUILIBRANTE</v>
          </cell>
          <cell r="C7853" t="str">
            <v>8435290529009</v>
          </cell>
        </row>
        <row r="7854">
          <cell r="A7854">
            <v>700451</v>
          </cell>
          <cell r="B7854" t="str">
            <v>SOBRE RK SHAMPOO REPARADOR</v>
          </cell>
          <cell r="C7854" t="str">
            <v>8435290529016</v>
          </cell>
        </row>
        <row r="7855">
          <cell r="A7855">
            <v>700452</v>
          </cell>
          <cell r="B7855" t="str">
            <v>SOBRE RK SHAMPOO COLOR</v>
          </cell>
          <cell r="C7855" t="str">
            <v>8435290529023</v>
          </cell>
        </row>
        <row r="7856">
          <cell r="A7856">
            <v>700453</v>
          </cell>
          <cell r="B7856" t="str">
            <v>SOBRE RK MASCARILLA REPARADORA</v>
          </cell>
          <cell r="C7856" t="str">
            <v>8435290529047</v>
          </cell>
        </row>
        <row r="7857">
          <cell r="A7857">
            <v>700454</v>
          </cell>
          <cell r="B7857" t="str">
            <v>SOBRE RK MASCARILLA COLOR</v>
          </cell>
          <cell r="C7857" t="str">
            <v>8435290529054</v>
          </cell>
        </row>
        <row r="7858">
          <cell r="A7858">
            <v>700455</v>
          </cell>
          <cell r="B7858" t="str">
            <v>REDS TOTAL REPAIR SHAMPOO 1 LT</v>
          </cell>
          <cell r="C7858" t="str">
            <v>8435290570216</v>
          </cell>
        </row>
        <row r="7859">
          <cell r="A7859">
            <v>700456</v>
          </cell>
          <cell r="B7859" t="str">
            <v>REDS TOTAL REPAIR SHAMPOO 500</v>
          </cell>
          <cell r="C7859" t="str">
            <v>8435290570162</v>
          </cell>
        </row>
        <row r="7860">
          <cell r="A7860">
            <v>700458</v>
          </cell>
          <cell r="B7860" t="str">
            <v>REDS TOTAL COLOR SHAMPOO 1 LT.</v>
          </cell>
          <cell r="C7860" t="str">
            <v>8435290570209</v>
          </cell>
        </row>
        <row r="7861">
          <cell r="A7861">
            <v>700459</v>
          </cell>
          <cell r="B7861" t="str">
            <v>REDS TOTAL COLOR SHAMPOO 500</v>
          </cell>
          <cell r="C7861" t="str">
            <v>8435290570155</v>
          </cell>
        </row>
        <row r="7862">
          <cell r="A7862">
            <v>700461</v>
          </cell>
          <cell r="B7862" t="str">
            <v>REDS TOTAL VOLUME SHAMPO 1 LT.</v>
          </cell>
          <cell r="C7862" t="str">
            <v>8435290570223</v>
          </cell>
        </row>
        <row r="7863">
          <cell r="A7863">
            <v>700462</v>
          </cell>
          <cell r="B7863" t="str">
            <v>REDS TOTAL VOLUME SHAMPOO 500</v>
          </cell>
          <cell r="C7863" t="str">
            <v>8435290570186</v>
          </cell>
        </row>
        <row r="7864">
          <cell r="A7864">
            <v>700464</v>
          </cell>
          <cell r="B7864" t="str">
            <v>REDS TOTAL REPAIR EXTRACT 500</v>
          </cell>
          <cell r="C7864" t="str">
            <v>8435290570179</v>
          </cell>
        </row>
        <row r="7865">
          <cell r="A7865">
            <v>700473</v>
          </cell>
          <cell r="B7865" t="str">
            <v>REDS TOTAL TECNOHIDRA SH 1000</v>
          </cell>
          <cell r="C7865" t="str">
            <v>8435290570193</v>
          </cell>
        </row>
        <row r="7866">
          <cell r="A7866">
            <v>700474</v>
          </cell>
          <cell r="B7866" t="str">
            <v>ARGANIA OIL 10 ML. (Unidad)</v>
          </cell>
          <cell r="C7866" t="str">
            <v>8435057010528</v>
          </cell>
        </row>
        <row r="7867">
          <cell r="A7867">
            <v>700475</v>
          </cell>
          <cell r="B7867" t="str">
            <v>ARGANIA OIL 30 ML. (Cristal)</v>
          </cell>
          <cell r="C7867" t="str">
            <v>8435057010535</v>
          </cell>
        </row>
        <row r="7868">
          <cell r="A7868">
            <v>700476</v>
          </cell>
          <cell r="B7868" t="str">
            <v>ARGANIA SHAMPOO SACHET 10 ML.</v>
          </cell>
          <cell r="C7868" t="str">
            <v>8435057010542</v>
          </cell>
        </row>
        <row r="7869">
          <cell r="A7869">
            <v>700477</v>
          </cell>
          <cell r="B7869" t="str">
            <v>ARGANIA SHAMPOO 250 ML.</v>
          </cell>
          <cell r="C7869" t="str">
            <v>8435057010559</v>
          </cell>
        </row>
        <row r="7870">
          <cell r="A7870">
            <v>700478</v>
          </cell>
          <cell r="B7870" t="str">
            <v>ARGANIA ACONDIC. SACHET 10 ML.</v>
          </cell>
          <cell r="C7870" t="str">
            <v>8435057010566</v>
          </cell>
        </row>
        <row r="7871">
          <cell r="A7871">
            <v>700479</v>
          </cell>
          <cell r="B7871" t="str">
            <v>ARGANIA ACONDIC. 250 ML.</v>
          </cell>
          <cell r="C7871" t="str">
            <v>8435057010573</v>
          </cell>
        </row>
        <row r="7872">
          <cell r="A7872">
            <v>700480</v>
          </cell>
          <cell r="B7872" t="str">
            <v>ARGANIA MASK SACHET 30 ML.</v>
          </cell>
          <cell r="C7872" t="str">
            <v>8435057010580</v>
          </cell>
        </row>
        <row r="7873">
          <cell r="A7873">
            <v>700481</v>
          </cell>
          <cell r="B7873" t="str">
            <v>ARGANIA MASK 300 ML.</v>
          </cell>
          <cell r="C7873" t="str">
            <v>8435057010597</v>
          </cell>
        </row>
        <row r="7874">
          <cell r="A7874">
            <v>700482</v>
          </cell>
          <cell r="B7874" t="str">
            <v>ARGANIA OIL 100 ML.</v>
          </cell>
          <cell r="C7874" t="str">
            <v>8435057011143</v>
          </cell>
        </row>
        <row r="7875">
          <cell r="A7875">
            <v>700536</v>
          </cell>
          <cell r="B7875" t="str">
            <v>ARUAL COLLECT. Nº  1</v>
          </cell>
          <cell r="C7875" t="str">
            <v>8436012781231</v>
          </cell>
        </row>
        <row r="7876">
          <cell r="A7876">
            <v>700537</v>
          </cell>
          <cell r="B7876" t="str">
            <v>ARUAL COLLECT. Nº 2</v>
          </cell>
          <cell r="C7876" t="str">
            <v>8436012781248</v>
          </cell>
        </row>
        <row r="7877">
          <cell r="A7877">
            <v>700538</v>
          </cell>
          <cell r="B7877" t="str">
            <v>ARUAL COLLECT. Nº 3</v>
          </cell>
          <cell r="C7877" t="str">
            <v>8436012781255</v>
          </cell>
        </row>
        <row r="7878">
          <cell r="A7878">
            <v>700539</v>
          </cell>
          <cell r="B7878" t="str">
            <v>ARUAL COLLECT. Nº 4</v>
          </cell>
          <cell r="C7878" t="str">
            <v>8436012781262</v>
          </cell>
        </row>
        <row r="7879">
          <cell r="A7879">
            <v>700540</v>
          </cell>
          <cell r="B7879" t="str">
            <v>ARUAL COLLECT. Nº 5</v>
          </cell>
          <cell r="C7879" t="str">
            <v>8436012781279</v>
          </cell>
        </row>
        <row r="7880">
          <cell r="A7880">
            <v>700541</v>
          </cell>
          <cell r="B7880" t="str">
            <v>ARUAL COLLECT. Nº 6</v>
          </cell>
          <cell r="C7880" t="str">
            <v>8436012781286</v>
          </cell>
        </row>
        <row r="7881">
          <cell r="A7881">
            <v>700542</v>
          </cell>
          <cell r="B7881" t="str">
            <v>ARUAL COLLECT. Nº 7</v>
          </cell>
          <cell r="C7881" t="str">
            <v>8436012781293</v>
          </cell>
        </row>
        <row r="7882">
          <cell r="A7882">
            <v>700543</v>
          </cell>
          <cell r="B7882" t="str">
            <v>ARUAL COLLECT. Nº 8</v>
          </cell>
          <cell r="C7882" t="str">
            <v>8436012781309</v>
          </cell>
        </row>
        <row r="7883">
          <cell r="A7883">
            <v>700544</v>
          </cell>
          <cell r="B7883" t="str">
            <v>ARUAL COLLECT. Nº 9</v>
          </cell>
          <cell r="C7883" t="str">
            <v>8436012781316</v>
          </cell>
        </row>
        <row r="7884">
          <cell r="A7884">
            <v>700545</v>
          </cell>
          <cell r="B7884" t="str">
            <v>ARUAL COLLECT. Nº 10</v>
          </cell>
          <cell r="C7884" t="str">
            <v>8436012781323</v>
          </cell>
        </row>
        <row r="7885">
          <cell r="A7885">
            <v>700546</v>
          </cell>
          <cell r="B7885" t="str">
            <v>ARUAL COLLECT. Nº 1.1</v>
          </cell>
          <cell r="C7885" t="str">
            <v>8436012781330</v>
          </cell>
        </row>
        <row r="7886">
          <cell r="A7886">
            <v>700547</v>
          </cell>
          <cell r="B7886" t="str">
            <v>ARUAL COLLECT. Nº 5.1</v>
          </cell>
          <cell r="C7886" t="str">
            <v>8436012781347</v>
          </cell>
        </row>
        <row r="7887">
          <cell r="A7887">
            <v>700548</v>
          </cell>
          <cell r="B7887" t="str">
            <v>ARUAL COLLECT. Nº 6.1</v>
          </cell>
          <cell r="C7887" t="str">
            <v>8436012781354</v>
          </cell>
        </row>
        <row r="7888">
          <cell r="A7888">
            <v>700549</v>
          </cell>
          <cell r="B7888" t="str">
            <v>ARUAL COLLECT. Nº 7.1</v>
          </cell>
          <cell r="C7888" t="str">
            <v>8436012781361</v>
          </cell>
        </row>
        <row r="7889">
          <cell r="A7889">
            <v>700550</v>
          </cell>
          <cell r="B7889" t="str">
            <v>ARUAL COLLECT. Nº 8.1</v>
          </cell>
          <cell r="C7889" t="str">
            <v>8436012781378</v>
          </cell>
        </row>
        <row r="7890">
          <cell r="A7890">
            <v>700551</v>
          </cell>
          <cell r="B7890" t="str">
            <v>ARUAL COLLECT. Nº 9.1</v>
          </cell>
          <cell r="C7890" t="str">
            <v>8436012781385</v>
          </cell>
        </row>
        <row r="7891">
          <cell r="A7891">
            <v>700552</v>
          </cell>
          <cell r="B7891" t="str">
            <v>ARUAL COLLECT. Nº 10.1</v>
          </cell>
          <cell r="C7891" t="str">
            <v>8436012781392</v>
          </cell>
        </row>
        <row r="7892">
          <cell r="A7892">
            <v>700553</v>
          </cell>
          <cell r="B7892" t="str">
            <v>ARUAL COLLECT. Nº 5.3</v>
          </cell>
          <cell r="C7892" t="str">
            <v>8436012781408</v>
          </cell>
        </row>
        <row r="7893">
          <cell r="A7893">
            <v>700554</v>
          </cell>
          <cell r="B7893" t="str">
            <v>ARUAL COLLECT. Nº 6.3</v>
          </cell>
          <cell r="C7893" t="str">
            <v>8436012781415</v>
          </cell>
        </row>
        <row r="7894">
          <cell r="A7894">
            <v>700555</v>
          </cell>
          <cell r="B7894" t="str">
            <v>ARUAL COLLECT. Nº 7.3</v>
          </cell>
          <cell r="C7894" t="str">
            <v>8436012781422</v>
          </cell>
        </row>
        <row r="7895">
          <cell r="A7895">
            <v>700556</v>
          </cell>
          <cell r="B7895" t="str">
            <v>ARUAL COLLECT. Nº 8.3</v>
          </cell>
          <cell r="C7895" t="str">
            <v>8436012781439</v>
          </cell>
        </row>
        <row r="7896">
          <cell r="A7896">
            <v>700557</v>
          </cell>
          <cell r="B7896" t="str">
            <v>ARUAL COLLECT. Nº 9.3</v>
          </cell>
          <cell r="C7896" t="str">
            <v>8436012781446</v>
          </cell>
        </row>
        <row r="7897">
          <cell r="A7897">
            <v>700558</v>
          </cell>
          <cell r="B7897" t="str">
            <v>ARUAL COLLECT. Nº 10.3</v>
          </cell>
          <cell r="C7897" t="str">
            <v>8436012781453</v>
          </cell>
        </row>
        <row r="7898">
          <cell r="A7898">
            <v>700559</v>
          </cell>
          <cell r="B7898" t="str">
            <v>ARUAL COLLECT. Nº 7.32</v>
          </cell>
          <cell r="C7898" t="str">
            <v>8436012781460</v>
          </cell>
        </row>
        <row r="7899">
          <cell r="A7899">
            <v>700560</v>
          </cell>
          <cell r="B7899" t="str">
            <v>ARUAL COLLECT. Nº 8.32</v>
          </cell>
          <cell r="C7899" t="str">
            <v>8436012781477</v>
          </cell>
        </row>
        <row r="7900">
          <cell r="A7900">
            <v>700561</v>
          </cell>
          <cell r="B7900" t="str">
            <v>ARUAL COLLECT. Nº 9.32</v>
          </cell>
          <cell r="C7900" t="str">
            <v>8436012781484</v>
          </cell>
        </row>
        <row r="7901">
          <cell r="A7901">
            <v>700562</v>
          </cell>
          <cell r="B7901" t="str">
            <v>ARUAL COLLECT. Nº 10.32</v>
          </cell>
          <cell r="C7901" t="str">
            <v>8436012781491</v>
          </cell>
        </row>
        <row r="7902">
          <cell r="A7902">
            <v>700563</v>
          </cell>
          <cell r="B7902" t="str">
            <v>ARUAL COLLECT. Nº 6.34</v>
          </cell>
          <cell r="C7902" t="str">
            <v>8436012781507</v>
          </cell>
        </row>
        <row r="7903">
          <cell r="A7903">
            <v>700564</v>
          </cell>
          <cell r="B7903" t="str">
            <v>ARUAL COLLECT. Nº 7.34</v>
          </cell>
          <cell r="C7903" t="str">
            <v>8436012781514</v>
          </cell>
        </row>
        <row r="7904">
          <cell r="A7904">
            <v>700565</v>
          </cell>
          <cell r="B7904" t="str">
            <v>ARUAL COLLECT. Nº 8.34</v>
          </cell>
          <cell r="C7904" t="str">
            <v>8436012781521</v>
          </cell>
        </row>
        <row r="7905">
          <cell r="A7905">
            <v>700566</v>
          </cell>
          <cell r="B7905" t="str">
            <v>ARUAL COLLECT. Nº 5.4</v>
          </cell>
          <cell r="C7905" t="str">
            <v>8436012781538</v>
          </cell>
        </row>
        <row r="7906">
          <cell r="A7906">
            <v>700567</v>
          </cell>
          <cell r="B7906" t="str">
            <v>ARUAL COLLECT. Nº 7.4</v>
          </cell>
          <cell r="C7906" t="str">
            <v>8436012781545</v>
          </cell>
        </row>
        <row r="7907">
          <cell r="A7907">
            <v>700568</v>
          </cell>
          <cell r="B7907" t="str">
            <v>ARUAL COLLECT. Nº 7.44</v>
          </cell>
          <cell r="C7907" t="str">
            <v>8436012781552</v>
          </cell>
        </row>
        <row r="7908">
          <cell r="A7908">
            <v>700569</v>
          </cell>
          <cell r="B7908" t="str">
            <v>ARUAL COLLECT. Nº 8.44</v>
          </cell>
          <cell r="C7908" t="str">
            <v>8436012781569</v>
          </cell>
        </row>
        <row r="7909">
          <cell r="A7909">
            <v>700570</v>
          </cell>
          <cell r="B7909" t="str">
            <v>ARUAL COLLECT. Nº 5.45</v>
          </cell>
          <cell r="C7909" t="str">
            <v>8436012781576</v>
          </cell>
        </row>
        <row r="7910">
          <cell r="A7910">
            <v>700571</v>
          </cell>
          <cell r="B7910" t="str">
            <v>ARUAL COLLECT. Nº 6.45</v>
          </cell>
          <cell r="C7910" t="str">
            <v>8436012781583</v>
          </cell>
        </row>
        <row r="7911">
          <cell r="A7911">
            <v>700572</v>
          </cell>
          <cell r="B7911" t="str">
            <v>ARUAL COLLECT. Nº 7.45</v>
          </cell>
          <cell r="C7911" t="str">
            <v>8436012781590</v>
          </cell>
        </row>
        <row r="7912">
          <cell r="A7912">
            <v>700573</v>
          </cell>
          <cell r="B7912" t="str">
            <v>ARUAL COLLECT. Nº 8.45</v>
          </cell>
          <cell r="C7912" t="str">
            <v>8436012781606</v>
          </cell>
        </row>
        <row r="7913">
          <cell r="A7913">
            <v>700574</v>
          </cell>
          <cell r="B7913" t="str">
            <v>ARUAL COLLECT. Nº 4.8</v>
          </cell>
          <cell r="C7913" t="str">
            <v>8436012781613</v>
          </cell>
        </row>
        <row r="7914">
          <cell r="A7914">
            <v>700575</v>
          </cell>
          <cell r="B7914" t="str">
            <v>ARUAL COLLECT. Nº 5.8</v>
          </cell>
          <cell r="C7914" t="str">
            <v>8436012781620</v>
          </cell>
        </row>
        <row r="7915">
          <cell r="A7915">
            <v>700576</v>
          </cell>
          <cell r="B7915" t="str">
            <v>ARUAL COLLECT. Nº 6.8</v>
          </cell>
          <cell r="C7915" t="str">
            <v>8436012781637</v>
          </cell>
        </row>
        <row r="7916">
          <cell r="A7916">
            <v>700577</v>
          </cell>
          <cell r="B7916" t="str">
            <v>ARUAL COLLECT. Nº 7.8</v>
          </cell>
          <cell r="C7916" t="str">
            <v>8436012781644</v>
          </cell>
        </row>
        <row r="7917">
          <cell r="A7917">
            <v>700578</v>
          </cell>
          <cell r="B7917" t="str">
            <v>ARUAL COLLECT. Nº 5.81</v>
          </cell>
          <cell r="C7917" t="str">
            <v>8436012781651</v>
          </cell>
        </row>
        <row r="7918">
          <cell r="A7918">
            <v>700579</v>
          </cell>
          <cell r="B7918" t="str">
            <v>ARUAL COLLECT. Nº 6.81</v>
          </cell>
          <cell r="C7918" t="str">
            <v>8436012781668</v>
          </cell>
        </row>
        <row r="7919">
          <cell r="A7919">
            <v>700580</v>
          </cell>
          <cell r="B7919" t="str">
            <v>ARUAL COLLECT. Nº 7.81</v>
          </cell>
          <cell r="C7919" t="str">
            <v>8436012781675</v>
          </cell>
        </row>
        <row r="7920">
          <cell r="A7920">
            <v>700581</v>
          </cell>
          <cell r="B7920" t="str">
            <v>ARUAL COLLECT. Nº 8.81</v>
          </cell>
          <cell r="C7920" t="str">
            <v>8436012781682</v>
          </cell>
        </row>
        <row r="7921">
          <cell r="A7921">
            <v>700582</v>
          </cell>
          <cell r="B7921" t="str">
            <v>ARUAL COLLECT. Nº 5.83</v>
          </cell>
          <cell r="C7921" t="str">
            <v>8436012781699</v>
          </cell>
        </row>
        <row r="7922">
          <cell r="A7922">
            <v>700583</v>
          </cell>
          <cell r="B7922" t="str">
            <v>ARUAL COLLECT. Nº 6.83</v>
          </cell>
          <cell r="C7922" t="str">
            <v>8436012781705</v>
          </cell>
        </row>
        <row r="7923">
          <cell r="A7923">
            <v>700584</v>
          </cell>
          <cell r="B7923" t="str">
            <v>ARUAL COLLECT. Nº 7.83</v>
          </cell>
          <cell r="C7923" t="str">
            <v>8436012781712</v>
          </cell>
        </row>
        <row r="7924">
          <cell r="A7924">
            <v>700585</v>
          </cell>
          <cell r="B7924" t="str">
            <v>ARUAL COLLECT. Nº 8.83</v>
          </cell>
          <cell r="C7924" t="str">
            <v>8436012781729</v>
          </cell>
        </row>
        <row r="7925">
          <cell r="A7925">
            <v>700586</v>
          </cell>
          <cell r="B7925" t="str">
            <v>ARUAL COLLECT. Nº 6.66</v>
          </cell>
          <cell r="C7925" t="str">
            <v>8436012781736</v>
          </cell>
        </row>
        <row r="7926">
          <cell r="A7926">
            <v>700587</v>
          </cell>
          <cell r="B7926" t="str">
            <v>ARUAL COLLECT. Nº 7.66</v>
          </cell>
          <cell r="C7926" t="str">
            <v>8436012781743</v>
          </cell>
        </row>
        <row r="7927">
          <cell r="A7927">
            <v>700588</v>
          </cell>
          <cell r="B7927" t="str">
            <v>ARUAL COLLECT. Nº 4.67</v>
          </cell>
          <cell r="C7927" t="str">
            <v>8436012781750</v>
          </cell>
        </row>
        <row r="7928">
          <cell r="A7928">
            <v>700589</v>
          </cell>
          <cell r="B7928" t="str">
            <v>ARUAL COLLECT. Nº 5.67</v>
          </cell>
          <cell r="C7928" t="str">
            <v>8436012781767</v>
          </cell>
        </row>
        <row r="7929">
          <cell r="A7929">
            <v>700590</v>
          </cell>
          <cell r="B7929" t="str">
            <v>ARUAL COLLECT. Nº 6.67</v>
          </cell>
          <cell r="C7929" t="str">
            <v>8436012781774</v>
          </cell>
        </row>
        <row r="7930">
          <cell r="A7930">
            <v>700591</v>
          </cell>
          <cell r="B7930" t="str">
            <v>ARUAL COLLECT. Nº 4.77</v>
          </cell>
          <cell r="C7930" t="str">
            <v>8436012781781</v>
          </cell>
        </row>
        <row r="7931">
          <cell r="A7931">
            <v>700592</v>
          </cell>
          <cell r="B7931" t="str">
            <v>ARUAL COLLECT. Nº 5.77</v>
          </cell>
          <cell r="C7931" t="str">
            <v>8436012781798</v>
          </cell>
        </row>
        <row r="7932">
          <cell r="A7932">
            <v>700593</v>
          </cell>
          <cell r="B7932" t="str">
            <v>ARUAL COLLECT. Nº 7.77</v>
          </cell>
          <cell r="C7932" t="str">
            <v>8436012781804</v>
          </cell>
        </row>
        <row r="7933">
          <cell r="A7933">
            <v>700594</v>
          </cell>
          <cell r="B7933" t="str">
            <v>ARUAL COLLECT. Nº 12/0</v>
          </cell>
          <cell r="C7933" t="str">
            <v>8436012781811</v>
          </cell>
        </row>
        <row r="7934">
          <cell r="A7934">
            <v>700595</v>
          </cell>
          <cell r="B7934" t="str">
            <v>ARUAL COLLECT. Nº 12/1</v>
          </cell>
          <cell r="C7934" t="str">
            <v>8436012781828</v>
          </cell>
        </row>
        <row r="7935">
          <cell r="A7935">
            <v>700596</v>
          </cell>
          <cell r="B7935" t="str">
            <v>ARUAL COLLECT. Nº 11/12</v>
          </cell>
          <cell r="C7935" t="str">
            <v>8436012781835</v>
          </cell>
        </row>
        <row r="7936">
          <cell r="A7936">
            <v>700597</v>
          </cell>
          <cell r="B7936" t="str">
            <v>ARUAL COLLECT. Nº 11/0</v>
          </cell>
          <cell r="C7936" t="str">
            <v>8436012781842</v>
          </cell>
        </row>
        <row r="7937">
          <cell r="A7937">
            <v>700598</v>
          </cell>
          <cell r="B7937" t="str">
            <v>ARUAL COLLECT. Nº 11/1</v>
          </cell>
          <cell r="C7937" t="str">
            <v>8436012781859</v>
          </cell>
        </row>
        <row r="7938">
          <cell r="A7938">
            <v>700599</v>
          </cell>
          <cell r="B7938" t="str">
            <v>ARUAL COLLECT. Nº M/VL</v>
          </cell>
          <cell r="C7938" t="str">
            <v>8436012781866</v>
          </cell>
        </row>
        <row r="7939">
          <cell r="A7939">
            <v>700600</v>
          </cell>
          <cell r="B7939" t="str">
            <v>ARUAL COLLECT. Nº M/R</v>
          </cell>
          <cell r="C7939" t="str">
            <v>8436012781873</v>
          </cell>
        </row>
        <row r="7940">
          <cell r="A7940">
            <v>700601</v>
          </cell>
          <cell r="B7940" t="str">
            <v>ARUAL COLLECT. Nº M/A</v>
          </cell>
          <cell r="C7940" t="str">
            <v>8436012781880</v>
          </cell>
        </row>
        <row r="7941">
          <cell r="A7941">
            <v>700602</v>
          </cell>
          <cell r="B7941" t="str">
            <v>ARUAL COLLECT. Nº M/V</v>
          </cell>
          <cell r="C7941" t="str">
            <v>8436012781897</v>
          </cell>
        </row>
        <row r="7942">
          <cell r="A7942">
            <v>700603</v>
          </cell>
          <cell r="B7942" t="str">
            <v>ARUAL COLLECT. Nº A/00</v>
          </cell>
          <cell r="C7942" t="str">
            <v>8436012781903</v>
          </cell>
        </row>
        <row r="7943">
          <cell r="A7943">
            <v>700604</v>
          </cell>
          <cell r="B7943" t="str">
            <v>ARUAL COLLECT. Nº M/PA</v>
          </cell>
          <cell r="C7943" t="str">
            <v>8436012781910</v>
          </cell>
        </row>
        <row r="7944">
          <cell r="A7944">
            <v>700605</v>
          </cell>
          <cell r="B7944" t="str">
            <v>ARUAL COLLECT. Nº M/P</v>
          </cell>
          <cell r="C7944" t="str">
            <v>8436012781927</v>
          </cell>
        </row>
        <row r="7945">
          <cell r="A7945">
            <v>700608</v>
          </cell>
          <cell r="B7945" t="str">
            <v>ARGAN GAMA OIL 10 ML. (12 UDS)</v>
          </cell>
          <cell r="C7945" t="str">
            <v>8435057011150</v>
          </cell>
        </row>
        <row r="7946">
          <cell r="A7946">
            <v>700610</v>
          </cell>
          <cell r="B7946" t="str">
            <v>ARGAN GAMA OIL 100 ML.</v>
          </cell>
          <cell r="C7946" t="str">
            <v>8435057011174</v>
          </cell>
        </row>
        <row r="7947">
          <cell r="A7947">
            <v>700611</v>
          </cell>
          <cell r="B7947" t="str">
            <v>ARGAN GAMA SHAMPOO 250 ML.</v>
          </cell>
          <cell r="C7947" t="str">
            <v>8435057011181</v>
          </cell>
        </row>
        <row r="7948">
          <cell r="A7948">
            <v>700612</v>
          </cell>
          <cell r="B7948" t="str">
            <v>ARGAN GAMA ACONDICIONADOR 250</v>
          </cell>
          <cell r="C7948" t="str">
            <v>8435057011198</v>
          </cell>
        </row>
        <row r="7949">
          <cell r="A7949">
            <v>700613</v>
          </cell>
          <cell r="B7949" t="str">
            <v>ARGAN GAMA MASK 300 ML.</v>
          </cell>
          <cell r="C7949" t="str">
            <v>8435057011204</v>
          </cell>
        </row>
        <row r="7950">
          <cell r="A7950">
            <v>700614</v>
          </cell>
          <cell r="B7950" t="str">
            <v>ARGAN GAMA SHAMPOO SACHET 10</v>
          </cell>
          <cell r="C7950" t="str">
            <v>8435057011211</v>
          </cell>
        </row>
        <row r="7951">
          <cell r="A7951">
            <v>700615</v>
          </cell>
          <cell r="B7951" t="str">
            <v>ARGAN GAMA ACONDIC. SACHET 10</v>
          </cell>
          <cell r="C7951" t="str">
            <v>8435057011228</v>
          </cell>
        </row>
        <row r="7952">
          <cell r="A7952">
            <v>700616</v>
          </cell>
          <cell r="B7952" t="str">
            <v>ARGAN GAMA MASK SACHET 30 ML.</v>
          </cell>
          <cell r="C7952" t="str">
            <v>8435057011235</v>
          </cell>
        </row>
        <row r="7953">
          <cell r="A7953">
            <v>700618</v>
          </cell>
          <cell r="B7953" t="str">
            <v>XP100 LIGHT RADIANCE Nº 1.0</v>
          </cell>
          <cell r="C7953" t="str">
            <v>IT012976</v>
          </cell>
        </row>
        <row r="7954">
          <cell r="A7954">
            <v>700618</v>
          </cell>
          <cell r="B7954" t="str">
            <v>XP100 LIGHT RADIANCE Nº 1.0</v>
          </cell>
          <cell r="C7954" t="str">
            <v>VR023349</v>
          </cell>
        </row>
        <row r="7955">
          <cell r="A7955">
            <v>700618</v>
          </cell>
          <cell r="B7955" t="str">
            <v>XP100 LIGHT RADIANCE Nº 1.0</v>
          </cell>
          <cell r="C7955" t="str">
            <v>5499899096716</v>
          </cell>
        </row>
        <row r="7956">
          <cell r="A7956">
            <v>700619</v>
          </cell>
          <cell r="B7956" t="str">
            <v>XP100 LIGHT RADIANCE nº 3.0</v>
          </cell>
          <cell r="C7956" t="str">
            <v>IT012976</v>
          </cell>
        </row>
        <row r="7957">
          <cell r="A7957">
            <v>700619</v>
          </cell>
          <cell r="B7957" t="str">
            <v>XP100 LIGHT RADIANCE nº 3.0</v>
          </cell>
          <cell r="C7957" t="str">
            <v>VR023348</v>
          </cell>
        </row>
        <row r="7958">
          <cell r="A7958">
            <v>700619</v>
          </cell>
          <cell r="B7958" t="str">
            <v>XP100 LIGHT RADIANCE nº 3.0</v>
          </cell>
          <cell r="C7958" t="str">
            <v>5499899096723</v>
          </cell>
        </row>
        <row r="7959">
          <cell r="A7959">
            <v>700620</v>
          </cell>
          <cell r="B7959" t="str">
            <v>XP100 LIGHT RADIANCE nº 4.0</v>
          </cell>
          <cell r="C7959" t="str">
            <v>IT012976</v>
          </cell>
        </row>
        <row r="7960">
          <cell r="A7960">
            <v>700620</v>
          </cell>
          <cell r="B7960" t="str">
            <v>XP100 LIGHT RADIANCE nº 4.0</v>
          </cell>
          <cell r="C7960" t="str">
            <v>VR023347</v>
          </cell>
        </row>
        <row r="7961">
          <cell r="A7961">
            <v>700620</v>
          </cell>
          <cell r="B7961" t="str">
            <v>XP100 LIGHT RADIANCE nº 4.0</v>
          </cell>
          <cell r="C7961" t="str">
            <v>5499899096730</v>
          </cell>
        </row>
        <row r="7962">
          <cell r="A7962">
            <v>700621</v>
          </cell>
          <cell r="B7962" t="str">
            <v>XP100 LIGHT RADIANCE nº 5.0</v>
          </cell>
          <cell r="C7962" t="str">
            <v>IT012976</v>
          </cell>
        </row>
        <row r="7963">
          <cell r="A7963">
            <v>700621</v>
          </cell>
          <cell r="B7963" t="str">
            <v>XP100 LIGHT RADIANCE nº 5.0</v>
          </cell>
          <cell r="C7963" t="str">
            <v>VR023346</v>
          </cell>
        </row>
        <row r="7964">
          <cell r="A7964">
            <v>700621</v>
          </cell>
          <cell r="B7964" t="str">
            <v>XP100 LIGHT RADIANCE nº 5.0</v>
          </cell>
          <cell r="C7964" t="str">
            <v>5499899096822</v>
          </cell>
        </row>
        <row r="7965">
          <cell r="A7965">
            <v>700622</v>
          </cell>
          <cell r="B7965" t="str">
            <v>XP100 LIGHT RADIANCE nº 6.0</v>
          </cell>
          <cell r="C7965" t="str">
            <v>IT012976</v>
          </cell>
        </row>
        <row r="7966">
          <cell r="A7966">
            <v>700622</v>
          </cell>
          <cell r="B7966" t="str">
            <v>XP100 LIGHT RADIANCE nº 6.0</v>
          </cell>
          <cell r="C7966" t="str">
            <v>VR023345</v>
          </cell>
        </row>
        <row r="7967">
          <cell r="A7967">
            <v>700622</v>
          </cell>
          <cell r="B7967" t="str">
            <v>XP100 LIGHT RADIANCE nº 6.0</v>
          </cell>
          <cell r="C7967" t="str">
            <v>5499899096792</v>
          </cell>
        </row>
        <row r="7968">
          <cell r="A7968">
            <v>700623</v>
          </cell>
          <cell r="B7968" t="str">
            <v>XP100 LIGHT RADIANCE nº 7.0</v>
          </cell>
          <cell r="C7968" t="str">
            <v>IT012976</v>
          </cell>
        </row>
        <row r="7969">
          <cell r="A7969">
            <v>700623</v>
          </cell>
          <cell r="B7969" t="str">
            <v>XP100 LIGHT RADIANCE nº 7.0</v>
          </cell>
          <cell r="C7969" t="str">
            <v>VR023344</v>
          </cell>
        </row>
        <row r="7970">
          <cell r="A7970">
            <v>700623</v>
          </cell>
          <cell r="B7970" t="str">
            <v>XP100 LIGHT RADIANCE nº 7.0</v>
          </cell>
          <cell r="C7970" t="str">
            <v>5499899096761</v>
          </cell>
        </row>
        <row r="7971">
          <cell r="A7971">
            <v>700624</v>
          </cell>
          <cell r="B7971" t="str">
            <v>XP100 LIGHT RADIANCE nº 8.0</v>
          </cell>
          <cell r="C7971" t="str">
            <v>IT012976</v>
          </cell>
        </row>
        <row r="7972">
          <cell r="A7972">
            <v>700624</v>
          </cell>
          <cell r="B7972" t="str">
            <v>XP100 LIGHT RADIANCE nº 8.0</v>
          </cell>
          <cell r="C7972" t="str">
            <v>VR023343</v>
          </cell>
        </row>
        <row r="7973">
          <cell r="A7973">
            <v>700624</v>
          </cell>
          <cell r="B7973" t="str">
            <v>XP100 LIGHT RADIANCE nº 8.0</v>
          </cell>
          <cell r="C7973" t="str">
            <v>5499899096983</v>
          </cell>
        </row>
        <row r="7974">
          <cell r="A7974">
            <v>700625</v>
          </cell>
          <cell r="B7974" t="str">
            <v>XP100 LIGHT RADIANCE nº 9.0</v>
          </cell>
          <cell r="C7974" t="str">
            <v>IT012976</v>
          </cell>
        </row>
        <row r="7975">
          <cell r="A7975">
            <v>700625</v>
          </cell>
          <cell r="B7975" t="str">
            <v>XP100 LIGHT RADIANCE nº 9.0</v>
          </cell>
          <cell r="C7975" t="str">
            <v>VR023342</v>
          </cell>
        </row>
        <row r="7976">
          <cell r="A7976">
            <v>700625</v>
          </cell>
          <cell r="B7976" t="str">
            <v>XP100 LIGHT RADIANCE nº 9.0</v>
          </cell>
          <cell r="C7976" t="str">
            <v>5499899096808</v>
          </cell>
        </row>
        <row r="7977">
          <cell r="A7977">
            <v>700626</v>
          </cell>
          <cell r="B7977" t="str">
            <v>XP100 LIGHT RADIANCE nº 9.01</v>
          </cell>
          <cell r="C7977" t="str">
            <v>IT012976</v>
          </cell>
        </row>
        <row r="7978">
          <cell r="A7978">
            <v>700626</v>
          </cell>
          <cell r="B7978" t="str">
            <v>XP100 LIGHT RADIANCE nº 9.01</v>
          </cell>
          <cell r="C7978" t="str">
            <v>VR023350</v>
          </cell>
        </row>
        <row r="7979">
          <cell r="A7979">
            <v>700626</v>
          </cell>
          <cell r="B7979" t="str">
            <v>XP100 LIGHT RADIANCE nº 9.01</v>
          </cell>
          <cell r="C7979" t="str">
            <v>5499899096747</v>
          </cell>
        </row>
        <row r="7980">
          <cell r="A7980">
            <v>700627</v>
          </cell>
          <cell r="B7980" t="str">
            <v>XP100 LIGHT RADIANCE nº 5.1</v>
          </cell>
          <cell r="C7980" t="str">
            <v>IT012976</v>
          </cell>
        </row>
        <row r="7981">
          <cell r="A7981">
            <v>700627</v>
          </cell>
          <cell r="B7981" t="str">
            <v>XP100 LIGHT RADIANCE nº 5.1</v>
          </cell>
          <cell r="C7981" t="str">
            <v>VR023352</v>
          </cell>
        </row>
        <row r="7982">
          <cell r="A7982">
            <v>700627</v>
          </cell>
          <cell r="B7982" t="str">
            <v>XP100 LIGHT RADIANCE nº 5.1</v>
          </cell>
          <cell r="C7982" t="str">
            <v>5499899096891</v>
          </cell>
        </row>
        <row r="7983">
          <cell r="A7983">
            <v>700628</v>
          </cell>
          <cell r="B7983" t="str">
            <v>XP100 LIGHT RADIANCE nº 7.1</v>
          </cell>
          <cell r="C7983" t="str">
            <v>IT012976</v>
          </cell>
        </row>
        <row r="7984">
          <cell r="A7984">
            <v>700628</v>
          </cell>
          <cell r="B7984" t="str">
            <v>XP100 LIGHT RADIANCE nº 7.1</v>
          </cell>
          <cell r="C7984" t="str">
            <v>VR023351</v>
          </cell>
        </row>
        <row r="7985">
          <cell r="A7985">
            <v>700628</v>
          </cell>
          <cell r="B7985" t="str">
            <v>XP100 LIGHT RADIANCE nº 7.1</v>
          </cell>
          <cell r="C7985" t="str">
            <v>5499899096778</v>
          </cell>
        </row>
        <row r="7986">
          <cell r="A7986">
            <v>700629</v>
          </cell>
          <cell r="B7986" t="str">
            <v>XP100 LIGHT RADIANCE nº 9.12</v>
          </cell>
          <cell r="C7986" t="str">
            <v>IT012976</v>
          </cell>
        </row>
        <row r="7987">
          <cell r="A7987">
            <v>700629</v>
          </cell>
          <cell r="B7987" t="str">
            <v>XP100 LIGHT RADIANCE nº 9.12</v>
          </cell>
          <cell r="C7987" t="str">
            <v>VR023353</v>
          </cell>
        </row>
        <row r="7988">
          <cell r="A7988">
            <v>700629</v>
          </cell>
          <cell r="B7988" t="str">
            <v>XP100 LIGHT RADIANCE nº 9.12</v>
          </cell>
          <cell r="C7988" t="str">
            <v>5499899097027</v>
          </cell>
        </row>
        <row r="7989">
          <cell r="A7989">
            <v>700630</v>
          </cell>
          <cell r="B7989" t="str">
            <v>XP100 LIGHT RADIANCE nº 9.03</v>
          </cell>
          <cell r="C7989" t="str">
            <v>IT012976</v>
          </cell>
        </row>
        <row r="7990">
          <cell r="A7990">
            <v>700630</v>
          </cell>
          <cell r="B7990" t="str">
            <v>XP100 LIGHT RADIANCE nº 9.03</v>
          </cell>
          <cell r="C7990" t="str">
            <v>VR023354</v>
          </cell>
        </row>
        <row r="7991">
          <cell r="A7991">
            <v>700630</v>
          </cell>
          <cell r="B7991" t="str">
            <v>XP100 LIGHT RADIANCE nº 9.03</v>
          </cell>
          <cell r="C7991" t="str">
            <v>5499899096815</v>
          </cell>
        </row>
        <row r="7992">
          <cell r="A7992">
            <v>700631</v>
          </cell>
          <cell r="B7992" t="str">
            <v>XP100 LIGHT RADIANCE nº 7.3</v>
          </cell>
          <cell r="C7992" t="str">
            <v>IT012976</v>
          </cell>
        </row>
        <row r="7993">
          <cell r="A7993">
            <v>700631</v>
          </cell>
          <cell r="B7993" t="str">
            <v>XP100 LIGHT RADIANCE nº 7.3</v>
          </cell>
          <cell r="C7993" t="str">
            <v>VR023355</v>
          </cell>
        </row>
        <row r="7994">
          <cell r="A7994">
            <v>700631</v>
          </cell>
          <cell r="B7994" t="str">
            <v>XP100 LIGHT RADIANCE nº 7.3</v>
          </cell>
          <cell r="C7994" t="str">
            <v>5499899096785</v>
          </cell>
        </row>
        <row r="7995">
          <cell r="A7995">
            <v>700633</v>
          </cell>
          <cell r="B7995" t="str">
            <v>XP100 LIGHT RADIANCE nº 5.37</v>
          </cell>
          <cell r="C7995" t="str">
            <v>IT012976</v>
          </cell>
        </row>
        <row r="7996">
          <cell r="A7996">
            <v>700633</v>
          </cell>
          <cell r="B7996" t="str">
            <v>XP100 LIGHT RADIANCE nº 5.37</v>
          </cell>
          <cell r="C7996" t="str">
            <v>VR023357</v>
          </cell>
        </row>
        <row r="7997">
          <cell r="A7997">
            <v>700633</v>
          </cell>
          <cell r="B7997" t="str">
            <v>XP100 LIGHT RADIANCE nº 5.37</v>
          </cell>
          <cell r="C7997" t="str">
            <v>5499899096969</v>
          </cell>
        </row>
        <row r="7998">
          <cell r="A7998">
            <v>700634</v>
          </cell>
          <cell r="B7998" t="str">
            <v>XP100 LIGHT RADIANCE nº 6.37</v>
          </cell>
          <cell r="C7998" t="str">
            <v>IT012976</v>
          </cell>
        </row>
        <row r="7999">
          <cell r="A7999">
            <v>700634</v>
          </cell>
          <cell r="B7999" t="str">
            <v>XP100 LIGHT RADIANCE nº 6.37</v>
          </cell>
          <cell r="C7999" t="str">
            <v>VR023356</v>
          </cell>
        </row>
        <row r="8000">
          <cell r="A8000">
            <v>700634</v>
          </cell>
          <cell r="B8000" t="str">
            <v>XP100 LIGHT RADIANCE nº 6.37</v>
          </cell>
          <cell r="C8000" t="str">
            <v>5499899096877</v>
          </cell>
        </row>
        <row r="8001">
          <cell r="A8001">
            <v>700635</v>
          </cell>
          <cell r="B8001" t="str">
            <v>XP100 LIGHT RADIANCE nº 7.43</v>
          </cell>
          <cell r="C8001" t="str">
            <v>IT012976</v>
          </cell>
        </row>
        <row r="8002">
          <cell r="A8002">
            <v>700635</v>
          </cell>
          <cell r="B8002" t="str">
            <v>XP100 LIGHT RADIANCE nº 7.43</v>
          </cell>
          <cell r="C8002" t="str">
            <v>VR023358</v>
          </cell>
        </row>
        <row r="8003">
          <cell r="A8003">
            <v>700635</v>
          </cell>
          <cell r="B8003" t="str">
            <v>XP100 LIGHT RADIANCE nº 7.43</v>
          </cell>
          <cell r="C8003" t="str">
            <v>5499899096853</v>
          </cell>
        </row>
        <row r="8004">
          <cell r="A8004">
            <v>700636</v>
          </cell>
          <cell r="B8004" t="str">
            <v>XP100 LIGHT RADIANCE nº 6.45</v>
          </cell>
          <cell r="C8004" t="str">
            <v>IT012976</v>
          </cell>
        </row>
        <row r="8005">
          <cell r="A8005">
            <v>700636</v>
          </cell>
          <cell r="B8005" t="str">
            <v>XP100 LIGHT RADIANCE nº 6.45</v>
          </cell>
          <cell r="C8005" t="str">
            <v>VR023360</v>
          </cell>
        </row>
        <row r="8006">
          <cell r="A8006">
            <v>700636</v>
          </cell>
          <cell r="B8006" t="str">
            <v>XP100 LIGHT RADIANCE nº 6.45</v>
          </cell>
          <cell r="C8006" t="str">
            <v>5499899096921</v>
          </cell>
        </row>
        <row r="8007">
          <cell r="A8007">
            <v>700637</v>
          </cell>
          <cell r="B8007" t="str">
            <v>XP100 LIGHT RADIANCE nº 7.45</v>
          </cell>
          <cell r="C8007" t="str">
            <v>IT012976</v>
          </cell>
        </row>
        <row r="8008">
          <cell r="A8008">
            <v>700637</v>
          </cell>
          <cell r="B8008" t="str">
            <v>XP100 LIGHT RADIANCE nº 7.45</v>
          </cell>
          <cell r="C8008" t="str">
            <v>VR023359</v>
          </cell>
        </row>
        <row r="8009">
          <cell r="A8009">
            <v>700637</v>
          </cell>
          <cell r="B8009" t="str">
            <v>XP100 LIGHT RADIANCE nº 7.45</v>
          </cell>
          <cell r="C8009" t="str">
            <v>5499899096976</v>
          </cell>
        </row>
        <row r="8010">
          <cell r="A8010">
            <v>700640</v>
          </cell>
          <cell r="B8010" t="str">
            <v>XP100 LIGHT RADIANCE nº 5.56</v>
          </cell>
          <cell r="C8010" t="str">
            <v>IT012976</v>
          </cell>
        </row>
        <row r="8011">
          <cell r="A8011">
            <v>700640</v>
          </cell>
          <cell r="B8011" t="str">
            <v>XP100 LIGHT RADIANCE nº 5.56</v>
          </cell>
          <cell r="C8011" t="str">
            <v>VR023361</v>
          </cell>
        </row>
        <row r="8012">
          <cell r="A8012">
            <v>700640</v>
          </cell>
          <cell r="B8012" t="str">
            <v>XP100 LIGHT RADIANCE nº 5.56</v>
          </cell>
          <cell r="C8012" t="str">
            <v>5499899096914</v>
          </cell>
        </row>
        <row r="8013">
          <cell r="A8013">
            <v>700641</v>
          </cell>
          <cell r="B8013" t="str">
            <v>XP100 LIGHT RADIANCE nº 4.25</v>
          </cell>
          <cell r="C8013" t="str">
            <v>IT012976</v>
          </cell>
        </row>
        <row r="8014">
          <cell r="A8014">
            <v>700641</v>
          </cell>
          <cell r="B8014" t="str">
            <v>XP100 LIGHT RADIANCE nº 4.25</v>
          </cell>
          <cell r="C8014" t="str">
            <v>VR023363</v>
          </cell>
        </row>
        <row r="8015">
          <cell r="A8015">
            <v>700641</v>
          </cell>
          <cell r="B8015" t="str">
            <v>XP100 LIGHT RADIANCE nº 4.25</v>
          </cell>
          <cell r="C8015" t="str">
            <v>5499899096754</v>
          </cell>
        </row>
        <row r="8016">
          <cell r="A8016">
            <v>700642</v>
          </cell>
          <cell r="B8016" t="str">
            <v>XP100 LIGHT RADIANCE nº 5.25</v>
          </cell>
          <cell r="C8016" t="str">
            <v>IT012976</v>
          </cell>
        </row>
        <row r="8017">
          <cell r="A8017">
            <v>700642</v>
          </cell>
          <cell r="B8017" t="str">
            <v>XP100 LIGHT RADIANCE nº 5.25</v>
          </cell>
          <cell r="C8017" t="str">
            <v>VR023362</v>
          </cell>
        </row>
        <row r="8018">
          <cell r="A8018">
            <v>700642</v>
          </cell>
          <cell r="B8018" t="str">
            <v>XP100 LIGHT RADIANCE nº 5.25</v>
          </cell>
          <cell r="C8018" t="str">
            <v>5499899097010</v>
          </cell>
        </row>
        <row r="8019">
          <cell r="A8019">
            <v>700643</v>
          </cell>
          <cell r="B8019" t="str">
            <v>XP100 LIGHT RADIANCE nº 6.7</v>
          </cell>
          <cell r="C8019" t="str">
            <v>IT012976</v>
          </cell>
        </row>
        <row r="8020">
          <cell r="A8020">
            <v>700643</v>
          </cell>
          <cell r="B8020" t="str">
            <v>XP100 LIGHT RADIANCE nº 6.7</v>
          </cell>
          <cell r="C8020" t="str">
            <v>VR023365</v>
          </cell>
        </row>
        <row r="8021">
          <cell r="A8021">
            <v>700643</v>
          </cell>
          <cell r="B8021" t="str">
            <v>XP100 LIGHT RADIANCE nº 6.7</v>
          </cell>
          <cell r="C8021" t="str">
            <v>5499899097003</v>
          </cell>
        </row>
        <row r="8022">
          <cell r="A8022">
            <v>700644</v>
          </cell>
          <cell r="B8022" t="str">
            <v>XP100 LIGHT RADIANCE nº 7.7</v>
          </cell>
          <cell r="C8022" t="str">
            <v>IT012976</v>
          </cell>
        </row>
        <row r="8023">
          <cell r="A8023">
            <v>700644</v>
          </cell>
          <cell r="B8023" t="str">
            <v>XP100 LIGHT RADIANCE nº 7.7</v>
          </cell>
          <cell r="C8023" t="str">
            <v>VR023364</v>
          </cell>
        </row>
        <row r="8024">
          <cell r="A8024">
            <v>700644</v>
          </cell>
          <cell r="B8024" t="str">
            <v>XP100 LIGHT RADIANCE nº 7.7</v>
          </cell>
          <cell r="C8024" t="str">
            <v>5499899096860</v>
          </cell>
        </row>
        <row r="8025">
          <cell r="A8025">
            <v>700646</v>
          </cell>
          <cell r="B8025" t="str">
            <v>XP100 LIGHT RADIANCE nº 6.71</v>
          </cell>
          <cell r="C8025" t="str">
            <v>IT012976</v>
          </cell>
        </row>
        <row r="8026">
          <cell r="A8026">
            <v>700646</v>
          </cell>
          <cell r="B8026" t="str">
            <v>XP100 LIGHT RADIANCE nº 6.71</v>
          </cell>
          <cell r="C8026" t="str">
            <v>VR023367</v>
          </cell>
        </row>
        <row r="8027">
          <cell r="A8027">
            <v>700646</v>
          </cell>
          <cell r="B8027" t="str">
            <v>XP100 LIGHT RADIANCE nº 6.71</v>
          </cell>
          <cell r="C8027" t="str">
            <v>5499899096839</v>
          </cell>
        </row>
        <row r="8028">
          <cell r="A8028">
            <v>700648</v>
          </cell>
          <cell r="B8028" t="str">
            <v>XP100 LIGHT RADIANCE nº 8.71</v>
          </cell>
          <cell r="C8028" t="str">
            <v>IT012976</v>
          </cell>
        </row>
        <row r="8029">
          <cell r="A8029">
            <v>700648</v>
          </cell>
          <cell r="B8029" t="str">
            <v>XP100 LIGHT RADIANCE nº 8.71</v>
          </cell>
          <cell r="C8029" t="str">
            <v>VR023366</v>
          </cell>
        </row>
        <row r="8030">
          <cell r="A8030">
            <v>700648</v>
          </cell>
          <cell r="B8030" t="str">
            <v>XP100 LIGHT RADIANCE nº 8.71</v>
          </cell>
          <cell r="C8030" t="str">
            <v>5499899096884</v>
          </cell>
        </row>
        <row r="8031">
          <cell r="A8031">
            <v>700649</v>
          </cell>
          <cell r="B8031" t="str">
            <v>XP100 LIGHT RADIANCE nº 5.73</v>
          </cell>
          <cell r="C8031" t="str">
            <v>IT012976</v>
          </cell>
        </row>
        <row r="8032">
          <cell r="A8032">
            <v>700649</v>
          </cell>
          <cell r="B8032" t="str">
            <v>XP100 LIGHT RADIANCE nº 5.73</v>
          </cell>
          <cell r="C8032" t="str">
            <v>VR023371</v>
          </cell>
        </row>
        <row r="8033">
          <cell r="A8033">
            <v>700649</v>
          </cell>
          <cell r="B8033" t="str">
            <v>XP100 LIGHT RADIANCE nº 5.73</v>
          </cell>
          <cell r="C8033" t="str">
            <v>5499899096990</v>
          </cell>
        </row>
        <row r="8034">
          <cell r="A8034">
            <v>700650</v>
          </cell>
          <cell r="B8034" t="str">
            <v>XP100 LIGHT RADIANCE nº 6.73</v>
          </cell>
          <cell r="C8034" t="str">
            <v>IT012976</v>
          </cell>
        </row>
        <row r="8035">
          <cell r="A8035">
            <v>700650</v>
          </cell>
          <cell r="B8035" t="str">
            <v>XP100 LIGHT RADIANCE nº 6.73</v>
          </cell>
          <cell r="C8035" t="str">
            <v>VR023370</v>
          </cell>
        </row>
        <row r="8036">
          <cell r="A8036">
            <v>700650</v>
          </cell>
          <cell r="B8036" t="str">
            <v>XP100 LIGHT RADIANCE nº 6.73</v>
          </cell>
          <cell r="C8036" t="str">
            <v>5499899096846</v>
          </cell>
        </row>
        <row r="8037">
          <cell r="A8037">
            <v>700651</v>
          </cell>
          <cell r="B8037" t="str">
            <v>XP100 LIGHT RADIANCE nº 7.73</v>
          </cell>
          <cell r="C8037" t="str">
            <v>IT012976</v>
          </cell>
        </row>
        <row r="8038">
          <cell r="A8038">
            <v>700651</v>
          </cell>
          <cell r="B8038" t="str">
            <v>XP100 LIGHT RADIANCE nº 7.73</v>
          </cell>
          <cell r="C8038" t="str">
            <v>VR023369</v>
          </cell>
        </row>
        <row r="8039">
          <cell r="A8039">
            <v>700651</v>
          </cell>
          <cell r="B8039" t="str">
            <v>XP100 LIGHT RADIANCE nº 7.73</v>
          </cell>
          <cell r="C8039" t="str">
            <v>5499899096945</v>
          </cell>
        </row>
        <row r="8040">
          <cell r="A8040">
            <v>700652</v>
          </cell>
          <cell r="B8040" t="str">
            <v>XP100 LIGHT RADIANCE nº 8.73</v>
          </cell>
          <cell r="C8040" t="str">
            <v>IT012976</v>
          </cell>
        </row>
        <row r="8041">
          <cell r="A8041">
            <v>700652</v>
          </cell>
          <cell r="B8041" t="str">
            <v>XP100 LIGHT RADIANCE nº 8.73</v>
          </cell>
          <cell r="C8041" t="str">
            <v>VR023368</v>
          </cell>
        </row>
        <row r="8042">
          <cell r="A8042">
            <v>700652</v>
          </cell>
          <cell r="B8042" t="str">
            <v>XP100 LIGHT RADIANCE nº 8.73</v>
          </cell>
          <cell r="C8042" t="str">
            <v>5499899096952</v>
          </cell>
        </row>
        <row r="8043">
          <cell r="A8043">
            <v>700653</v>
          </cell>
          <cell r="B8043" t="str">
            <v>XP100 LIGHT RADIANCE nº 5.75</v>
          </cell>
          <cell r="C8043" t="str">
            <v>IT012976</v>
          </cell>
        </row>
        <row r="8044">
          <cell r="A8044">
            <v>700653</v>
          </cell>
          <cell r="B8044" t="str">
            <v>XP100 LIGHT RADIANCE nº 5.75</v>
          </cell>
          <cell r="C8044" t="str">
            <v>VR023373</v>
          </cell>
        </row>
        <row r="8045">
          <cell r="A8045">
            <v>700653</v>
          </cell>
          <cell r="B8045" t="str">
            <v>XP100 LIGHT RADIANCE nº 5.75</v>
          </cell>
          <cell r="C8045" t="str">
            <v>5499899096907</v>
          </cell>
        </row>
        <row r="8046">
          <cell r="A8046">
            <v>700654</v>
          </cell>
          <cell r="B8046" t="str">
            <v>XP100 LIGHT RADIANCE nº 6.75</v>
          </cell>
          <cell r="C8046" t="str">
            <v>IT012976</v>
          </cell>
        </row>
        <row r="8047">
          <cell r="A8047">
            <v>700654</v>
          </cell>
          <cell r="B8047" t="str">
            <v>XP100 LIGHT RADIANCE nº 6.75</v>
          </cell>
          <cell r="C8047" t="str">
            <v>VR023372</v>
          </cell>
        </row>
        <row r="8048">
          <cell r="A8048">
            <v>700654</v>
          </cell>
          <cell r="B8048" t="str">
            <v>XP100 LIGHT RADIANCE nº 6.75</v>
          </cell>
          <cell r="C8048" t="str">
            <v>5499899096938</v>
          </cell>
        </row>
        <row r="8049">
          <cell r="A8049">
            <v>700655</v>
          </cell>
          <cell r="B8049" t="str">
            <v>XP100 LIGHT RADIANCE nº 4.77</v>
          </cell>
          <cell r="C8049" t="str">
            <v>5499899105180</v>
          </cell>
        </row>
        <row r="8050">
          <cell r="A8050">
            <v>700656</v>
          </cell>
          <cell r="B8050" t="str">
            <v>XP100 LIGHT RADIANCE nº 6.77</v>
          </cell>
          <cell r="C8050" t="str">
            <v>5499899105333</v>
          </cell>
        </row>
        <row r="8051">
          <cell r="A8051">
            <v>700657</v>
          </cell>
          <cell r="B8051" t="str">
            <v>XP100 CREAM DEVELOPER 6 VOL 250</v>
          </cell>
          <cell r="C8051" t="str">
            <v>IT012977</v>
          </cell>
        </row>
        <row r="8052">
          <cell r="A8052">
            <v>700657</v>
          </cell>
          <cell r="B8052" t="str">
            <v>XP100 CREAM DEVELOPER 6 VOL 250</v>
          </cell>
          <cell r="C8052" t="str">
            <v>VR023338</v>
          </cell>
        </row>
        <row r="8053">
          <cell r="A8053">
            <v>700657</v>
          </cell>
          <cell r="B8053" t="str">
            <v>XP100 CREAM DEVELOPER 6 VOL 250</v>
          </cell>
          <cell r="C8053" t="str">
            <v>5499899097034</v>
          </cell>
        </row>
        <row r="8054">
          <cell r="A8054">
            <v>700658</v>
          </cell>
          <cell r="B8054" t="str">
            <v>XP100 CREAM DEVELOPER 6 VOL 1000</v>
          </cell>
          <cell r="C8054" t="str">
            <v>IT012979</v>
          </cell>
        </row>
        <row r="8055">
          <cell r="A8055">
            <v>700658</v>
          </cell>
          <cell r="B8055" t="str">
            <v>XP100 CREAM DEVELOPER 6 VOL 1000</v>
          </cell>
          <cell r="C8055" t="str">
            <v>VR023340</v>
          </cell>
        </row>
        <row r="8056">
          <cell r="A8056">
            <v>700658</v>
          </cell>
          <cell r="B8056" t="str">
            <v>XP100 CREAM DEVELOPER 6 VOL 1000</v>
          </cell>
          <cell r="C8056" t="str">
            <v>5499899097058</v>
          </cell>
        </row>
        <row r="8057">
          <cell r="A8057">
            <v>700659</v>
          </cell>
          <cell r="B8057" t="str">
            <v>XP100 CREAM DEVELOPER 12 VOL 250</v>
          </cell>
          <cell r="C8057" t="str">
            <v>IT012978</v>
          </cell>
        </row>
        <row r="8058">
          <cell r="A8058">
            <v>700659</v>
          </cell>
          <cell r="B8058" t="str">
            <v>XP100 CREAM DEVELOPER 12 VOL 250</v>
          </cell>
          <cell r="C8058" t="str">
            <v>VR023339</v>
          </cell>
        </row>
        <row r="8059">
          <cell r="A8059">
            <v>700659</v>
          </cell>
          <cell r="B8059" t="str">
            <v>XP100 CREAM DEVELOPER 12 VOL 250</v>
          </cell>
          <cell r="C8059" t="str">
            <v>5499899097041</v>
          </cell>
        </row>
        <row r="8060">
          <cell r="A8060">
            <v>700660</v>
          </cell>
          <cell r="B8060" t="str">
            <v>XP100 CREAM DEVELOPER 12 VOL 1000</v>
          </cell>
          <cell r="C8060" t="str">
            <v>IT012980</v>
          </cell>
        </row>
        <row r="8061">
          <cell r="A8061">
            <v>700660</v>
          </cell>
          <cell r="B8061" t="str">
            <v>XP100 CREAM DEVELOPER 12 VOL 1000</v>
          </cell>
          <cell r="C8061" t="str">
            <v>VR023341</v>
          </cell>
        </row>
        <row r="8062">
          <cell r="A8062">
            <v>700660</v>
          </cell>
          <cell r="B8062" t="str">
            <v>XP100 CREAM DEVELOPER 12 VOL 1000</v>
          </cell>
          <cell r="C8062" t="str">
            <v>5499899097065</v>
          </cell>
        </row>
        <row r="8063">
          <cell r="A8063">
            <v>700661</v>
          </cell>
          <cell r="B8063" t="str">
            <v>CIRE TEXTURISANTE 100 ML.</v>
          </cell>
          <cell r="C8063" t="str">
            <v>3663712010490</v>
          </cell>
        </row>
        <row r="8064">
          <cell r="A8064">
            <v>700662</v>
          </cell>
          <cell r="B8064" t="str">
            <v>GEL STRUCTURANT 150 ML.</v>
          </cell>
          <cell r="C8064" t="str">
            <v>3663712010520</v>
          </cell>
        </row>
        <row r="8065">
          <cell r="A8065">
            <v>700663</v>
          </cell>
          <cell r="B8065" t="str">
            <v>GEL CRÉATIF 250 ML.</v>
          </cell>
          <cell r="C8065" t="str">
            <v>3663712010506</v>
          </cell>
        </row>
        <row r="8066">
          <cell r="A8066">
            <v>700664</v>
          </cell>
          <cell r="B8066" t="str">
            <v>PÂTE FIBREUSE 100 ML.</v>
          </cell>
          <cell r="C8066" t="str">
            <v>3663712010513</v>
          </cell>
        </row>
        <row r="8067">
          <cell r="A8067">
            <v>700665</v>
          </cell>
          <cell r="B8067" t="str">
            <v>SPRAY MULTIFONCTION 200 ML.</v>
          </cell>
          <cell r="C8067" t="str">
            <v>3663712010483</v>
          </cell>
        </row>
        <row r="8068">
          <cell r="A8068">
            <v>700666</v>
          </cell>
          <cell r="B8068" t="str">
            <v>NICE COLOR Nº 4.81</v>
          </cell>
          <cell r="C8068" t="str">
            <v>0000007006661</v>
          </cell>
        </row>
        <row r="8069">
          <cell r="A8069">
            <v>700667</v>
          </cell>
          <cell r="B8069" t="str">
            <v>NICE COLOR Nº 6.81</v>
          </cell>
          <cell r="C8069" t="str">
            <v>0000007006678</v>
          </cell>
        </row>
        <row r="8070">
          <cell r="A8070">
            <v>700668</v>
          </cell>
          <cell r="B8070" t="str">
            <v>NICE COLOR Nº 8.81</v>
          </cell>
          <cell r="C8070" t="str">
            <v>0000007006685</v>
          </cell>
        </row>
        <row r="8071">
          <cell r="A8071">
            <v>700669</v>
          </cell>
          <cell r="B8071" t="str">
            <v>XP100 LIGHT RADIANCE nº 8.81</v>
          </cell>
          <cell r="C8071" t="str">
            <v>5499899105456</v>
          </cell>
        </row>
        <row r="8072">
          <cell r="A8072">
            <v>700670</v>
          </cell>
          <cell r="B8072" t="str">
            <v>XP100 LIGHT RADIANCE nº 10.81</v>
          </cell>
          <cell r="C8072" t="str">
            <v>5499899105142</v>
          </cell>
        </row>
        <row r="8073">
          <cell r="A8073">
            <v>700671</v>
          </cell>
          <cell r="B8073" t="str">
            <v>XP100 LIGHT RADIANCE nº 7.82</v>
          </cell>
          <cell r="C8073" t="str">
            <v>5499899105418</v>
          </cell>
        </row>
        <row r="8074">
          <cell r="A8074">
            <v>700672</v>
          </cell>
          <cell r="B8074" t="str">
            <v>BURBAN ALL-OVER SHAMPOO 250 ML.</v>
          </cell>
          <cell r="C8074" t="str">
            <v>5499899104084</v>
          </cell>
        </row>
        <row r="8075">
          <cell r="A8075">
            <v>700673</v>
          </cell>
          <cell r="B8075" t="str">
            <v>BURBAN ALL-OVER SHAMPOO 500 ML.</v>
          </cell>
          <cell r="C8075" t="str">
            <v>5499899109782</v>
          </cell>
        </row>
        <row r="8076">
          <cell r="A8076">
            <v>700674</v>
          </cell>
          <cell r="B8076" t="str">
            <v>BURBAN ALL-OVER SHAMPOO 1000 ML.</v>
          </cell>
          <cell r="C8076" t="str">
            <v>5499899104091</v>
          </cell>
        </row>
        <row r="8077">
          <cell r="A8077">
            <v>700675</v>
          </cell>
          <cell r="B8077" t="str">
            <v>BURBAN HAIR &amp; SCALP TONIC 200 ML.</v>
          </cell>
          <cell r="C8077" t="str">
            <v>5499899104145</v>
          </cell>
        </row>
        <row r="8078">
          <cell r="A8078">
            <v>700676</v>
          </cell>
          <cell r="B8078" t="str">
            <v>BURBAN HAIR &amp; SCALP TONIC 500 ML.</v>
          </cell>
          <cell r="C8078" t="str">
            <v>5499899104152</v>
          </cell>
        </row>
        <row r="8079">
          <cell r="A8079">
            <v>700677</v>
          </cell>
          <cell r="B8079" t="str">
            <v>BURBAN FIBRE PASTE 100 ML.</v>
          </cell>
          <cell r="C8079" t="str">
            <v>5499899104107</v>
          </cell>
        </row>
        <row r="8080">
          <cell r="A8080">
            <v>700678</v>
          </cell>
          <cell r="B8080" t="str">
            <v>BURBAN MATT PASTE 100 ML.</v>
          </cell>
          <cell r="C8080" t="str">
            <v>5499899104114</v>
          </cell>
        </row>
        <row r="8081">
          <cell r="A8081">
            <v>700679</v>
          </cell>
          <cell r="B8081" t="str">
            <v>BURBAN HAIR POMADE 100 ML.</v>
          </cell>
          <cell r="C8081" t="str">
            <v>5499899104121</v>
          </cell>
        </row>
        <row r="8082">
          <cell r="A8082">
            <v>700680</v>
          </cell>
          <cell r="B8082" t="str">
            <v>BURBAN EXTRA STRONG GEL 150 ML.</v>
          </cell>
          <cell r="C8082" t="str">
            <v>5499899104138</v>
          </cell>
        </row>
        <row r="8083">
          <cell r="A8083">
            <v>700681</v>
          </cell>
          <cell r="B8083" t="str">
            <v>BURBAN BEARD BALM 75 ML.</v>
          </cell>
          <cell r="C8083" t="str">
            <v>5499899104060</v>
          </cell>
        </row>
        <row r="8084">
          <cell r="A8084">
            <v>700682</v>
          </cell>
          <cell r="B8084" t="str">
            <v>BURBAN MOUSTACHE WAX 30 ML.</v>
          </cell>
          <cell r="C8084" t="str">
            <v>5499899104077</v>
          </cell>
        </row>
        <row r="8085">
          <cell r="A8085">
            <v>700685</v>
          </cell>
          <cell r="B8085" t="str">
            <v>TSUBAKI OIL 100 ML.</v>
          </cell>
          <cell r="C8085" t="str">
            <v>8435057013741</v>
          </cell>
        </row>
        <row r="8086">
          <cell r="A8086">
            <v>700686</v>
          </cell>
          <cell r="B8086" t="str">
            <v>TSUBAKI OIL 30 ML.  (Pet)</v>
          </cell>
          <cell r="C8086" t="str">
            <v>8435057013758</v>
          </cell>
        </row>
        <row r="8087">
          <cell r="A8087">
            <v>700687</v>
          </cell>
          <cell r="B8087" t="str">
            <v>TSUBAKI OIL  10 ML. (12 Uds.)</v>
          </cell>
          <cell r="C8087" t="str">
            <v>8435057013765</v>
          </cell>
        </row>
        <row r="8088">
          <cell r="A8088">
            <v>700688</v>
          </cell>
          <cell r="B8088" t="str">
            <v>TSUBAKI OIL SHAMPOO 250ML.</v>
          </cell>
          <cell r="C8088" t="str">
            <v>8435057013772</v>
          </cell>
        </row>
        <row r="8089">
          <cell r="A8089">
            <v>700689</v>
          </cell>
          <cell r="B8089" t="str">
            <v>TSUBAKI OIL CONDITIONER 250 ML.</v>
          </cell>
          <cell r="C8089" t="str">
            <v>8435057013789</v>
          </cell>
        </row>
        <row r="8090">
          <cell r="A8090">
            <v>700690</v>
          </cell>
          <cell r="B8090" t="str">
            <v>TSUBAKI OIL MASK 300ML.</v>
          </cell>
          <cell r="C8090" t="str">
            <v>8435057013796</v>
          </cell>
        </row>
        <row r="8091">
          <cell r="A8091">
            <v>700691</v>
          </cell>
          <cell r="B8091" t="str">
            <v>CREME BOUCLES 200 ML.</v>
          </cell>
          <cell r="C8091" t="str">
            <v>3663712036834</v>
          </cell>
        </row>
        <row r="8092">
          <cell r="A8092">
            <v>700692</v>
          </cell>
          <cell r="B8092" t="str">
            <v>TSUBAKI OIL SHAMPOO SACHET10ml</v>
          </cell>
          <cell r="C8092" t="str">
            <v>8435057013802</v>
          </cell>
        </row>
        <row r="8093">
          <cell r="A8093">
            <v>700693</v>
          </cell>
          <cell r="B8093" t="str">
            <v>TSUBAKI OIL CONDIT. SACHET 10ml</v>
          </cell>
          <cell r="C8093" t="str">
            <v>8435057013819</v>
          </cell>
        </row>
        <row r="8094">
          <cell r="A8094">
            <v>700694</v>
          </cell>
          <cell r="B8094" t="str">
            <v>TSUBAKI OIL MASK SACHET 30 ml.</v>
          </cell>
          <cell r="C8094" t="str">
            <v>8435057013826</v>
          </cell>
        </row>
        <row r="8095">
          <cell r="A8095">
            <v>700698</v>
          </cell>
          <cell r="B8095" t="str">
            <v>COCUNAT PURE OILY SHAMPOO</v>
          </cell>
          <cell r="C8095" t="str">
            <v>8436570020841</v>
          </cell>
        </row>
        <row r="8096">
          <cell r="A8096">
            <v>700699</v>
          </cell>
          <cell r="B8096" t="str">
            <v>COCUNAT PURE OILY CONDITIONER</v>
          </cell>
          <cell r="C8096" t="str">
            <v>8436570020827</v>
          </cell>
        </row>
        <row r="8097">
          <cell r="A8097">
            <v>700703</v>
          </cell>
          <cell r="B8097" t="str">
            <v>PSALON OXID. CREMA 10 VOL.</v>
          </cell>
          <cell r="C8097" t="str">
            <v>8435057014618</v>
          </cell>
        </row>
        <row r="8098">
          <cell r="A8098">
            <v>700704</v>
          </cell>
          <cell r="B8098" t="str">
            <v>PSALON OXID. CREMA 20 VOL.</v>
          </cell>
          <cell r="C8098" t="str">
            <v>8435057014625</v>
          </cell>
        </row>
        <row r="8099">
          <cell r="A8099">
            <v>700705</v>
          </cell>
          <cell r="B8099" t="str">
            <v>PSALON OXID. CREMA 30 VOL.</v>
          </cell>
          <cell r="C8099" t="str">
            <v>8435057014632</v>
          </cell>
        </row>
        <row r="8100">
          <cell r="A8100">
            <v>700706</v>
          </cell>
          <cell r="B8100" t="str">
            <v>BARCELÓ OXIGENTA 10 V. 2x70</v>
          </cell>
          <cell r="C8100" t="str">
            <v>8435057014649</v>
          </cell>
        </row>
        <row r="8101">
          <cell r="A8101">
            <v>700707</v>
          </cell>
          <cell r="B8101" t="str">
            <v>BARCELÓ OXIGENTA 20 V. 2x70</v>
          </cell>
          <cell r="C8101" t="str">
            <v>8435057014656</v>
          </cell>
        </row>
        <row r="8102">
          <cell r="A8102">
            <v>700708</v>
          </cell>
          <cell r="B8102" t="str">
            <v>BARCELÓ OXIGENTA 30 V. 2x70</v>
          </cell>
          <cell r="C8102" t="str">
            <v>8435057014663</v>
          </cell>
        </row>
        <row r="8103">
          <cell r="A8103">
            <v>700709</v>
          </cell>
          <cell r="B8103" t="str">
            <v>BARCELÓ TINTE 2x35 ml. Nº1</v>
          </cell>
          <cell r="C8103" t="str">
            <v>8435057014250</v>
          </cell>
        </row>
        <row r="8104">
          <cell r="A8104">
            <v>700710</v>
          </cell>
          <cell r="B8104" t="str">
            <v>BARCELÓ TINTE 2x35 ml. Nº 1.1</v>
          </cell>
          <cell r="C8104" t="str">
            <v>8435057014267</v>
          </cell>
        </row>
        <row r="8105">
          <cell r="A8105">
            <v>700711</v>
          </cell>
          <cell r="B8105" t="str">
            <v>BARCELÓ TINTE 2x35 ml. Nº 7.62</v>
          </cell>
          <cell r="C8105" t="str">
            <v>8435057014274</v>
          </cell>
        </row>
        <row r="8106">
          <cell r="A8106">
            <v>700712</v>
          </cell>
          <cell r="B8106" t="str">
            <v>BARCELÓ TINTE 2x35 ml. Nº 8.1</v>
          </cell>
          <cell r="C8106" t="str">
            <v>8435057014281</v>
          </cell>
        </row>
        <row r="8107">
          <cell r="A8107">
            <v>700713</v>
          </cell>
          <cell r="B8107" t="str">
            <v>BARCELÓ TINTE 2x35 ml. Nº 3</v>
          </cell>
          <cell r="C8107" t="str">
            <v>8435057014298</v>
          </cell>
        </row>
        <row r="8108">
          <cell r="A8108">
            <v>700714</v>
          </cell>
          <cell r="B8108" t="str">
            <v>BARCELÓ TINTE 2x35 ml. Nº 7</v>
          </cell>
          <cell r="C8108" t="str">
            <v>8435057014304</v>
          </cell>
        </row>
        <row r="8109">
          <cell r="A8109">
            <v>700715</v>
          </cell>
          <cell r="B8109" t="str">
            <v>BARCELÓ TINTE 2x35 ml. Nº 8</v>
          </cell>
          <cell r="C8109" t="str">
            <v>8435057014311</v>
          </cell>
        </row>
        <row r="8110">
          <cell r="A8110">
            <v>700716</v>
          </cell>
          <cell r="B8110" t="str">
            <v>BARCELÓ TINTE 2x35 ml. Nº 4</v>
          </cell>
          <cell r="C8110" t="str">
            <v>8435057014328</v>
          </cell>
        </row>
        <row r="8111">
          <cell r="A8111">
            <v>700717</v>
          </cell>
          <cell r="B8111" t="str">
            <v>BARCELÓ TINTE 2x35 ml. Nº 5</v>
          </cell>
          <cell r="C8111" t="str">
            <v>8435057014335</v>
          </cell>
        </row>
        <row r="8112">
          <cell r="A8112">
            <v>700718</v>
          </cell>
          <cell r="B8112" t="str">
            <v>BARCELÓ TINTE 2x35 ml. Nº 6</v>
          </cell>
          <cell r="C8112" t="str">
            <v>8435057014342</v>
          </cell>
        </row>
        <row r="8113">
          <cell r="A8113">
            <v>700719</v>
          </cell>
          <cell r="B8113" t="str">
            <v>BARCELÓ TINTE 2x35 ml. Nº 7.1</v>
          </cell>
          <cell r="C8113" t="str">
            <v>8435057014359</v>
          </cell>
        </row>
        <row r="8114">
          <cell r="A8114">
            <v>700720</v>
          </cell>
          <cell r="B8114" t="str">
            <v>BARCELÓ TINTE 2x35 ml. Nº 7.66</v>
          </cell>
          <cell r="C8114" t="str">
            <v>8435057014366</v>
          </cell>
        </row>
        <row r="8115">
          <cell r="A8115">
            <v>700721</v>
          </cell>
          <cell r="B8115" t="str">
            <v>BARCELÓ TINTE 2x35 ml. Nº 5.66</v>
          </cell>
          <cell r="C8115" t="str">
            <v>8435057014373</v>
          </cell>
        </row>
        <row r="8116">
          <cell r="A8116">
            <v>700722</v>
          </cell>
          <cell r="B8116" t="str">
            <v>BARCELÓ TINTE 2x35 ml. Nº 6.62</v>
          </cell>
          <cell r="C8116" t="str">
            <v>8435057014380</v>
          </cell>
        </row>
        <row r="8117">
          <cell r="A8117">
            <v>700723</v>
          </cell>
          <cell r="B8117" t="str">
            <v>BARCELÓ TINTE 2x35 ml. Nº 5.62</v>
          </cell>
          <cell r="C8117" t="str">
            <v>8435057014397</v>
          </cell>
        </row>
        <row r="8118">
          <cell r="A8118">
            <v>700724</v>
          </cell>
          <cell r="B8118" t="str">
            <v>BARCELÓ TINTE 2x35 ml. Nº 6.66</v>
          </cell>
          <cell r="C8118" t="str">
            <v>8435057014403</v>
          </cell>
        </row>
        <row r="8119">
          <cell r="A8119">
            <v>700725</v>
          </cell>
          <cell r="B8119" t="str">
            <v>BARCELÓ TINTE 2x35 ml. Nº 7.00</v>
          </cell>
          <cell r="C8119" t="str">
            <v>8435057014410</v>
          </cell>
        </row>
        <row r="8120">
          <cell r="A8120">
            <v>700726</v>
          </cell>
          <cell r="B8120" t="str">
            <v>BARCELÓ TINTE 2x35 ml. Nº 7.43</v>
          </cell>
          <cell r="C8120" t="str">
            <v>8435057014427</v>
          </cell>
        </row>
        <row r="8121">
          <cell r="A8121">
            <v>700727</v>
          </cell>
          <cell r="B8121" t="str">
            <v>BARCELÓ TINTE 2x35 ml. Nº 10.1</v>
          </cell>
          <cell r="C8121" t="str">
            <v>8435057014434</v>
          </cell>
        </row>
        <row r="8122">
          <cell r="A8122">
            <v>700728</v>
          </cell>
          <cell r="B8122" t="str">
            <v>BARCELÓ TINTE 2x35 ml. Nº 8.00</v>
          </cell>
          <cell r="C8122" t="str">
            <v>8435057014441</v>
          </cell>
        </row>
        <row r="8123">
          <cell r="A8123">
            <v>700729</v>
          </cell>
          <cell r="B8123" t="str">
            <v>BARCELÓ TINTE 2x35 ml. Nº 8.3</v>
          </cell>
          <cell r="C8123" t="str">
            <v>8435057014458</v>
          </cell>
        </row>
        <row r="8124">
          <cell r="A8124">
            <v>700730</v>
          </cell>
          <cell r="B8124" t="str">
            <v>BARCELÓ TINTE 2x35 ml. Nº 7.51</v>
          </cell>
          <cell r="C8124" t="str">
            <v>8435057014465</v>
          </cell>
        </row>
        <row r="8125">
          <cell r="A8125">
            <v>700731</v>
          </cell>
          <cell r="B8125" t="str">
            <v>BARCELÓ TINTE 2x35 ml. Nº 10.3</v>
          </cell>
          <cell r="C8125" t="str">
            <v>8435057014472</v>
          </cell>
        </row>
        <row r="8126">
          <cell r="A8126">
            <v>700732</v>
          </cell>
          <cell r="B8126" t="str">
            <v>BARCELÓ TINTE 2x35 ml. Nº 7.3</v>
          </cell>
          <cell r="C8126" t="str">
            <v>8435057014489</v>
          </cell>
        </row>
        <row r="8127">
          <cell r="A8127">
            <v>700733</v>
          </cell>
          <cell r="B8127" t="str">
            <v>BARCELÓ TINTE 2x35 ml. Nº 6.43</v>
          </cell>
          <cell r="C8127" t="str">
            <v>8435057014496</v>
          </cell>
        </row>
        <row r="8128">
          <cell r="A8128">
            <v>700734</v>
          </cell>
          <cell r="B8128" t="str">
            <v>BARCELÓ TINTE 2x35 ml. Nº 7.56</v>
          </cell>
          <cell r="C8128" t="str">
            <v>8435057014502</v>
          </cell>
        </row>
        <row r="8129">
          <cell r="A8129">
            <v>700735</v>
          </cell>
          <cell r="B8129" t="str">
            <v>BARCELÓ TINTE 2x35 ml. Nº 5.56</v>
          </cell>
          <cell r="C8129" t="str">
            <v>8435057014519</v>
          </cell>
        </row>
        <row r="8130">
          <cell r="A8130">
            <v>700736</v>
          </cell>
          <cell r="B8130" t="str">
            <v>BARCELÓ TINTE 2x35 ml. Nº 10</v>
          </cell>
          <cell r="C8130" t="str">
            <v>8435057014526</v>
          </cell>
        </row>
        <row r="8131">
          <cell r="A8131">
            <v>700737</v>
          </cell>
          <cell r="B8131" t="str">
            <v>BARCELÓ TINTE 2x35 ml. Nº 8.51</v>
          </cell>
          <cell r="C8131" t="str">
            <v>8435057014533</v>
          </cell>
        </row>
        <row r="8132">
          <cell r="A8132">
            <v>700738</v>
          </cell>
          <cell r="B8132" t="str">
            <v>BARCELÓ TINTE 2x35 ml. Nº 6.1</v>
          </cell>
          <cell r="C8132" t="str">
            <v>8435057014540</v>
          </cell>
        </row>
        <row r="8133">
          <cell r="A8133">
            <v>700739</v>
          </cell>
          <cell r="B8133" t="str">
            <v>BARCELÓ TINTE 2x35 ml. Nº 0/12</v>
          </cell>
          <cell r="C8133" t="str">
            <v>8435057014557</v>
          </cell>
        </row>
        <row r="8134">
          <cell r="A8134">
            <v>700740</v>
          </cell>
          <cell r="B8134" t="str">
            <v>BARCELÓ TINTE 2x35 ml. Nº 0/66</v>
          </cell>
          <cell r="C8134" t="str">
            <v>8435057014564</v>
          </cell>
        </row>
        <row r="8135">
          <cell r="A8135">
            <v>700741</v>
          </cell>
          <cell r="B8135" t="str">
            <v>BARCELÓ TINTE 2x35 ml. Nº 0/99</v>
          </cell>
          <cell r="C8135" t="str">
            <v>8435057014571</v>
          </cell>
        </row>
        <row r="8136">
          <cell r="A8136">
            <v>700742</v>
          </cell>
          <cell r="B8136" t="str">
            <v>BARCELÓ TINTE 2x35 ml. Nº 0/88</v>
          </cell>
          <cell r="C8136" t="str">
            <v>8435057014588</v>
          </cell>
        </row>
        <row r="8137">
          <cell r="A8137">
            <v>700743</v>
          </cell>
          <cell r="B8137" t="str">
            <v>BARCELÓ TINTE 2x35 ml. Nº 9.1</v>
          </cell>
          <cell r="C8137" t="str">
            <v>8435057014595</v>
          </cell>
        </row>
        <row r="8138">
          <cell r="A8138">
            <v>700744</v>
          </cell>
          <cell r="B8138" t="str">
            <v>BARCELÓ TINTE 2x35 ml. Nº 7.50</v>
          </cell>
          <cell r="C8138" t="str">
            <v>8435057014601</v>
          </cell>
        </row>
        <row r="8139">
          <cell r="A8139">
            <v>700745</v>
          </cell>
          <cell r="B8139" t="str">
            <v>BARCELÓ TRAT.POST COLOR 10 ML.</v>
          </cell>
          <cell r="C8139" t="str">
            <v>8435057014670</v>
          </cell>
        </row>
        <row r="8140">
          <cell r="A8140">
            <v>700746</v>
          </cell>
          <cell r="B8140" t="str">
            <v>SIBEL MOISTURE SHAMPOO 1 LT.</v>
          </cell>
          <cell r="C8140" t="str">
            <v>5412058211720</v>
          </cell>
        </row>
        <row r="8141">
          <cell r="A8141">
            <v>700747</v>
          </cell>
          <cell r="B8141" t="str">
            <v>SIBEL MOIST. CONDITIONER 1 LT.</v>
          </cell>
          <cell r="C8141" t="str">
            <v>5412058211744</v>
          </cell>
        </row>
        <row r="8142">
          <cell r="A8142">
            <v>700748</v>
          </cell>
          <cell r="B8142" t="str">
            <v>SIBEL MOIST. LEAVE IN 250 ML.</v>
          </cell>
          <cell r="C8142" t="str">
            <v>5412058211768</v>
          </cell>
        </row>
        <row r="8143">
          <cell r="A8143">
            <v>700749</v>
          </cell>
          <cell r="B8143" t="str">
            <v>SIBEL COLOUR SHAMPOO 1 LT.</v>
          </cell>
          <cell r="C8143" t="str">
            <v>5412058211775</v>
          </cell>
        </row>
        <row r="8144">
          <cell r="A8144">
            <v>700750</v>
          </cell>
          <cell r="B8144" t="str">
            <v>SIBEL COLOUR CONDITIONER 1 LT.</v>
          </cell>
          <cell r="C8144" t="str">
            <v>5412058211782</v>
          </cell>
        </row>
        <row r="8145">
          <cell r="A8145">
            <v>700751</v>
          </cell>
          <cell r="B8145" t="str">
            <v>SIBEL COLOUR MASK 500 ML.</v>
          </cell>
          <cell r="C8145" t="str">
            <v>5412058211799</v>
          </cell>
        </row>
        <row r="8146">
          <cell r="A8146">
            <v>700752</v>
          </cell>
          <cell r="B8146" t="str">
            <v>SIBEL COLOUR LEAVE TREAT. 250 ML.</v>
          </cell>
          <cell r="C8146" t="str">
            <v>5412058211805</v>
          </cell>
        </row>
        <row r="8147">
          <cell r="A8147">
            <v>700753</v>
          </cell>
          <cell r="B8147" t="str">
            <v>SIBEL REPAIR SHAMPOO 1 LT.</v>
          </cell>
          <cell r="C8147" t="str">
            <v>5412058211812</v>
          </cell>
        </row>
        <row r="8148">
          <cell r="A8148">
            <v>700754</v>
          </cell>
          <cell r="B8148" t="str">
            <v>SIBEL REPAIR CONDITIONER 1 LT.</v>
          </cell>
          <cell r="C8148" t="str">
            <v>5412058211829</v>
          </cell>
        </row>
        <row r="8149">
          <cell r="A8149">
            <v>700755</v>
          </cell>
          <cell r="B8149" t="str">
            <v>SIBEL VOLUME SHAMPOO 1 LT.</v>
          </cell>
          <cell r="C8149" t="str">
            <v>5412058211843</v>
          </cell>
        </row>
        <row r="8150">
          <cell r="A8150">
            <v>700756</v>
          </cell>
          <cell r="B8150" t="str">
            <v>SIBEL DEEP CLEANSER SHAMPOO 1 LT.</v>
          </cell>
          <cell r="C8150" t="str">
            <v>5412058211850</v>
          </cell>
        </row>
        <row r="8151">
          <cell r="A8151">
            <v>700757</v>
          </cell>
          <cell r="B8151" t="str">
            <v>SIBEL NO YELLOW SHAMPOO 1 LT.</v>
          </cell>
          <cell r="C8151" t="str">
            <v>5412058211867</v>
          </cell>
        </row>
        <row r="8152">
          <cell r="A8152">
            <v>700758</v>
          </cell>
          <cell r="B8152" t="str">
            <v>SIBEL REPAIR MASK 500 ML.</v>
          </cell>
          <cell r="C8152" t="str">
            <v>5412058211836</v>
          </cell>
        </row>
        <row r="8153">
          <cell r="A8153">
            <v>700759</v>
          </cell>
          <cell r="B8153" t="str">
            <v>SIBEL MOISTURE SHAMPOO 5 LTS.</v>
          </cell>
          <cell r="C8153" t="str">
            <v>5412058211737</v>
          </cell>
        </row>
        <row r="8154">
          <cell r="A8154">
            <v>700760</v>
          </cell>
          <cell r="B8154" t="str">
            <v>SIBEL MOISTURE CONDIT. 5 LTS.</v>
          </cell>
          <cell r="C8154" t="str">
            <v>5412058211751</v>
          </cell>
        </row>
        <row r="8155">
          <cell r="A8155">
            <v>700761</v>
          </cell>
          <cell r="B8155" t="str">
            <v>COCU. PURE OILY SHAMP. TUB 200</v>
          </cell>
          <cell r="C8155" t="str">
            <v>8436570021077</v>
          </cell>
        </row>
        <row r="8156">
          <cell r="A8156">
            <v>700762</v>
          </cell>
          <cell r="B8156" t="str">
            <v>COCU. PURE OILY CONDIT. TUB 200</v>
          </cell>
          <cell r="C8156" t="str">
            <v>8436570021084</v>
          </cell>
        </row>
        <row r="8157">
          <cell r="A8157">
            <v>700763</v>
          </cell>
          <cell r="B8157" t="str">
            <v>COCU. RICH STRENGTHENING SHAMP.</v>
          </cell>
          <cell r="C8157" t="str">
            <v>8436570020872</v>
          </cell>
        </row>
        <row r="8158">
          <cell r="A8158">
            <v>700764</v>
          </cell>
          <cell r="B8158" t="str">
            <v>COCUNAT RICH REPAIR CONDITION.</v>
          </cell>
          <cell r="C8158" t="str">
            <v>8436570020889</v>
          </cell>
        </row>
        <row r="8159">
          <cell r="A8159">
            <v>700766</v>
          </cell>
          <cell r="B8159" t="str">
            <v>ARUAL COLLECT. Nº 4.00</v>
          </cell>
          <cell r="C8159" t="str">
            <v>8436012783372</v>
          </cell>
        </row>
        <row r="8160">
          <cell r="A8160">
            <v>700767</v>
          </cell>
          <cell r="B8160" t="str">
            <v>ARUAL COLLECT. Nº 5.00</v>
          </cell>
          <cell r="C8160" t="str">
            <v>8436012783389</v>
          </cell>
        </row>
        <row r="8161">
          <cell r="A8161">
            <v>700768</v>
          </cell>
          <cell r="B8161" t="str">
            <v>ARUAL COLLECT. Nº 6.00</v>
          </cell>
          <cell r="C8161" t="str">
            <v>8436012783396</v>
          </cell>
        </row>
        <row r="8162">
          <cell r="A8162">
            <v>700769</v>
          </cell>
          <cell r="B8162" t="str">
            <v>ARUAL COLLECT. Nº 7.00</v>
          </cell>
          <cell r="C8162" t="str">
            <v>8436012783402</v>
          </cell>
        </row>
        <row r="8163">
          <cell r="A8163">
            <v>700770</v>
          </cell>
          <cell r="B8163" t="str">
            <v>ARUAL COLLECT. Nº 8.00</v>
          </cell>
          <cell r="C8163" t="str">
            <v>8436012783419</v>
          </cell>
        </row>
        <row r="8164">
          <cell r="A8164">
            <v>700771</v>
          </cell>
          <cell r="B8164" t="str">
            <v>ARUAL COLLECT. Nº 9.00</v>
          </cell>
          <cell r="C8164" t="str">
            <v>8436012783426</v>
          </cell>
        </row>
        <row r="8165">
          <cell r="A8165">
            <v>700772</v>
          </cell>
          <cell r="B8165" t="str">
            <v>ARUAL COLLECT. Nº 4.81</v>
          </cell>
          <cell r="C8165" t="str">
            <v>8436012783433</v>
          </cell>
        </row>
        <row r="8166">
          <cell r="A8166">
            <v>700773</v>
          </cell>
          <cell r="B8166" t="str">
            <v>ARUAL COLLECT. Nº 6.82</v>
          </cell>
          <cell r="C8166" t="str">
            <v>8436012783440</v>
          </cell>
        </row>
        <row r="8167">
          <cell r="A8167">
            <v>700774</v>
          </cell>
          <cell r="B8167" t="str">
            <v>ARUAL COLLECT. Nº 7.82</v>
          </cell>
          <cell r="C8167" t="str">
            <v>8436012783457</v>
          </cell>
        </row>
        <row r="8168">
          <cell r="A8168">
            <v>700775</v>
          </cell>
          <cell r="B8168" t="str">
            <v>ARUAL COLLECT. Nº 5.85</v>
          </cell>
          <cell r="C8168" t="str">
            <v>8436012783464</v>
          </cell>
        </row>
        <row r="8169">
          <cell r="A8169">
            <v>700776</v>
          </cell>
          <cell r="B8169" t="str">
            <v>ARUAL COLLECT. Nº 7.85</v>
          </cell>
          <cell r="C8169" t="str">
            <v>8436012783471</v>
          </cell>
        </row>
        <row r="8170">
          <cell r="A8170">
            <v>700777</v>
          </cell>
          <cell r="B8170" t="str">
            <v>SIBEL MOISTURE SHAMPOO 100 ML.</v>
          </cell>
          <cell r="C8170" t="str">
            <v>5412058211881</v>
          </cell>
        </row>
        <row r="8171">
          <cell r="A8171">
            <v>700778</v>
          </cell>
          <cell r="B8171" t="str">
            <v>SIBEL COLOUR SHAMPOO 100 ML.</v>
          </cell>
          <cell r="C8171" t="str">
            <v>5412058213656</v>
          </cell>
        </row>
        <row r="8172">
          <cell r="A8172">
            <v>700779</v>
          </cell>
          <cell r="B8172" t="str">
            <v>SIBEL REPAIR SHAMPOO 100 ML.</v>
          </cell>
          <cell r="C8172" t="str">
            <v>5412058213649</v>
          </cell>
        </row>
        <row r="8173">
          <cell r="A8173">
            <v>700780</v>
          </cell>
          <cell r="B8173" t="str">
            <v>SIBEL POST COLOR SHAMPOO 1 LT.</v>
          </cell>
          <cell r="C8173" t="str">
            <v>5412058211874</v>
          </cell>
        </row>
        <row r="8174">
          <cell r="A8174">
            <v>700781</v>
          </cell>
          <cell r="B8174" t="str">
            <v>SIBEL COLOR SHAMPOO 5 LTS.</v>
          </cell>
          <cell r="C8174" t="str">
            <v>5412058214011</v>
          </cell>
        </row>
        <row r="8175">
          <cell r="A8175">
            <v>700782</v>
          </cell>
          <cell r="B8175" t="str">
            <v>SIBEL COLOUR CONDITION. 5 LTS.</v>
          </cell>
          <cell r="C8175" t="str">
            <v>5412058214028</v>
          </cell>
        </row>
        <row r="8176">
          <cell r="A8176">
            <v>700783</v>
          </cell>
          <cell r="B8176" t="str">
            <v>SIBEL REPAIR SHAMPOO 5 LTS.</v>
          </cell>
          <cell r="C8176" t="str">
            <v>5412058214035</v>
          </cell>
        </row>
        <row r="8177">
          <cell r="A8177">
            <v>700784</v>
          </cell>
          <cell r="B8177" t="str">
            <v>SIBEL REPAIR CONDITION. 5 LTS.</v>
          </cell>
          <cell r="C8177" t="str">
            <v>5412058214042</v>
          </cell>
        </row>
        <row r="8178">
          <cell r="A8178">
            <v>700785</v>
          </cell>
          <cell r="B8178" t="str">
            <v>ARGAN GAMA OIL 30 ML. (PET)</v>
          </cell>
          <cell r="C8178" t="str">
            <v>8435057011167</v>
          </cell>
        </row>
        <row r="8179">
          <cell r="A8179">
            <v>700787</v>
          </cell>
          <cell r="B8179" t="str">
            <v>SIBEL HAIR SKULPTOR 100 ML.</v>
          </cell>
          <cell r="C8179" t="str">
            <v>5412058216121</v>
          </cell>
        </row>
        <row r="8180">
          <cell r="A8180">
            <v>750001</v>
          </cell>
          <cell r="B8180" t="str">
            <v>SEBELYS COLOR Nº 1.0</v>
          </cell>
          <cell r="C8180" t="str">
            <v>8436556060007</v>
          </cell>
        </row>
        <row r="8181">
          <cell r="A8181">
            <v>750002</v>
          </cell>
          <cell r="B8181" t="str">
            <v>SEBELYS COLOR Nº 3.0</v>
          </cell>
          <cell r="C8181" t="str">
            <v>8436556060014</v>
          </cell>
        </row>
        <row r="8182">
          <cell r="A8182">
            <v>750003</v>
          </cell>
          <cell r="B8182" t="str">
            <v>SEBELYS COLOR Nº 4.0</v>
          </cell>
          <cell r="C8182" t="str">
            <v>8436556060021</v>
          </cell>
        </row>
        <row r="8183">
          <cell r="A8183">
            <v>750004</v>
          </cell>
          <cell r="B8183" t="str">
            <v>SEBELYS COLOR Nº 5.0</v>
          </cell>
          <cell r="C8183" t="str">
            <v>8436556060038</v>
          </cell>
        </row>
        <row r="8184">
          <cell r="A8184">
            <v>750005</v>
          </cell>
          <cell r="B8184" t="str">
            <v>SEBELYS COLOR Nº 6.0</v>
          </cell>
          <cell r="C8184" t="str">
            <v>8436556060045</v>
          </cell>
        </row>
        <row r="8185">
          <cell r="A8185">
            <v>750006</v>
          </cell>
          <cell r="B8185" t="str">
            <v>SEBELYS COLOR Nº 7.0</v>
          </cell>
          <cell r="C8185" t="str">
            <v>8436556060052</v>
          </cell>
        </row>
        <row r="8186">
          <cell r="A8186">
            <v>750007</v>
          </cell>
          <cell r="B8186" t="str">
            <v>SEBELYS COLOR Nº 8.0</v>
          </cell>
          <cell r="C8186" t="str">
            <v>8436556060069</v>
          </cell>
        </row>
        <row r="8187">
          <cell r="A8187">
            <v>750008</v>
          </cell>
          <cell r="B8187" t="str">
            <v>SEBELYS COLOR Nº 9.0</v>
          </cell>
          <cell r="C8187" t="str">
            <v>8436556060076</v>
          </cell>
        </row>
        <row r="8188">
          <cell r="A8188">
            <v>750009</v>
          </cell>
          <cell r="B8188" t="str">
            <v>SEBELYS COLOR Nº 10.0</v>
          </cell>
          <cell r="C8188" t="str">
            <v>8436556060083</v>
          </cell>
        </row>
        <row r="8189">
          <cell r="A8189">
            <v>750010</v>
          </cell>
          <cell r="B8189" t="str">
            <v>SEBELYS COLOR Nº 3.00</v>
          </cell>
          <cell r="C8189" t="str">
            <v>8436556060090</v>
          </cell>
        </row>
        <row r="8190">
          <cell r="A8190">
            <v>750011</v>
          </cell>
          <cell r="B8190" t="str">
            <v>SEBELYS COLOR Nº 4.00</v>
          </cell>
          <cell r="C8190" t="str">
            <v>8436556060106</v>
          </cell>
        </row>
        <row r="8191">
          <cell r="A8191">
            <v>750012</v>
          </cell>
          <cell r="B8191" t="str">
            <v>SEBELYS COLOR Nº 5.00</v>
          </cell>
          <cell r="C8191" t="str">
            <v>8436556060113</v>
          </cell>
        </row>
        <row r="8192">
          <cell r="A8192">
            <v>750013</v>
          </cell>
          <cell r="B8192" t="str">
            <v>SEBELYS COLOR Nº 6.00</v>
          </cell>
          <cell r="C8192" t="str">
            <v>8436556060120</v>
          </cell>
        </row>
        <row r="8193">
          <cell r="A8193">
            <v>750014</v>
          </cell>
          <cell r="B8193" t="str">
            <v>SEBELYS COLOR Nº 7.00</v>
          </cell>
          <cell r="C8193" t="str">
            <v>8436556060137</v>
          </cell>
        </row>
        <row r="8194">
          <cell r="A8194">
            <v>750015</v>
          </cell>
          <cell r="B8194" t="str">
            <v>SEBELYS COLOR Nº 8.00</v>
          </cell>
          <cell r="C8194" t="str">
            <v>8436556060144</v>
          </cell>
        </row>
        <row r="8195">
          <cell r="A8195">
            <v>750016</v>
          </cell>
          <cell r="B8195" t="str">
            <v>SEBELYS COLOR Nº 9.00</v>
          </cell>
          <cell r="C8195" t="str">
            <v>8436556060151</v>
          </cell>
        </row>
        <row r="8196">
          <cell r="A8196">
            <v>750017</v>
          </cell>
          <cell r="B8196" t="str">
            <v>SEBELYS COLOR Nº 10.00</v>
          </cell>
          <cell r="C8196" t="str">
            <v>8436556060168</v>
          </cell>
        </row>
        <row r="8197">
          <cell r="A8197">
            <v>750018</v>
          </cell>
          <cell r="B8197" t="str">
            <v>SEBELYS COLOR Nº 1.1</v>
          </cell>
          <cell r="C8197" t="str">
            <v>8436556060175</v>
          </cell>
        </row>
        <row r="8198">
          <cell r="A8198">
            <v>750019</v>
          </cell>
          <cell r="B8198" t="str">
            <v>SEBELYS COLOR Nº 6.1</v>
          </cell>
          <cell r="C8198" t="str">
            <v>8436556060182</v>
          </cell>
        </row>
        <row r="8199">
          <cell r="A8199">
            <v>750020</v>
          </cell>
          <cell r="B8199" t="str">
            <v>SEBELYS COLOR Nº 7.1</v>
          </cell>
          <cell r="C8199" t="str">
            <v>8436556060199</v>
          </cell>
        </row>
        <row r="8200">
          <cell r="A8200">
            <v>750021</v>
          </cell>
          <cell r="B8200" t="str">
            <v>SEBELYS COLOR Nº 8.1</v>
          </cell>
          <cell r="C8200" t="str">
            <v>8436556060205</v>
          </cell>
        </row>
        <row r="8201">
          <cell r="A8201">
            <v>750022</v>
          </cell>
          <cell r="B8201" t="str">
            <v>SEBELYS COLOR Nº 9.1</v>
          </cell>
          <cell r="C8201" t="str">
            <v>8436556060212</v>
          </cell>
        </row>
        <row r="8202">
          <cell r="A8202">
            <v>750024</v>
          </cell>
          <cell r="B8202" t="str">
            <v>SEBELYS COLOR Nº 6.3</v>
          </cell>
          <cell r="C8202" t="str">
            <v>8436556060229</v>
          </cell>
        </row>
        <row r="8203">
          <cell r="A8203">
            <v>750025</v>
          </cell>
          <cell r="B8203" t="str">
            <v>SEBELYS COLOR Nº 7.3</v>
          </cell>
          <cell r="C8203" t="str">
            <v>8436556060236</v>
          </cell>
        </row>
        <row r="8204">
          <cell r="A8204">
            <v>750026</v>
          </cell>
          <cell r="B8204" t="str">
            <v>SEBELYS COLOR Nº 8.3</v>
          </cell>
          <cell r="C8204" t="str">
            <v>8436556060243</v>
          </cell>
        </row>
        <row r="8205">
          <cell r="A8205">
            <v>750027</v>
          </cell>
          <cell r="B8205" t="str">
            <v>SEBELYS COLOR Nº 9.3</v>
          </cell>
          <cell r="C8205" t="str">
            <v>8436556060250</v>
          </cell>
        </row>
        <row r="8206">
          <cell r="A8206">
            <v>750028</v>
          </cell>
          <cell r="B8206" t="str">
            <v>SEBELYS COLOR Nº 7.32</v>
          </cell>
          <cell r="C8206" t="str">
            <v>8436556060267</v>
          </cell>
        </row>
        <row r="8207">
          <cell r="A8207">
            <v>750029</v>
          </cell>
          <cell r="B8207" t="str">
            <v>SEBELYS COLOR Nº 8.32</v>
          </cell>
          <cell r="C8207" t="str">
            <v>8436556060274</v>
          </cell>
        </row>
        <row r="8208">
          <cell r="A8208">
            <v>750030</v>
          </cell>
          <cell r="B8208" t="str">
            <v>SEBELYS COLOR Nº 9.32</v>
          </cell>
          <cell r="C8208" t="str">
            <v>8436556060281</v>
          </cell>
        </row>
        <row r="8209">
          <cell r="A8209">
            <v>750031</v>
          </cell>
          <cell r="B8209" t="str">
            <v>SEBELYS COLOR Nº 8.34</v>
          </cell>
          <cell r="C8209" t="str">
            <v>8436556060298</v>
          </cell>
        </row>
        <row r="8210">
          <cell r="A8210">
            <v>750032</v>
          </cell>
          <cell r="B8210" t="str">
            <v>SEBELYS COLOR Nº 5.4</v>
          </cell>
          <cell r="C8210" t="str">
            <v>8436556060304</v>
          </cell>
        </row>
        <row r="8211">
          <cell r="A8211">
            <v>750033</v>
          </cell>
          <cell r="B8211" t="str">
            <v>SEBELYS COLOR Nº 7.4</v>
          </cell>
          <cell r="C8211" t="str">
            <v>8436556060311</v>
          </cell>
        </row>
        <row r="8212">
          <cell r="A8212">
            <v>750034</v>
          </cell>
          <cell r="B8212" t="str">
            <v>SEBELYS COLOR Nº 6.43</v>
          </cell>
          <cell r="C8212" t="str">
            <v>8436556060328</v>
          </cell>
        </row>
        <row r="8213">
          <cell r="A8213">
            <v>750035</v>
          </cell>
          <cell r="B8213" t="str">
            <v>SEBELYS COLOR Nº 7.44</v>
          </cell>
          <cell r="C8213" t="str">
            <v>8436556060335</v>
          </cell>
        </row>
        <row r="8214">
          <cell r="A8214">
            <v>750036</v>
          </cell>
          <cell r="B8214" t="str">
            <v>SEBELYS COLOR Nº 8.44</v>
          </cell>
          <cell r="C8214" t="str">
            <v>8436556060342</v>
          </cell>
        </row>
        <row r="8215">
          <cell r="A8215">
            <v>750037</v>
          </cell>
          <cell r="B8215" t="str">
            <v>SEBELYS COLOR Nº 4.50</v>
          </cell>
          <cell r="C8215" t="str">
            <v>8436556060359</v>
          </cell>
        </row>
        <row r="8216">
          <cell r="A8216">
            <v>750038</v>
          </cell>
          <cell r="B8216" t="str">
            <v>SEBELYS COLOR Nº 5.50</v>
          </cell>
          <cell r="C8216" t="str">
            <v>8436556060366</v>
          </cell>
        </row>
        <row r="8217">
          <cell r="A8217">
            <v>750039</v>
          </cell>
          <cell r="B8217" t="str">
            <v>SEBELYS COLOR Nº 6.50</v>
          </cell>
          <cell r="C8217" t="str">
            <v>8436556060373</v>
          </cell>
        </row>
        <row r="8218">
          <cell r="A8218">
            <v>750040</v>
          </cell>
          <cell r="B8218" t="str">
            <v>SEBELYS COLOR Nº 7.50</v>
          </cell>
          <cell r="C8218" t="str">
            <v>8436556060380</v>
          </cell>
        </row>
        <row r="8219">
          <cell r="A8219">
            <v>750041</v>
          </cell>
          <cell r="B8219" t="str">
            <v>SEBELYS COLOR Nº 4.51</v>
          </cell>
          <cell r="C8219" t="str">
            <v>8436556060397</v>
          </cell>
        </row>
        <row r="8220">
          <cell r="A8220">
            <v>750042</v>
          </cell>
          <cell r="B8220" t="str">
            <v>SEBELYS COLOR Nº 5.51</v>
          </cell>
          <cell r="C8220" t="str">
            <v>8436556060403</v>
          </cell>
        </row>
        <row r="8221">
          <cell r="A8221">
            <v>750043</v>
          </cell>
          <cell r="B8221" t="str">
            <v>SEBELYS COLOR Nº 6.51</v>
          </cell>
          <cell r="C8221" t="str">
            <v>8436556060410</v>
          </cell>
        </row>
        <row r="8222">
          <cell r="A8222">
            <v>750044</v>
          </cell>
          <cell r="B8222" t="str">
            <v>SEBELYS COLOR Nº 7.51</v>
          </cell>
          <cell r="C8222" t="str">
            <v>8436556060427</v>
          </cell>
        </row>
        <row r="8223">
          <cell r="A8223">
            <v>750045</v>
          </cell>
          <cell r="B8223" t="str">
            <v>SEBELYS COLOR Nº 8.51</v>
          </cell>
          <cell r="C8223" t="str">
            <v>8436556060434</v>
          </cell>
        </row>
        <row r="8224">
          <cell r="A8224">
            <v>750046</v>
          </cell>
          <cell r="B8224" t="str">
            <v>SEBELYS COLOR Nº 5.53</v>
          </cell>
          <cell r="C8224" t="str">
            <v>8436556060441</v>
          </cell>
        </row>
        <row r="8225">
          <cell r="A8225">
            <v>750047</v>
          </cell>
          <cell r="B8225" t="str">
            <v>SEBELYS COLOR Nº 6.53</v>
          </cell>
          <cell r="C8225" t="str">
            <v>8436556060458</v>
          </cell>
        </row>
        <row r="8226">
          <cell r="A8226">
            <v>750048</v>
          </cell>
          <cell r="B8226" t="str">
            <v>SEBELYS COLOR Nº 7.53</v>
          </cell>
          <cell r="C8226" t="str">
            <v>8436556060465</v>
          </cell>
        </row>
        <row r="8227">
          <cell r="A8227">
            <v>750049</v>
          </cell>
          <cell r="B8227" t="str">
            <v>SEBELYS COLOR Nº 3.56</v>
          </cell>
          <cell r="C8227" t="str">
            <v>8436556060472</v>
          </cell>
        </row>
        <row r="8228">
          <cell r="A8228">
            <v>750050</v>
          </cell>
          <cell r="B8228" t="str">
            <v>SEBELYS COLOR Nº 5.56</v>
          </cell>
          <cell r="C8228" t="str">
            <v>8436556060489</v>
          </cell>
        </row>
        <row r="8229">
          <cell r="A8229">
            <v>750051</v>
          </cell>
          <cell r="B8229" t="str">
            <v>SEBELYS COLOR Nº 7.56</v>
          </cell>
          <cell r="C8229" t="str">
            <v>8436556060496</v>
          </cell>
        </row>
        <row r="8230">
          <cell r="A8230">
            <v>750052</v>
          </cell>
          <cell r="B8230" t="str">
            <v>SEBELYS COLOR Nº 6.66</v>
          </cell>
          <cell r="C8230" t="str">
            <v>8436556060502</v>
          </cell>
        </row>
        <row r="8231">
          <cell r="A8231">
            <v>750053</v>
          </cell>
          <cell r="B8231" t="str">
            <v>SEBELYS COLOR Nº 5.67</v>
          </cell>
          <cell r="C8231" t="str">
            <v>8436556060519</v>
          </cell>
        </row>
        <row r="8232">
          <cell r="A8232">
            <v>750054</v>
          </cell>
          <cell r="B8232" t="str">
            <v>SEBELYS COLOR Nº 6.67</v>
          </cell>
          <cell r="C8232" t="str">
            <v>8436556060526</v>
          </cell>
        </row>
        <row r="8233">
          <cell r="A8233">
            <v>750055</v>
          </cell>
          <cell r="B8233" t="str">
            <v>SEBELYS COLOR Nº 4.77</v>
          </cell>
          <cell r="C8233" t="str">
            <v>8436556060533</v>
          </cell>
        </row>
        <row r="8234">
          <cell r="A8234">
            <v>750056</v>
          </cell>
          <cell r="B8234" t="str">
            <v>SEBELYS COLOR Nº 5.77</v>
          </cell>
          <cell r="C8234" t="str">
            <v>8436556060540</v>
          </cell>
        </row>
        <row r="8235">
          <cell r="A8235">
            <v>750057</v>
          </cell>
          <cell r="B8235" t="str">
            <v>SEBELYS COLOR Nº 7.77</v>
          </cell>
          <cell r="C8235" t="str">
            <v>8436556060557</v>
          </cell>
        </row>
        <row r="8236">
          <cell r="A8236">
            <v>750058</v>
          </cell>
          <cell r="B8236" t="str">
            <v>SEBELYS COLOR Nº 12.0</v>
          </cell>
          <cell r="C8236" t="str">
            <v>8436556060564</v>
          </cell>
        </row>
        <row r="8237">
          <cell r="A8237">
            <v>750059</v>
          </cell>
          <cell r="B8237" t="str">
            <v>SEBELYS COLOR Nº 12.1</v>
          </cell>
          <cell r="C8237" t="str">
            <v>8436556060571</v>
          </cell>
        </row>
        <row r="8238">
          <cell r="A8238">
            <v>750060</v>
          </cell>
          <cell r="B8238" t="str">
            <v>SEBELYS COLOR Nº 12.12</v>
          </cell>
          <cell r="C8238" t="str">
            <v>8436556060588</v>
          </cell>
        </row>
        <row r="8239">
          <cell r="A8239">
            <v>750061</v>
          </cell>
          <cell r="B8239" t="str">
            <v>SEBELYS COLOR Nº 9.19</v>
          </cell>
          <cell r="C8239" t="str">
            <v>8436556060595</v>
          </cell>
        </row>
        <row r="8240">
          <cell r="A8240">
            <v>750062</v>
          </cell>
          <cell r="B8240" t="str">
            <v>SEBELYS COLOR Nº 0/66</v>
          </cell>
          <cell r="C8240" t="str">
            <v>8436556060601</v>
          </cell>
        </row>
        <row r="8241">
          <cell r="A8241">
            <v>750063</v>
          </cell>
          <cell r="B8241" t="str">
            <v>SEBELYS COLOR Nº 0/77</v>
          </cell>
          <cell r="C8241" t="str">
            <v>8436556060618</v>
          </cell>
        </row>
        <row r="8242">
          <cell r="A8242">
            <v>750064</v>
          </cell>
          <cell r="B8242" t="str">
            <v>SEBELYS COLOR Nº 0/88</v>
          </cell>
          <cell r="C8242" t="str">
            <v>8436556060625</v>
          </cell>
        </row>
        <row r="8243">
          <cell r="A8243">
            <v>750065</v>
          </cell>
          <cell r="B8243" t="str">
            <v>SEBELYS COLOR Nº 0/99</v>
          </cell>
          <cell r="C8243" t="str">
            <v>8436556060632</v>
          </cell>
        </row>
        <row r="8244">
          <cell r="A8244">
            <v>750066</v>
          </cell>
          <cell r="B8244" t="str">
            <v>SEBELYS OX. CREAM 10 V.- 1000</v>
          </cell>
          <cell r="C8244" t="str">
            <v>8436556060649</v>
          </cell>
        </row>
        <row r="8245">
          <cell r="A8245">
            <v>750067</v>
          </cell>
          <cell r="B8245" t="str">
            <v>SEBELYS OX. CREAM 20 V.- 1000</v>
          </cell>
          <cell r="C8245" t="str">
            <v>8436556060656</v>
          </cell>
        </row>
        <row r="8246">
          <cell r="A8246">
            <v>750068</v>
          </cell>
          <cell r="B8246" t="str">
            <v>SEBELYS OX. CREAM 30 V.- 1000</v>
          </cell>
          <cell r="C8246" t="str">
            <v>8436556060663</v>
          </cell>
        </row>
        <row r="8247">
          <cell r="A8247">
            <v>750069</v>
          </cell>
          <cell r="B8247" t="str">
            <v>SEBELYS OX. CREAM 40 V.- 1000</v>
          </cell>
          <cell r="C8247" t="str">
            <v>8436556060670</v>
          </cell>
        </row>
        <row r="8248">
          <cell r="A8248">
            <v>750070</v>
          </cell>
          <cell r="B8248" t="str">
            <v>SEBELYS OX.CREAM 10 V. S/50+50</v>
          </cell>
          <cell r="C8248" t="str">
            <v>8436556060687</v>
          </cell>
        </row>
        <row r="8249">
          <cell r="A8249">
            <v>750071</v>
          </cell>
          <cell r="B8249" t="str">
            <v>SEBELYS OX.CREAM 20 V. S/50+50</v>
          </cell>
          <cell r="C8249" t="str">
            <v>8436556060694</v>
          </cell>
        </row>
        <row r="8250">
          <cell r="A8250">
            <v>750072</v>
          </cell>
          <cell r="B8250" t="str">
            <v>SEBELYS OX.CREAM 30 V.- 100 ML</v>
          </cell>
          <cell r="C8250" t="str">
            <v>8436556060700</v>
          </cell>
        </row>
        <row r="8251">
          <cell r="A8251">
            <v>750073</v>
          </cell>
          <cell r="B8251" t="str">
            <v>SEBELYS OX.CREAM 40 V.- 100 ML</v>
          </cell>
          <cell r="C8251" t="str">
            <v>8436556060717</v>
          </cell>
        </row>
        <row r="8252">
          <cell r="A8252">
            <v>750074</v>
          </cell>
          <cell r="B8252" t="str">
            <v>SEBELYS BLEACH POWDER B/500</v>
          </cell>
          <cell r="C8252" t="str">
            <v>8436556060724</v>
          </cell>
        </row>
        <row r="8253">
          <cell r="A8253">
            <v>750075</v>
          </cell>
          <cell r="B8253" t="str">
            <v>SEBELYS BLEACH POWDER S/50 GR</v>
          </cell>
          <cell r="C8253" t="str">
            <v>8436556060731</v>
          </cell>
        </row>
        <row r="8254">
          <cell r="A8254">
            <v>750076</v>
          </cell>
          <cell r="B8254" t="str">
            <v>SEBELYS  ACID SHAMPOO 1000</v>
          </cell>
          <cell r="C8254" t="str">
            <v>8436556060748</v>
          </cell>
        </row>
        <row r="8255">
          <cell r="A8255">
            <v>750077</v>
          </cell>
          <cell r="B8255" t="str">
            <v>SEBELYS  ACID SHAMPOO 400 ML</v>
          </cell>
          <cell r="C8255" t="str">
            <v>8436556060755</v>
          </cell>
        </row>
        <row r="8256">
          <cell r="A8256">
            <v>750080</v>
          </cell>
          <cell r="B8256" t="str">
            <v>SEBELYS OX.CREAM 10 V.- 100 ML</v>
          </cell>
          <cell r="C8256" t="str">
            <v>8436556060762</v>
          </cell>
        </row>
        <row r="8257">
          <cell r="A8257">
            <v>750081</v>
          </cell>
          <cell r="B8257" t="str">
            <v>SEBELYS OX.CREAM 20 V.- 100 ML</v>
          </cell>
          <cell r="C8257" t="str">
            <v>8436556060779</v>
          </cell>
        </row>
        <row r="8258">
          <cell r="A8258">
            <v>750083</v>
          </cell>
          <cell r="B8258" t="str">
            <v>SEBELYS BLEACH POWDER TARRO 500</v>
          </cell>
          <cell r="C8258" t="str">
            <v>8435057014687</v>
          </cell>
        </row>
        <row r="8259">
          <cell r="A8259">
            <v>751000</v>
          </cell>
          <cell r="B8259" t="str">
            <v>SEBELYS COLOR 1.0 100 ML</v>
          </cell>
          <cell r="C8259" t="str">
            <v>8436556061523</v>
          </cell>
        </row>
        <row r="8260">
          <cell r="A8260">
            <v>751001</v>
          </cell>
          <cell r="B8260" t="str">
            <v>SEBELYS COLOR 3.0 100 ML</v>
          </cell>
          <cell r="C8260" t="str">
            <v>8436556061530</v>
          </cell>
        </row>
        <row r="8261">
          <cell r="A8261">
            <v>751002</v>
          </cell>
          <cell r="B8261" t="str">
            <v>SEBELYS COLOR 4.0 100 ML</v>
          </cell>
          <cell r="C8261" t="str">
            <v>8436556060786</v>
          </cell>
        </row>
        <row r="8262">
          <cell r="A8262">
            <v>751003</v>
          </cell>
          <cell r="B8262" t="str">
            <v>SEBELYS COLOR 5.0 100 ML</v>
          </cell>
          <cell r="C8262" t="str">
            <v>8436556060793</v>
          </cell>
        </row>
        <row r="8263">
          <cell r="A8263">
            <v>751004</v>
          </cell>
          <cell r="B8263" t="str">
            <v>SEBELYS COLOR 6.0 100 ML</v>
          </cell>
          <cell r="C8263" t="str">
            <v>8436556060809</v>
          </cell>
        </row>
        <row r="8264">
          <cell r="A8264">
            <v>751005</v>
          </cell>
          <cell r="B8264" t="str">
            <v>SEBELYS COLOR 7.0 100 ML</v>
          </cell>
          <cell r="C8264" t="str">
            <v>8436556060816</v>
          </cell>
        </row>
        <row r="8265">
          <cell r="A8265">
            <v>751006</v>
          </cell>
          <cell r="B8265" t="str">
            <v>SEBELYS COLOR 8.0 100 ML</v>
          </cell>
          <cell r="C8265" t="str">
            <v>8436556060823</v>
          </cell>
        </row>
        <row r="8266">
          <cell r="A8266">
            <v>751007</v>
          </cell>
          <cell r="B8266" t="str">
            <v>SEBELYS COLOR 9.0 100 ML</v>
          </cell>
          <cell r="C8266" t="str">
            <v>8436556060830</v>
          </cell>
        </row>
        <row r="8267">
          <cell r="A8267">
            <v>751008</v>
          </cell>
          <cell r="B8267" t="str">
            <v>SEBELYS COLOR 10.0 100 ML</v>
          </cell>
          <cell r="C8267" t="str">
            <v>8436556060847</v>
          </cell>
        </row>
        <row r="8268">
          <cell r="A8268">
            <v>751009</v>
          </cell>
          <cell r="B8268" t="str">
            <v>SEBELYS COLOR 3.00 100 ML</v>
          </cell>
          <cell r="C8268" t="str">
            <v>8436556060854</v>
          </cell>
        </row>
        <row r="8269">
          <cell r="A8269">
            <v>751010</v>
          </cell>
          <cell r="B8269" t="str">
            <v>SEBELYS COLOR 4.00 100 ML</v>
          </cell>
          <cell r="C8269" t="str">
            <v>8436556060861</v>
          </cell>
        </row>
        <row r="8270">
          <cell r="A8270">
            <v>751011</v>
          </cell>
          <cell r="B8270" t="str">
            <v>SEBELYS COLOR 5.00 100 ML</v>
          </cell>
          <cell r="C8270" t="str">
            <v>8436556060878</v>
          </cell>
        </row>
        <row r="8271">
          <cell r="A8271">
            <v>751012</v>
          </cell>
          <cell r="B8271" t="str">
            <v>SEBELYS COLOR 6.00 100 ML</v>
          </cell>
          <cell r="C8271" t="str">
            <v>8436556060885</v>
          </cell>
        </row>
        <row r="8272">
          <cell r="A8272">
            <v>751013</v>
          </cell>
          <cell r="B8272" t="str">
            <v>SEBELYS COLOR 7.00 100 ML</v>
          </cell>
          <cell r="C8272" t="str">
            <v>8436556060892</v>
          </cell>
        </row>
        <row r="8273">
          <cell r="A8273">
            <v>751014</v>
          </cell>
          <cell r="B8273" t="str">
            <v>SEBELYS COLOR 8.00 100 ML</v>
          </cell>
          <cell r="C8273" t="str">
            <v>8436556060908</v>
          </cell>
        </row>
        <row r="8274">
          <cell r="A8274">
            <v>751015</v>
          </cell>
          <cell r="B8274" t="str">
            <v>SEBELYS COLOR 9.00 100 ML</v>
          </cell>
          <cell r="C8274" t="str">
            <v>8436556060915</v>
          </cell>
        </row>
        <row r="8275">
          <cell r="A8275">
            <v>751016</v>
          </cell>
          <cell r="B8275" t="str">
            <v>SEBELYS COLOR 10.00 100 ML</v>
          </cell>
          <cell r="C8275" t="str">
            <v>8436556060922</v>
          </cell>
        </row>
        <row r="8276">
          <cell r="A8276">
            <v>751017</v>
          </cell>
          <cell r="B8276" t="str">
            <v>SEBELYS COLOR 1.1 100 ML</v>
          </cell>
          <cell r="C8276" t="str">
            <v>8436556060939</v>
          </cell>
        </row>
        <row r="8277">
          <cell r="A8277">
            <v>751018</v>
          </cell>
          <cell r="B8277" t="str">
            <v>SEBELYS COLOR 5.1 100 ML</v>
          </cell>
          <cell r="C8277" t="str">
            <v>8436556060946</v>
          </cell>
        </row>
        <row r="8278">
          <cell r="A8278">
            <v>751019</v>
          </cell>
          <cell r="B8278" t="str">
            <v>SEBELYS COLOR 6.1 100 ML</v>
          </cell>
          <cell r="C8278" t="str">
            <v>8436556060953</v>
          </cell>
        </row>
        <row r="8279">
          <cell r="A8279">
            <v>751020</v>
          </cell>
          <cell r="B8279" t="str">
            <v>SEBELYS COLOR 7.1 100 ML</v>
          </cell>
          <cell r="C8279" t="str">
            <v>8436556060960</v>
          </cell>
        </row>
        <row r="8280">
          <cell r="A8280">
            <v>751021</v>
          </cell>
          <cell r="B8280" t="str">
            <v>SEBELYS COLOR 8.1 100 ML</v>
          </cell>
          <cell r="C8280" t="str">
            <v>8436556060977</v>
          </cell>
        </row>
        <row r="8281">
          <cell r="A8281">
            <v>751022</v>
          </cell>
          <cell r="B8281" t="str">
            <v>SEBELYS COLOR 9.1 100 ML</v>
          </cell>
          <cell r="C8281" t="str">
            <v>8436556060984</v>
          </cell>
        </row>
        <row r="8282">
          <cell r="A8282">
            <v>751023</v>
          </cell>
          <cell r="B8282" t="str">
            <v>SEBELYS COLOR 10.1 100 ML</v>
          </cell>
          <cell r="C8282" t="str">
            <v>8436556060991</v>
          </cell>
        </row>
        <row r="8283">
          <cell r="A8283">
            <v>751024</v>
          </cell>
          <cell r="B8283" t="str">
            <v>SEBELYS COLOR 9.21 100 ML</v>
          </cell>
          <cell r="C8283" t="str">
            <v>8436556061004</v>
          </cell>
        </row>
        <row r="8284">
          <cell r="A8284">
            <v>751025</v>
          </cell>
          <cell r="B8284" t="str">
            <v>SEBELYS COLOR 6.3 100 ML</v>
          </cell>
          <cell r="C8284" t="str">
            <v>8436556061011</v>
          </cell>
        </row>
        <row r="8285">
          <cell r="A8285">
            <v>751026</v>
          </cell>
          <cell r="B8285" t="str">
            <v>SEBELYS COLOR 7.3 100 ML</v>
          </cell>
          <cell r="C8285" t="str">
            <v>8436556061028</v>
          </cell>
        </row>
        <row r="8286">
          <cell r="A8286">
            <v>751027</v>
          </cell>
          <cell r="B8286" t="str">
            <v>SEBELYS COLOR 8.3 100 ML</v>
          </cell>
          <cell r="C8286" t="str">
            <v>8436556061035</v>
          </cell>
        </row>
        <row r="8287">
          <cell r="A8287">
            <v>751028</v>
          </cell>
          <cell r="B8287" t="str">
            <v>SEBELYS COLOR 9.3 100 ML</v>
          </cell>
          <cell r="C8287" t="str">
            <v>8436556061042</v>
          </cell>
        </row>
        <row r="8288">
          <cell r="A8288">
            <v>751029</v>
          </cell>
          <cell r="B8288" t="str">
            <v>SEBELYS COLOR 7.31 100 ML</v>
          </cell>
          <cell r="C8288" t="str">
            <v>8436556061059</v>
          </cell>
        </row>
        <row r="8289">
          <cell r="A8289">
            <v>751030</v>
          </cell>
          <cell r="B8289" t="str">
            <v>SEBELYS COLOR 8.31 100 ML</v>
          </cell>
          <cell r="C8289" t="str">
            <v>8436556061066</v>
          </cell>
        </row>
        <row r="8290">
          <cell r="A8290">
            <v>751031</v>
          </cell>
          <cell r="B8290" t="str">
            <v>SEBELYS COLOR 9.31 100 ML</v>
          </cell>
          <cell r="C8290" t="str">
            <v>8436556061073</v>
          </cell>
        </row>
        <row r="8291">
          <cell r="A8291">
            <v>751032</v>
          </cell>
          <cell r="B8291" t="str">
            <v>SEBELYS COLOR 6.32 100 ML</v>
          </cell>
          <cell r="C8291" t="str">
            <v>8436556061080</v>
          </cell>
        </row>
        <row r="8292">
          <cell r="A8292">
            <v>751033</v>
          </cell>
          <cell r="B8292" t="str">
            <v>SEBELYS COLOR 7.32 100 ML</v>
          </cell>
          <cell r="C8292" t="str">
            <v>8436556061097</v>
          </cell>
        </row>
        <row r="8293">
          <cell r="A8293">
            <v>751034</v>
          </cell>
          <cell r="B8293" t="str">
            <v>SEBELYS COLOR 8.32 100 ML</v>
          </cell>
          <cell r="C8293" t="str">
            <v>8436556061103</v>
          </cell>
        </row>
        <row r="8294">
          <cell r="A8294">
            <v>751035</v>
          </cell>
          <cell r="B8294" t="str">
            <v>SEBELYS COLOR 9.32 100 ML</v>
          </cell>
          <cell r="C8294" t="str">
            <v>8436556061110</v>
          </cell>
        </row>
        <row r="8295">
          <cell r="A8295">
            <v>751036</v>
          </cell>
          <cell r="B8295" t="str">
            <v>SEBELYS COLOR 10.32 100 ML</v>
          </cell>
          <cell r="C8295" t="str">
            <v>8436556061127</v>
          </cell>
        </row>
        <row r="8296">
          <cell r="A8296">
            <v>751037</v>
          </cell>
          <cell r="B8296" t="str">
            <v>SEBELYS COLOR 8.34 100 ML</v>
          </cell>
          <cell r="C8296" t="str">
            <v>8436556061134</v>
          </cell>
        </row>
        <row r="8297">
          <cell r="A8297">
            <v>751038</v>
          </cell>
          <cell r="B8297" t="str">
            <v>SEBELYS COLOR 5.4 100 ML</v>
          </cell>
          <cell r="C8297" t="str">
            <v>8436556061141</v>
          </cell>
        </row>
        <row r="8298">
          <cell r="A8298">
            <v>751039</v>
          </cell>
          <cell r="B8298" t="str">
            <v>SEBELYS COLOR 7.4 100 ML</v>
          </cell>
          <cell r="C8298" t="str">
            <v>8436556061158</v>
          </cell>
        </row>
        <row r="8299">
          <cell r="A8299">
            <v>751040</v>
          </cell>
          <cell r="B8299" t="str">
            <v>SEBELYS COLOR 6.43 100 ML</v>
          </cell>
          <cell r="C8299" t="str">
            <v>8436556061165</v>
          </cell>
        </row>
        <row r="8300">
          <cell r="A8300">
            <v>751041</v>
          </cell>
          <cell r="B8300" t="str">
            <v>SEBELYS COLOR 8.43 100 ML</v>
          </cell>
          <cell r="C8300" t="str">
            <v>8436556061172</v>
          </cell>
        </row>
        <row r="8301">
          <cell r="A8301">
            <v>751042</v>
          </cell>
          <cell r="B8301" t="str">
            <v>SEBELYS COLOR 7.44 100 ML</v>
          </cell>
          <cell r="C8301" t="str">
            <v>8436556061189</v>
          </cell>
        </row>
        <row r="8302">
          <cell r="A8302">
            <v>751043</v>
          </cell>
          <cell r="B8302" t="str">
            <v>SEBELYS COLOR 8.44 100 ML</v>
          </cell>
          <cell r="C8302" t="str">
            <v>8436556061196</v>
          </cell>
        </row>
        <row r="8303">
          <cell r="A8303">
            <v>751044</v>
          </cell>
          <cell r="B8303" t="str">
            <v>SEBELYS COLOR 4.50 100 ML</v>
          </cell>
          <cell r="C8303" t="str">
            <v>8436556061202</v>
          </cell>
        </row>
        <row r="8304">
          <cell r="A8304">
            <v>751045</v>
          </cell>
          <cell r="B8304" t="str">
            <v>SEBELYS COLOR 5.50 100 ML</v>
          </cell>
          <cell r="C8304" t="str">
            <v>8436556061219</v>
          </cell>
        </row>
        <row r="8305">
          <cell r="A8305">
            <v>751046</v>
          </cell>
          <cell r="B8305" t="str">
            <v>SEBELYS COLOR 6.50 100 ML</v>
          </cell>
          <cell r="C8305" t="str">
            <v>8436556061226</v>
          </cell>
        </row>
        <row r="8306">
          <cell r="A8306">
            <v>751047</v>
          </cell>
          <cell r="B8306" t="str">
            <v>SEBELYS COLOR 7.50 100 ML</v>
          </cell>
          <cell r="C8306" t="str">
            <v>8436556061233</v>
          </cell>
        </row>
        <row r="8307">
          <cell r="A8307">
            <v>751048</v>
          </cell>
          <cell r="B8307" t="str">
            <v>SEBELYS COLOR 4.51 100 ML</v>
          </cell>
          <cell r="C8307" t="str">
            <v>8436556061240</v>
          </cell>
        </row>
        <row r="8308">
          <cell r="A8308">
            <v>751049</v>
          </cell>
          <cell r="B8308" t="str">
            <v>SEBELYS COLOR 5.51 100 ML</v>
          </cell>
          <cell r="C8308" t="str">
            <v>8436556061257</v>
          </cell>
        </row>
        <row r="8309">
          <cell r="A8309">
            <v>751050</v>
          </cell>
          <cell r="B8309" t="str">
            <v>SEBELYS COLOR 6.51 100 ML</v>
          </cell>
          <cell r="C8309" t="str">
            <v>8436556061264</v>
          </cell>
        </row>
        <row r="8310">
          <cell r="A8310">
            <v>751051</v>
          </cell>
          <cell r="B8310" t="str">
            <v>SEBELYS COLOR 7.51 100 ML</v>
          </cell>
          <cell r="C8310" t="str">
            <v>8436556061271</v>
          </cell>
        </row>
        <row r="8311">
          <cell r="A8311">
            <v>751052</v>
          </cell>
          <cell r="B8311" t="str">
            <v>SEBELYS COLOR 8.51 100 ML</v>
          </cell>
          <cell r="C8311" t="str">
            <v>8436556061288</v>
          </cell>
        </row>
        <row r="8312">
          <cell r="A8312">
            <v>751053</v>
          </cell>
          <cell r="B8312" t="str">
            <v>SEBELYS COLOR 7.52 100 ML</v>
          </cell>
          <cell r="C8312" t="str">
            <v>8436556061295</v>
          </cell>
        </row>
        <row r="8313">
          <cell r="A8313">
            <v>751054</v>
          </cell>
          <cell r="B8313" t="str">
            <v>SEBELYS COLOR 5.53 100 ML</v>
          </cell>
          <cell r="C8313" t="str">
            <v>8436556061301</v>
          </cell>
        </row>
        <row r="8314">
          <cell r="A8314">
            <v>751055</v>
          </cell>
          <cell r="B8314" t="str">
            <v>SEBELYS COLOR 6.53 100 ML</v>
          </cell>
          <cell r="C8314" t="str">
            <v>8436556061318</v>
          </cell>
        </row>
        <row r="8315">
          <cell r="A8315">
            <v>751056</v>
          </cell>
          <cell r="B8315" t="str">
            <v>SEBELYS COLOR 7.53 100 ML</v>
          </cell>
          <cell r="C8315" t="str">
            <v>8436556061325</v>
          </cell>
        </row>
        <row r="8316">
          <cell r="A8316">
            <v>751057</v>
          </cell>
          <cell r="B8316" t="str">
            <v>SEBELYS COLOR 8.53 100 ML</v>
          </cell>
          <cell r="C8316" t="str">
            <v>8436556061332</v>
          </cell>
        </row>
        <row r="8317">
          <cell r="A8317">
            <v>751058</v>
          </cell>
          <cell r="B8317" t="str">
            <v>SEBELYS COLOR 3.56 100 ML</v>
          </cell>
          <cell r="C8317" t="str">
            <v>8436556061349</v>
          </cell>
        </row>
        <row r="8318">
          <cell r="A8318">
            <v>751059</v>
          </cell>
          <cell r="B8318" t="str">
            <v>SEBELYS COLOR 5.56 100 ML</v>
          </cell>
          <cell r="C8318" t="str">
            <v>8436556061356</v>
          </cell>
        </row>
        <row r="8319">
          <cell r="A8319">
            <v>751060</v>
          </cell>
          <cell r="B8319" t="str">
            <v>SEBELYS COLOR 7.56 100 ML</v>
          </cell>
          <cell r="C8319" t="str">
            <v>8436556061363</v>
          </cell>
        </row>
        <row r="8320">
          <cell r="A8320">
            <v>751061</v>
          </cell>
          <cell r="B8320" t="str">
            <v>SEBELYS COLOR 6.66 100 ML</v>
          </cell>
          <cell r="C8320" t="str">
            <v>8436556061370</v>
          </cell>
        </row>
        <row r="8321">
          <cell r="A8321">
            <v>751062</v>
          </cell>
          <cell r="B8321" t="str">
            <v>SEBELYS COLOR 5.67 100 ML</v>
          </cell>
          <cell r="C8321" t="str">
            <v>8436556061387</v>
          </cell>
        </row>
        <row r="8322">
          <cell r="A8322">
            <v>751063</v>
          </cell>
          <cell r="B8322" t="str">
            <v>SEBELYS COLOR 6.67 100 ML</v>
          </cell>
          <cell r="C8322" t="str">
            <v>8436556061394</v>
          </cell>
        </row>
        <row r="8323">
          <cell r="A8323">
            <v>751064</v>
          </cell>
          <cell r="B8323" t="str">
            <v>SEBELYS COLOR 4.77 100 ML</v>
          </cell>
          <cell r="C8323" t="str">
            <v>8436556061400</v>
          </cell>
        </row>
        <row r="8324">
          <cell r="A8324">
            <v>751065</v>
          </cell>
          <cell r="B8324" t="str">
            <v>SEBELYS COLOR 5.77 100 ML</v>
          </cell>
          <cell r="C8324" t="str">
            <v>8436556061417</v>
          </cell>
        </row>
        <row r="8325">
          <cell r="A8325">
            <v>751066</v>
          </cell>
          <cell r="B8325" t="str">
            <v>SEBELYS COLOR 7.77 100 ML</v>
          </cell>
          <cell r="C8325" t="str">
            <v>8436556061424</v>
          </cell>
        </row>
        <row r="8326">
          <cell r="A8326">
            <v>751067</v>
          </cell>
          <cell r="B8326" t="str">
            <v>SEBELYS COLOR 12.0 100 ML</v>
          </cell>
          <cell r="C8326" t="str">
            <v>8436556061431</v>
          </cell>
        </row>
        <row r="8327">
          <cell r="A8327">
            <v>751068</v>
          </cell>
          <cell r="B8327" t="str">
            <v>SEBELYS COLOR 12.1 100 ML</v>
          </cell>
          <cell r="C8327" t="str">
            <v>8436556061448</v>
          </cell>
        </row>
        <row r="8328">
          <cell r="A8328">
            <v>751069</v>
          </cell>
          <cell r="B8328" t="str">
            <v>SEBELYS COLOR 12.12 100 ML</v>
          </cell>
          <cell r="C8328" t="str">
            <v>8436556061455</v>
          </cell>
        </row>
        <row r="8329">
          <cell r="A8329">
            <v>751070</v>
          </cell>
          <cell r="B8329" t="str">
            <v>SEBELYS COLOR 7.19 100 ML</v>
          </cell>
          <cell r="C8329" t="str">
            <v>8436556061462</v>
          </cell>
        </row>
        <row r="8330">
          <cell r="A8330">
            <v>751071</v>
          </cell>
          <cell r="B8330" t="str">
            <v>SEBELYS COLOR 9.19 100 ML</v>
          </cell>
          <cell r="C8330" t="str">
            <v>8436556061479</v>
          </cell>
        </row>
        <row r="8331">
          <cell r="A8331">
            <v>751072</v>
          </cell>
          <cell r="B8331" t="str">
            <v>SEBELYS CREAM OXIDANT 10V 1.000 ML</v>
          </cell>
          <cell r="C8331" t="str">
            <v>8436556061486</v>
          </cell>
        </row>
        <row r="8332">
          <cell r="A8332">
            <v>751073</v>
          </cell>
          <cell r="B8332" t="str">
            <v>SEBELYS CREAM OXIDANT 20V 1.000 ML</v>
          </cell>
          <cell r="C8332" t="str">
            <v>8436556061493</v>
          </cell>
        </row>
        <row r="8333">
          <cell r="A8333">
            <v>751074</v>
          </cell>
          <cell r="B8333" t="str">
            <v>SEBELYS CREAM OXIDANT 30V 1.000 ML</v>
          </cell>
          <cell r="C8333" t="str">
            <v>8436556061509</v>
          </cell>
        </row>
        <row r="8334">
          <cell r="A8334">
            <v>751075</v>
          </cell>
          <cell r="B8334" t="str">
            <v>SEBELYS CREAM OXIDANT 40V 1.000 ML</v>
          </cell>
          <cell r="C8334" t="str">
            <v>8436556061516</v>
          </cell>
        </row>
        <row r="8335">
          <cell r="A8335">
            <v>751076</v>
          </cell>
          <cell r="B8335" t="str">
            <v>SEBELYS CREAM OXIDANT 10V 100 ML</v>
          </cell>
          <cell r="C8335" t="str">
            <v>8436556061547</v>
          </cell>
        </row>
        <row r="8336">
          <cell r="A8336">
            <v>751077</v>
          </cell>
          <cell r="B8336" t="str">
            <v>SEBELYS CREAM OXIDANT 20V 100 ML</v>
          </cell>
          <cell r="C8336" t="str">
            <v>8436556061554</v>
          </cell>
        </row>
        <row r="8337">
          <cell r="A8337">
            <v>751078</v>
          </cell>
          <cell r="B8337" t="str">
            <v>SEBELYS CREAM OXIDANT 30V 100 ML</v>
          </cell>
          <cell r="C8337" t="str">
            <v>8436556061561</v>
          </cell>
        </row>
        <row r="8338">
          <cell r="A8338">
            <v>751079</v>
          </cell>
          <cell r="B8338" t="str">
            <v>SEBELYS CREAM OXIDANT 40V 100 ML</v>
          </cell>
          <cell r="C8338" t="str">
            <v>8436556061578</v>
          </cell>
        </row>
        <row r="8339">
          <cell r="A8339">
            <v>790000</v>
          </cell>
          <cell r="B8339" t="str">
            <v>SQUIZZ PUNK 340 GRS.</v>
          </cell>
          <cell r="C8339" t="str">
            <v>7501438326081</v>
          </cell>
        </row>
        <row r="8340">
          <cell r="A8340">
            <v>790001</v>
          </cell>
          <cell r="B8340" t="str">
            <v>SQUIZZ ROCKERO 340 GRS.</v>
          </cell>
          <cell r="C8340" t="str">
            <v>7501438326074</v>
          </cell>
        </row>
        <row r="8341">
          <cell r="A8341">
            <v>790002</v>
          </cell>
          <cell r="B8341" t="str">
            <v>SQUIZZ GALAN 340 GRS.</v>
          </cell>
          <cell r="C8341" t="str">
            <v>7501438326067</v>
          </cell>
        </row>
        <row r="8342">
          <cell r="A8342">
            <v>790003</v>
          </cell>
          <cell r="B8342" t="str">
            <v>SQUIZZ SPORT 340 GRS.</v>
          </cell>
          <cell r="C8342" t="str">
            <v>7501438326098</v>
          </cell>
        </row>
        <row r="8343">
          <cell r="A8343">
            <v>790004</v>
          </cell>
          <cell r="B8343" t="str">
            <v>TARRO PUNK 270 GRS.</v>
          </cell>
          <cell r="C8343" t="str">
            <v>7501438311124</v>
          </cell>
        </row>
        <row r="8344">
          <cell r="A8344">
            <v>790005</v>
          </cell>
          <cell r="B8344" t="str">
            <v>TARRO ROCKERO 270 GRS.</v>
          </cell>
          <cell r="C8344" t="str">
            <v>7501438311117</v>
          </cell>
        </row>
        <row r="8345">
          <cell r="A8345">
            <v>790006</v>
          </cell>
          <cell r="B8345" t="str">
            <v>TARRO GALAN 270 GRS.</v>
          </cell>
          <cell r="C8345" t="str">
            <v>7501438311100</v>
          </cell>
        </row>
        <row r="8346">
          <cell r="A8346">
            <v>790007</v>
          </cell>
          <cell r="B8346" t="str">
            <v>TARRO SPORT 270 GRS.</v>
          </cell>
          <cell r="C8346" t="str">
            <v>7501438311094</v>
          </cell>
        </row>
        <row r="8347">
          <cell r="A8347">
            <v>790008</v>
          </cell>
          <cell r="B8347" t="str">
            <v>SOBRE PUNK 10 GRS.</v>
          </cell>
          <cell r="C8347" t="str">
            <v>7501438301675</v>
          </cell>
        </row>
        <row r="8348">
          <cell r="A8348">
            <v>790009</v>
          </cell>
          <cell r="B8348" t="str">
            <v>SOBRE ROCKERO 10 GRS.</v>
          </cell>
          <cell r="C8348" t="str">
            <v>7501438301682</v>
          </cell>
        </row>
        <row r="8349">
          <cell r="A8349">
            <v>790010</v>
          </cell>
          <cell r="B8349" t="str">
            <v>SOBRE GALAN 10 GRS.</v>
          </cell>
          <cell r="C8349" t="str">
            <v>7501438301699</v>
          </cell>
        </row>
        <row r="8350">
          <cell r="A8350">
            <v>790011</v>
          </cell>
          <cell r="B8350" t="str">
            <v>SOBRE SPORT 10 GRS.</v>
          </cell>
          <cell r="C8350" t="str">
            <v>7501438301705</v>
          </cell>
        </row>
        <row r="8351">
          <cell r="A8351">
            <v>790015</v>
          </cell>
          <cell r="B8351" t="str">
            <v>LOTE 1 PROMOCION LANZAMIENTO</v>
          </cell>
          <cell r="C8351" t="str">
            <v>0000000790015</v>
          </cell>
        </row>
        <row r="8352">
          <cell r="A8352">
            <v>790016</v>
          </cell>
          <cell r="B8352" t="str">
            <v>LOTE 2 PROMOCION ESPECIAL</v>
          </cell>
          <cell r="C8352" t="str">
            <v>0000000790016</v>
          </cell>
        </row>
        <row r="8353">
          <cell r="A8353">
            <v>790017</v>
          </cell>
          <cell r="B8353" t="str">
            <v>LOTE 3 PROMOCION ESPECIAL</v>
          </cell>
          <cell r="C8353" t="str">
            <v>0000000790017</v>
          </cell>
        </row>
        <row r="8354">
          <cell r="A8354">
            <v>790030</v>
          </cell>
          <cell r="B8354" t="str">
            <v>PULP RIOT COLOR ABSINTHE 118 ML.</v>
          </cell>
          <cell r="C8354" t="str">
            <v>SSABSINTHE</v>
          </cell>
        </row>
        <row r="8355">
          <cell r="A8355">
            <v>790030</v>
          </cell>
          <cell r="B8355" t="str">
            <v>PULP RIOT COLOR ABSINTHE 118 ML.</v>
          </cell>
          <cell r="C8355" t="str">
            <v>857472006050</v>
          </cell>
        </row>
        <row r="8356">
          <cell r="A8356">
            <v>790031</v>
          </cell>
          <cell r="B8356" t="str">
            <v>PULP RIOT COLOR AQUATIC 118 ML.</v>
          </cell>
          <cell r="C8356" t="str">
            <v>SSAQUATIC</v>
          </cell>
        </row>
        <row r="8357">
          <cell r="A8357">
            <v>790031</v>
          </cell>
          <cell r="B8357" t="str">
            <v>PULP RIOT COLOR AQUATIC 118 ML.</v>
          </cell>
          <cell r="C8357" t="str">
            <v>857472006159</v>
          </cell>
        </row>
        <row r="8358">
          <cell r="A8358">
            <v>790032</v>
          </cell>
          <cell r="B8358" t="str">
            <v>PULP RIOT COLOR BLUSH 118 ML.</v>
          </cell>
          <cell r="C8358" t="str">
            <v>SSBLUSH</v>
          </cell>
        </row>
        <row r="8359">
          <cell r="A8359">
            <v>790032</v>
          </cell>
          <cell r="B8359" t="str">
            <v>PULP RIOT COLOR BLUSH 118 ML.</v>
          </cell>
          <cell r="C8359" t="str">
            <v>857472006012</v>
          </cell>
        </row>
        <row r="8360">
          <cell r="A8360">
            <v>790033</v>
          </cell>
          <cell r="B8360" t="str">
            <v>PULP RIOT COLOR CLEAR 118 ML.</v>
          </cell>
          <cell r="C8360" t="str">
            <v>SSCLEAR</v>
          </cell>
        </row>
        <row r="8361">
          <cell r="A8361">
            <v>790033</v>
          </cell>
          <cell r="B8361" t="str">
            <v>PULP RIOT COLOR CLEAR 118 ML.</v>
          </cell>
          <cell r="C8361" t="str">
            <v>857472006142</v>
          </cell>
        </row>
        <row r="8362">
          <cell r="A8362">
            <v>790034</v>
          </cell>
          <cell r="B8362" t="str">
            <v>PULP RIOT COLOR CUPID 118 ML.</v>
          </cell>
          <cell r="C8362" t="str">
            <v>SSCUPID</v>
          </cell>
        </row>
        <row r="8363">
          <cell r="A8363">
            <v>790034</v>
          </cell>
          <cell r="B8363" t="str">
            <v>PULP RIOT COLOR CUPID 118 ML.</v>
          </cell>
          <cell r="C8363" t="str">
            <v>857472006029</v>
          </cell>
        </row>
        <row r="8364">
          <cell r="A8364">
            <v>790035</v>
          </cell>
          <cell r="B8364" t="str">
            <v>PULP RIOT COLOR FIREBALL 118 ML.</v>
          </cell>
          <cell r="C8364" t="str">
            <v>SSFIREBALL</v>
          </cell>
        </row>
        <row r="8365">
          <cell r="A8365">
            <v>790035</v>
          </cell>
          <cell r="B8365" t="str">
            <v>PULP RIOT COLOR FIREBALL 118 ML.</v>
          </cell>
          <cell r="C8365" t="str">
            <v>857472006036</v>
          </cell>
        </row>
        <row r="8366">
          <cell r="A8366">
            <v>790036</v>
          </cell>
          <cell r="B8366" t="str">
            <v>PULP RIOT COLOR JAM 118 ML.</v>
          </cell>
          <cell r="C8366" t="str">
            <v>SSJAM</v>
          </cell>
        </row>
        <row r="8367">
          <cell r="A8367">
            <v>790036</v>
          </cell>
          <cell r="B8367" t="str">
            <v>PULP RIOT COLOR JAM 118 ML.</v>
          </cell>
          <cell r="C8367" t="str">
            <v>857472006098</v>
          </cell>
        </row>
        <row r="8368">
          <cell r="A8368">
            <v>790037</v>
          </cell>
          <cell r="B8368" t="str">
            <v>PULP RIOT COLOR LEMON 118 ML.</v>
          </cell>
          <cell r="C8368" t="str">
            <v>SSLEMON</v>
          </cell>
        </row>
        <row r="8369">
          <cell r="A8369">
            <v>790037</v>
          </cell>
          <cell r="B8369" t="str">
            <v>PULP RIOT COLOR LEMON 118 ML.</v>
          </cell>
          <cell r="C8369" t="str">
            <v>857472006005</v>
          </cell>
        </row>
        <row r="8370">
          <cell r="A8370">
            <v>790038</v>
          </cell>
          <cell r="B8370" t="str">
            <v>PULP RIOT COLOR LILAC 118 ML.</v>
          </cell>
          <cell r="C8370" t="str">
            <v>SSLILAC</v>
          </cell>
        </row>
        <row r="8371">
          <cell r="A8371">
            <v>790038</v>
          </cell>
          <cell r="B8371" t="str">
            <v>PULP RIOT COLOR LILAC 118 ML.</v>
          </cell>
          <cell r="C8371" t="str">
            <v>857472006081</v>
          </cell>
        </row>
        <row r="8372">
          <cell r="A8372">
            <v>790039</v>
          </cell>
          <cell r="B8372" t="str">
            <v>PULP RIOT COLOR MERCURY 118 ML.</v>
          </cell>
          <cell r="C8372" t="str">
            <v>SSMERCURY</v>
          </cell>
        </row>
        <row r="8373">
          <cell r="A8373">
            <v>790039</v>
          </cell>
          <cell r="B8373" t="str">
            <v>PULP RIOT COLOR MERCURY 118 ML.</v>
          </cell>
          <cell r="C8373" t="str">
            <v>857472006111</v>
          </cell>
        </row>
        <row r="8374">
          <cell r="A8374">
            <v>790040</v>
          </cell>
          <cell r="B8374" t="str">
            <v>PULP RIOT COLOR NIGHTFALL 118 ML.</v>
          </cell>
          <cell r="C8374" t="str">
            <v>SSNIGHTFALL</v>
          </cell>
        </row>
        <row r="8375">
          <cell r="A8375">
            <v>790040</v>
          </cell>
          <cell r="B8375" t="str">
            <v>PULP RIOT COLOR NIGHTFALL 118 ML.</v>
          </cell>
          <cell r="C8375" t="str">
            <v>857472006074</v>
          </cell>
        </row>
        <row r="8376">
          <cell r="A8376">
            <v>790041</v>
          </cell>
          <cell r="B8376" t="str">
            <v>PULP RIOT COLOR NOIR 118 ML.</v>
          </cell>
          <cell r="C8376" t="str">
            <v>SSNOIR</v>
          </cell>
        </row>
        <row r="8377">
          <cell r="A8377">
            <v>790041</v>
          </cell>
          <cell r="B8377" t="str">
            <v>PULP RIOT COLOR NOIR 118 ML.</v>
          </cell>
          <cell r="C8377" t="str">
            <v>857472006135</v>
          </cell>
        </row>
        <row r="8378">
          <cell r="A8378">
            <v>790042</v>
          </cell>
          <cell r="B8378" t="str">
            <v>PULP RIOT COLOR POWDER 118 ML.</v>
          </cell>
          <cell r="C8378" t="str">
            <v>SSPOWDER</v>
          </cell>
        </row>
        <row r="8379">
          <cell r="A8379">
            <v>790042</v>
          </cell>
          <cell r="B8379" t="str">
            <v>PULP RIOT COLOR POWDER 118 ML.</v>
          </cell>
          <cell r="C8379" t="str">
            <v>857472006067</v>
          </cell>
        </row>
        <row r="8380">
          <cell r="A8380">
            <v>790043</v>
          </cell>
          <cell r="B8380" t="str">
            <v>PULP RIOT COLOR SEA GLASS 118 ML.</v>
          </cell>
          <cell r="C8380" t="str">
            <v>SSSEAGLASS</v>
          </cell>
        </row>
        <row r="8381">
          <cell r="A8381">
            <v>790043</v>
          </cell>
          <cell r="B8381" t="str">
            <v>PULP RIOT COLOR SEA GLASS 118 ML.</v>
          </cell>
          <cell r="C8381" t="str">
            <v>857472006043</v>
          </cell>
        </row>
        <row r="8382">
          <cell r="A8382">
            <v>790044</v>
          </cell>
          <cell r="B8382" t="str">
            <v>PULP RIOT COLOR SMOKE 118 ML.</v>
          </cell>
          <cell r="C8382" t="str">
            <v>SSSMOKE</v>
          </cell>
        </row>
        <row r="8383">
          <cell r="A8383">
            <v>790044</v>
          </cell>
          <cell r="B8383" t="str">
            <v>PULP RIOT COLOR SMOKE 118 ML.</v>
          </cell>
          <cell r="C8383" t="str">
            <v>857472006128</v>
          </cell>
        </row>
        <row r="8384">
          <cell r="A8384">
            <v>790045</v>
          </cell>
          <cell r="B8384" t="str">
            <v>PULP RIOT COLOR VELVET 118 ML.</v>
          </cell>
          <cell r="C8384" t="str">
            <v>SSVELVET</v>
          </cell>
        </row>
        <row r="8385">
          <cell r="A8385">
            <v>790045</v>
          </cell>
          <cell r="B8385" t="str">
            <v>PULP RIOT COLOR VELVET 118 ML.</v>
          </cell>
          <cell r="C8385" t="str">
            <v>857472006104</v>
          </cell>
        </row>
        <row r="8386">
          <cell r="A8386">
            <v>790046</v>
          </cell>
          <cell r="B8386" t="str">
            <v>PUFF.ME 9 GR</v>
          </cell>
          <cell r="C8386" t="str">
            <v>857472006029</v>
          </cell>
        </row>
        <row r="8387">
          <cell r="A8387">
            <v>790047</v>
          </cell>
          <cell r="B8387" t="str">
            <v>PUFF.ME DISPLAY</v>
          </cell>
          <cell r="C8387" t="str">
            <v>857472006036</v>
          </cell>
        </row>
        <row r="8388">
          <cell r="A8388">
            <v>790048</v>
          </cell>
          <cell r="B8388" t="str">
            <v>PUFF.ME LIGHT 9 GR</v>
          </cell>
          <cell r="C8388" t="str">
            <v>857472006098</v>
          </cell>
        </row>
        <row r="8389">
          <cell r="A8389">
            <v>790049</v>
          </cell>
          <cell r="B8389" t="str">
            <v>PUFF.ME LIGHT DISPLAY</v>
          </cell>
          <cell r="C8389" t="str">
            <v>857472006005</v>
          </cell>
        </row>
        <row r="8390">
          <cell r="A8390">
            <v>790050</v>
          </cell>
          <cell r="B8390" t="str">
            <v>POWERDRY.ME 230 ML</v>
          </cell>
          <cell r="C8390" t="str">
            <v>857472006081</v>
          </cell>
        </row>
        <row r="8391">
          <cell r="A8391">
            <v>790051</v>
          </cell>
          <cell r="B8391" t="str">
            <v>POWERDRY.ME DISPLAY</v>
          </cell>
          <cell r="C8391" t="str">
            <v>857472006111</v>
          </cell>
        </row>
        <row r="8392">
          <cell r="A8392">
            <v>790052</v>
          </cell>
          <cell r="B8392" t="str">
            <v>FAB.ME 230 ML</v>
          </cell>
          <cell r="C8392" t="str">
            <v>857472006074</v>
          </cell>
        </row>
        <row r="8393">
          <cell r="A8393">
            <v>790053</v>
          </cell>
          <cell r="B8393" t="str">
            <v>FAB.ME 230 ML DISPLAY</v>
          </cell>
          <cell r="C8393" t="str">
            <v>857472006135</v>
          </cell>
        </row>
        <row r="8394">
          <cell r="A8394">
            <v>790054</v>
          </cell>
          <cell r="B8394" t="str">
            <v>FAB.ME 100 ML</v>
          </cell>
          <cell r="C8394" t="str">
            <v>857472006067</v>
          </cell>
        </row>
        <row r="8395">
          <cell r="A8395">
            <v>790055</v>
          </cell>
          <cell r="B8395" t="str">
            <v>FAB.ME 100 ML DISPLAY</v>
          </cell>
          <cell r="C8395" t="str">
            <v>857472006043</v>
          </cell>
        </row>
        <row r="8396">
          <cell r="A8396">
            <v>790056</v>
          </cell>
          <cell r="B8396" t="str">
            <v>POWERDRY.ME 100 ML</v>
          </cell>
          <cell r="C8396" t="str">
            <v>857472006128</v>
          </cell>
        </row>
        <row r="8397">
          <cell r="A8397">
            <v>790057</v>
          </cell>
          <cell r="B8397" t="str">
            <v>POWERDRY.ME 100 ML DISPLAY</v>
          </cell>
          <cell r="C8397" t="str">
            <v>857472006104</v>
          </cell>
        </row>
        <row r="8398">
          <cell r="A8398">
            <v>790066</v>
          </cell>
          <cell r="B8398" t="str">
            <v>PULP RIOT COLOR NIRVANA 118 ML</v>
          </cell>
          <cell r="C8398" t="str">
            <v>EU SSNIRVANA</v>
          </cell>
        </row>
        <row r="8399">
          <cell r="A8399">
            <v>790066</v>
          </cell>
          <cell r="B8399" t="str">
            <v>PULP RIOT COLOR NIRVANA 118 ML</v>
          </cell>
          <cell r="C8399" t="str">
            <v>0857472006302</v>
          </cell>
        </row>
        <row r="8400">
          <cell r="A8400">
            <v>790067</v>
          </cell>
          <cell r="B8400" t="str">
            <v>PULP RIOT COLOR AREA51 118 ML</v>
          </cell>
          <cell r="C8400" t="str">
            <v>EU SSAREA51</v>
          </cell>
        </row>
        <row r="8401">
          <cell r="A8401">
            <v>790067</v>
          </cell>
          <cell r="B8401" t="str">
            <v>PULP RIOT COLOR AREA51 118 ML</v>
          </cell>
          <cell r="C8401" t="str">
            <v>0857472006272</v>
          </cell>
        </row>
        <row r="8402">
          <cell r="A8402">
            <v>790068</v>
          </cell>
          <cell r="B8402" t="str">
            <v>PULP RIOT COLOR FIREFLY 118 ML</v>
          </cell>
          <cell r="C8402" t="str">
            <v>EU SSFIREFLY</v>
          </cell>
        </row>
        <row r="8403">
          <cell r="A8403">
            <v>790068</v>
          </cell>
          <cell r="B8403" t="str">
            <v>PULP RIOT COLOR FIREFLY 118 ML</v>
          </cell>
          <cell r="C8403" t="str">
            <v>0857472006296</v>
          </cell>
        </row>
        <row r="8404">
          <cell r="A8404">
            <v>790069</v>
          </cell>
          <cell r="B8404" t="str">
            <v>PULP RIOT TONER VIOLET 90 ML</v>
          </cell>
          <cell r="C8404" t="str">
            <v>GLVIOLET</v>
          </cell>
        </row>
        <row r="8405">
          <cell r="A8405">
            <v>790069</v>
          </cell>
          <cell r="B8405" t="str">
            <v>PULP RIOT TONER VIOLET 90 ML</v>
          </cell>
          <cell r="C8405" t="str">
            <v>0857472006333</v>
          </cell>
        </row>
        <row r="8406">
          <cell r="A8406">
            <v>790070</v>
          </cell>
          <cell r="B8406" t="str">
            <v>PULP RIOT TONER NATURAL 90 ML</v>
          </cell>
          <cell r="C8406" t="str">
            <v>GLNATURAL</v>
          </cell>
        </row>
        <row r="8407">
          <cell r="A8407">
            <v>790070</v>
          </cell>
          <cell r="B8407" t="str">
            <v>PULP RIOT TONER NATURAL 90 ML</v>
          </cell>
          <cell r="C8407" t="str">
            <v>0857472006357</v>
          </cell>
        </row>
        <row r="8408">
          <cell r="A8408">
            <v>790071</v>
          </cell>
          <cell r="B8408" t="str">
            <v>PULP RIOT TONER SILVER 90 ML</v>
          </cell>
          <cell r="C8408" t="str">
            <v>GLSILVER</v>
          </cell>
        </row>
        <row r="8409">
          <cell r="A8409">
            <v>790071</v>
          </cell>
          <cell r="B8409" t="str">
            <v>PULP RIOT TONER SILVER 90 ML</v>
          </cell>
          <cell r="C8409" t="str">
            <v>0857472006340</v>
          </cell>
        </row>
        <row r="8410">
          <cell r="A8410">
            <v>790072</v>
          </cell>
          <cell r="B8410" t="str">
            <v>PULP RIOT TONER ICY 90 ML</v>
          </cell>
          <cell r="C8410" t="str">
            <v>SSICY</v>
          </cell>
        </row>
        <row r="8411">
          <cell r="A8411">
            <v>790072</v>
          </cell>
          <cell r="B8411" t="str">
            <v>PULP RIOT TONER ICY 90 ML</v>
          </cell>
          <cell r="C8411" t="str">
            <v>00857472006487</v>
          </cell>
        </row>
        <row r="8412">
          <cell r="A8412">
            <v>790073</v>
          </cell>
          <cell r="B8412" t="str">
            <v>PULP RIOT TONER ROSEGOLD 90 ML</v>
          </cell>
          <cell r="C8412" t="str">
            <v>SSROSEGOLD</v>
          </cell>
        </row>
        <row r="8413">
          <cell r="A8413">
            <v>790073</v>
          </cell>
          <cell r="B8413" t="str">
            <v>PULP RIOT TONER ROSEGOLD 90 ML</v>
          </cell>
          <cell r="C8413" t="str">
            <v>00857472006470</v>
          </cell>
        </row>
        <row r="8414">
          <cell r="A8414">
            <v>790074</v>
          </cell>
          <cell r="B8414" t="str">
            <v>PULP RIOT TONER ASH 90 ML</v>
          </cell>
          <cell r="C8414" t="str">
            <v>SSASH</v>
          </cell>
        </row>
        <row r="8415">
          <cell r="A8415">
            <v>790074</v>
          </cell>
          <cell r="B8415" t="str">
            <v>PULP RIOT TONER ASH 90 ML</v>
          </cell>
          <cell r="C8415" t="str">
            <v>0857472006463</v>
          </cell>
        </row>
        <row r="8416">
          <cell r="A8416">
            <v>790075</v>
          </cell>
          <cell r="B8416" t="str">
            <v>PULP RIOT BLEACH LIGHTENER 500G</v>
          </cell>
          <cell r="C8416" t="str">
            <v>GLOBALLIGHTENER</v>
          </cell>
        </row>
        <row r="8417">
          <cell r="A8417">
            <v>790075</v>
          </cell>
          <cell r="B8417" t="str">
            <v>PULP RIOT BLEACH LIGHTENER 500G</v>
          </cell>
          <cell r="C8417" t="str">
            <v>0857472006258</v>
          </cell>
        </row>
        <row r="8418">
          <cell r="A8418">
            <v>790076</v>
          </cell>
          <cell r="B8418" t="str">
            <v>PULP RIOT CLAY LIGHTENER 500G.</v>
          </cell>
          <cell r="C8418" t="str">
            <v/>
          </cell>
        </row>
        <row r="8419">
          <cell r="A8419">
            <v>790076</v>
          </cell>
          <cell r="B8419" t="str">
            <v>PULP RIOT CLAY LIGHTENER 500G.</v>
          </cell>
          <cell r="C8419" t="str">
            <v>0857472006432</v>
          </cell>
        </row>
        <row r="8420">
          <cell r="A8420">
            <v>790077</v>
          </cell>
          <cell r="B8420" t="str">
            <v>PULP RIOT BLANK CANVAS 45 GRS.</v>
          </cell>
          <cell r="C8420" t="str">
            <v>GLCOLORREMOVER</v>
          </cell>
        </row>
        <row r="8421">
          <cell r="A8421">
            <v>790077</v>
          </cell>
          <cell r="B8421" t="str">
            <v>PULP RIOT BLANK CANVAS 45 GRS.</v>
          </cell>
          <cell r="C8421" t="str">
            <v>0857472006364</v>
          </cell>
        </row>
        <row r="8422">
          <cell r="A8422">
            <v>790078</v>
          </cell>
          <cell r="B8422" t="str">
            <v>PULP RIOT 6 VOL. DEVEL. 885 ML</v>
          </cell>
          <cell r="C8422" t="str">
            <v>EU SS6VOL</v>
          </cell>
        </row>
        <row r="8423">
          <cell r="A8423">
            <v>790078</v>
          </cell>
          <cell r="B8423" t="str">
            <v>PULP RIOT 6 VOL. DEVEL. 885 ML</v>
          </cell>
          <cell r="C8423" t="str">
            <v>0857472006210</v>
          </cell>
        </row>
        <row r="8424">
          <cell r="A8424">
            <v>790079</v>
          </cell>
          <cell r="B8424" t="str">
            <v>PULP RIOT 10 VOL. DEVEL. 885 ML</v>
          </cell>
          <cell r="C8424" t="str">
            <v>EU SS10VOL</v>
          </cell>
        </row>
        <row r="8425">
          <cell r="A8425">
            <v>790079</v>
          </cell>
          <cell r="B8425" t="str">
            <v>PULP RIOT 10 VOL. DEVEL. 885 ML</v>
          </cell>
          <cell r="C8425" t="str">
            <v>0857472006241</v>
          </cell>
        </row>
        <row r="8426">
          <cell r="A8426">
            <v>790080</v>
          </cell>
          <cell r="B8426" t="str">
            <v>PULP RIOT 20 VOL. DEVEL. 885 ML</v>
          </cell>
          <cell r="C8426" t="str">
            <v>EU SS20VOL</v>
          </cell>
        </row>
        <row r="8427">
          <cell r="A8427">
            <v>790080</v>
          </cell>
          <cell r="B8427" t="str">
            <v>PULP RIOT 20 VOL. DEVEL. 885 ML</v>
          </cell>
          <cell r="C8427" t="str">
            <v>0857472006203</v>
          </cell>
        </row>
        <row r="8428">
          <cell r="A8428">
            <v>790081</v>
          </cell>
          <cell r="B8428" t="str">
            <v>PULP RIOT 30 VOL. DEVEL. 885 ML</v>
          </cell>
          <cell r="C8428" t="str">
            <v>EU SS30VOL</v>
          </cell>
        </row>
        <row r="8429">
          <cell r="A8429">
            <v>790081</v>
          </cell>
          <cell r="B8429" t="str">
            <v>PULP RIOT 30 VOL. DEVEL. 885 ML</v>
          </cell>
          <cell r="C8429" t="str">
            <v>0857472006227</v>
          </cell>
        </row>
        <row r="8430">
          <cell r="A8430">
            <v>790082</v>
          </cell>
          <cell r="B8430" t="str">
            <v>PULP RIOT 40 VOL. DEVEL. 885 ML</v>
          </cell>
          <cell r="C8430" t="str">
            <v>EU SS40VOL</v>
          </cell>
        </row>
        <row r="8431">
          <cell r="A8431">
            <v>790082</v>
          </cell>
          <cell r="B8431" t="str">
            <v>PULP RIOT 40 VOL. DEVEL. 885 ML</v>
          </cell>
          <cell r="C8431" t="str">
            <v>0857472006234</v>
          </cell>
        </row>
        <row r="8432">
          <cell r="A8432">
            <v>790083</v>
          </cell>
          <cell r="B8432" t="str">
            <v>PULP RIOT BARCELONA SH. 295 ML</v>
          </cell>
          <cell r="C8432" t="str">
            <v/>
          </cell>
        </row>
        <row r="8433">
          <cell r="A8433">
            <v>790083</v>
          </cell>
          <cell r="B8433" t="str">
            <v>PULP RIOT BARCELONA SH. 295 ML</v>
          </cell>
          <cell r="C8433" t="str">
            <v>0857472006388</v>
          </cell>
        </row>
        <row r="8434">
          <cell r="A8434">
            <v>790084</v>
          </cell>
          <cell r="B8434" t="str">
            <v>PULP RIOT BARCELONA SH. 975 ML</v>
          </cell>
          <cell r="C8434" t="str">
            <v/>
          </cell>
        </row>
        <row r="8435">
          <cell r="A8435">
            <v>790084</v>
          </cell>
          <cell r="B8435" t="str">
            <v>PULP RIOT BARCELONA SH. 975 ML</v>
          </cell>
          <cell r="C8435" t="str">
            <v>0857472006395</v>
          </cell>
        </row>
        <row r="8436">
          <cell r="A8436">
            <v>790085</v>
          </cell>
          <cell r="B8436" t="str">
            <v>PULP RIOT BANGKOK SH. 295 ML</v>
          </cell>
          <cell r="C8436" t="str">
            <v/>
          </cell>
        </row>
        <row r="8437">
          <cell r="A8437">
            <v>790085</v>
          </cell>
          <cell r="B8437" t="str">
            <v>PULP RIOT BANGKOK SH. 295 ML</v>
          </cell>
          <cell r="C8437" t="str">
            <v>0857472006449</v>
          </cell>
        </row>
        <row r="8438">
          <cell r="A8438">
            <v>790086</v>
          </cell>
          <cell r="B8438" t="str">
            <v>PULP RIOT BANGKOK SH. 975 ML</v>
          </cell>
          <cell r="C8438" t="str">
            <v/>
          </cell>
        </row>
        <row r="8439">
          <cell r="A8439">
            <v>790086</v>
          </cell>
          <cell r="B8439" t="str">
            <v>PULP RIOT BANGKOK SH. 975 ML</v>
          </cell>
          <cell r="C8439" t="str">
            <v>0857472006494</v>
          </cell>
        </row>
        <row r="8440">
          <cell r="A8440">
            <v>790087</v>
          </cell>
          <cell r="B8440" t="str">
            <v>PULP RIOT TOKYO COND. 295 ML</v>
          </cell>
          <cell r="C8440" t="str">
            <v/>
          </cell>
        </row>
        <row r="8441">
          <cell r="A8441">
            <v>790087</v>
          </cell>
          <cell r="B8441" t="str">
            <v>PULP RIOT TOKYO COND. 295 ML</v>
          </cell>
          <cell r="C8441" t="str">
            <v>0857472006456</v>
          </cell>
        </row>
        <row r="8442">
          <cell r="A8442">
            <v>790088</v>
          </cell>
          <cell r="B8442" t="str">
            <v>PULP  RIOT TOKYO COND. 975 ML</v>
          </cell>
          <cell r="C8442" t="str">
            <v/>
          </cell>
        </row>
        <row r="8443">
          <cell r="A8443">
            <v>790088</v>
          </cell>
          <cell r="B8443" t="str">
            <v>PULP  RIOT TOKYO COND. 975 ML</v>
          </cell>
          <cell r="C8443" t="str">
            <v>0857472006500</v>
          </cell>
        </row>
        <row r="8444">
          <cell r="A8444">
            <v>799001</v>
          </cell>
          <cell r="B8444" t="str">
            <v>INSTANT LINE SMOOTHER 19ML</v>
          </cell>
          <cell r="C8444" t="str">
            <v>GILS</v>
          </cell>
        </row>
        <row r="8445">
          <cell r="A8445">
            <v>799002</v>
          </cell>
          <cell r="B8445" t="str">
            <v>INSTANT LINE SMOOTHER 30ML</v>
          </cell>
          <cell r="C8445" t="str">
            <v>GILS30ML</v>
          </cell>
        </row>
        <row r="8446">
          <cell r="A8446">
            <v>799003</v>
          </cell>
          <cell r="B8446" t="str">
            <v>DREAM CREAM 50ML</v>
          </cell>
          <cell r="C8446" t="str">
            <v>GPM50ML</v>
          </cell>
        </row>
        <row r="8447">
          <cell r="A8447">
            <v>799004</v>
          </cell>
          <cell r="B8447" t="str">
            <v>DREAM CREAM 15ML</v>
          </cell>
          <cell r="C8447" t="str">
            <v>GPM15ML</v>
          </cell>
        </row>
        <row r="8448">
          <cell r="A8448">
            <v>799005</v>
          </cell>
          <cell r="B8448" t="str">
            <v>H'EYE'DRATOR EYE CREAM 15ML</v>
          </cell>
          <cell r="C8448" t="str">
            <v>GHEC</v>
          </cell>
        </row>
        <row r="8449">
          <cell r="A8449">
            <v>799006</v>
          </cell>
          <cell r="B8449" t="str">
            <v>LINE SMOOTHING CONCEALER-BEIGE</v>
          </cell>
          <cell r="C8449" t="str">
            <v>GLSC BE</v>
          </cell>
        </row>
        <row r="8450">
          <cell r="A8450">
            <v>799007</v>
          </cell>
          <cell r="B8450" t="str">
            <v>LINE SMOOTHING CONCEALER-HONEY</v>
          </cell>
          <cell r="C8450" t="str">
            <v>GLSC HO</v>
          </cell>
        </row>
        <row r="8451">
          <cell r="A8451">
            <v>799008</v>
          </cell>
          <cell r="B8451" t="str">
            <v>LINE SMOOTHING CONCEALER-IVORY</v>
          </cell>
          <cell r="C8451" t="str">
            <v>GLSC IV</v>
          </cell>
        </row>
        <row r="8452">
          <cell r="A8452">
            <v>799009</v>
          </cell>
          <cell r="B8452" t="str">
            <v>TRANSF. HIGHLIGHTING WAND</v>
          </cell>
          <cell r="C8452" t="str">
            <v>GTHW</v>
          </cell>
        </row>
        <row r="8453">
          <cell r="A8453">
            <v>799010</v>
          </cell>
          <cell r="B8453" t="str">
            <v>TRANSF. HIGHLIGHTING WAND DOU</v>
          </cell>
          <cell r="C8453" t="str">
            <v>GTHWD</v>
          </cell>
        </row>
        <row r="8454">
          <cell r="A8454">
            <v>799011</v>
          </cell>
          <cell r="B8454" t="str">
            <v>CASHMERE COLOR CORRECT. POWDER</v>
          </cell>
          <cell r="C8454" t="str">
            <v>GCCCP</v>
          </cell>
        </row>
        <row r="8455">
          <cell r="A8455">
            <v>799012</v>
          </cell>
          <cell r="B8455" t="str">
            <v>MAKE ME BLUSH 3G/KABUKI BRUSH</v>
          </cell>
          <cell r="C8455" t="str">
            <v>GMMB</v>
          </cell>
        </row>
        <row r="8456">
          <cell r="A8456">
            <v>799013</v>
          </cell>
          <cell r="B8456" t="str">
            <v>MAKE ME BLUSH 7G/KABUKI BRUSH</v>
          </cell>
          <cell r="C8456" t="str">
            <v>GMMB7GMKBS</v>
          </cell>
        </row>
        <row r="8457">
          <cell r="A8457">
            <v>799014</v>
          </cell>
          <cell r="B8457" t="str">
            <v>CASHMERE BLUSH - SUNRISE</v>
          </cell>
          <cell r="C8457" t="str">
            <v>GCB-SR</v>
          </cell>
        </row>
        <row r="8458">
          <cell r="A8458">
            <v>799015</v>
          </cell>
          <cell r="B8458" t="str">
            <v>CASHMERE BLUSH - SUNSET</v>
          </cell>
          <cell r="C8458" t="str">
            <v>GCB-SS</v>
          </cell>
        </row>
        <row r="8459">
          <cell r="A8459">
            <v>799016</v>
          </cell>
          <cell r="B8459" t="str">
            <v>CASHMERE POWDER 9G/KAB. BRUSH</v>
          </cell>
          <cell r="C8459" t="str">
            <v>GCP-NL</v>
          </cell>
        </row>
        <row r="8460">
          <cell r="A8460">
            <v>799017</v>
          </cell>
          <cell r="B8460" t="str">
            <v>CASHMERE POWDER 9G COMPACT</v>
          </cell>
          <cell r="C8460" t="str">
            <v>GCP</v>
          </cell>
        </row>
        <row r="8461">
          <cell r="A8461">
            <v>799018</v>
          </cell>
          <cell r="B8461" t="str">
            <v>CASHMERE POWDER 3G/KAB. BRUSH</v>
          </cell>
          <cell r="C8461" t="str">
            <v>GCP3GMKBS</v>
          </cell>
        </row>
        <row r="8462">
          <cell r="A8462">
            <v>799019</v>
          </cell>
          <cell r="B8462" t="str">
            <v>CASHMERE POWDER 3G COMPACT</v>
          </cell>
          <cell r="C8462" t="str">
            <v>GCP3GM</v>
          </cell>
        </row>
        <row r="8463">
          <cell r="A8463">
            <v>799020</v>
          </cell>
          <cell r="B8463" t="str">
            <v>LINE SMOOTHING FOUND. - FAIR</v>
          </cell>
          <cell r="C8463" t="str">
            <v>GLSF-F</v>
          </cell>
        </row>
        <row r="8464">
          <cell r="A8464">
            <v>799021</v>
          </cell>
          <cell r="B8464" t="str">
            <v>LINE SMOOTHING FOUND. - LIGHT</v>
          </cell>
          <cell r="C8464" t="str">
            <v>GLSF-L</v>
          </cell>
        </row>
        <row r="8465">
          <cell r="A8465">
            <v>799022</v>
          </cell>
          <cell r="B8465" t="str">
            <v>LINE SMOOTHING FOUND.-MEDIUM</v>
          </cell>
          <cell r="C8465" t="str">
            <v>GLSF-M</v>
          </cell>
        </row>
        <row r="8466">
          <cell r="A8466">
            <v>799023</v>
          </cell>
          <cell r="B8466" t="str">
            <v>LINE SMOOT FOUND-MEDIUM DARK</v>
          </cell>
          <cell r="C8466" t="str">
            <v>GLSF-MD</v>
          </cell>
        </row>
        <row r="8467">
          <cell r="A8467">
            <v>799024</v>
          </cell>
          <cell r="B8467" t="str">
            <v>LINE SMOOTHING FOUND. - DARK</v>
          </cell>
          <cell r="C8467" t="str">
            <v>GLSF-D</v>
          </cell>
        </row>
        <row r="8468">
          <cell r="A8468">
            <v>799025</v>
          </cell>
          <cell r="B8468" t="str">
            <v>LINE SMOOT FOUND SAMPLE CARD</v>
          </cell>
          <cell r="C8468" t="str">
            <v>MINI GLSF</v>
          </cell>
        </row>
        <row r="8469">
          <cell r="A8469">
            <v>799026</v>
          </cell>
          <cell r="B8469" t="str">
            <v>ESPRESSO + SHARPENER (SINGLE)</v>
          </cell>
          <cell r="C8469" t="str">
            <v>GSGE ESP</v>
          </cell>
        </row>
        <row r="8470">
          <cell r="A8470">
            <v>799027</v>
          </cell>
          <cell r="B8470" t="str">
            <v>ESPRESSO DUO + SHARPENER</v>
          </cell>
          <cell r="C8470" t="str">
            <v>GSGEDUO ESP</v>
          </cell>
        </row>
        <row r="8471">
          <cell r="A8471">
            <v>799028</v>
          </cell>
          <cell r="B8471" t="str">
            <v>BLACK + SHARPENER (SINGLE)</v>
          </cell>
          <cell r="C8471" t="str">
            <v>GSGE BLK</v>
          </cell>
        </row>
        <row r="8472">
          <cell r="A8472">
            <v>799029</v>
          </cell>
          <cell r="B8472" t="str">
            <v>BLACK DUO + SHARPENER</v>
          </cell>
          <cell r="C8472" t="str">
            <v>GSGEDUO BLK</v>
          </cell>
        </row>
        <row r="8473">
          <cell r="A8473">
            <v>799030</v>
          </cell>
          <cell r="B8473" t="str">
            <v>MILLION DOLLAR LASH DUO</v>
          </cell>
          <cell r="C8473" t="str">
            <v>GILBD</v>
          </cell>
        </row>
        <row r="8474">
          <cell r="A8474">
            <v>799031</v>
          </cell>
          <cell r="B8474" t="str">
            <v>MILLION DOLLAR LASH MASCARA</v>
          </cell>
          <cell r="C8474" t="str">
            <v>GTLCPLUSM</v>
          </cell>
        </row>
        <row r="8475">
          <cell r="A8475">
            <v>799032</v>
          </cell>
          <cell r="B8475" t="str">
            <v>MILLION DOLLAR LASH BOOSTER</v>
          </cell>
          <cell r="C8475" t="str">
            <v>GTLCPLUSB</v>
          </cell>
        </row>
        <row r="8476">
          <cell r="A8476">
            <v>799033</v>
          </cell>
          <cell r="B8476" t="str">
            <v>NUT ANTIOX FOUND-FAIR 8G</v>
          </cell>
          <cell r="C8476" t="str">
            <v>GCMF-FAIR8G</v>
          </cell>
        </row>
        <row r="8477">
          <cell r="A8477">
            <v>799034</v>
          </cell>
          <cell r="B8477" t="str">
            <v>NUT ANTIOX FOUND-FAIRLY LIGHT</v>
          </cell>
          <cell r="C8477" t="str">
            <v>GCMF-FAIRLT8G</v>
          </cell>
        </row>
        <row r="8478">
          <cell r="A8478">
            <v>799035</v>
          </cell>
          <cell r="B8478" t="str">
            <v>NUT ANTIOX FOUND-LIGHT 8G</v>
          </cell>
          <cell r="C8478" t="str">
            <v>GCMF-LIGHT8G</v>
          </cell>
        </row>
        <row r="8479">
          <cell r="A8479">
            <v>799036</v>
          </cell>
          <cell r="B8479" t="str">
            <v>NUT ANTIOX FOUND - NATURAL 8G</v>
          </cell>
          <cell r="C8479" t="str">
            <v>GCMF-NATURAL8G</v>
          </cell>
        </row>
        <row r="8480">
          <cell r="A8480">
            <v>799037</v>
          </cell>
          <cell r="B8480" t="str">
            <v>NUT ANTIOX FOUND - MEDIUM 8G</v>
          </cell>
          <cell r="C8480" t="str">
            <v>GCMF-MED8G</v>
          </cell>
        </row>
        <row r="8481">
          <cell r="A8481">
            <v>799038</v>
          </cell>
          <cell r="B8481" t="str">
            <v>NUT ANTIOX FOUND-MED.BEIGE 8G</v>
          </cell>
          <cell r="C8481" t="str">
            <v>GCMF-MEDBG8G</v>
          </cell>
        </row>
        <row r="8482">
          <cell r="A8482">
            <v>799039</v>
          </cell>
          <cell r="B8482" t="str">
            <v>NUT ANTIOX FOUND-GOLDEN MED 8G</v>
          </cell>
          <cell r="C8482" t="str">
            <v>GCMF-GOLDMED8G</v>
          </cell>
        </row>
        <row r="8483">
          <cell r="A8483">
            <v>799040</v>
          </cell>
          <cell r="B8483" t="str">
            <v>NUT ANTIOX FOUND-MEDIUM TAN 8G</v>
          </cell>
          <cell r="C8483" t="str">
            <v>GCMF-MEDTAN8G</v>
          </cell>
        </row>
        <row r="8484">
          <cell r="A8484">
            <v>799041</v>
          </cell>
          <cell r="B8484" t="str">
            <v>NUT ANTIOX FOUND SAMPLE CARD</v>
          </cell>
          <cell r="C8484" t="str">
            <v>MINI GCMF</v>
          </cell>
        </row>
        <row r="8485">
          <cell r="A8485">
            <v>799042</v>
          </cell>
          <cell r="B8485" t="str">
            <v>KABUKI BRUSH LARGE</v>
          </cell>
          <cell r="C8485" t="str">
            <v>GKBL</v>
          </cell>
        </row>
        <row r="8486">
          <cell r="A8486">
            <v>799043</v>
          </cell>
          <cell r="B8486" t="str">
            <v>KABUKI BRUSH MEDIUM</v>
          </cell>
          <cell r="C8486" t="str">
            <v>GKBM</v>
          </cell>
        </row>
        <row r="8487">
          <cell r="A8487">
            <v>799044</v>
          </cell>
          <cell r="B8487" t="str">
            <v>KABUKI BRUSH SMALL</v>
          </cell>
          <cell r="C8487" t="str">
            <v>GKBS</v>
          </cell>
        </row>
        <row r="8488">
          <cell r="A8488">
            <v>799045</v>
          </cell>
          <cell r="B8488" t="str">
            <v>MAKEUP BAG</v>
          </cell>
          <cell r="C8488" t="str">
            <v>GMB</v>
          </cell>
        </row>
        <row r="8489">
          <cell r="A8489">
            <v>799046</v>
          </cell>
          <cell r="B8489" t="str">
            <v>DOUBLE-SIDED COMPACT MIRROR</v>
          </cell>
          <cell r="C8489" t="str">
            <v>GCDSM</v>
          </cell>
        </row>
        <row r="8490">
          <cell r="A8490">
            <v>799047</v>
          </cell>
          <cell r="B8490" t="str">
            <v>KEY CHAINS</v>
          </cell>
          <cell r="C8490" t="str">
            <v>GKEY</v>
          </cell>
        </row>
        <row r="8491">
          <cell r="A8491">
            <v>8500473</v>
          </cell>
          <cell r="B8491" t="str">
            <v>Bolsa Kinblond DECO 2A 282FR</v>
          </cell>
          <cell r="C8491" t="str">
            <v>8500473</v>
          </cell>
        </row>
        <row r="8492">
          <cell r="A8492">
            <v>8500474</v>
          </cell>
          <cell r="B8492" t="str">
            <v>Prod. Kinblond DECO A2 282FR</v>
          </cell>
          <cell r="C8492" t="str">
            <v>8500474</v>
          </cell>
        </row>
        <row r="8493">
          <cell r="A8493">
            <v>8500599</v>
          </cell>
          <cell r="B8493" t="str">
            <v>Bolsa Kinblond DECO 2A282F1 1kg</v>
          </cell>
          <cell r="C8493" t="str">
            <v>8500599</v>
          </cell>
        </row>
        <row r="8494">
          <cell r="A8494">
            <v>8510035</v>
          </cell>
          <cell r="B8494" t="str">
            <v>PROD. LISS INT FLUID CONTROL</v>
          </cell>
          <cell r="C8494" t="str">
            <v>PILIFC</v>
          </cell>
        </row>
        <row r="8495">
          <cell r="A8495">
            <v>8530007</v>
          </cell>
          <cell r="B8495" t="str">
            <v>Producte SHAPING WET</v>
          </cell>
          <cell r="C8495" t="str">
            <v>PISHWE</v>
          </cell>
        </row>
        <row r="8496">
          <cell r="A8496">
            <v>9310186</v>
          </cell>
          <cell r="B8496" t="str">
            <v>TUBO KINESS.  OIL CREAM  20 ML</v>
          </cell>
          <cell r="C8496" t="str">
            <v>8435057010511</v>
          </cell>
        </row>
        <row r="8497">
          <cell r="A8497">
            <v>9500433</v>
          </cell>
          <cell r="B8497" t="str">
            <v>Tubo New C Glamour nº 7.0</v>
          </cell>
          <cell r="C8497" t="str">
            <v>PCNG70</v>
          </cell>
        </row>
        <row r="8498">
          <cell r="A8498">
            <v>9500474</v>
          </cell>
          <cell r="B8498" t="str">
            <v>SOBRE KINBLOND 30 GRS.</v>
          </cell>
          <cell r="C8498" t="str">
            <v>8435057016827</v>
          </cell>
        </row>
        <row r="8499">
          <cell r="A8499">
            <v>9511024</v>
          </cell>
          <cell r="B8499" t="str">
            <v>Sachet KA DAILY MOISTURIZING SH</v>
          </cell>
          <cell r="C8499" t="str">
            <v>8435057018418</v>
          </cell>
        </row>
        <row r="8500">
          <cell r="A8500">
            <v>9511025</v>
          </cell>
          <cell r="B8500" t="str">
            <v>Sachet KA RICH NOURISHING SH</v>
          </cell>
          <cell r="C8500" t="str">
            <v>8435057018425</v>
          </cell>
        </row>
        <row r="8501">
          <cell r="A8501">
            <v>9511026</v>
          </cell>
          <cell r="B8501" t="str">
            <v>Sachet KA NOURISHING 2-IN-1 MASK</v>
          </cell>
          <cell r="C8501" t="str">
            <v>8435057018432</v>
          </cell>
        </row>
        <row r="8502">
          <cell r="A8502">
            <v>9511027</v>
          </cell>
          <cell r="B8502" t="str">
            <v>Sachet KA NOURISHING MELTING EXTR</v>
          </cell>
          <cell r="C8502" t="str">
            <v>8435057018449</v>
          </cell>
        </row>
        <row r="8503">
          <cell r="A8503">
            <v>9511028</v>
          </cell>
          <cell r="B8503" t="str">
            <v>Sachet KA RICH RECONSTRUCTING SH</v>
          </cell>
          <cell r="C8503" t="str">
            <v>8435057018456</v>
          </cell>
        </row>
        <row r="8504">
          <cell r="A8504">
            <v>9511029</v>
          </cell>
          <cell r="B8504" t="str">
            <v>Sachet KA RECONSTRUCTING 2-IN-1  MASK</v>
          </cell>
          <cell r="C8504" t="str">
            <v>8435057018463</v>
          </cell>
        </row>
        <row r="8505">
          <cell r="A8505">
            <v>9511030</v>
          </cell>
          <cell r="B8505" t="str">
            <v>Sachet KA RECONSTRUCTING MELTING EXTR</v>
          </cell>
          <cell r="C8505" t="str">
            <v>8435057018470</v>
          </cell>
        </row>
        <row r="8506">
          <cell r="A8506">
            <v>9511031</v>
          </cell>
          <cell r="B8506" t="str">
            <v>Sachet KA MILD EXPANDING SH</v>
          </cell>
          <cell r="C8506" t="str">
            <v>8435057018487</v>
          </cell>
        </row>
        <row r="8507">
          <cell r="A8507">
            <v>9511032</v>
          </cell>
          <cell r="B8507" t="str">
            <v>Sachet KA EXPANDING 2-IN-1 MASK</v>
          </cell>
          <cell r="C8507" t="str">
            <v>8435057018494</v>
          </cell>
        </row>
        <row r="8508">
          <cell r="A8508">
            <v>9512019</v>
          </cell>
          <cell r="B8508" t="str">
            <v>Tubo OIL CREAM Kinessences 50 ML.</v>
          </cell>
          <cell r="C8508" t="str">
            <v>8435057010603</v>
          </cell>
        </row>
        <row r="8509">
          <cell r="A8509">
            <v>9512020</v>
          </cell>
          <cell r="B8509" t="str">
            <v>SOBRE KINESSENCES MASK 30 ml.</v>
          </cell>
          <cell r="C8509" t="str">
            <v>8435057010634</v>
          </cell>
        </row>
        <row r="8510">
          <cell r="A8510">
            <v>9512199</v>
          </cell>
          <cell r="B8510" t="str">
            <v>sachet DUPLO KINESSENCES OES</v>
          </cell>
          <cell r="C8510" t="str">
            <v>8435057014878</v>
          </cell>
        </row>
        <row r="8511">
          <cell r="A8511">
            <v>9512200</v>
          </cell>
          <cell r="B8511" t="str">
            <v>sachet DUPLO KINESSENCES DETOX</v>
          </cell>
          <cell r="C8511" t="str">
            <v>8435057014885</v>
          </cell>
        </row>
        <row r="8512">
          <cell r="A8512">
            <v>9512201</v>
          </cell>
          <cell r="B8512" t="str">
            <v>sachet DUPLO KINESSENCES RESTORE</v>
          </cell>
          <cell r="C8512" t="str">
            <v>8435057014892</v>
          </cell>
        </row>
        <row r="8513">
          <cell r="A8513">
            <v>9513019</v>
          </cell>
          <cell r="B8513" t="str">
            <v>Sachet KE NOURISH SHAMPOO</v>
          </cell>
          <cell r="C8513" t="str">
            <v>8435057018326</v>
          </cell>
        </row>
        <row r="8514">
          <cell r="A8514">
            <v>9513020</v>
          </cell>
          <cell r="B8514" t="str">
            <v>Sachet KE NOURISH MASK</v>
          </cell>
          <cell r="C8514" t="str">
            <v>8435057018333</v>
          </cell>
        </row>
        <row r="8515">
          <cell r="A8515">
            <v>9513021</v>
          </cell>
          <cell r="B8515" t="str">
            <v>Sachet KE NOURISH OIL CREAM</v>
          </cell>
          <cell r="C8515" t="str">
            <v>8435057018340</v>
          </cell>
        </row>
        <row r="8516">
          <cell r="A8516">
            <v>9513022</v>
          </cell>
          <cell r="B8516" t="str">
            <v>Sachet KE ANTIOX SHAMPOO</v>
          </cell>
          <cell r="C8516" t="str">
            <v>8435057018357</v>
          </cell>
        </row>
        <row r="8517">
          <cell r="A8517">
            <v>9513023</v>
          </cell>
          <cell r="B8517" t="str">
            <v>Sachet KE ANTIOX MASK</v>
          </cell>
          <cell r="C8517" t="str">
            <v>8435057018364</v>
          </cell>
        </row>
        <row r="8518">
          <cell r="A8518">
            <v>9513024</v>
          </cell>
          <cell r="B8518" t="str">
            <v>Sachet KE ANTIOX SMOOTHIE</v>
          </cell>
          <cell r="C8518" t="str">
            <v>8435057018371</v>
          </cell>
        </row>
        <row r="8519">
          <cell r="A8519">
            <v>9513025</v>
          </cell>
          <cell r="B8519" t="str">
            <v>Sachet KE RESTORE SHAMPOO</v>
          </cell>
          <cell r="C8519" t="str">
            <v>8435057018388</v>
          </cell>
        </row>
        <row r="8520">
          <cell r="A8520">
            <v>9513026</v>
          </cell>
          <cell r="B8520" t="str">
            <v>Sachet KE RESTORE MASK</v>
          </cell>
          <cell r="C8520" t="str">
            <v>8435057018395</v>
          </cell>
        </row>
        <row r="8521">
          <cell r="A8521">
            <v>9513027</v>
          </cell>
          <cell r="B8521" t="str">
            <v>Sachet KE RESTORE OVERNIGHT</v>
          </cell>
          <cell r="C8521" t="str">
            <v>8435057018401</v>
          </cell>
        </row>
        <row r="8522">
          <cell r="A8522">
            <v>9520099</v>
          </cell>
          <cell r="B8522" t="str">
            <v>sachet  KINSTYLE CURLY CREAM</v>
          </cell>
          <cell r="C8522" t="str">
            <v>8435057014908</v>
          </cell>
        </row>
        <row r="8523">
          <cell r="A8523">
            <v>9520100</v>
          </cell>
          <cell r="B8523" t="str">
            <v>sachet KINSTYLE POTION CREAM</v>
          </cell>
          <cell r="C8523" t="str">
            <v>8435057014915</v>
          </cell>
        </row>
        <row r="8524">
          <cell r="A8524">
            <v>9520101</v>
          </cell>
          <cell r="B8524" t="str">
            <v>sachet KINSTYLE MAKING WAVES</v>
          </cell>
          <cell r="C8524" t="str">
            <v>8435057014922</v>
          </cell>
        </row>
        <row r="8525">
          <cell r="A8525">
            <v>9550081</v>
          </cell>
          <cell r="B8525" t="str">
            <v>Sachet KINMEN HAIR WET GEL</v>
          </cell>
          <cell r="C8525" t="str">
            <v>8435057016575</v>
          </cell>
        </row>
        <row r="8526">
          <cell r="A8526">
            <v>9550082</v>
          </cell>
          <cell r="B8526" t="str">
            <v>Sachet KINMEN 3 IN 1</v>
          </cell>
          <cell r="C8526" t="str">
            <v>8435057016582</v>
          </cell>
        </row>
        <row r="8527">
          <cell r="A8527">
            <v>9550083</v>
          </cell>
          <cell r="B8527" t="str">
            <v>Sachet KINMEN BEARD CREAM</v>
          </cell>
          <cell r="C8527" t="str">
            <v>8435057016599</v>
          </cell>
        </row>
        <row r="8528">
          <cell r="A8528">
            <v>980001</v>
          </cell>
          <cell r="B8528" t="str">
            <v>CURSO LOOK&amp;LEARN PULPRIOT BCN</v>
          </cell>
          <cell r="C8528" t="str">
            <v>FTSF0910</v>
          </cell>
        </row>
        <row r="8529">
          <cell r="A8529">
            <v>980001</v>
          </cell>
          <cell r="B8529" t="str">
            <v>CURSO LOOK&amp;LEARN PULPRIOT BCN</v>
          </cell>
          <cell r="C8529" t="str">
            <v>8435057056113</v>
          </cell>
        </row>
        <row r="8530">
          <cell r="A8530">
            <v>980002</v>
          </cell>
          <cell r="B8530" t="str">
            <v>CURSO KIN CUT&amp;COLOR COL'10 BCN</v>
          </cell>
          <cell r="C8530" t="str">
            <v>FTBA1010</v>
          </cell>
        </row>
        <row r="8531">
          <cell r="A8531">
            <v>980002</v>
          </cell>
          <cell r="B8531" t="str">
            <v>CURSO KIN CUT&amp;COLOR COL'10 BCN</v>
          </cell>
          <cell r="C8531" t="str">
            <v>8435057056120</v>
          </cell>
        </row>
        <row r="8532">
          <cell r="A8532">
            <v>980003</v>
          </cell>
          <cell r="B8532" t="str">
            <v>CURSO KIN CUT&amp;COLOR COL'10 MAD</v>
          </cell>
          <cell r="C8532" t="str">
            <v>FTMA0910</v>
          </cell>
        </row>
        <row r="8533">
          <cell r="A8533">
            <v>980003</v>
          </cell>
          <cell r="B8533" t="str">
            <v>CURSO KIN CUT&amp;COLOR COL'10 MAD</v>
          </cell>
          <cell r="C8533" t="str">
            <v>8435057056137</v>
          </cell>
        </row>
        <row r="8534">
          <cell r="A8534">
            <v>980004</v>
          </cell>
          <cell r="B8534" t="str">
            <v>CURSO KIN CUT&amp;COLOR COL'10 ZGZ</v>
          </cell>
          <cell r="C8534" t="str">
            <v>FTZA1010</v>
          </cell>
        </row>
        <row r="8535">
          <cell r="A8535">
            <v>980004</v>
          </cell>
          <cell r="B8535" t="str">
            <v>CURSO KIN CUT&amp;COLOR COL'10 ZGZ</v>
          </cell>
          <cell r="C8535" t="str">
            <v>8435057056144</v>
          </cell>
        </row>
        <row r="8536">
          <cell r="A8536">
            <v>980005</v>
          </cell>
          <cell r="B8536" t="str">
            <v>CURSO KIN CUT&amp;COLOR COL'10 TGN</v>
          </cell>
          <cell r="C8536" t="str">
            <v>FTTA1110</v>
          </cell>
        </row>
        <row r="8537">
          <cell r="A8537">
            <v>980005</v>
          </cell>
          <cell r="B8537" t="str">
            <v>CURSO KIN CUT&amp;COLOR COL'10 TGN</v>
          </cell>
          <cell r="C8537" t="str">
            <v>8435057056151</v>
          </cell>
        </row>
        <row r="8538">
          <cell r="A8538">
            <v>980006</v>
          </cell>
          <cell r="B8538" t="str">
            <v>CURSO KIN GESTION S. FELIU G.</v>
          </cell>
          <cell r="C8538" t="str">
            <v>FGSF1510</v>
          </cell>
        </row>
        <row r="8539">
          <cell r="A8539">
            <v>980007</v>
          </cell>
          <cell r="B8539" t="str">
            <v>CURSO KIN GESTION MADRID</v>
          </cell>
          <cell r="C8539" t="str">
            <v>FGMA1710</v>
          </cell>
        </row>
        <row r="8540">
          <cell r="A8540">
            <v>980008</v>
          </cell>
          <cell r="B8540" t="str">
            <v>CURSO KIN GESTION ZARAGOZA</v>
          </cell>
          <cell r="C8540" t="str">
            <v>FGZA1610</v>
          </cell>
        </row>
        <row r="8541">
          <cell r="A8541">
            <v>980009</v>
          </cell>
          <cell r="B8541" t="str">
            <v>CURSO KIN GESTION BARCELONA</v>
          </cell>
          <cell r="C8541" t="str">
            <v>FGBA1910</v>
          </cell>
        </row>
        <row r="8542">
          <cell r="A8542">
            <v>980010</v>
          </cell>
          <cell r="B8542" t="str">
            <v>CURSO KIN GESTION TARRAGONA</v>
          </cell>
          <cell r="C8542" t="str">
            <v>FGTA2010</v>
          </cell>
        </row>
        <row r="8543">
          <cell r="A8543">
            <v>980017</v>
          </cell>
          <cell r="B8543" t="str">
            <v>CURSO MODA DISTRIB. 2 PROF.</v>
          </cell>
          <cell r="C8543" t="str">
            <v>980017</v>
          </cell>
        </row>
        <row r="8544">
          <cell r="A8544">
            <v>980018</v>
          </cell>
          <cell r="B8544" t="str">
            <v>CURSO KIN TECHNICAL DISTRIB.</v>
          </cell>
          <cell r="C8544" t="str">
            <v>980018</v>
          </cell>
        </row>
        <row r="8545">
          <cell r="A8545">
            <v>980049</v>
          </cell>
          <cell r="B8545" t="str">
            <v>CURSO BARBER'S CORNER VALENCIA</v>
          </cell>
          <cell r="C8545" t="str">
            <v>0000000980049</v>
          </cell>
        </row>
        <row r="8546">
          <cell r="A8546" t="str">
            <v>KC3T</v>
          </cell>
          <cell r="B8546" t="str">
            <v>KINCREM 3 TUBOS ANTIGUO</v>
          </cell>
          <cell r="C8546" t="str">
            <v>KC3T</v>
          </cell>
        </row>
        <row r="8547">
          <cell r="A8547" t="str">
            <v>NC3T</v>
          </cell>
          <cell r="B8547" t="str">
            <v>NEW COLOR 3 TUBOS ANTIGUO</v>
          </cell>
          <cell r="C8547" t="str">
            <v>NC3T</v>
          </cell>
        </row>
      </sheetData>
      <sheetData sheetId="7">
        <row r="2">
          <cell r="A2">
            <v>10199</v>
          </cell>
          <cell r="B2" t="str">
            <v>EXCLUSIVAS TRENDS HAIR SL</v>
          </cell>
          <cell r="C2" t="str">
            <v>2022-D-C1-R2</v>
          </cell>
          <cell r="D2">
            <v>0.03</v>
          </cell>
          <cell r="E2" t="str">
            <v>B10629798</v>
          </cell>
          <cell r="F2" t="str">
            <v>NACIONAL</v>
          </cell>
          <cell r="G2"/>
          <cell r="H2"/>
          <cell r="I2" t="str">
            <v>1004D</v>
          </cell>
          <cell r="J2" t="str">
            <v>NOEL BLANCO</v>
          </cell>
          <cell r="K2" t="str">
            <v>A CORUÑA</v>
          </cell>
          <cell r="L2" t="str">
            <v>A CORUÑA</v>
          </cell>
          <cell r="M2" t="str">
            <v>CL SEVERO OCHOA 19</v>
          </cell>
          <cell r="N2">
            <v>15008</v>
          </cell>
          <cell r="O2" t="str">
            <v>+34 981160055</v>
          </cell>
          <cell r="P2" t="str">
            <v>ESPAÑA</v>
          </cell>
          <cell r="Q2" t="str">
            <v>cristina@exclusivastrendshair.com</v>
          </cell>
          <cell r="S2" t="str">
            <v>CALLE JOSÉ RAMÓN TOLIVAR, FAES A PN 1 BAJO</v>
          </cell>
          <cell r="T2" t="str">
            <v>33006</v>
          </cell>
          <cell r="U2" t="str">
            <v/>
          </cell>
          <cell r="V2" t="str">
            <v>OVIEDO</v>
          </cell>
          <cell r="W2" t="str">
            <v>P.ASTURIAS</v>
          </cell>
        </row>
        <row r="3">
          <cell r="A3">
            <v>10193</v>
          </cell>
          <cell r="B3" t="str">
            <v>KAPYLOOK, S.L.</v>
          </cell>
          <cell r="C3" t="str">
            <v>2022-M-D1-R3</v>
          </cell>
          <cell r="D3"/>
          <cell r="E3" t="str">
            <v>B10739514</v>
          </cell>
          <cell r="F3" t="str">
            <v>NACIONAL</v>
          </cell>
          <cell r="G3"/>
          <cell r="H3"/>
          <cell r="I3" t="str">
            <v>1004D</v>
          </cell>
          <cell r="J3" t="str">
            <v>NOEL BLANCO</v>
          </cell>
          <cell r="K3" t="str">
            <v>CALDES DE MONTBUI</v>
          </cell>
          <cell r="L3" t="str">
            <v>BARCELONA</v>
          </cell>
          <cell r="M3" t="str">
            <v>CALLE BORGES BLANQUES 40</v>
          </cell>
          <cell r="N3" t="str">
            <v>08140</v>
          </cell>
          <cell r="O3" t="str">
            <v>+34 600732895</v>
          </cell>
          <cell r="P3" t="str">
            <v>ESPAÑA</v>
          </cell>
          <cell r="Q3" t="str">
            <v>administracion@kapylook.com</v>
          </cell>
          <cell r="S3" t="str">
            <v>CALLE BORGES BLANQUES 48</v>
          </cell>
          <cell r="T3" t="str">
            <v>08140</v>
          </cell>
          <cell r="U3" t="str">
            <v/>
          </cell>
          <cell r="V3" t="str">
            <v>CALDES DE MONTBUI</v>
          </cell>
          <cell r="W3" t="str">
            <v>BARCELONA</v>
          </cell>
        </row>
        <row r="4">
          <cell r="A4">
            <v>10137</v>
          </cell>
          <cell r="B4" t="str">
            <v>MONES FILOSES, S.L.</v>
          </cell>
          <cell r="C4" t="str">
            <v>2022-M-C1-R3</v>
          </cell>
          <cell r="D4"/>
          <cell r="E4" t="str">
            <v>B65175028</v>
          </cell>
          <cell r="F4" t="str">
            <v>NACIONAL</v>
          </cell>
          <cell r="G4"/>
          <cell r="H4"/>
          <cell r="I4" t="str">
            <v>1004D</v>
          </cell>
          <cell r="J4" t="str">
            <v>NOEL BLANCO</v>
          </cell>
          <cell r="K4" t="str">
            <v>BARCELONA</v>
          </cell>
          <cell r="L4" t="str">
            <v>BARCELONA</v>
          </cell>
          <cell r="M4" t="str">
            <v>CL LEPANT 296, PLANTA BAIXA, PORTA 2</v>
          </cell>
          <cell r="N4" t="str">
            <v>08025</v>
          </cell>
          <cell r="O4" t="str">
            <v>+34 647849469</v>
          </cell>
          <cell r="P4" t="str">
            <v>ESPAÑA</v>
          </cell>
          <cell r="Q4" t="str">
            <v>monesfiloses@hotmail.com</v>
          </cell>
          <cell r="S4" t="str">
            <v>CL LEPANT 296, PLANTA BAIXA, PORTA 2</v>
          </cell>
          <cell r="T4" t="str">
            <v>08025</v>
          </cell>
          <cell r="V4" t="str">
            <v>BARCELONA</v>
          </cell>
          <cell r="W4" t="str">
            <v>BARCELONA</v>
          </cell>
        </row>
        <row r="5">
          <cell r="A5">
            <v>10122</v>
          </cell>
          <cell r="B5" t="str">
            <v>TORRAS HERNANDEZ, CB</v>
          </cell>
          <cell r="D5"/>
          <cell r="G5"/>
          <cell r="H5"/>
          <cell r="I5" t="str">
            <v>1004D</v>
          </cell>
          <cell r="J5" t="str">
            <v>NOEL BLANCO</v>
          </cell>
          <cell r="N5"/>
          <cell r="S5" t="str">
            <v>PL JONQUERES 16</v>
          </cell>
          <cell r="T5" t="str">
            <v>08208</v>
          </cell>
          <cell r="U5" t="str">
            <v/>
          </cell>
          <cell r="V5" t="str">
            <v>SABADELL</v>
          </cell>
          <cell r="W5" t="str">
            <v>BARCELONA</v>
          </cell>
        </row>
        <row r="6">
          <cell r="A6">
            <v>10048</v>
          </cell>
          <cell r="B6" t="str">
            <v>XIAO QIAN CHEN</v>
          </cell>
          <cell r="C6" t="str">
            <v>2021-M-A1-R3</v>
          </cell>
          <cell r="D6"/>
          <cell r="E6" t="str">
            <v>X9788283N</v>
          </cell>
          <cell r="F6" t="str">
            <v>NACREQ</v>
          </cell>
          <cell r="G6"/>
          <cell r="H6"/>
          <cell r="I6" t="str">
            <v>1004D</v>
          </cell>
          <cell r="J6" t="str">
            <v>NOEL BLANCO</v>
          </cell>
          <cell r="K6" t="str">
            <v>REUS</v>
          </cell>
          <cell r="L6" t="str">
            <v>TARRAGONA</v>
          </cell>
          <cell r="M6" t="str">
            <v>PASSEIG PRIM 13 BAJO 1</v>
          </cell>
          <cell r="N6">
            <v>43202</v>
          </cell>
          <cell r="O6" t="str">
            <v>+34 688006706</v>
          </cell>
          <cell r="P6" t="str">
            <v>ESPAÑA</v>
          </cell>
          <cell r="Q6" t="str">
            <v>lindachen2486@gmail.com</v>
          </cell>
          <cell r="S6" t="str">
            <v>PASSEIG PRIM 13 BAJO 1</v>
          </cell>
          <cell r="T6">
            <v>43202</v>
          </cell>
          <cell r="V6" t="str">
            <v>REUS</v>
          </cell>
          <cell r="W6" t="str">
            <v>TARRAGONA</v>
          </cell>
        </row>
        <row r="7">
          <cell r="A7">
            <v>10047</v>
          </cell>
          <cell r="B7" t="str">
            <v>KB EMPORDÀ SL</v>
          </cell>
          <cell r="C7" t="str">
            <v>2022-M-B1-R3</v>
          </cell>
          <cell r="D7"/>
          <cell r="E7" t="str">
            <v>B67902361</v>
          </cell>
          <cell r="F7" t="str">
            <v>NACIONAL</v>
          </cell>
          <cell r="G7"/>
          <cell r="H7"/>
          <cell r="I7" t="str">
            <v>1004D</v>
          </cell>
          <cell r="J7" t="str">
            <v>NOEL BLANCO</v>
          </cell>
          <cell r="K7" t="str">
            <v>LA BISBAL DE L'EMPORDA</v>
          </cell>
          <cell r="L7" t="str">
            <v>GIRONA</v>
          </cell>
          <cell r="M7" t="str">
            <v>CL AIGÜETA, 86</v>
          </cell>
          <cell r="N7">
            <v>17100</v>
          </cell>
          <cell r="O7" t="str">
            <v>+34 972646855</v>
          </cell>
          <cell r="P7" t="str">
            <v>ESPAÑA</v>
          </cell>
          <cell r="Q7" t="str">
            <v>pagos@bellezaplus.com</v>
          </cell>
          <cell r="S7" t="str">
            <v>CL AIGÜETA, 86</v>
          </cell>
          <cell r="T7">
            <v>17100</v>
          </cell>
          <cell r="V7" t="str">
            <v>LA BISBAL DE L'EMPORDA</v>
          </cell>
          <cell r="W7" t="str">
            <v>GIRONA</v>
          </cell>
        </row>
        <row r="8">
          <cell r="A8">
            <v>9997</v>
          </cell>
          <cell r="B8" t="str">
            <v>MARTINEZ FRESNO, MARIA CARMEN</v>
          </cell>
          <cell r="C8" t="str">
            <v>2021-M-A1-R3</v>
          </cell>
          <cell r="D8"/>
          <cell r="E8" t="str">
            <v>45543586K</v>
          </cell>
          <cell r="F8" t="str">
            <v>NACREQ</v>
          </cell>
          <cell r="G8"/>
          <cell r="H8"/>
          <cell r="I8" t="str">
            <v>1004D</v>
          </cell>
          <cell r="J8" t="str">
            <v>NOEL BLANCO</v>
          </cell>
          <cell r="K8" t="str">
            <v>CALELLA</v>
          </cell>
          <cell r="L8" t="str">
            <v>BARCELONA</v>
          </cell>
          <cell r="M8" t="str">
            <v>CARRER BALMES 79 LOCAL 3</v>
          </cell>
          <cell r="N8" t="str">
            <v>08370</v>
          </cell>
          <cell r="O8" t="str">
            <v>+34 931153494</v>
          </cell>
          <cell r="P8" t="str">
            <v>ESPAÑA</v>
          </cell>
          <cell r="Q8" t="str">
            <v>info@biomaimar.com</v>
          </cell>
          <cell r="S8" t="str">
            <v>C/ BALMES 79, LOCAL 3</v>
          </cell>
          <cell r="T8" t="str">
            <v>08370</v>
          </cell>
          <cell r="U8" t="str">
            <v/>
          </cell>
          <cell r="V8" t="str">
            <v>CALELLA</v>
          </cell>
          <cell r="W8" t="str">
            <v>BARCELONA</v>
          </cell>
        </row>
        <row r="9">
          <cell r="A9">
            <v>9975</v>
          </cell>
          <cell r="B9" t="str">
            <v>GARCIA RODRIGUEZ, JESUS FRANCISCO</v>
          </cell>
          <cell r="C9" t="str">
            <v>2022-M-D1-R3</v>
          </cell>
          <cell r="D9"/>
          <cell r="E9" t="str">
            <v>48682553V</v>
          </cell>
          <cell r="F9" t="str">
            <v>NACREQ</v>
          </cell>
          <cell r="G9"/>
          <cell r="H9">
            <v>5.1999999999999998E-2</v>
          </cell>
          <cell r="I9" t="str">
            <v>1004D</v>
          </cell>
          <cell r="J9" t="str">
            <v>NOEL BLANCO</v>
          </cell>
          <cell r="K9" t="str">
            <v>LA VILLAJOYOSA/VILA JOIOSA</v>
          </cell>
          <cell r="L9" t="str">
            <v>ALICANTE</v>
          </cell>
          <cell r="M9" t="str">
            <v>CALLE CIUDAD DE VALENCIA 10</v>
          </cell>
          <cell r="N9" t="str">
            <v>03570</v>
          </cell>
          <cell r="O9" t="str">
            <v>+34 966807201</v>
          </cell>
          <cell r="P9" t="str">
            <v>ESPAÑA</v>
          </cell>
          <cell r="Q9" t="str">
            <v>distribucionescuevas@gmail.com</v>
          </cell>
          <cell r="S9" t="str">
            <v>CL TOMAS ORTUÑO 78</v>
          </cell>
          <cell r="T9" t="str">
            <v>03500</v>
          </cell>
          <cell r="U9" t="str">
            <v/>
          </cell>
          <cell r="V9" t="str">
            <v>BENIDORM</v>
          </cell>
          <cell r="W9" t="str">
            <v>ALICANTE</v>
          </cell>
        </row>
        <row r="10">
          <cell r="A10">
            <v>9974</v>
          </cell>
          <cell r="B10" t="str">
            <v>RODRIGUEZ OLIVARES, M ANGELS</v>
          </cell>
          <cell r="C10" t="str">
            <v>2022-M-D1-R3</v>
          </cell>
          <cell r="D10"/>
          <cell r="E10" t="str">
            <v>28878235X</v>
          </cell>
          <cell r="F10" t="str">
            <v>NACREQ</v>
          </cell>
          <cell r="G10"/>
          <cell r="H10">
            <v>5.1999999999999998E-2</v>
          </cell>
          <cell r="I10" t="str">
            <v>1004D</v>
          </cell>
          <cell r="J10" t="str">
            <v>NOEL BLANCO</v>
          </cell>
          <cell r="K10" t="str">
            <v>BENIDORM</v>
          </cell>
          <cell r="L10" t="str">
            <v>ALICANTE</v>
          </cell>
          <cell r="M10" t="str">
            <v>CALLE TOMAS ORTUÑO 84</v>
          </cell>
          <cell r="N10" t="str">
            <v>03500</v>
          </cell>
          <cell r="O10" t="str">
            <v>+34 965856410</v>
          </cell>
          <cell r="P10" t="str">
            <v>ESPAÑA</v>
          </cell>
          <cell r="Q10" t="str">
            <v>distribucionescuevas@gmail.com</v>
          </cell>
          <cell r="S10" t="str">
            <v>CALLE TOMAS ORTUÑO 78</v>
          </cell>
          <cell r="T10" t="str">
            <v>03500</v>
          </cell>
          <cell r="U10" t="str">
            <v/>
          </cell>
          <cell r="V10" t="str">
            <v>BENIDORM</v>
          </cell>
          <cell r="W10" t="str">
            <v>ALICANTE</v>
          </cell>
        </row>
        <row r="11">
          <cell r="A11">
            <v>9966</v>
          </cell>
          <cell r="B11" t="str">
            <v>INVERSIONES ZAROCA SL</v>
          </cell>
          <cell r="C11" t="str">
            <v>2021-M-B1-R3</v>
          </cell>
          <cell r="D11"/>
          <cell r="E11" t="str">
            <v>B16691263</v>
          </cell>
          <cell r="F11" t="str">
            <v>NACIONAL</v>
          </cell>
          <cell r="G11"/>
          <cell r="H11"/>
          <cell r="I11" t="str">
            <v>1004D</v>
          </cell>
          <cell r="J11" t="str">
            <v>NOEL BLANCO</v>
          </cell>
          <cell r="K11" t="str">
            <v>BARCELONA</v>
          </cell>
          <cell r="L11" t="str">
            <v>BARCELONA</v>
          </cell>
          <cell r="M11" t="str">
            <v>RONDA SANT PAU 35</v>
          </cell>
          <cell r="N11" t="str">
            <v>08001</v>
          </cell>
          <cell r="O11" t="str">
            <v>+34 682889008</v>
          </cell>
          <cell r="P11" t="str">
            <v>ESPAÑA</v>
          </cell>
          <cell r="Q11" t="str">
            <v>zarzaraquel@hotmail.com</v>
          </cell>
          <cell r="S11" t="str">
            <v>RONDA SANT PAU 35</v>
          </cell>
          <cell r="T11" t="str">
            <v>08001</v>
          </cell>
          <cell r="V11" t="str">
            <v>BARCELONA</v>
          </cell>
          <cell r="W11" t="str">
            <v>BARCELONA</v>
          </cell>
        </row>
        <row r="12">
          <cell r="A12">
            <v>9960</v>
          </cell>
          <cell r="B12" t="str">
            <v>COSMETICOS H. GARCIA S.L.</v>
          </cell>
          <cell r="C12" t="str">
            <v>2022-M-D1-R3</v>
          </cell>
          <cell r="D12"/>
          <cell r="E12" t="str">
            <v>B16742843</v>
          </cell>
          <cell r="F12" t="str">
            <v>NACIONAL</v>
          </cell>
          <cell r="G12"/>
          <cell r="H12"/>
          <cell r="I12" t="str">
            <v>1004D</v>
          </cell>
          <cell r="J12" t="str">
            <v>NOEL BLANCO</v>
          </cell>
          <cell r="K12" t="str">
            <v>VILLAMAYOR</v>
          </cell>
          <cell r="L12" t="str">
            <v>SALAMANCA</v>
          </cell>
          <cell r="M12" t="str">
            <v>CL VELDERADUEY 64</v>
          </cell>
          <cell r="N12">
            <v>37185</v>
          </cell>
          <cell r="O12" t="str">
            <v>+34 605964771</v>
          </cell>
          <cell r="P12" t="str">
            <v>ESPAÑA</v>
          </cell>
          <cell r="Q12" t="str">
            <v>alberto@comercialhgarcia.com</v>
          </cell>
          <cell r="S12" t="str">
            <v>CL CUESTA DEL HOSPITAL 41</v>
          </cell>
          <cell r="T12" t="str">
            <v>49600</v>
          </cell>
          <cell r="U12" t="str">
            <v/>
          </cell>
          <cell r="V12" t="str">
            <v>BENAVENTE</v>
          </cell>
          <cell r="W12" t="str">
            <v>ZAMORA</v>
          </cell>
        </row>
        <row r="13">
          <cell r="A13">
            <v>9895</v>
          </cell>
          <cell r="B13" t="str">
            <v>DHABBI TRADING S.L.</v>
          </cell>
          <cell r="C13" t="str">
            <v>2021-D-A1-R2</v>
          </cell>
          <cell r="D13">
            <v>0.03</v>
          </cell>
          <cell r="E13" t="str">
            <v>B04956744</v>
          </cell>
          <cell r="F13" t="str">
            <v>NACIONAL</v>
          </cell>
          <cell r="G13"/>
          <cell r="H13"/>
          <cell r="I13" t="str">
            <v>1004D</v>
          </cell>
          <cell r="J13" t="str">
            <v>NOEL BLANCO</v>
          </cell>
          <cell r="K13" t="str">
            <v>MADRID</v>
          </cell>
          <cell r="L13" t="str">
            <v>MADRID</v>
          </cell>
          <cell r="M13" t="str">
            <v>C/ PUERTO DE USED 13</v>
          </cell>
          <cell r="N13">
            <v>28031</v>
          </cell>
          <cell r="O13" t="str">
            <v>+34 633623476</v>
          </cell>
          <cell r="P13" t="str">
            <v>ESPAÑA</v>
          </cell>
          <cell r="Q13" t="str">
            <v>danirojo14@icloud.com</v>
          </cell>
          <cell r="S13" t="str">
            <v>C/ PUERTO DE USED 13</v>
          </cell>
          <cell r="T13">
            <v>28031</v>
          </cell>
          <cell r="V13" t="str">
            <v>MADRID</v>
          </cell>
          <cell r="W13" t="str">
            <v>MADRID</v>
          </cell>
        </row>
        <row r="14">
          <cell r="A14">
            <v>9796</v>
          </cell>
          <cell r="B14" t="str">
            <v>BEAUTY MANIA S.L.</v>
          </cell>
          <cell r="D14"/>
          <cell r="E14" t="str">
            <v>B87557161</v>
          </cell>
          <cell r="F14" t="str">
            <v>NACIONAL</v>
          </cell>
          <cell r="G14"/>
          <cell r="H14"/>
          <cell r="I14" t="str">
            <v>1004D</v>
          </cell>
          <cell r="J14" t="str">
            <v>NOEL BLANCO</v>
          </cell>
          <cell r="K14" t="str">
            <v>VALDEMORO</v>
          </cell>
          <cell r="L14" t="str">
            <v>MADRID</v>
          </cell>
          <cell r="M14" t="str">
            <v>AV DE ANDALUCÍA 198</v>
          </cell>
          <cell r="N14">
            <v>28342</v>
          </cell>
          <cell r="O14">
            <v>34918939982</v>
          </cell>
          <cell r="P14" t="str">
            <v>ESPAÑA</v>
          </cell>
          <cell r="Q14" t="str">
            <v>josegarcia@beautymania.es</v>
          </cell>
          <cell r="S14" t="str">
            <v>AV DE ANDALUCÍA 198</v>
          </cell>
          <cell r="T14">
            <v>28342</v>
          </cell>
          <cell r="V14" t="str">
            <v>VALDEMORO</v>
          </cell>
          <cell r="W14" t="str">
            <v>MADRID</v>
          </cell>
        </row>
        <row r="15">
          <cell r="A15">
            <v>9761</v>
          </cell>
          <cell r="B15" t="str">
            <v>NAVARRO JIMENEZ, LORENA</v>
          </cell>
          <cell r="C15" t="str">
            <v>2021-M-B1-R3</v>
          </cell>
          <cell r="D15">
            <v>0.03</v>
          </cell>
          <cell r="E15" t="str">
            <v>45790475M</v>
          </cell>
          <cell r="F15" t="str">
            <v>NACIONAL</v>
          </cell>
          <cell r="G15"/>
          <cell r="H15"/>
          <cell r="I15" t="str">
            <v>1004D</v>
          </cell>
          <cell r="J15" t="str">
            <v>NOEL BLANCO</v>
          </cell>
          <cell r="K15" t="str">
            <v>BEGUES</v>
          </cell>
          <cell r="L15" t="str">
            <v>BARCELONA</v>
          </cell>
          <cell r="M15" t="str">
            <v>CL MAJOR 50</v>
          </cell>
          <cell r="N15" t="str">
            <v>08859</v>
          </cell>
          <cell r="O15" t="str">
            <v>+34 611472749</v>
          </cell>
          <cell r="P15" t="str">
            <v>ESPAÑA</v>
          </cell>
          <cell r="Q15" t="str">
            <v>info@scissorsperruqueria.com</v>
          </cell>
          <cell r="S15" t="str">
            <v>CR LA ALIMENTACIO 24</v>
          </cell>
          <cell r="T15" t="str">
            <v>08110</v>
          </cell>
          <cell r="U15" t="str">
            <v>P.I. LA FERRERIA</v>
          </cell>
          <cell r="V15" t="str">
            <v>MONTCADA I REIXAC</v>
          </cell>
          <cell r="W15" t="str">
            <v>BARCELONA</v>
          </cell>
        </row>
        <row r="16">
          <cell r="A16">
            <v>9751</v>
          </cell>
          <cell r="B16" t="str">
            <v>MERA MOSQUERA, MIGUEL ANGEL</v>
          </cell>
          <cell r="C16" t="str">
            <v>2021-M-A1-R3</v>
          </cell>
          <cell r="D16"/>
          <cell r="E16" t="str">
            <v>36098841L</v>
          </cell>
          <cell r="F16" t="str">
            <v>NACREQ</v>
          </cell>
          <cell r="G16"/>
          <cell r="H16">
            <v>5.1999999999999998E-2</v>
          </cell>
          <cell r="I16" t="str">
            <v>1004D</v>
          </cell>
          <cell r="J16" t="str">
            <v>NOEL BLANCO</v>
          </cell>
          <cell r="K16" t="str">
            <v>VILAGARCIA DE AROUSA</v>
          </cell>
          <cell r="L16" t="str">
            <v>PONTEVEDRA</v>
          </cell>
          <cell r="M16" t="str">
            <v>CL PABLO IGLESIAS 8 BJS</v>
          </cell>
          <cell r="N16">
            <v>36600</v>
          </cell>
          <cell r="O16" t="str">
            <v>+34 625341262</v>
          </cell>
          <cell r="P16" t="str">
            <v>ESPAÑA</v>
          </cell>
          <cell r="Q16" t="str">
            <v>meramiguel@outlook.es</v>
          </cell>
          <cell r="S16" t="str">
            <v>CL PABLO IGLESIAS 8 BJS</v>
          </cell>
          <cell r="T16">
            <v>36600</v>
          </cell>
          <cell r="V16" t="str">
            <v>VILAGARCIA DE AROUSA</v>
          </cell>
          <cell r="W16" t="str">
            <v>PONTEVEDRA</v>
          </cell>
        </row>
        <row r="17">
          <cell r="A17">
            <v>9742</v>
          </cell>
          <cell r="B17" t="str">
            <v>MORENO SEGURA, MARIA DOLORES</v>
          </cell>
          <cell r="C17" t="str">
            <v>2022-M-D1-R3</v>
          </cell>
          <cell r="D17"/>
          <cell r="E17" t="str">
            <v>22978470K</v>
          </cell>
          <cell r="F17" t="str">
            <v>NACIONAL</v>
          </cell>
          <cell r="G17"/>
          <cell r="H17"/>
          <cell r="I17" t="str">
            <v>1004D</v>
          </cell>
          <cell r="J17" t="str">
            <v>NOEL BLANCO</v>
          </cell>
          <cell r="K17" t="str">
            <v>VISTA ALEGRE</v>
          </cell>
          <cell r="L17" t="str">
            <v>MURCIA</v>
          </cell>
          <cell r="M17" t="str">
            <v>CL SAN MARTIN DE PORRES 22-B</v>
          </cell>
          <cell r="N17">
            <v>30399</v>
          </cell>
          <cell r="O17" t="str">
            <v>+34 744630778</v>
          </cell>
          <cell r="P17" t="str">
            <v>ESPAÑA</v>
          </cell>
          <cell r="Q17" t="str">
            <v>stepeloinfo@gmail.com</v>
          </cell>
          <cell r="S17" t="str">
            <v>CL LEVANTE 10</v>
          </cell>
          <cell r="T17" t="str">
            <v>30399</v>
          </cell>
          <cell r="U17" t="str">
            <v/>
          </cell>
          <cell r="V17" t="str">
            <v>VISTA ALEGRE</v>
          </cell>
          <cell r="W17" t="str">
            <v>MURCIA</v>
          </cell>
        </row>
        <row r="18">
          <cell r="A18">
            <v>9714</v>
          </cell>
          <cell r="B18" t="str">
            <v>RAMOS TINOCO, SANDRA</v>
          </cell>
          <cell r="C18" t="str">
            <v>2021-M-A1-R3</v>
          </cell>
          <cell r="D18"/>
          <cell r="E18" t="str">
            <v>44198065T</v>
          </cell>
          <cell r="F18" t="str">
            <v>NACIONAL</v>
          </cell>
          <cell r="G18"/>
          <cell r="H18"/>
          <cell r="I18" t="str">
            <v>1004D</v>
          </cell>
          <cell r="J18" t="str">
            <v>NOEL BLANCO</v>
          </cell>
          <cell r="K18" t="str">
            <v>L'HOSPITALET DE LLOBREGAT</v>
          </cell>
          <cell r="L18" t="str">
            <v>BARCELONA</v>
          </cell>
          <cell r="M18" t="str">
            <v>AVDA. JOSEP TARRADELLAS 121</v>
          </cell>
          <cell r="N18" t="str">
            <v>08901</v>
          </cell>
          <cell r="O18" t="str">
            <v>+34 677541338</v>
          </cell>
          <cell r="P18" t="str">
            <v>ESPAÑA</v>
          </cell>
          <cell r="Q18" t="str">
            <v>charovillalon@gmail.com</v>
          </cell>
          <cell r="S18" t="str">
            <v>AVDA. JOSEP TARRADELLAS 121</v>
          </cell>
          <cell r="T18" t="str">
            <v>08901</v>
          </cell>
          <cell r="V18" t="str">
            <v>L'HOSPITALET DE LLOBREGAT</v>
          </cell>
          <cell r="W18" t="str">
            <v>BARCELONA</v>
          </cell>
        </row>
        <row r="19">
          <cell r="A19">
            <v>9595</v>
          </cell>
          <cell r="B19" t="str">
            <v>LA CASA DEL CABELL S.C.P.</v>
          </cell>
          <cell r="C19" t="str">
            <v>2020-M-B1-R3</v>
          </cell>
          <cell r="D19">
            <v>0.03</v>
          </cell>
          <cell r="E19" t="str">
            <v>J55774988</v>
          </cell>
          <cell r="F19" t="str">
            <v>NACIONAL</v>
          </cell>
          <cell r="G19"/>
          <cell r="H19"/>
          <cell r="I19" t="str">
            <v>1004D</v>
          </cell>
          <cell r="J19" t="str">
            <v>NOEL BLANCO</v>
          </cell>
          <cell r="K19" t="str">
            <v>REUS</v>
          </cell>
          <cell r="L19" t="str">
            <v>TARRAGONA</v>
          </cell>
          <cell r="M19" t="str">
            <v>RAVAL SANT PERE 6, BX 2</v>
          </cell>
          <cell r="N19">
            <v>43201</v>
          </cell>
          <cell r="O19" t="str">
            <v>+34 977911635</v>
          </cell>
          <cell r="P19" t="str">
            <v>ESPAÑA</v>
          </cell>
          <cell r="Q19" t="str">
            <v>vicenteferrercosmetics@gmail.com</v>
          </cell>
          <cell r="R19" t="str">
            <v/>
          </cell>
          <cell r="S19" t="str">
            <v>RAVAL SANT PERE 6, BX 2</v>
          </cell>
          <cell r="T19">
            <v>43201</v>
          </cell>
          <cell r="V19" t="str">
            <v>REUS</v>
          </cell>
          <cell r="W19" t="str">
            <v>TARRAGONA</v>
          </cell>
        </row>
        <row r="20">
          <cell r="A20">
            <v>9550</v>
          </cell>
          <cell r="B20" t="str">
            <v>DUQUE SANCHEZ, JORDI</v>
          </cell>
          <cell r="C20" t="str">
            <v>2020-M-C1-R3</v>
          </cell>
          <cell r="D20">
            <v>0.03</v>
          </cell>
          <cell r="E20" t="str">
            <v>53028887H</v>
          </cell>
          <cell r="F20" t="str">
            <v>NACREQ</v>
          </cell>
          <cell r="G20">
            <v>0.02</v>
          </cell>
          <cell r="H20">
            <v>5.1999999999999998E-2</v>
          </cell>
          <cell r="I20" t="str">
            <v>1004D</v>
          </cell>
          <cell r="J20" t="str">
            <v>NOEL BLANCO</v>
          </cell>
          <cell r="K20" t="str">
            <v>CALDES DE MONTBUI</v>
          </cell>
          <cell r="L20" t="str">
            <v>BARCELONA</v>
          </cell>
          <cell r="M20" t="str">
            <v>AV. PI I MARGALL, 92</v>
          </cell>
          <cell r="N20" t="str">
            <v>08140</v>
          </cell>
          <cell r="O20" t="str">
            <v>+34 600732895</v>
          </cell>
          <cell r="P20" t="str">
            <v>ESPAÑA</v>
          </cell>
          <cell r="Q20" t="str">
            <v>jordi.duque@hotmail.com</v>
          </cell>
          <cell r="R20" t="str">
            <v/>
          </cell>
          <cell r="S20" t="str">
            <v>CL BORGUES BLANQUES 48</v>
          </cell>
          <cell r="T20" t="str">
            <v>08140</v>
          </cell>
          <cell r="U20" t="str">
            <v/>
          </cell>
          <cell r="V20" t="str">
            <v>CALDES DE MONTBUI</v>
          </cell>
          <cell r="W20" t="str">
            <v>BARCELONA</v>
          </cell>
        </row>
        <row r="21">
          <cell r="A21">
            <v>9479</v>
          </cell>
          <cell r="B21" t="str">
            <v>OLIVERAS CLADELLAS, JAUME</v>
          </cell>
          <cell r="C21" t="str">
            <v>2020-M-C1-R3</v>
          </cell>
          <cell r="D21">
            <v>0.03</v>
          </cell>
          <cell r="E21" t="str">
            <v>52141552T</v>
          </cell>
          <cell r="F21" t="str">
            <v>NACREQ</v>
          </cell>
          <cell r="G21"/>
          <cell r="H21">
            <v>5.1999999999999998E-2</v>
          </cell>
          <cell r="I21" t="str">
            <v>1004D</v>
          </cell>
          <cell r="J21" t="str">
            <v>NOEL BLANCO</v>
          </cell>
          <cell r="K21" t="str">
            <v>LES FRANQUESES DEL VALLES</v>
          </cell>
          <cell r="L21" t="str">
            <v>BARCELONA</v>
          </cell>
          <cell r="M21" t="str">
            <v>CL ROSSELLO 8</v>
          </cell>
          <cell r="N21" t="str">
            <v>08521</v>
          </cell>
          <cell r="O21" t="str">
            <v>+34 938491157</v>
          </cell>
          <cell r="P21" t="str">
            <v>ESPAÑA</v>
          </cell>
          <cell r="Q21" t="str">
            <v>meritxell_oliveras@hotmail.com</v>
          </cell>
          <cell r="R21" t="str">
            <v/>
          </cell>
          <cell r="S21" t="str">
            <v>CL ROSSELLO 8</v>
          </cell>
          <cell r="T21" t="str">
            <v>08521</v>
          </cell>
          <cell r="V21" t="str">
            <v>LES FRANQUESES DEL VALLES</v>
          </cell>
          <cell r="W21" t="str">
            <v>BARCELONA</v>
          </cell>
        </row>
        <row r="22">
          <cell r="A22">
            <v>9460</v>
          </cell>
          <cell r="B22" t="str">
            <v>ZUBIZARRETA CARBAJO, CAROLINA</v>
          </cell>
          <cell r="C22" t="str">
            <v>2020-M-C1-R3</v>
          </cell>
          <cell r="D22">
            <v>0.03</v>
          </cell>
          <cell r="E22" t="str">
            <v>13305159G</v>
          </cell>
          <cell r="F22" t="str">
            <v>NACREQ</v>
          </cell>
          <cell r="G22"/>
          <cell r="H22">
            <v>5.1999999999999998E-2</v>
          </cell>
          <cell r="I22" t="str">
            <v>1004D</v>
          </cell>
          <cell r="J22" t="str">
            <v>NOEL BLANCO</v>
          </cell>
          <cell r="K22" t="str">
            <v>MIRANDA DE EBRO</v>
          </cell>
          <cell r="L22" t="str">
            <v>BURGOS</v>
          </cell>
          <cell r="M22" t="str">
            <v>CL REP. ARGENTINA 67</v>
          </cell>
          <cell r="N22" t="str">
            <v>09200</v>
          </cell>
          <cell r="O22" t="str">
            <v>+34 600700641</v>
          </cell>
          <cell r="P22" t="str">
            <v>ESPAÑA</v>
          </cell>
          <cell r="Q22" t="str">
            <v>alfredopestanabonachia@gmail.com</v>
          </cell>
          <cell r="R22" t="str">
            <v>TENEN IMPAGATS</v>
          </cell>
          <cell r="S22" t="str">
            <v>CL REP. ARGENTINA 67</v>
          </cell>
          <cell r="T22" t="str">
            <v>09200</v>
          </cell>
          <cell r="V22" t="str">
            <v>MIRANDA DE EBRO</v>
          </cell>
          <cell r="W22" t="str">
            <v>BURGOS</v>
          </cell>
        </row>
        <row r="23">
          <cell r="A23">
            <v>9338</v>
          </cell>
          <cell r="B23" t="str">
            <v>CASTILLO ARQUES, INES</v>
          </cell>
          <cell r="C23" t="str">
            <v>2020-M-A1-R3</v>
          </cell>
          <cell r="D23">
            <v>0.05</v>
          </cell>
          <cell r="E23" t="str">
            <v>46063498H</v>
          </cell>
          <cell r="F23" t="str">
            <v>NACIONAL</v>
          </cell>
          <cell r="G23"/>
          <cell r="H23"/>
          <cell r="I23" t="str">
            <v>1004D</v>
          </cell>
          <cell r="J23" t="str">
            <v>NOEL BLANCO</v>
          </cell>
          <cell r="K23" t="str">
            <v>SANT CELONI</v>
          </cell>
          <cell r="L23" t="str">
            <v>BARCELONA</v>
          </cell>
          <cell r="M23" t="str">
            <v>CL GERMÀ JULIÀ 7</v>
          </cell>
          <cell r="N23" t="str">
            <v>08470</v>
          </cell>
          <cell r="O23" t="str">
            <v>+34 938486799</v>
          </cell>
          <cell r="P23" t="str">
            <v>ESPAÑA</v>
          </cell>
          <cell r="Q23" t="str">
            <v>eddincosmetics@gmail.com</v>
          </cell>
          <cell r="R23" t="str">
            <v/>
          </cell>
          <cell r="S23" t="str">
            <v>CL GERMÀ JULIÀ 7</v>
          </cell>
          <cell r="T23" t="str">
            <v>08470</v>
          </cell>
          <cell r="V23" t="str">
            <v>SANT CELONI</v>
          </cell>
          <cell r="W23" t="str">
            <v>BARCELONA</v>
          </cell>
        </row>
        <row r="24">
          <cell r="A24">
            <v>9333</v>
          </cell>
          <cell r="B24" t="str">
            <v>OLIVERAS CLADELLAS, MERITXELL</v>
          </cell>
          <cell r="C24" t="str">
            <v>2020-M-C1-R3</v>
          </cell>
          <cell r="D24">
            <v>0.03</v>
          </cell>
          <cell r="E24" t="str">
            <v>52141553R</v>
          </cell>
          <cell r="F24" t="str">
            <v>NACREQ</v>
          </cell>
          <cell r="G24"/>
          <cell r="H24">
            <v>5.1999999999999998E-2</v>
          </cell>
          <cell r="I24" t="str">
            <v>1004D</v>
          </cell>
          <cell r="J24" t="str">
            <v>NOEL BLANCO</v>
          </cell>
          <cell r="K24" t="str">
            <v>LES FRANQUESES</v>
          </cell>
          <cell r="L24" t="str">
            <v>BARCELONA</v>
          </cell>
          <cell r="M24" t="str">
            <v>CL PROVENÇA 7-9</v>
          </cell>
          <cell r="N24" t="str">
            <v>08521</v>
          </cell>
          <cell r="O24" t="str">
            <v>+34 938491157</v>
          </cell>
          <cell r="P24" t="str">
            <v>ESPAÑA</v>
          </cell>
          <cell r="Q24" t="str">
            <v>meritxell_oliveras@hotmail.com</v>
          </cell>
          <cell r="R24" t="str">
            <v/>
          </cell>
          <cell r="S24" t="str">
            <v>CL PROVENÇA 7-9</v>
          </cell>
          <cell r="T24" t="str">
            <v>08521</v>
          </cell>
          <cell r="V24" t="str">
            <v>LES FRANQUESES</v>
          </cell>
          <cell r="W24" t="str">
            <v>BARCELONA</v>
          </cell>
        </row>
        <row r="25">
          <cell r="A25">
            <v>9306</v>
          </cell>
          <cell r="B25" t="str">
            <v>GRAN MOLINARI, JAIME</v>
          </cell>
          <cell r="C25" t="str">
            <v>2020-M-A1-R3</v>
          </cell>
          <cell r="D25">
            <v>0.05</v>
          </cell>
          <cell r="E25" t="str">
            <v>77299379J</v>
          </cell>
          <cell r="F25" t="str">
            <v>NACIONAL</v>
          </cell>
          <cell r="G25"/>
          <cell r="H25"/>
          <cell r="I25" t="str">
            <v>1004D</v>
          </cell>
          <cell r="J25" t="str">
            <v>NOEL BLANCO</v>
          </cell>
          <cell r="K25" t="str">
            <v>VILAFRANCA DEL PENEDES</v>
          </cell>
          <cell r="L25" t="str">
            <v>BARCELONA</v>
          </cell>
          <cell r="M25" t="str">
            <v>CL SANT PERE 26</v>
          </cell>
          <cell r="N25" t="str">
            <v>08720</v>
          </cell>
          <cell r="O25" t="str">
            <v>+34 938170292</v>
          </cell>
          <cell r="P25" t="str">
            <v>ESPAÑA</v>
          </cell>
          <cell r="Q25" t="str">
            <v>santiproductes @hotmail.es</v>
          </cell>
          <cell r="R25" t="str">
            <v/>
          </cell>
          <cell r="S25" t="str">
            <v>CL SANT PERE 26</v>
          </cell>
          <cell r="T25" t="str">
            <v>08720</v>
          </cell>
          <cell r="V25" t="str">
            <v>VILAFRANCA DEL PENEDES</v>
          </cell>
          <cell r="W25" t="str">
            <v>BARCELONA</v>
          </cell>
        </row>
        <row r="26">
          <cell r="A26">
            <v>9294</v>
          </cell>
          <cell r="B26" t="str">
            <v>RAMIREZ GARCIA, MARINA</v>
          </cell>
          <cell r="C26" t="str">
            <v>2020-M-A1-R3</v>
          </cell>
          <cell r="D26">
            <v>0.05</v>
          </cell>
          <cell r="E26" t="str">
            <v>52421282G</v>
          </cell>
          <cell r="F26" t="str">
            <v>NACIONAL</v>
          </cell>
          <cell r="G26"/>
          <cell r="H26"/>
          <cell r="I26" t="str">
            <v>1004D</v>
          </cell>
          <cell r="J26" t="str">
            <v>NOEL BLANCO</v>
          </cell>
          <cell r="K26" t="str">
            <v>VILANOVA I LA GELTRU</v>
          </cell>
          <cell r="L26" t="str">
            <v>BARCELONA</v>
          </cell>
          <cell r="M26" t="str">
            <v>RAMBLA SAMA 25</v>
          </cell>
          <cell r="N26" t="str">
            <v>08800</v>
          </cell>
          <cell r="O26" t="str">
            <v>+34 938934018</v>
          </cell>
          <cell r="P26" t="str">
            <v>ESPAÑA</v>
          </cell>
          <cell r="Q26" t="str">
            <v>colucci_@hotmail.es</v>
          </cell>
          <cell r="R26" t="str">
            <v/>
          </cell>
          <cell r="S26" t="str">
            <v>RAMBLA SAMA 25</v>
          </cell>
          <cell r="T26" t="str">
            <v>08800</v>
          </cell>
          <cell r="V26" t="str">
            <v>VILANOVA I LA GELTRU</v>
          </cell>
          <cell r="W26" t="str">
            <v>BARCELONA</v>
          </cell>
        </row>
        <row r="27">
          <cell r="A27">
            <v>9257</v>
          </cell>
          <cell r="B27" t="str">
            <v>FERNANDEZ MARTINEZ, PATRICIA</v>
          </cell>
          <cell r="C27" t="str">
            <v>2020-M-A1-R3</v>
          </cell>
          <cell r="D27">
            <v>0.05</v>
          </cell>
          <cell r="E27" t="str">
            <v>43551022Q</v>
          </cell>
          <cell r="F27" t="str">
            <v>NACREQ</v>
          </cell>
          <cell r="G27"/>
          <cell r="H27">
            <v>5.1999999999999998E-2</v>
          </cell>
          <cell r="I27" t="str">
            <v>1004D</v>
          </cell>
          <cell r="J27" t="str">
            <v>NOEL BLANCO</v>
          </cell>
          <cell r="K27" t="str">
            <v>MALGRAT DE MAR</v>
          </cell>
          <cell r="L27" t="str">
            <v>BARCELONA</v>
          </cell>
          <cell r="M27" t="str">
            <v>CL MEDITERRANI 44</v>
          </cell>
          <cell r="N27" t="str">
            <v>08380</v>
          </cell>
          <cell r="O27" t="str">
            <v>+34 937610348</v>
          </cell>
          <cell r="P27" t="str">
            <v>ESPAÑA</v>
          </cell>
          <cell r="Q27" t="str">
            <v>jofermalgrat@outlook.es</v>
          </cell>
          <cell r="R27" t="str">
            <v/>
          </cell>
          <cell r="S27" t="str">
            <v>CL MEDITERRANI 44</v>
          </cell>
          <cell r="T27" t="str">
            <v>08380</v>
          </cell>
          <cell r="V27" t="str">
            <v>MALGRAT DE MAR</v>
          </cell>
          <cell r="W27" t="str">
            <v>BARCELONA</v>
          </cell>
        </row>
        <row r="28">
          <cell r="A28">
            <v>9252</v>
          </cell>
          <cell r="B28" t="str">
            <v>RABADAN HERRAIZ, GEMA</v>
          </cell>
          <cell r="C28" t="str">
            <v>2020-M-A1-R3</v>
          </cell>
          <cell r="D28">
            <v>0.05</v>
          </cell>
          <cell r="E28" t="str">
            <v>46637514T</v>
          </cell>
          <cell r="F28" t="str">
            <v>NACREQ</v>
          </cell>
          <cell r="G28">
            <v>0.02</v>
          </cell>
          <cell r="H28">
            <v>5.1999999999999998E-2</v>
          </cell>
          <cell r="I28" t="str">
            <v>1004D</v>
          </cell>
          <cell r="J28" t="str">
            <v>NOEL BLANCO</v>
          </cell>
          <cell r="K28" t="str">
            <v>ESPLUGUES DE LLOBREGAT</v>
          </cell>
          <cell r="L28" t="str">
            <v>BARCELONA</v>
          </cell>
          <cell r="M28" t="str">
            <v>CL 8 DE MARZO, 45</v>
          </cell>
          <cell r="N28" t="str">
            <v>08950</v>
          </cell>
          <cell r="O28" t="str">
            <v>+34 932527417</v>
          </cell>
          <cell r="P28" t="str">
            <v>ESPAÑA</v>
          </cell>
          <cell r="Q28" t="str">
            <v>ainagor14@gmail.com</v>
          </cell>
          <cell r="R28" t="str">
            <v/>
          </cell>
          <cell r="S28" t="str">
            <v>CL 8 DE MARZO, 45</v>
          </cell>
          <cell r="T28" t="str">
            <v>08950</v>
          </cell>
          <cell r="V28" t="str">
            <v>ESPLUGUES DE LLOBREGAT</v>
          </cell>
          <cell r="W28" t="str">
            <v>BARCELONA</v>
          </cell>
        </row>
        <row r="29">
          <cell r="A29">
            <v>9251</v>
          </cell>
          <cell r="B29" t="str">
            <v>MIRAND &amp; BELL PROFESSIONAL, S.L.</v>
          </cell>
          <cell r="C29" t="str">
            <v>2020-M-A1-R3</v>
          </cell>
          <cell r="D29">
            <v>0.05</v>
          </cell>
          <cell r="E29" t="str">
            <v>B65091001</v>
          </cell>
          <cell r="F29" t="str">
            <v>NACIONAL</v>
          </cell>
          <cell r="G29"/>
          <cell r="H29"/>
          <cell r="I29" t="str">
            <v>1004D</v>
          </cell>
          <cell r="J29" t="str">
            <v>NOEL BLANCO</v>
          </cell>
          <cell r="K29" t="str">
            <v>SITGES</v>
          </cell>
          <cell r="L29" t="str">
            <v>BARCELONA</v>
          </cell>
          <cell r="M29" t="str">
            <v>CR SANT JOSEP 27</v>
          </cell>
          <cell r="N29" t="str">
            <v>08870</v>
          </cell>
          <cell r="O29" t="str">
            <v>+34 938110196</v>
          </cell>
          <cell r="P29" t="str">
            <v>ESPAÑA</v>
          </cell>
          <cell r="Q29" t="str">
            <v>mirandbell@mirandbell.com</v>
          </cell>
          <cell r="R29" t="str">
            <v/>
          </cell>
          <cell r="S29" t="str">
            <v>CR SANT JOSEP 27</v>
          </cell>
          <cell r="T29" t="str">
            <v>08870</v>
          </cell>
          <cell r="V29" t="str">
            <v>SITGES</v>
          </cell>
          <cell r="W29" t="str">
            <v>BARCELONA</v>
          </cell>
        </row>
        <row r="30">
          <cell r="A30">
            <v>9245</v>
          </cell>
          <cell r="B30" t="str">
            <v>FONT FORTUNY, ANNA MARIA</v>
          </cell>
          <cell r="C30" t="str">
            <v>2020-M-A1-R3</v>
          </cell>
          <cell r="D30">
            <v>0.05</v>
          </cell>
          <cell r="E30" t="str">
            <v>39650185W</v>
          </cell>
          <cell r="F30" t="str">
            <v>NACREQ</v>
          </cell>
          <cell r="G30">
            <v>0.02</v>
          </cell>
          <cell r="H30">
            <v>5.1999999999999998E-2</v>
          </cell>
          <cell r="I30" t="str">
            <v>1004D</v>
          </cell>
          <cell r="J30" t="str">
            <v>NOEL BLANCO</v>
          </cell>
          <cell r="K30" t="str">
            <v>CAMBRILS</v>
          </cell>
          <cell r="L30" t="str">
            <v>TARRAGONA</v>
          </cell>
          <cell r="M30" t="str">
            <v>CL CONSOLAD DE MAR, 19</v>
          </cell>
          <cell r="N30">
            <v>43850</v>
          </cell>
          <cell r="O30" t="str">
            <v>+34 97736007</v>
          </cell>
          <cell r="P30" t="str">
            <v>ESPAÑA</v>
          </cell>
          <cell r="Q30" t="str">
            <v>perfumeriafortuny@gmail.com</v>
          </cell>
          <cell r="R30" t="str">
            <v/>
          </cell>
          <cell r="S30" t="str">
            <v>CL CONSOLAD DE MAR, 19</v>
          </cell>
          <cell r="T30">
            <v>43850</v>
          </cell>
          <cell r="V30" t="str">
            <v>CAMBRILS</v>
          </cell>
          <cell r="W30" t="str">
            <v>TARRAGONA</v>
          </cell>
        </row>
        <row r="31">
          <cell r="A31">
            <v>9205</v>
          </cell>
          <cell r="B31" t="str">
            <v>BEAUTY FAIR COSMETIC SL</v>
          </cell>
          <cell r="C31" t="str">
            <v>2020-M-B1-R3</v>
          </cell>
          <cell r="D31">
            <v>0.03</v>
          </cell>
          <cell r="E31" t="str">
            <v>B55097794</v>
          </cell>
          <cell r="F31" t="str">
            <v>NACIONAL</v>
          </cell>
          <cell r="G31"/>
          <cell r="H31"/>
          <cell r="I31" t="str">
            <v>1004D</v>
          </cell>
          <cell r="J31" t="str">
            <v>NOEL BLANCO</v>
          </cell>
          <cell r="K31" t="str">
            <v>SALT</v>
          </cell>
          <cell r="L31" t="str">
            <v>GIRONA</v>
          </cell>
          <cell r="M31" t="str">
            <v>CL ANGEL GUIMERA 72, BJ</v>
          </cell>
          <cell r="N31">
            <v>17190</v>
          </cell>
          <cell r="O31" t="str">
            <v>+34 972242052</v>
          </cell>
          <cell r="P31" t="str">
            <v>ESPAÑA</v>
          </cell>
          <cell r="Q31" t="str">
            <v>beautyfair2011@yahoo.com</v>
          </cell>
          <cell r="R31" t="str">
            <v/>
          </cell>
          <cell r="S31" t="str">
            <v>C/BAILEN,6</v>
          </cell>
          <cell r="T31" t="str">
            <v>17002</v>
          </cell>
          <cell r="U31" t="str">
            <v/>
          </cell>
          <cell r="V31" t="str">
            <v>GIRONA</v>
          </cell>
          <cell r="W31" t="str">
            <v>GIRONA</v>
          </cell>
        </row>
        <row r="32">
          <cell r="A32">
            <v>9189</v>
          </cell>
          <cell r="B32" t="str">
            <v>GOMEZ CEREZO, OSCAR</v>
          </cell>
          <cell r="C32" t="str">
            <v>2020-M-A1-R3</v>
          </cell>
          <cell r="D32">
            <v>0.05</v>
          </cell>
          <cell r="E32" t="str">
            <v>46680678Q</v>
          </cell>
          <cell r="F32" t="str">
            <v>NACREQ</v>
          </cell>
          <cell r="G32"/>
          <cell r="H32">
            <v>5.1999999999999998E-2</v>
          </cell>
          <cell r="I32" t="str">
            <v>1004D</v>
          </cell>
          <cell r="J32" t="str">
            <v>NOEL BLANCO</v>
          </cell>
          <cell r="K32" t="str">
            <v>CERVELLO</v>
          </cell>
          <cell r="L32" t="str">
            <v>BARCELONA</v>
          </cell>
          <cell r="M32" t="str">
            <v>CL MAJOR 74, LOCAL 1</v>
          </cell>
          <cell r="N32" t="str">
            <v>08758</v>
          </cell>
          <cell r="O32" t="str">
            <v>+34 936600783</v>
          </cell>
          <cell r="P32" t="str">
            <v>ESPAÑA</v>
          </cell>
          <cell r="Q32" t="str">
            <v>oscaros@hotmail.com</v>
          </cell>
          <cell r="R32" t="str">
            <v/>
          </cell>
          <cell r="S32" t="str">
            <v>CL MAJOR 74, LOCAL 1</v>
          </cell>
          <cell r="T32" t="str">
            <v>08758</v>
          </cell>
          <cell r="V32" t="str">
            <v>CERVELLO</v>
          </cell>
          <cell r="W32" t="str">
            <v>BARCELONA</v>
          </cell>
        </row>
        <row r="33">
          <cell r="A33">
            <v>9183</v>
          </cell>
          <cell r="B33" t="str">
            <v>GALA GALLARDO, OBDULIA</v>
          </cell>
          <cell r="C33" t="str">
            <v>2020-M-A1-R3</v>
          </cell>
          <cell r="D33">
            <v>0.05</v>
          </cell>
          <cell r="E33" t="str">
            <v>38430415Z</v>
          </cell>
          <cell r="F33" t="str">
            <v>NACREQ</v>
          </cell>
          <cell r="G33"/>
          <cell r="H33">
            <v>5.1999999999999998E-2</v>
          </cell>
          <cell r="I33" t="str">
            <v>1004D</v>
          </cell>
          <cell r="J33" t="str">
            <v>NOEL BLANCO</v>
          </cell>
          <cell r="K33" t="str">
            <v>CORNELLA DE LLOBREGAT</v>
          </cell>
          <cell r="L33" t="str">
            <v>BARCELONA</v>
          </cell>
          <cell r="M33" t="str">
            <v>CL BONESTAR 26-28</v>
          </cell>
          <cell r="N33" t="str">
            <v>08940</v>
          </cell>
          <cell r="O33" t="str">
            <v>+34 933765289</v>
          </cell>
          <cell r="P33" t="str">
            <v>ESPAÑA</v>
          </cell>
          <cell r="Q33" t="str">
            <v>info@cosmeticosgala.es</v>
          </cell>
          <cell r="R33" t="str">
            <v/>
          </cell>
          <cell r="S33" t="str">
            <v>CL BONESTAR 26-28</v>
          </cell>
          <cell r="T33" t="str">
            <v>08940</v>
          </cell>
          <cell r="V33" t="str">
            <v>CORNELLA DE LLOBREGAT</v>
          </cell>
          <cell r="W33" t="str">
            <v>BARCELONA</v>
          </cell>
        </row>
        <row r="34">
          <cell r="A34">
            <v>9178</v>
          </cell>
          <cell r="B34" t="str">
            <v>CORCHERO CONDE, JOSE MIGUEL</v>
          </cell>
          <cell r="C34" t="str">
            <v>2020-D-A1-R2</v>
          </cell>
          <cell r="D34">
            <v>0.03</v>
          </cell>
          <cell r="E34" t="str">
            <v>44216862Y</v>
          </cell>
          <cell r="F34" t="str">
            <v>NACIONAL</v>
          </cell>
          <cell r="G34"/>
          <cell r="H34"/>
          <cell r="I34" t="str">
            <v>1004D</v>
          </cell>
          <cell r="J34" t="str">
            <v>NOEL BLANCO</v>
          </cell>
          <cell r="K34" t="str">
            <v>SAN JUAN DEL PUERTO</v>
          </cell>
          <cell r="L34" t="str">
            <v>HUELVA</v>
          </cell>
          <cell r="M34" t="str">
            <v>CL PUERTO RICO, 7</v>
          </cell>
          <cell r="N34">
            <v>21610</v>
          </cell>
          <cell r="O34" t="str">
            <v>+34 959367615</v>
          </cell>
          <cell r="P34" t="str">
            <v>ESPAÑA</v>
          </cell>
          <cell r="Q34" t="str">
            <v>decondepeluqueriayestetica@gmail.com</v>
          </cell>
          <cell r="R34" t="str">
            <v/>
          </cell>
          <cell r="S34" t="str">
            <v>CL/ BO CELULOSAS 9</v>
          </cell>
          <cell r="T34" t="str">
            <v>21610</v>
          </cell>
          <cell r="U34" t="str">
            <v/>
          </cell>
          <cell r="V34" t="str">
            <v>SAN JUAN DEL PUERTO</v>
          </cell>
          <cell r="W34" t="str">
            <v>HUELVA</v>
          </cell>
        </row>
        <row r="35">
          <cell r="A35">
            <v>9130</v>
          </cell>
          <cell r="B35" t="str">
            <v>EQUIPO AMAVAL SL</v>
          </cell>
          <cell r="C35" t="str">
            <v>2020-D-C1-R2</v>
          </cell>
          <cell r="D35">
            <v>0.03</v>
          </cell>
          <cell r="E35" t="str">
            <v>B11941812</v>
          </cell>
          <cell r="F35" t="str">
            <v>NACIONAL</v>
          </cell>
          <cell r="G35">
            <v>0.02</v>
          </cell>
          <cell r="H35"/>
          <cell r="I35" t="str">
            <v>1004D</v>
          </cell>
          <cell r="J35" t="str">
            <v>NOEL BLANCO</v>
          </cell>
          <cell r="K35" t="str">
            <v>JEREZ DE LA FRONTERA</v>
          </cell>
          <cell r="L35" t="str">
            <v>CADIZ</v>
          </cell>
          <cell r="M35" t="str">
            <v>AV BUQUE JUAN SEBASTIAN EL CANO Nº 67</v>
          </cell>
          <cell r="N35">
            <v>11407</v>
          </cell>
          <cell r="O35" t="str">
            <v>+34 626469206</v>
          </cell>
          <cell r="P35" t="str">
            <v>ESPAÑA</v>
          </cell>
          <cell r="Q35" t="str">
            <v>raul.montes.alvarez@hotmail.com</v>
          </cell>
          <cell r="R35" t="str">
            <v/>
          </cell>
          <cell r="S35" t="str">
            <v>AV BUQUE JUAN SEBASTIAN EL CANO Nº 67</v>
          </cell>
          <cell r="T35">
            <v>11407</v>
          </cell>
          <cell r="V35" t="str">
            <v>JEREZ DE LA FRONTERA</v>
          </cell>
          <cell r="W35" t="str">
            <v>CADIZ</v>
          </cell>
        </row>
        <row r="36">
          <cell r="A36">
            <v>9126</v>
          </cell>
          <cell r="B36" t="str">
            <v>X PELS LA BOTIGUETA DELS CABELLS SL</v>
          </cell>
          <cell r="C36" t="str">
            <v>2020-M-A1-R3</v>
          </cell>
          <cell r="D36">
            <v>0.05</v>
          </cell>
          <cell r="E36" t="str">
            <v>B66555129</v>
          </cell>
          <cell r="F36" t="str">
            <v>NACIONAL</v>
          </cell>
          <cell r="G36"/>
          <cell r="H36"/>
          <cell r="I36" t="str">
            <v>1004D</v>
          </cell>
          <cell r="J36" t="str">
            <v>NOEL BLANCO</v>
          </cell>
          <cell r="K36" t="str">
            <v>SANT ANDREU DE LA BARCA</v>
          </cell>
          <cell r="L36" t="str">
            <v>BARCELONA</v>
          </cell>
          <cell r="M36" t="str">
            <v>DE LA FONT, 21</v>
          </cell>
          <cell r="N36" t="str">
            <v>08740</v>
          </cell>
          <cell r="O36" t="str">
            <v>+34 687560504</v>
          </cell>
          <cell r="P36" t="str">
            <v>ESPAÑA</v>
          </cell>
          <cell r="Q36" t="str">
            <v>carlos@tiendaxpels.com</v>
          </cell>
          <cell r="R36" t="str">
            <v/>
          </cell>
          <cell r="S36" t="str">
            <v>DE LA FONT, 21</v>
          </cell>
          <cell r="T36" t="str">
            <v>08740</v>
          </cell>
          <cell r="V36" t="str">
            <v>SANT ANDREU DE LA BARCA</v>
          </cell>
          <cell r="W36" t="str">
            <v>BARCELONA</v>
          </cell>
        </row>
        <row r="37">
          <cell r="A37">
            <v>9107</v>
          </cell>
          <cell r="B37" t="str">
            <v>RIZOS S.C.P.</v>
          </cell>
          <cell r="C37" t="str">
            <v>2020-M-D1-R3</v>
          </cell>
          <cell r="D37">
            <v>0.03</v>
          </cell>
          <cell r="E37" t="str">
            <v>J60201753</v>
          </cell>
          <cell r="F37" t="str">
            <v>NACIONAL</v>
          </cell>
          <cell r="G37"/>
          <cell r="H37"/>
          <cell r="I37" t="str">
            <v>1004D</v>
          </cell>
          <cell r="J37" t="str">
            <v>NOEL BLANCO</v>
          </cell>
          <cell r="K37" t="str">
            <v>VILADECANS</v>
          </cell>
          <cell r="L37" t="str">
            <v>BARCELONA</v>
          </cell>
          <cell r="M37" t="str">
            <v>CL DR. REIG 40</v>
          </cell>
          <cell r="N37" t="str">
            <v>08840</v>
          </cell>
          <cell r="O37" t="str">
            <v>+34 932694674</v>
          </cell>
          <cell r="P37" t="str">
            <v>ESPAÑA</v>
          </cell>
          <cell r="Q37" t="str">
            <v>direccionfinancierajs@gmail.com</v>
          </cell>
          <cell r="R37" t="str">
            <v/>
          </cell>
          <cell r="S37" t="str">
            <v>CR SALVADOR BARONE 72</v>
          </cell>
          <cell r="T37" t="str">
            <v>08840</v>
          </cell>
          <cell r="U37" t="str">
            <v/>
          </cell>
          <cell r="V37" t="str">
            <v>VILADECANS</v>
          </cell>
          <cell r="W37" t="str">
            <v>BARCELONA</v>
          </cell>
        </row>
        <row r="38">
          <cell r="A38">
            <v>9095</v>
          </cell>
          <cell r="B38" t="str">
            <v>MASIP NATURALNESS SL</v>
          </cell>
          <cell r="C38" t="str">
            <v>2020-M-B1-R3</v>
          </cell>
          <cell r="D38">
            <v>0.03</v>
          </cell>
          <cell r="E38" t="str">
            <v>B66522350</v>
          </cell>
          <cell r="F38" t="str">
            <v>NACIONAL</v>
          </cell>
          <cell r="G38"/>
          <cell r="H38"/>
          <cell r="I38" t="str">
            <v>1004D</v>
          </cell>
          <cell r="J38" t="str">
            <v>NOEL BLANCO</v>
          </cell>
          <cell r="K38" t="str">
            <v>MARTORELL</v>
          </cell>
          <cell r="L38" t="str">
            <v>BARCELONA</v>
          </cell>
          <cell r="M38" t="str">
            <v>AV ST ANTONI Mª CLARET 4B</v>
          </cell>
          <cell r="N38" t="str">
            <v>08760</v>
          </cell>
          <cell r="O38" t="str">
            <v>+34 937742657</v>
          </cell>
          <cell r="P38" t="str">
            <v>ESPAÑA</v>
          </cell>
          <cell r="Q38" t="str">
            <v>maribel@masipnaturalness.com</v>
          </cell>
          <cell r="R38" t="str">
            <v/>
          </cell>
          <cell r="S38" t="str">
            <v>AV ST ANTONI Mª CLARET 4B</v>
          </cell>
          <cell r="T38" t="str">
            <v>08760</v>
          </cell>
          <cell r="V38" t="str">
            <v>MARTORELL</v>
          </cell>
          <cell r="W38" t="str">
            <v>BARCELONA</v>
          </cell>
        </row>
        <row r="39">
          <cell r="A39">
            <v>9090</v>
          </cell>
          <cell r="B39" t="str">
            <v>MARQUEZ CACENAVES, MERCEDES</v>
          </cell>
          <cell r="C39" t="str">
            <v>2020-M-A1-R3</v>
          </cell>
          <cell r="D39">
            <v>0.05</v>
          </cell>
          <cell r="E39" t="str">
            <v>46224503T</v>
          </cell>
          <cell r="F39" t="str">
            <v>NACREQ</v>
          </cell>
          <cell r="G39"/>
          <cell r="H39">
            <v>5.1999999999999998E-2</v>
          </cell>
          <cell r="I39" t="str">
            <v>1004D</v>
          </cell>
          <cell r="J39" t="str">
            <v>NOEL BLANCO</v>
          </cell>
          <cell r="K39" t="str">
            <v>EL PRAT DE LLOBREGAT</v>
          </cell>
          <cell r="L39" t="str">
            <v>BARCELONA</v>
          </cell>
          <cell r="M39" t="str">
            <v>AVDA VERGE DE MONTSERRAT 211</v>
          </cell>
          <cell r="N39" t="str">
            <v>08820</v>
          </cell>
          <cell r="O39" t="str">
            <v>+34 93370246</v>
          </cell>
          <cell r="P39" t="str">
            <v>ESPAÑA</v>
          </cell>
          <cell r="Q39" t="str">
            <v>mercedes@grupobelleza.com</v>
          </cell>
          <cell r="R39" t="str">
            <v/>
          </cell>
          <cell r="S39" t="str">
            <v>AVDA VERGE DE MONTSERRAT 211</v>
          </cell>
          <cell r="T39" t="str">
            <v>08820</v>
          </cell>
          <cell r="V39" t="str">
            <v>EL PRAT DE LLOBREGAT</v>
          </cell>
          <cell r="W39" t="str">
            <v>BARCELONA</v>
          </cell>
        </row>
        <row r="40">
          <cell r="A40">
            <v>9086</v>
          </cell>
          <cell r="B40" t="str">
            <v>GARRIGA SOLA, JOSEP</v>
          </cell>
          <cell r="C40" t="str">
            <v>2020-M-A1-R3</v>
          </cell>
          <cell r="D40">
            <v>0.05</v>
          </cell>
          <cell r="E40" t="str">
            <v>47708612B</v>
          </cell>
          <cell r="F40" t="str">
            <v>NACREQ</v>
          </cell>
          <cell r="G40"/>
          <cell r="H40">
            <v>5.1999999999999998E-2</v>
          </cell>
          <cell r="I40" t="str">
            <v>1004D</v>
          </cell>
          <cell r="J40" t="str">
            <v>NOEL BLANCO</v>
          </cell>
          <cell r="K40" t="str">
            <v>LA BARCELONA GARRIGA</v>
          </cell>
          <cell r="L40" t="str">
            <v>BARCELONA</v>
          </cell>
          <cell r="M40" t="str">
            <v>CL CALABRIA 67</v>
          </cell>
          <cell r="N40" t="str">
            <v>08530</v>
          </cell>
          <cell r="O40" t="str">
            <v>+34 931897264</v>
          </cell>
          <cell r="P40" t="str">
            <v>ESPAÑA</v>
          </cell>
          <cell r="Q40" t="str">
            <v>kabellsitints@hotmail.com</v>
          </cell>
          <cell r="R40" t="str">
            <v/>
          </cell>
          <cell r="S40" t="str">
            <v>CL CALABRIA 67</v>
          </cell>
          <cell r="T40" t="str">
            <v>08530</v>
          </cell>
          <cell r="V40" t="str">
            <v>LA BARCELONA GARRIGA</v>
          </cell>
          <cell r="W40" t="str">
            <v>BARCELONA</v>
          </cell>
        </row>
        <row r="41">
          <cell r="A41">
            <v>9061</v>
          </cell>
          <cell r="B41" t="str">
            <v>SEGURA GOMEZ, FRANCISCA</v>
          </cell>
          <cell r="C41" t="str">
            <v>2020-M-A1-R3</v>
          </cell>
          <cell r="D41">
            <v>0.05</v>
          </cell>
          <cell r="E41" t="str">
            <v>46647458P</v>
          </cell>
          <cell r="F41" t="str">
            <v>NACREQ</v>
          </cell>
          <cell r="G41"/>
          <cell r="H41">
            <v>5.1999999999999998E-2</v>
          </cell>
          <cell r="I41" t="str">
            <v>1004D</v>
          </cell>
          <cell r="J41" t="str">
            <v>NOEL BLANCO</v>
          </cell>
          <cell r="K41" t="str">
            <v>CERDANYOLA DEL VALLES</v>
          </cell>
          <cell r="L41" t="str">
            <v>BARCELONA</v>
          </cell>
          <cell r="M41" t="str">
            <v>AV. PRIMAVERA 11-15 (GALERÍAS UNICENTRO LOC. 18-19</v>
          </cell>
          <cell r="N41" t="str">
            <v>08290</v>
          </cell>
          <cell r="O41" t="str">
            <v>+34 657977645</v>
          </cell>
          <cell r="P41" t="str">
            <v>ESPAÑA</v>
          </cell>
          <cell r="Q41" t="str">
            <v/>
          </cell>
          <cell r="R41" t="str">
            <v/>
          </cell>
          <cell r="S41" t="str">
            <v>AV. PRIMAVERA 11-15 (GALERÍAS UNICENTRO LOC. 18-19</v>
          </cell>
          <cell r="T41" t="str">
            <v>08290</v>
          </cell>
          <cell r="V41" t="str">
            <v>CERDANYOLA DEL VALLES</v>
          </cell>
          <cell r="W41" t="str">
            <v>BARCELONA</v>
          </cell>
        </row>
        <row r="42">
          <cell r="A42">
            <v>9060</v>
          </cell>
          <cell r="B42" t="str">
            <v>GARCIA GARCIA, SILVIA</v>
          </cell>
          <cell r="C42" t="str">
            <v>2020-M-A1-R3</v>
          </cell>
          <cell r="D42">
            <v>0.05</v>
          </cell>
          <cell r="E42" t="str">
            <v>33904660S</v>
          </cell>
          <cell r="F42" t="str">
            <v>NACIONAL</v>
          </cell>
          <cell r="G42"/>
          <cell r="H42"/>
          <cell r="I42" t="str">
            <v>1004D</v>
          </cell>
          <cell r="J42" t="str">
            <v>NOEL BLANCO</v>
          </cell>
          <cell r="K42" t="str">
            <v>SABADELL</v>
          </cell>
          <cell r="L42" t="str">
            <v>BARCELONA</v>
          </cell>
          <cell r="M42" t="str">
            <v>CL ADVOCAT CIRERA 4</v>
          </cell>
          <cell r="N42" t="str">
            <v>08201</v>
          </cell>
          <cell r="O42" t="str">
            <v>+34 937262381</v>
          </cell>
          <cell r="P42" t="str">
            <v>ESPAÑA</v>
          </cell>
          <cell r="Q42" t="str">
            <v>silviaperfil@hotmail.com</v>
          </cell>
          <cell r="R42" t="str">
            <v/>
          </cell>
          <cell r="S42" t="str">
            <v>CL ADVOCAT CIRERA 4</v>
          </cell>
          <cell r="T42" t="str">
            <v>08201</v>
          </cell>
          <cell r="V42" t="str">
            <v>SABADELL</v>
          </cell>
          <cell r="W42" t="str">
            <v>BARCELONA</v>
          </cell>
        </row>
        <row r="43">
          <cell r="A43">
            <v>9049</v>
          </cell>
          <cell r="B43" t="str">
            <v>PALPELO GIRONA S.L.</v>
          </cell>
          <cell r="C43" t="str">
            <v>2020-M-C1-R3</v>
          </cell>
          <cell r="D43">
            <v>0.03</v>
          </cell>
          <cell r="E43" t="str">
            <v>B86087319</v>
          </cell>
          <cell r="F43" t="str">
            <v>NACIONAL</v>
          </cell>
          <cell r="G43"/>
          <cell r="H43"/>
          <cell r="I43" t="str">
            <v>1004D</v>
          </cell>
          <cell r="J43" t="str">
            <v>NOEL BLANCO</v>
          </cell>
          <cell r="K43" t="str">
            <v>SALT</v>
          </cell>
          <cell r="L43" t="str">
            <v>GIRONA</v>
          </cell>
          <cell r="M43" t="str">
            <v>AVDA CAMÍ DELS CARLINS 10</v>
          </cell>
          <cell r="N43" t="str">
            <v>17190</v>
          </cell>
          <cell r="O43" t="str">
            <v>+34 630032840</v>
          </cell>
          <cell r="P43" t="str">
            <v>ESPAÑA</v>
          </cell>
          <cell r="Q43" t="str">
            <v>gestionpalpelo@gmail.com</v>
          </cell>
          <cell r="R43" t="str">
            <v>TENEN IMPAGATS</v>
          </cell>
          <cell r="S43" t="str">
            <v>AVDA CAMÍ DELS CARLINS 10</v>
          </cell>
          <cell r="T43">
            <v>17190</v>
          </cell>
          <cell r="V43" t="str">
            <v>SALT</v>
          </cell>
          <cell r="W43" t="str">
            <v>GIRONA</v>
          </cell>
        </row>
        <row r="44">
          <cell r="A44">
            <v>9041</v>
          </cell>
          <cell r="B44" t="str">
            <v>DIVA HAIR CARE SL</v>
          </cell>
          <cell r="C44" t="str">
            <v>2020-M-A1-R3</v>
          </cell>
          <cell r="D44">
            <v>0.05</v>
          </cell>
          <cell r="E44" t="str">
            <v>B66564295</v>
          </cell>
          <cell r="F44" t="str">
            <v>NACIONAL</v>
          </cell>
          <cell r="G44"/>
          <cell r="H44"/>
          <cell r="I44" t="str">
            <v>1004D</v>
          </cell>
          <cell r="J44" t="str">
            <v>NOEL BLANCO</v>
          </cell>
          <cell r="K44" t="str">
            <v>CALELLA</v>
          </cell>
          <cell r="L44" t="str">
            <v>BARCELONA</v>
          </cell>
          <cell r="M44" t="str">
            <v>CL ESGLESIA 295</v>
          </cell>
          <cell r="N44" t="str">
            <v>08370</v>
          </cell>
          <cell r="O44" t="str">
            <v>+34 937697148</v>
          </cell>
          <cell r="P44" t="str">
            <v>ESPAÑA</v>
          </cell>
          <cell r="Q44" t="str">
            <v>divahaircare2015@gmail.com</v>
          </cell>
          <cell r="R44" t="str">
            <v/>
          </cell>
          <cell r="S44" t="str">
            <v>CL ESGLESIA 295</v>
          </cell>
          <cell r="T44" t="str">
            <v>08370</v>
          </cell>
          <cell r="V44" t="str">
            <v>CALELLA</v>
          </cell>
          <cell r="W44" t="str">
            <v>BARCELONA</v>
          </cell>
        </row>
        <row r="45">
          <cell r="A45">
            <v>9038</v>
          </cell>
          <cell r="B45" t="str">
            <v>ESTIMA'T - PERFIL SCP</v>
          </cell>
          <cell r="C45" t="str">
            <v>2020-M-A1-R3</v>
          </cell>
          <cell r="D45">
            <v>0.05</v>
          </cell>
          <cell r="E45" t="str">
            <v>J66356874</v>
          </cell>
          <cell r="F45" t="str">
            <v>NACIONAL</v>
          </cell>
          <cell r="G45"/>
          <cell r="H45"/>
          <cell r="I45" t="str">
            <v>1004D</v>
          </cell>
          <cell r="J45" t="str">
            <v>NOEL BLANCO</v>
          </cell>
          <cell r="K45" t="str">
            <v>BARBERA DEL VALLES</v>
          </cell>
          <cell r="L45" t="str">
            <v>BARCELONA</v>
          </cell>
          <cell r="M45" t="str">
            <v>CL PINTOR FORTUNY 90</v>
          </cell>
          <cell r="N45" t="str">
            <v>08210</v>
          </cell>
          <cell r="O45" t="str">
            <v>+34 937293728</v>
          </cell>
          <cell r="P45" t="str">
            <v>ESPAÑA</v>
          </cell>
          <cell r="Q45" t="str">
            <v>info@perfil-estimat.com</v>
          </cell>
          <cell r="R45" t="str">
            <v/>
          </cell>
          <cell r="S45" t="str">
            <v>CL PINTOR FORTUNY 90</v>
          </cell>
          <cell r="T45" t="str">
            <v>08210</v>
          </cell>
          <cell r="V45" t="str">
            <v>BARBERA DEL VALLES</v>
          </cell>
          <cell r="W45" t="str">
            <v>BARCELONA</v>
          </cell>
        </row>
        <row r="46">
          <cell r="A46">
            <v>9016</v>
          </cell>
          <cell r="B46" t="str">
            <v>FONT PUIGVERT, JOAN</v>
          </cell>
          <cell r="C46" t="str">
            <v>2020-M-A1-R3</v>
          </cell>
          <cell r="D46">
            <v>0.05</v>
          </cell>
          <cell r="E46" t="str">
            <v>40312381M</v>
          </cell>
          <cell r="F46" t="str">
            <v>NACREQ</v>
          </cell>
          <cell r="G46"/>
          <cell r="H46">
            <v>5.1999999999999998E-2</v>
          </cell>
          <cell r="I46" t="str">
            <v>1004D</v>
          </cell>
          <cell r="J46" t="str">
            <v>NOEL BLANCO</v>
          </cell>
          <cell r="K46" t="str">
            <v>LA BISBAL D'EMPORDA</v>
          </cell>
          <cell r="L46" t="str">
            <v>GIRONA</v>
          </cell>
          <cell r="M46" t="str">
            <v>CL RIERA 12</v>
          </cell>
          <cell r="N46" t="str">
            <v>17100</v>
          </cell>
          <cell r="O46" t="str">
            <v>+34 972646855</v>
          </cell>
          <cell r="P46" t="str">
            <v>ESPAÑA</v>
          </cell>
          <cell r="Q46" t="str">
            <v>info@kaobashop.com</v>
          </cell>
          <cell r="R46" t="str">
            <v/>
          </cell>
          <cell r="S46" t="str">
            <v>CL RIERA 12</v>
          </cell>
          <cell r="T46">
            <v>17100</v>
          </cell>
          <cell r="V46" t="str">
            <v>LA BISBAL D'EMPORDA</v>
          </cell>
          <cell r="W46" t="str">
            <v>GIRONA</v>
          </cell>
        </row>
        <row r="47">
          <cell r="A47">
            <v>8941</v>
          </cell>
          <cell r="B47" t="str">
            <v>VALLES DIEGO, MERCEDES</v>
          </cell>
          <cell r="C47" t="str">
            <v>2019-M-A1</v>
          </cell>
          <cell r="D47">
            <v>0.05</v>
          </cell>
          <cell r="E47" t="str">
            <v>38434330L</v>
          </cell>
          <cell r="F47" t="str">
            <v>NACIONAL</v>
          </cell>
          <cell r="G47">
            <v>0.02</v>
          </cell>
          <cell r="H47"/>
          <cell r="I47" t="str">
            <v>1004D</v>
          </cell>
          <cell r="J47" t="str">
            <v>NOEL BLANCO</v>
          </cell>
          <cell r="K47" t="str">
            <v>PARETS DEL VALLES</v>
          </cell>
          <cell r="L47" t="str">
            <v>BARCELONA</v>
          </cell>
          <cell r="M47" t="str">
            <v>AV CATALUNYA 104</v>
          </cell>
          <cell r="N47" t="str">
            <v>08150</v>
          </cell>
          <cell r="O47" t="str">
            <v>+34 935624179</v>
          </cell>
          <cell r="P47" t="str">
            <v>ESPAÑA</v>
          </cell>
          <cell r="Q47" t="str">
            <v/>
          </cell>
          <cell r="R47" t="str">
            <v>TENEN IMPAGATS</v>
          </cell>
          <cell r="S47" t="str">
            <v>AV CATALUNYA 104</v>
          </cell>
          <cell r="T47" t="str">
            <v>08150</v>
          </cell>
          <cell r="V47" t="str">
            <v>PARETS DEL VALLES</v>
          </cell>
          <cell r="W47" t="str">
            <v>BARCELONA</v>
          </cell>
        </row>
        <row r="48">
          <cell r="A48">
            <v>8929</v>
          </cell>
          <cell r="B48" t="str">
            <v>COM. DE PERRUQUERIA I ESTETICA EFREN S.L.</v>
          </cell>
          <cell r="C48" t="str">
            <v>2020-D-A1-R2</v>
          </cell>
          <cell r="D48">
            <v>0.03</v>
          </cell>
          <cell r="E48" t="str">
            <v>B66926734</v>
          </cell>
          <cell r="F48" t="str">
            <v>NACIONAL</v>
          </cell>
          <cell r="G48"/>
          <cell r="H48"/>
          <cell r="I48" t="str">
            <v>1004D</v>
          </cell>
          <cell r="J48" t="str">
            <v>NOEL BLANCO</v>
          </cell>
          <cell r="K48" t="str">
            <v>IGUALADA</v>
          </cell>
          <cell r="L48" t="str">
            <v>BARCELONA</v>
          </cell>
          <cell r="M48" t="str">
            <v>RB SANT FERRAN 25</v>
          </cell>
          <cell r="N48" t="str">
            <v>08700</v>
          </cell>
          <cell r="O48" t="str">
            <v>+34 938042256</v>
          </cell>
          <cell r="P48" t="str">
            <v>ESPAÑA</v>
          </cell>
          <cell r="Q48" t="str">
            <v>comercialefren@gmail.com</v>
          </cell>
          <cell r="R48" t="str">
            <v/>
          </cell>
          <cell r="S48" t="str">
            <v>RB SANT FERRAN 25</v>
          </cell>
          <cell r="T48" t="str">
            <v>08700</v>
          </cell>
          <cell r="V48" t="str">
            <v>IGUALADA</v>
          </cell>
          <cell r="W48" t="str">
            <v>BARCELONA</v>
          </cell>
        </row>
        <row r="49">
          <cell r="A49">
            <v>8907</v>
          </cell>
          <cell r="B49" t="str">
            <v>LORENTE MORENO, SANDRA</v>
          </cell>
          <cell r="C49" t="str">
            <v>2020-M-D1-R3</v>
          </cell>
          <cell r="D49">
            <v>0.03</v>
          </cell>
          <cell r="E49" t="str">
            <v>46056790A</v>
          </cell>
          <cell r="F49" t="str">
            <v>NACREQ</v>
          </cell>
          <cell r="G49"/>
          <cell r="H49">
            <v>5.1999999999999998E-2</v>
          </cell>
          <cell r="I49" t="str">
            <v>1004D</v>
          </cell>
          <cell r="J49" t="str">
            <v>NOEL BLANCO</v>
          </cell>
          <cell r="K49" t="str">
            <v>BARCELONA</v>
          </cell>
          <cell r="L49" t="str">
            <v>BARCELONA</v>
          </cell>
          <cell r="M49" t="str">
            <v>RONDA SANT PERE 51</v>
          </cell>
          <cell r="N49" t="str">
            <v>08010</v>
          </cell>
          <cell r="O49" t="str">
            <v>+34 932323508</v>
          </cell>
          <cell r="P49" t="str">
            <v>ESPAÑA</v>
          </cell>
          <cell r="Q49" t="str">
            <v>sandralorente@hotmail.es</v>
          </cell>
          <cell r="R49" t="str">
            <v/>
          </cell>
          <cell r="S49" t="str">
            <v>RD. SAN PERE 51 BAIXOS</v>
          </cell>
          <cell r="T49" t="str">
            <v>08010</v>
          </cell>
          <cell r="U49" t="str">
            <v/>
          </cell>
          <cell r="V49" t="str">
            <v>BARCELONA</v>
          </cell>
          <cell r="W49" t="str">
            <v>BARCELONA</v>
          </cell>
        </row>
        <row r="50">
          <cell r="A50">
            <v>8886</v>
          </cell>
          <cell r="B50" t="str">
            <v>PINEDO VILLA S.L.</v>
          </cell>
          <cell r="C50" t="str">
            <v>2020-M-D1-R3</v>
          </cell>
          <cell r="D50">
            <v>0.03</v>
          </cell>
          <cell r="E50" t="str">
            <v>B47526496</v>
          </cell>
          <cell r="F50" t="str">
            <v>NACIONAL</v>
          </cell>
          <cell r="G50"/>
          <cell r="H50"/>
          <cell r="I50" t="str">
            <v>1004D</v>
          </cell>
          <cell r="J50" t="str">
            <v>NOEL BLANCO</v>
          </cell>
          <cell r="K50" t="str">
            <v>VALLADOLID</v>
          </cell>
          <cell r="L50" t="str">
            <v>VALLADOLID</v>
          </cell>
          <cell r="M50" t="str">
            <v>CALLE GONDOMAR 1</v>
          </cell>
          <cell r="N50" t="str">
            <v>47011</v>
          </cell>
          <cell r="O50" t="str">
            <v>+34 983253006</v>
          </cell>
          <cell r="P50" t="str">
            <v>ESPAÑA</v>
          </cell>
          <cell r="Q50" t="str">
            <v>pinedoyvilla@pinedoyvilla.com</v>
          </cell>
          <cell r="R50" t="str">
            <v/>
          </cell>
          <cell r="S50" t="str">
            <v>CALLE GONDOMAR 1</v>
          </cell>
          <cell r="T50" t="str">
            <v>47011</v>
          </cell>
          <cell r="U50" t="str">
            <v/>
          </cell>
          <cell r="V50" t="str">
            <v>VALLADOLID</v>
          </cell>
          <cell r="W50" t="str">
            <v>VALLADOLID</v>
          </cell>
        </row>
        <row r="51">
          <cell r="A51">
            <v>8855</v>
          </cell>
          <cell r="B51" t="str">
            <v>PECO RUIZ, ANA ISABEL</v>
          </cell>
          <cell r="C51" t="str">
            <v>2020-D-B1-R2</v>
          </cell>
          <cell r="D51">
            <v>0.03</v>
          </cell>
          <cell r="E51" t="str">
            <v>05684246A</v>
          </cell>
          <cell r="F51" t="str">
            <v>NACIONAL</v>
          </cell>
          <cell r="G51"/>
          <cell r="H51"/>
          <cell r="I51" t="str">
            <v>1004D</v>
          </cell>
          <cell r="J51" t="str">
            <v>NOEL BLANCO</v>
          </cell>
          <cell r="K51" t="str">
            <v>BOLAÑOS DE CALATRAVA</v>
          </cell>
          <cell r="L51" t="str">
            <v>CIUDAD REAL</v>
          </cell>
          <cell r="M51" t="str">
            <v>CL FRAY LUIS DE BOLAÑOS, 46-48</v>
          </cell>
          <cell r="N51">
            <v>13260</v>
          </cell>
          <cell r="O51" t="str">
            <v>+34 926709965</v>
          </cell>
          <cell r="P51" t="str">
            <v>ESPAÑA</v>
          </cell>
          <cell r="Q51" t="str">
            <v>comercialpeisbel@gmail.com</v>
          </cell>
          <cell r="R51" t="str">
            <v/>
          </cell>
          <cell r="S51" t="str">
            <v>CL FRAY LUIS DE BOLAÑOS 46-48</v>
          </cell>
          <cell r="T51" t="str">
            <v>13260</v>
          </cell>
          <cell r="U51" t="str">
            <v/>
          </cell>
          <cell r="V51" t="str">
            <v>BOLAÑOS DE CALATRAVA</v>
          </cell>
          <cell r="W51" t="str">
            <v>CIUDAD REAL</v>
          </cell>
        </row>
        <row r="52">
          <cell r="A52">
            <v>8812</v>
          </cell>
          <cell r="B52" t="str">
            <v>LLORENS ROS, MONICA</v>
          </cell>
          <cell r="C52" t="str">
            <v>2020-M-B1-R3</v>
          </cell>
          <cell r="D52">
            <v>0.03</v>
          </cell>
          <cell r="E52" t="str">
            <v>43675857F</v>
          </cell>
          <cell r="F52" t="str">
            <v>NACREQ</v>
          </cell>
          <cell r="G52"/>
          <cell r="H52">
            <v>5.1999999999999998E-2</v>
          </cell>
          <cell r="I52" t="str">
            <v>1004D</v>
          </cell>
          <cell r="J52" t="str">
            <v>NOEL BLANCO</v>
          </cell>
          <cell r="K52" t="str">
            <v>BLANES</v>
          </cell>
          <cell r="L52" t="str">
            <v>GIRONA</v>
          </cell>
          <cell r="M52" t="str">
            <v>CL TORDERA 5</v>
          </cell>
          <cell r="N52">
            <v>17300</v>
          </cell>
          <cell r="O52" t="str">
            <v>+34 972355001</v>
          </cell>
          <cell r="P52" t="str">
            <v>ESPAÑA</v>
          </cell>
          <cell r="Q52" t="str">
            <v>monicallorensros1969@gmail.com</v>
          </cell>
          <cell r="R52" t="str">
            <v>TENEN IMPAGATS</v>
          </cell>
          <cell r="S52" t="str">
            <v>CL TORDERA 5</v>
          </cell>
          <cell r="T52">
            <v>17300</v>
          </cell>
          <cell r="V52" t="str">
            <v>BLANES</v>
          </cell>
          <cell r="W52" t="str">
            <v>GIRONA</v>
          </cell>
        </row>
        <row r="53">
          <cell r="A53">
            <v>8773</v>
          </cell>
          <cell r="B53" t="str">
            <v>FRAERSA PRODUCTOS COSMETICOS S.L.</v>
          </cell>
          <cell r="C53" t="str">
            <v>2020-D-C1-R2</v>
          </cell>
          <cell r="D53">
            <v>0.03</v>
          </cell>
          <cell r="E53" t="str">
            <v>B66792656</v>
          </cell>
          <cell r="F53" t="str">
            <v>NACIONAL</v>
          </cell>
          <cell r="G53"/>
          <cell r="H53"/>
          <cell r="I53" t="str">
            <v>1004D</v>
          </cell>
          <cell r="J53" t="str">
            <v>NOEL BLANCO</v>
          </cell>
          <cell r="K53" t="str">
            <v>TERRASSA</v>
          </cell>
          <cell r="L53" t="str">
            <v>BARCELONA</v>
          </cell>
          <cell r="M53" t="str">
            <v>AV ABAD MARCET 329</v>
          </cell>
          <cell r="N53" t="str">
            <v>08225</v>
          </cell>
          <cell r="O53" t="str">
            <v>+34 937880216</v>
          </cell>
          <cell r="P53" t="str">
            <v>ESPAÑA</v>
          </cell>
          <cell r="Q53" t="str">
            <v>fraersa@fraersa.com</v>
          </cell>
          <cell r="R53" t="str">
            <v/>
          </cell>
          <cell r="S53" t="str">
            <v>AV ABAD MARCET 329</v>
          </cell>
          <cell r="T53" t="str">
            <v>08225</v>
          </cell>
          <cell r="V53" t="str">
            <v>TERRASSA</v>
          </cell>
          <cell r="W53" t="str">
            <v>BARCELONA</v>
          </cell>
        </row>
        <row r="54">
          <cell r="A54">
            <v>8594</v>
          </cell>
          <cell r="B54" t="str">
            <v>ROVIRA NOGUE, MERCE</v>
          </cell>
          <cell r="C54" t="str">
            <v>2020-M-B1-R3</v>
          </cell>
          <cell r="D54">
            <v>0.03</v>
          </cell>
          <cell r="E54" t="str">
            <v>40432290S</v>
          </cell>
          <cell r="F54" t="str">
            <v>NACREQ</v>
          </cell>
          <cell r="G54"/>
          <cell r="H54">
            <v>5.1999999999999998E-2</v>
          </cell>
          <cell r="I54" t="str">
            <v>1004D</v>
          </cell>
          <cell r="J54" t="str">
            <v>NOEL BLANCO</v>
          </cell>
          <cell r="K54" t="str">
            <v>FIGUERES</v>
          </cell>
          <cell r="L54" t="str">
            <v>GIRONA</v>
          </cell>
          <cell r="M54" t="str">
            <v>RAMBLA 18</v>
          </cell>
          <cell r="N54" t="str">
            <v>17600</v>
          </cell>
          <cell r="O54" t="str">
            <v>+34 618549744</v>
          </cell>
          <cell r="P54" t="str">
            <v>ESPAÑA</v>
          </cell>
          <cell r="Q54" t="str">
            <v>kbellsfigueres@gmail.com</v>
          </cell>
          <cell r="R54" t="str">
            <v/>
          </cell>
          <cell r="S54" t="str">
            <v>RAMBLA 18</v>
          </cell>
          <cell r="T54" t="str">
            <v>17600</v>
          </cell>
          <cell r="U54" t="str">
            <v/>
          </cell>
          <cell r="V54" t="str">
            <v>FIGUERES</v>
          </cell>
          <cell r="W54" t="str">
            <v>GIRONA</v>
          </cell>
        </row>
        <row r="55">
          <cell r="A55">
            <v>8472</v>
          </cell>
          <cell r="B55" t="str">
            <v>SARDA RAMIREZ, NEREIDA</v>
          </cell>
          <cell r="C55" t="str">
            <v>2020-M-A1-R3</v>
          </cell>
          <cell r="D55">
            <v>0.05</v>
          </cell>
          <cell r="E55" t="str">
            <v>46722961W</v>
          </cell>
          <cell r="F55" t="str">
            <v>NACREQ</v>
          </cell>
          <cell r="G55"/>
          <cell r="H55">
            <v>5.1999999999999998E-2</v>
          </cell>
          <cell r="I55" t="str">
            <v>1004D</v>
          </cell>
          <cell r="J55" t="str">
            <v>NOEL BLANCO</v>
          </cell>
          <cell r="K55" t="str">
            <v>SANT BOI DE LLOBREGAT</v>
          </cell>
          <cell r="L55" t="str">
            <v>BARCELONA</v>
          </cell>
          <cell r="M55" t="str">
            <v>CL GENERAL O DONELL 33</v>
          </cell>
          <cell r="N55" t="str">
            <v>08830</v>
          </cell>
          <cell r="O55" t="str">
            <v>+34 931421679</v>
          </cell>
          <cell r="P55" t="str">
            <v>ESPAÑA</v>
          </cell>
          <cell r="Q55" t="str">
            <v>sardanereida@gmail.com</v>
          </cell>
          <cell r="R55" t="str">
            <v/>
          </cell>
          <cell r="S55" t="str">
            <v>CL GENERAL O DONELL 33</v>
          </cell>
          <cell r="T55" t="str">
            <v>08830</v>
          </cell>
          <cell r="V55" t="str">
            <v>SANT BOI DE LLOBREGAT</v>
          </cell>
          <cell r="W55" t="str">
            <v>BARCELONA</v>
          </cell>
        </row>
        <row r="56">
          <cell r="A56">
            <v>8421</v>
          </cell>
          <cell r="B56" t="str">
            <v>LIU, HONG YING</v>
          </cell>
          <cell r="C56" t="str">
            <v>2020-M-A1-R3</v>
          </cell>
          <cell r="D56">
            <v>0.05</v>
          </cell>
          <cell r="E56" t="str">
            <v>X7550042Q</v>
          </cell>
          <cell r="F56" t="str">
            <v>NACREQ</v>
          </cell>
          <cell r="G56">
            <v>0.02</v>
          </cell>
          <cell r="H56">
            <v>5.1999999999999998E-2</v>
          </cell>
          <cell r="I56" t="str">
            <v>1004D</v>
          </cell>
          <cell r="J56" t="str">
            <v>NOEL BLANCO</v>
          </cell>
          <cell r="K56" t="str">
            <v>TARRAGONA</v>
          </cell>
          <cell r="L56" t="str">
            <v>TARRAGONA</v>
          </cell>
          <cell r="M56" t="str">
            <v>CL PERE MARTELL 18</v>
          </cell>
          <cell r="N56">
            <v>43001</v>
          </cell>
          <cell r="O56" t="str">
            <v>+34 877052806</v>
          </cell>
          <cell r="P56" t="str">
            <v>ESPAÑA</v>
          </cell>
          <cell r="Q56" t="str">
            <v>ok2704@hotmail.com</v>
          </cell>
          <cell r="R56" t="str">
            <v/>
          </cell>
          <cell r="S56" t="str">
            <v>CL PERE MARTELL 18</v>
          </cell>
          <cell r="T56">
            <v>43001</v>
          </cell>
          <cell r="V56" t="str">
            <v>TARRAGONA</v>
          </cell>
          <cell r="W56" t="str">
            <v>TARRAGONA</v>
          </cell>
        </row>
        <row r="57">
          <cell r="A57">
            <v>8314</v>
          </cell>
          <cell r="B57" t="str">
            <v>DISTRIBUCIONS MANOFI S.L.</v>
          </cell>
          <cell r="C57" t="str">
            <v>2020-M-C1-R3</v>
          </cell>
          <cell r="D57">
            <v>0.03</v>
          </cell>
          <cell r="E57" t="str">
            <v>B66443219</v>
          </cell>
          <cell r="F57" t="str">
            <v>NACIONAL</v>
          </cell>
          <cell r="G57"/>
          <cell r="H57"/>
          <cell r="I57" t="str">
            <v>1004D</v>
          </cell>
          <cell r="J57" t="str">
            <v>NOEL BLANCO</v>
          </cell>
          <cell r="K57" t="str">
            <v>MATARO</v>
          </cell>
          <cell r="L57" t="str">
            <v>BARCELONA</v>
          </cell>
          <cell r="M57" t="str">
            <v>AV DE CAN TORNER 56</v>
          </cell>
          <cell r="N57" t="str">
            <v>08304</v>
          </cell>
          <cell r="O57" t="str">
            <v>+34 935126596</v>
          </cell>
          <cell r="P57" t="str">
            <v>ESPAÑA</v>
          </cell>
          <cell r="Q57" t="str">
            <v>notecortes56@gmail.com</v>
          </cell>
          <cell r="R57" t="str">
            <v/>
          </cell>
          <cell r="S57" t="str">
            <v>AV DE CAN TORNER 56</v>
          </cell>
          <cell r="T57" t="str">
            <v>08304</v>
          </cell>
          <cell r="V57" t="str">
            <v>MATARO</v>
          </cell>
          <cell r="W57" t="str">
            <v>BARCELONA</v>
          </cell>
        </row>
        <row r="58">
          <cell r="A58">
            <v>8277</v>
          </cell>
          <cell r="B58" t="str">
            <v>CODISARPEL S.A.</v>
          </cell>
          <cell r="C58" t="str">
            <v>2020-D-B1-R2</v>
          </cell>
          <cell r="D58">
            <v>0.03</v>
          </cell>
          <cell r="E58" t="str">
            <v>A81510604</v>
          </cell>
          <cell r="F58" t="str">
            <v>NACIONAL</v>
          </cell>
          <cell r="G58"/>
          <cell r="H58"/>
          <cell r="I58" t="str">
            <v>1004D</v>
          </cell>
          <cell r="J58" t="str">
            <v>NOEL BLANCO</v>
          </cell>
          <cell r="K58" t="str">
            <v>ALCALA DE HENARES</v>
          </cell>
          <cell r="L58" t="str">
            <v>MADRID</v>
          </cell>
          <cell r="M58" t="str">
            <v>CL FRANCISCO ALONSO 3 NAVE 23-24</v>
          </cell>
          <cell r="N58">
            <v>28806</v>
          </cell>
          <cell r="O58" t="str">
            <v>+34 918023728</v>
          </cell>
          <cell r="P58" t="str">
            <v>ESPAÑA</v>
          </cell>
          <cell r="Q58" t="str">
            <v>codisarpel@codisarpel.com</v>
          </cell>
          <cell r="R58" t="str">
            <v/>
          </cell>
          <cell r="S58" t="str">
            <v>CL FRANCISCO ALONSO 3 NAVE 23-24</v>
          </cell>
          <cell r="T58">
            <v>28806</v>
          </cell>
          <cell r="V58" t="str">
            <v>ALCALA DE HENARES</v>
          </cell>
          <cell r="W58" t="str">
            <v>MADRID</v>
          </cell>
        </row>
        <row r="59">
          <cell r="A59">
            <v>8236</v>
          </cell>
          <cell r="B59" t="str">
            <v>RUPADAN, S.L.</v>
          </cell>
          <cell r="C59" t="str">
            <v>2020-D-B1-R2</v>
          </cell>
          <cell r="D59">
            <v>0.03</v>
          </cell>
          <cell r="E59" t="str">
            <v>B91415760</v>
          </cell>
          <cell r="F59" t="str">
            <v>NACIONAL</v>
          </cell>
          <cell r="G59"/>
          <cell r="H59"/>
          <cell r="I59" t="str">
            <v>1004D</v>
          </cell>
          <cell r="J59" t="str">
            <v>NOEL BLANCO</v>
          </cell>
          <cell r="K59" t="str">
            <v>SEVILLA</v>
          </cell>
          <cell r="L59" t="str">
            <v>SEVILLA</v>
          </cell>
          <cell r="M59" t="str">
            <v>CL AFAN DE RIVERA 175</v>
          </cell>
          <cell r="N59">
            <v>41006</v>
          </cell>
          <cell r="O59" t="str">
            <v>+34 954647656</v>
          </cell>
          <cell r="P59" t="str">
            <v>ESPAÑA</v>
          </cell>
          <cell r="Q59" t="str">
            <v>rupadansl@gmail.com</v>
          </cell>
          <cell r="R59" t="str">
            <v/>
          </cell>
          <cell r="S59" t="str">
            <v>CL AFAN DE RIVERA 175</v>
          </cell>
          <cell r="T59">
            <v>41006</v>
          </cell>
          <cell r="V59" t="str">
            <v>SEVILLA</v>
          </cell>
          <cell r="W59" t="str">
            <v>SEVILLA</v>
          </cell>
        </row>
        <row r="60">
          <cell r="A60">
            <v>8198</v>
          </cell>
          <cell r="B60" t="str">
            <v>SOLE MELENDEZ, CRISTINA</v>
          </cell>
          <cell r="C60" t="str">
            <v>2020-PCV-A1</v>
          </cell>
          <cell r="D60"/>
          <cell r="E60" t="str">
            <v>47770350V</v>
          </cell>
          <cell r="F60" t="str">
            <v>NACIONAL</v>
          </cell>
          <cell r="G60"/>
          <cell r="H60"/>
          <cell r="I60" t="str">
            <v>1004D</v>
          </cell>
          <cell r="J60" t="str">
            <v>NOEL BLANCO</v>
          </cell>
          <cell r="K60" t="str">
            <v>MONTFERRI</v>
          </cell>
          <cell r="L60" t="str">
            <v>TARRAGONA</v>
          </cell>
          <cell r="M60" t="str">
            <v>CL MAJOR 35</v>
          </cell>
          <cell r="N60">
            <v>43812</v>
          </cell>
          <cell r="O60" t="str">
            <v>+34 685209589</v>
          </cell>
          <cell r="P60" t="str">
            <v>ESPAÑA</v>
          </cell>
          <cell r="Q60" t="str">
            <v>cris_1603@msn.com</v>
          </cell>
          <cell r="R60" t="str">
            <v/>
          </cell>
          <cell r="S60" t="str">
            <v>CL MONTSERRAT 9</v>
          </cell>
          <cell r="T60" t="str">
            <v>43700</v>
          </cell>
          <cell r="U60" t="str">
            <v/>
          </cell>
          <cell r="V60" t="str">
            <v>EL VENDRELL</v>
          </cell>
          <cell r="W60" t="str">
            <v>TARRAGONA</v>
          </cell>
        </row>
        <row r="61">
          <cell r="A61">
            <v>8050</v>
          </cell>
          <cell r="B61" t="str">
            <v>DOMINGUEZ GARCIA, ANDRES JULIO</v>
          </cell>
          <cell r="C61" t="str">
            <v>2020-D-C1-R2</v>
          </cell>
          <cell r="D61">
            <v>0.03</v>
          </cell>
          <cell r="E61" t="str">
            <v>44305686G</v>
          </cell>
          <cell r="F61" t="str">
            <v>NAC_CAN</v>
          </cell>
          <cell r="G61"/>
          <cell r="H61"/>
          <cell r="I61">
            <v>1904</v>
          </cell>
          <cell r="J61" t="str">
            <v>JORDI COLOMINAS</v>
          </cell>
          <cell r="K61" t="str">
            <v>LAS PALMAS DE GRAN CANARIA</v>
          </cell>
          <cell r="L61" t="str">
            <v>LAS PALMAS</v>
          </cell>
          <cell r="M61" t="str">
            <v>CL OBISPO ENCINA 1 LCL 2</v>
          </cell>
          <cell r="N61">
            <v>35004</v>
          </cell>
          <cell r="O61" t="str">
            <v>+34 928232013</v>
          </cell>
          <cell r="P61" t="str">
            <v>ESPAÑA</v>
          </cell>
          <cell r="Q61" t="str">
            <v>andres@distribucionesadosa.com</v>
          </cell>
          <cell r="R61" t="str">
            <v/>
          </cell>
          <cell r="S61" t="str">
            <v>CL OBISPO ENCINA 1 LCL 2</v>
          </cell>
          <cell r="T61">
            <v>35004</v>
          </cell>
          <cell r="V61" t="str">
            <v>LAS PALMAS DE GRAN CANARIA</v>
          </cell>
          <cell r="W61" t="str">
            <v>LAS PALMAS</v>
          </cell>
        </row>
        <row r="62">
          <cell r="A62">
            <v>7865</v>
          </cell>
          <cell r="B62" t="str">
            <v>SUÑER VERGES, MARGA</v>
          </cell>
          <cell r="C62" t="str">
            <v>2020-M-A1-R3</v>
          </cell>
          <cell r="D62">
            <v>0.05</v>
          </cell>
          <cell r="E62" t="str">
            <v>40436005G</v>
          </cell>
          <cell r="F62" t="str">
            <v>NACREQ</v>
          </cell>
          <cell r="G62"/>
          <cell r="H62">
            <v>5.1999999999999998E-2</v>
          </cell>
          <cell r="I62" t="str">
            <v>1004D</v>
          </cell>
          <cell r="J62" t="str">
            <v>NOEL BLANCO</v>
          </cell>
          <cell r="K62" t="str">
            <v>FIGUERES</v>
          </cell>
          <cell r="L62" t="str">
            <v>GIRONA</v>
          </cell>
          <cell r="M62" t="str">
            <v>CL GERMANES MASSANET 5</v>
          </cell>
          <cell r="N62">
            <v>17600</v>
          </cell>
          <cell r="O62" t="str">
            <v>+34 661648424</v>
          </cell>
          <cell r="P62" t="str">
            <v>ESPAÑA</v>
          </cell>
          <cell r="Q62" t="str">
            <v>narcisqb67@live.com</v>
          </cell>
          <cell r="R62" t="str">
            <v/>
          </cell>
          <cell r="S62" t="str">
            <v>CL GERMANES MASSANET 5</v>
          </cell>
          <cell r="T62">
            <v>17600</v>
          </cell>
          <cell r="V62" t="str">
            <v>FIGUERES</v>
          </cell>
          <cell r="W62" t="str">
            <v>GIRONA</v>
          </cell>
        </row>
        <row r="63">
          <cell r="A63">
            <v>7793</v>
          </cell>
          <cell r="B63" t="str">
            <v>ROBLES GARZON, NOELIA</v>
          </cell>
          <cell r="C63" t="str">
            <v>2020-M-D1-R3</v>
          </cell>
          <cell r="D63">
            <v>0.03</v>
          </cell>
          <cell r="E63" t="str">
            <v>03882251N</v>
          </cell>
          <cell r="F63" t="str">
            <v>NACREQ</v>
          </cell>
          <cell r="G63"/>
          <cell r="H63">
            <v>5.1999999999999998E-2</v>
          </cell>
          <cell r="I63" t="str">
            <v>1004D</v>
          </cell>
          <cell r="J63" t="str">
            <v>NOEL BLANCO</v>
          </cell>
          <cell r="K63" t="str">
            <v>TORRIJOS</v>
          </cell>
          <cell r="L63" t="str">
            <v>TOLEDO</v>
          </cell>
          <cell r="M63" t="str">
            <v>CL JABONERIAS 6</v>
          </cell>
          <cell r="N63">
            <v>45500</v>
          </cell>
          <cell r="O63" t="str">
            <v>+34 925762742</v>
          </cell>
          <cell r="P63" t="str">
            <v>ESPAÑA</v>
          </cell>
          <cell r="Q63" t="str">
            <v>noeliaperfil@yahoo.es</v>
          </cell>
          <cell r="R63" t="str">
            <v/>
          </cell>
          <cell r="S63" t="str">
            <v>CL JABONERIAS 6</v>
          </cell>
          <cell r="T63">
            <v>45500</v>
          </cell>
          <cell r="V63" t="str">
            <v>TORRIJOS</v>
          </cell>
          <cell r="W63" t="str">
            <v>TOLEDO</v>
          </cell>
        </row>
        <row r="64">
          <cell r="A64">
            <v>7565</v>
          </cell>
          <cell r="B64" t="str">
            <v>FARRES NEWCO S.L.</v>
          </cell>
          <cell r="C64" t="str">
            <v>2021-M-SC</v>
          </cell>
          <cell r="D64"/>
          <cell r="E64" t="str">
            <v>B66218926</v>
          </cell>
          <cell r="F64" t="str">
            <v>NACIONAL</v>
          </cell>
          <cell r="G64"/>
          <cell r="H64"/>
          <cell r="I64" t="str">
            <v>1004D</v>
          </cell>
          <cell r="J64" t="str">
            <v>NOEL BLANCO</v>
          </cell>
          <cell r="K64" t="str">
            <v>BARCELONA</v>
          </cell>
          <cell r="L64" t="str">
            <v>BARCELONA</v>
          </cell>
          <cell r="M64" t="str">
            <v>CL RAMON Y CAJAL, 50 BAJOS</v>
          </cell>
          <cell r="N64" t="str">
            <v>08012</v>
          </cell>
          <cell r="O64" t="str">
            <v>+34 932102062</v>
          </cell>
          <cell r="P64" t="str">
            <v>ESPAÑA</v>
          </cell>
          <cell r="Q64" t="str">
            <v>farres@farresdistribuidor.cat</v>
          </cell>
          <cell r="S64" t="str">
            <v>CL RAMON Y CAJAL, 50 BAJOS</v>
          </cell>
          <cell r="T64" t="str">
            <v>08012</v>
          </cell>
          <cell r="V64" t="str">
            <v>BARCELONA</v>
          </cell>
          <cell r="W64" t="str">
            <v>BARCELONA</v>
          </cell>
        </row>
        <row r="65">
          <cell r="A65">
            <v>7464</v>
          </cell>
          <cell r="B65" t="str">
            <v>DISTRIBUCIONES UNIVERSO KAPILAR UNI-K S.L.</v>
          </cell>
          <cell r="C65" t="str">
            <v>2022-D-C1-R2</v>
          </cell>
          <cell r="D65">
            <v>0.03</v>
          </cell>
          <cell r="E65" t="str">
            <v>B38750287</v>
          </cell>
          <cell r="F65" t="str">
            <v>NAC_CAN</v>
          </cell>
          <cell r="G65"/>
          <cell r="H65"/>
          <cell r="I65">
            <v>1904</v>
          </cell>
          <cell r="J65" t="str">
            <v>JORDI COLOMINAS</v>
          </cell>
          <cell r="K65" t="str">
            <v>STA. CRUZ DE TENERIFE</v>
          </cell>
          <cell r="L65" t="str">
            <v>STA. CRUZ DE TENERIFE</v>
          </cell>
          <cell r="M65" t="str">
            <v>CRTA. GENERAL DEL SUR KM. 6,5 CENTRO COMERCIAL CONCORDE LOCAL 134 2ª PLANTA</v>
          </cell>
          <cell r="N65">
            <v>38107</v>
          </cell>
          <cell r="O65" t="str">
            <v>+34 922645494</v>
          </cell>
          <cell r="P65" t="str">
            <v>ESPAÑA</v>
          </cell>
          <cell r="Q65" t="str">
            <v>info@uni-k.es</v>
          </cell>
          <cell r="S65" t="str">
            <v>CL LA UNION 1</v>
          </cell>
          <cell r="T65" t="str">
            <v>38320</v>
          </cell>
          <cell r="U65" t="str">
            <v>ESQUINA CL BENCHOMO-Cº DE LAS MANTECAS</v>
          </cell>
          <cell r="V65" t="str">
            <v>LA CUESTA DE ARGUIJON</v>
          </cell>
          <cell r="W65" t="str">
            <v>STA. CRUZ DE TENERIFE</v>
          </cell>
        </row>
        <row r="66">
          <cell r="A66">
            <v>7413</v>
          </cell>
          <cell r="B66" t="str">
            <v>AMOR GONZALEZ, RICARD</v>
          </cell>
          <cell r="C66" t="str">
            <v>2020-M-D1-R3</v>
          </cell>
          <cell r="D66">
            <v>0.03</v>
          </cell>
          <cell r="E66" t="str">
            <v>77883724C</v>
          </cell>
          <cell r="F66" t="str">
            <v>NACIONAL</v>
          </cell>
          <cell r="G66"/>
          <cell r="H66"/>
          <cell r="I66" t="str">
            <v>1004D</v>
          </cell>
          <cell r="J66" t="str">
            <v>NOEL BLANCO</v>
          </cell>
          <cell r="K66" t="str">
            <v>MAHON/MAO</v>
          </cell>
          <cell r="L66" t="str">
            <v>BALEARES</v>
          </cell>
          <cell r="M66" t="str">
            <v>CL BASTIO 6</v>
          </cell>
          <cell r="N66" t="str">
            <v>07703</v>
          </cell>
          <cell r="O66" t="str">
            <v>+34 971381232</v>
          </cell>
          <cell r="P66" t="str">
            <v>ESPAÑA</v>
          </cell>
          <cell r="Q66" t="str">
            <v>ricardoamorg@yahoo.es</v>
          </cell>
          <cell r="R66" t="str">
            <v/>
          </cell>
          <cell r="S66" t="str">
            <v>CALLE INFANTA 7</v>
          </cell>
          <cell r="T66" t="str">
            <v>07702</v>
          </cell>
          <cell r="U66" t="str">
            <v/>
          </cell>
          <cell r="V66" t="str">
            <v>MAHON/MAO</v>
          </cell>
          <cell r="W66" t="str">
            <v>BALEARES</v>
          </cell>
        </row>
        <row r="67">
          <cell r="A67">
            <v>7411</v>
          </cell>
          <cell r="B67" t="str">
            <v>PERRINO HERNANDEZ, JUAN ALBERTO</v>
          </cell>
          <cell r="C67" t="str">
            <v>2020-M-D1-R3</v>
          </cell>
          <cell r="D67">
            <v>0.03</v>
          </cell>
          <cell r="E67" t="str">
            <v>70868838L</v>
          </cell>
          <cell r="F67" t="str">
            <v>NACREQ</v>
          </cell>
          <cell r="G67"/>
          <cell r="H67">
            <v>5.1999999999999998E-2</v>
          </cell>
          <cell r="I67" t="str">
            <v>1004D</v>
          </cell>
          <cell r="J67" t="str">
            <v>NOEL BLANCO</v>
          </cell>
          <cell r="K67" t="str">
            <v>SALAMANCA</v>
          </cell>
          <cell r="L67" t="str">
            <v>SALAMANCA</v>
          </cell>
          <cell r="M67" t="str">
            <v>AV/ PORTUGAL 112</v>
          </cell>
          <cell r="N67">
            <v>37005</v>
          </cell>
          <cell r="O67" t="str">
            <v>+34 605964771</v>
          </cell>
          <cell r="P67" t="str">
            <v>ESPAÑA</v>
          </cell>
          <cell r="Q67" t="str">
            <v>alberto@comercialhgarcia.com</v>
          </cell>
          <cell r="R67" t="str">
            <v/>
          </cell>
          <cell r="S67" t="str">
            <v>AV/ PORTUGAL 112</v>
          </cell>
          <cell r="T67">
            <v>37005</v>
          </cell>
          <cell r="V67" t="str">
            <v>SALAMANCA</v>
          </cell>
          <cell r="W67" t="str">
            <v>SALAMANCA</v>
          </cell>
        </row>
        <row r="68">
          <cell r="A68">
            <v>7332</v>
          </cell>
          <cell r="B68" t="str">
            <v>RODRIGUEZ CENDRERO, MIGUEL ANGEL</v>
          </cell>
          <cell r="C68" t="str">
            <v>2020-M-D1-R3</v>
          </cell>
          <cell r="D68">
            <v>0.03</v>
          </cell>
          <cell r="E68" t="str">
            <v>52624863N</v>
          </cell>
          <cell r="F68" t="str">
            <v>NACREQ</v>
          </cell>
          <cell r="G68">
            <v>0.02</v>
          </cell>
          <cell r="H68">
            <v>5.1999999999999998E-2</v>
          </cell>
          <cell r="I68" t="str">
            <v>1004D</v>
          </cell>
          <cell r="J68" t="str">
            <v>NOEL BLANCO</v>
          </cell>
          <cell r="K68" t="str">
            <v>ESPLUGUES DE LLOBREGAT</v>
          </cell>
          <cell r="L68" t="str">
            <v>BARCELONA</v>
          </cell>
          <cell r="M68" t="str">
            <v>CL RICARD GUELL 2, 1-4</v>
          </cell>
          <cell r="N68" t="str">
            <v>08950</v>
          </cell>
          <cell r="O68" t="str">
            <v>+34 630462689</v>
          </cell>
          <cell r="P68" t="str">
            <v>ESPAÑA</v>
          </cell>
          <cell r="Q68" t="str">
            <v>edursami@gmail.com</v>
          </cell>
          <cell r="R68" t="str">
            <v/>
          </cell>
          <cell r="S68" t="str">
            <v>CL XERRIC 27</v>
          </cell>
          <cell r="T68" t="str">
            <v>08172</v>
          </cell>
          <cell r="U68" t="str">
            <v/>
          </cell>
          <cell r="V68" t="str">
            <v>SANT CUGAT DEL VALLES</v>
          </cell>
          <cell r="W68" t="str">
            <v>BARCELONA</v>
          </cell>
        </row>
        <row r="69">
          <cell r="A69">
            <v>7295</v>
          </cell>
          <cell r="B69" t="str">
            <v>ORENSANA DE SERVICIOS COSMETICOS S.L.</v>
          </cell>
          <cell r="C69" t="str">
            <v>2020-D-C1-R2</v>
          </cell>
          <cell r="D69">
            <v>0.03</v>
          </cell>
          <cell r="E69" t="str">
            <v>B32434995</v>
          </cell>
          <cell r="F69" t="str">
            <v>NACIONAL</v>
          </cell>
          <cell r="G69"/>
          <cell r="H69"/>
          <cell r="I69" t="str">
            <v>1004D</v>
          </cell>
          <cell r="J69" t="str">
            <v>NOEL BLANCO</v>
          </cell>
          <cell r="K69" t="str">
            <v>OURENSE</v>
          </cell>
          <cell r="L69" t="str">
            <v>ORENSE/OURENSE</v>
          </cell>
          <cell r="M69" t="str">
            <v>RUA STO. DOMINGO - GALERIAS SOL-LOCAL 38 S/N</v>
          </cell>
          <cell r="N69">
            <v>32003</v>
          </cell>
          <cell r="O69" t="str">
            <v>+34 988218258</v>
          </cell>
          <cell r="P69" t="str">
            <v>ESPAÑA</v>
          </cell>
          <cell r="Q69" t="str">
            <v>sercosourense@gmail.com</v>
          </cell>
          <cell r="R69" t="str">
            <v/>
          </cell>
          <cell r="S69" t="str">
            <v>CALLE SANTO DOMINGO, GALERIAS SOL, LOCAL 15</v>
          </cell>
          <cell r="T69" t="str">
            <v>32003</v>
          </cell>
          <cell r="U69" t="str">
            <v/>
          </cell>
          <cell r="V69" t="str">
            <v>OURENSE</v>
          </cell>
          <cell r="W69" t="str">
            <v>ORENSE/OURENSE</v>
          </cell>
        </row>
        <row r="70">
          <cell r="A70">
            <v>7293</v>
          </cell>
          <cell r="B70" t="str">
            <v>CASALS DISPRO, S.L.</v>
          </cell>
          <cell r="C70" t="str">
            <v>2020-D-C1-R2</v>
          </cell>
          <cell r="D70">
            <v>0.03</v>
          </cell>
          <cell r="E70" t="str">
            <v>B65932436</v>
          </cell>
          <cell r="F70" t="str">
            <v>NACIONAL</v>
          </cell>
          <cell r="G70">
            <v>0.02</v>
          </cell>
          <cell r="H70"/>
          <cell r="I70" t="str">
            <v>1004D</v>
          </cell>
          <cell r="J70" t="str">
            <v>NOEL BLANCO</v>
          </cell>
          <cell r="K70" t="str">
            <v>GURB</v>
          </cell>
          <cell r="L70" t="str">
            <v>BARCELONA</v>
          </cell>
          <cell r="M70" t="str">
            <v>CL SAN ROC, 27</v>
          </cell>
          <cell r="N70" t="str">
            <v>08503</v>
          </cell>
          <cell r="O70" t="str">
            <v>+34 938833577</v>
          </cell>
          <cell r="P70" t="str">
            <v>ESPAÑA</v>
          </cell>
          <cell r="Q70" t="str">
            <v>carles@casalsdistribucions.cat</v>
          </cell>
          <cell r="R70" t="str">
            <v/>
          </cell>
          <cell r="S70" t="str">
            <v>CL SANT ROC 25</v>
          </cell>
          <cell r="T70" t="str">
            <v>08503</v>
          </cell>
          <cell r="U70" t="str">
            <v/>
          </cell>
          <cell r="V70" t="str">
            <v>GURB</v>
          </cell>
          <cell r="W70" t="str">
            <v>BARCELONA</v>
          </cell>
        </row>
        <row r="71">
          <cell r="A71">
            <v>7280</v>
          </cell>
          <cell r="B71" t="str">
            <v>RUIZ SANCHEZ, SILVIA</v>
          </cell>
          <cell r="C71" t="str">
            <v>2020-M-C1-R3</v>
          </cell>
          <cell r="D71">
            <v>0.03</v>
          </cell>
          <cell r="E71" t="str">
            <v>52205184Z</v>
          </cell>
          <cell r="F71" t="str">
            <v>NACIONAL</v>
          </cell>
          <cell r="G71"/>
          <cell r="H71"/>
          <cell r="I71" t="str">
            <v>1004D</v>
          </cell>
          <cell r="J71" t="str">
            <v>NOEL BLANCO</v>
          </cell>
          <cell r="K71" t="str">
            <v>SANT BOI DE LLOBREGAT</v>
          </cell>
          <cell r="L71" t="str">
            <v>BARCELONA</v>
          </cell>
          <cell r="M71" t="str">
            <v>C/ MONTMANY 17, LOCAL</v>
          </cell>
          <cell r="N71" t="str">
            <v>08830</v>
          </cell>
          <cell r="O71" t="str">
            <v>+34 931825730</v>
          </cell>
          <cell r="P71" t="str">
            <v>ESPAÑA</v>
          </cell>
          <cell r="Q71" t="str">
            <v>silviaruizsanchez@gmail.com</v>
          </cell>
          <cell r="R71" t="str">
            <v/>
          </cell>
          <cell r="S71" t="str">
            <v>CL MENENDEZ I PELAYO 18</v>
          </cell>
          <cell r="T71" t="str">
            <v>08940</v>
          </cell>
          <cell r="U71" t="str">
            <v/>
          </cell>
          <cell r="V71" t="str">
            <v>CORNELLA DE LLOBREGAT</v>
          </cell>
          <cell r="W71" t="str">
            <v>BARCELONA</v>
          </cell>
        </row>
        <row r="72">
          <cell r="A72">
            <v>7143</v>
          </cell>
          <cell r="B72" t="str">
            <v>EXPOSITO PEDROSA, DAVID</v>
          </cell>
          <cell r="C72" t="str">
            <v>2019-M-A1</v>
          </cell>
          <cell r="D72">
            <v>0.05</v>
          </cell>
          <cell r="E72" t="str">
            <v>47151592M</v>
          </cell>
          <cell r="F72" t="str">
            <v>NACIONAL</v>
          </cell>
          <cell r="G72">
            <v>0.02</v>
          </cell>
          <cell r="H72"/>
          <cell r="I72" t="str">
            <v>1004D</v>
          </cell>
          <cell r="J72" t="str">
            <v>NOEL BLANCO</v>
          </cell>
          <cell r="K72" t="str">
            <v>SABADELL</v>
          </cell>
          <cell r="L72" t="str">
            <v>BARCELONA</v>
          </cell>
          <cell r="M72" t="str">
            <v>CL BALAGUER 9</v>
          </cell>
          <cell r="N72" t="str">
            <v>08207</v>
          </cell>
          <cell r="O72" t="str">
            <v>+34 937160697</v>
          </cell>
          <cell r="P72" t="str">
            <v>ESPAÑA</v>
          </cell>
          <cell r="Q72" t="str">
            <v>davidpedrosa@hotmail.com</v>
          </cell>
          <cell r="R72" t="str">
            <v>TENEN IMPAGATS</v>
          </cell>
          <cell r="S72" t="str">
            <v>CL BALAGUER 9</v>
          </cell>
          <cell r="T72" t="str">
            <v>08207</v>
          </cell>
          <cell r="V72" t="str">
            <v>SABADELL</v>
          </cell>
          <cell r="W72" t="str">
            <v>BARCELONA</v>
          </cell>
        </row>
        <row r="73">
          <cell r="A73">
            <v>7104</v>
          </cell>
          <cell r="B73" t="str">
            <v>DCV01 S.L.</v>
          </cell>
          <cell r="C73" t="str">
            <v>2020-M-C1-R3</v>
          </cell>
          <cell r="D73">
            <v>0.03</v>
          </cell>
          <cell r="E73" t="str">
            <v>B26325845</v>
          </cell>
          <cell r="F73" t="str">
            <v>NACIONAL</v>
          </cell>
          <cell r="G73"/>
          <cell r="H73"/>
          <cell r="I73" t="str">
            <v>1004D</v>
          </cell>
          <cell r="J73" t="str">
            <v>NOEL BLANCO</v>
          </cell>
          <cell r="K73" t="str">
            <v>LOGROÑO</v>
          </cell>
          <cell r="L73" t="str">
            <v>LA RIOJA</v>
          </cell>
          <cell r="M73" t="str">
            <v>CL FUNDICION 4</v>
          </cell>
          <cell r="N73">
            <v>26005</v>
          </cell>
          <cell r="O73" t="str">
            <v>+34 649498616</v>
          </cell>
          <cell r="P73" t="str">
            <v>ESPAÑA</v>
          </cell>
          <cell r="Q73" t="str">
            <v>info@domekavera.es</v>
          </cell>
          <cell r="R73" t="str">
            <v/>
          </cell>
          <cell r="S73" t="str">
            <v>CL FUNDICION 4</v>
          </cell>
          <cell r="T73">
            <v>26005</v>
          </cell>
          <cell r="V73" t="str">
            <v>LOGROÑO</v>
          </cell>
          <cell r="W73" t="str">
            <v>LA RIOJA</v>
          </cell>
        </row>
        <row r="74">
          <cell r="A74">
            <v>6930</v>
          </cell>
          <cell r="B74" t="str">
            <v>VARGAS BARRAGAN, AGUSTINA</v>
          </cell>
          <cell r="C74" t="str">
            <v>2020-M-A1-R3</v>
          </cell>
          <cell r="D74">
            <v>0.05</v>
          </cell>
          <cell r="E74" t="str">
            <v>33897942J</v>
          </cell>
          <cell r="F74" t="str">
            <v>NACREQ</v>
          </cell>
          <cell r="G74"/>
          <cell r="H74">
            <v>5.1999999999999998E-2</v>
          </cell>
          <cell r="I74" t="str">
            <v>1004D</v>
          </cell>
          <cell r="J74" t="str">
            <v>NOEL BLANCO</v>
          </cell>
          <cell r="K74" t="str">
            <v>MOLLET DEL VALLES</v>
          </cell>
          <cell r="L74" t="str">
            <v>BARCELONA</v>
          </cell>
          <cell r="M74" t="str">
            <v>AV JAUME I, 96</v>
          </cell>
          <cell r="N74" t="str">
            <v>08100</v>
          </cell>
          <cell r="O74" t="str">
            <v>+34 625135007</v>
          </cell>
          <cell r="P74" t="str">
            <v>ESPAÑA</v>
          </cell>
          <cell r="Q74" t="str">
            <v>famiruizvargas@hotmail.com</v>
          </cell>
          <cell r="R74" t="str">
            <v/>
          </cell>
          <cell r="S74" t="str">
            <v>AV JAUME I, 96</v>
          </cell>
          <cell r="T74" t="str">
            <v>08100</v>
          </cell>
          <cell r="V74" t="str">
            <v>MOLLET DEL VALLES</v>
          </cell>
          <cell r="W74" t="str">
            <v>BARCELONA</v>
          </cell>
        </row>
        <row r="75">
          <cell r="A75">
            <v>6197</v>
          </cell>
          <cell r="B75" t="str">
            <v>COMERCIAL GARCIA CASACUBERTA S.L.</v>
          </cell>
          <cell r="C75" t="str">
            <v>2020-D-A1-R2</v>
          </cell>
          <cell r="D75">
            <v>0.03</v>
          </cell>
          <cell r="E75" t="str">
            <v>B65214355</v>
          </cell>
          <cell r="F75" t="str">
            <v>NACIONAL</v>
          </cell>
          <cell r="G75"/>
          <cell r="H75"/>
          <cell r="I75" t="str">
            <v>1004D</v>
          </cell>
          <cell r="J75" t="str">
            <v>NOEL BLANCO</v>
          </cell>
          <cell r="K75" t="str">
            <v>TERRASSA</v>
          </cell>
          <cell r="L75" t="str">
            <v>BARCELONA</v>
          </cell>
          <cell r="M75" t="str">
            <v>CL NICOLAU TALLO 70 LOCAL 1</v>
          </cell>
          <cell r="N75" t="str">
            <v>08224</v>
          </cell>
          <cell r="O75" t="str">
            <v>+34 937331096</v>
          </cell>
          <cell r="P75" t="str">
            <v>ESPAÑA</v>
          </cell>
          <cell r="Q75" t="str">
            <v>comercialbrumen@gmail.com</v>
          </cell>
          <cell r="R75" t="str">
            <v/>
          </cell>
          <cell r="S75" t="str">
            <v>CL/ LAUREA MIRO 285-287</v>
          </cell>
          <cell r="T75" t="str">
            <v>08980</v>
          </cell>
          <cell r="U75" t="str">
            <v/>
          </cell>
          <cell r="V75" t="str">
            <v>SANT FELIU DE LLOBREGAT</v>
          </cell>
          <cell r="W75" t="str">
            <v>BARCELONA</v>
          </cell>
        </row>
        <row r="76">
          <cell r="A76">
            <v>5823</v>
          </cell>
          <cell r="B76" t="str">
            <v>BERCHE JIMENEZ, MARINA</v>
          </cell>
          <cell r="C76" t="str">
            <v>2020-M-C1-R3</v>
          </cell>
          <cell r="D76">
            <v>0.03</v>
          </cell>
          <cell r="E76" t="str">
            <v>47726653C</v>
          </cell>
          <cell r="F76" t="str">
            <v>NACREQ</v>
          </cell>
          <cell r="G76">
            <v>0.02</v>
          </cell>
          <cell r="H76">
            <v>5.1999999999999998E-2</v>
          </cell>
          <cell r="I76" t="str">
            <v>1004D</v>
          </cell>
          <cell r="J76" t="str">
            <v>NOEL BLANCO</v>
          </cell>
          <cell r="K76" t="str">
            <v>CALDES DE MONTBUI</v>
          </cell>
          <cell r="L76" t="str">
            <v>BARCELONA</v>
          </cell>
          <cell r="M76" t="str">
            <v>AV. PI I MARAGALL 92</v>
          </cell>
          <cell r="N76" t="str">
            <v>08140</v>
          </cell>
          <cell r="O76" t="str">
            <v>+34 931869990</v>
          </cell>
          <cell r="P76" t="str">
            <v>ESPAÑA</v>
          </cell>
          <cell r="Q76" t="str">
            <v>jordi.duque@hotmail.com</v>
          </cell>
          <cell r="R76" t="str">
            <v/>
          </cell>
          <cell r="S76" t="str">
            <v>CL BORGUES BLANQUES 48</v>
          </cell>
          <cell r="T76" t="str">
            <v>08140</v>
          </cell>
          <cell r="U76" t="str">
            <v/>
          </cell>
          <cell r="V76" t="str">
            <v>CALDES DE MONTBUI</v>
          </cell>
          <cell r="W76" t="str">
            <v>BARCELONA</v>
          </cell>
        </row>
        <row r="77">
          <cell r="A77">
            <v>4274</v>
          </cell>
          <cell r="B77" t="str">
            <v>SERRANO BLANCH, SILVIA</v>
          </cell>
          <cell r="C77" t="str">
            <v>2020-M-A1-R3</v>
          </cell>
          <cell r="D77">
            <v>0.05</v>
          </cell>
          <cell r="E77" t="str">
            <v>52179059V</v>
          </cell>
          <cell r="F77" t="str">
            <v>NACREQ</v>
          </cell>
          <cell r="G77"/>
          <cell r="H77">
            <v>5.1999999999999998E-2</v>
          </cell>
          <cell r="I77" t="str">
            <v>1004D</v>
          </cell>
          <cell r="J77" t="str">
            <v>NOEL BLANCO</v>
          </cell>
          <cell r="K77" t="str">
            <v>LA LLAGOSTA</v>
          </cell>
          <cell r="L77" t="str">
            <v>BARCELONA</v>
          </cell>
          <cell r="M77" t="str">
            <v>PZ/ PEDRO IV,6-LOCAL 10</v>
          </cell>
          <cell r="N77" t="str">
            <v>08120</v>
          </cell>
          <cell r="O77" t="str">
            <v>+34 935742585</v>
          </cell>
          <cell r="P77" t="str">
            <v>ESPAÑA</v>
          </cell>
          <cell r="Q77" t="str">
            <v>comercialserrano08120@yahoo.es</v>
          </cell>
          <cell r="R77" t="str">
            <v/>
          </cell>
          <cell r="S77" t="str">
            <v>PZ/ PEDRO IV,6-LOCAL 10</v>
          </cell>
          <cell r="T77" t="str">
            <v>08120</v>
          </cell>
          <cell r="V77" t="str">
            <v>LA LLAGOSTA</v>
          </cell>
          <cell r="W77" t="str">
            <v>BARCELONA</v>
          </cell>
        </row>
        <row r="78">
          <cell r="A78">
            <v>4220</v>
          </cell>
          <cell r="B78" t="str">
            <v>HURCAL BEAUTY, S.L.</v>
          </cell>
          <cell r="C78" t="str">
            <v>2020-D-A1-R2</v>
          </cell>
          <cell r="D78">
            <v>0.03</v>
          </cell>
          <cell r="E78" t="str">
            <v>B53382735</v>
          </cell>
          <cell r="F78" t="str">
            <v>NACIONAL</v>
          </cell>
          <cell r="G78"/>
          <cell r="H78"/>
          <cell r="I78" t="str">
            <v>1004D</v>
          </cell>
          <cell r="J78" t="str">
            <v>NOEL BLANCO</v>
          </cell>
          <cell r="K78" t="str">
            <v>ELCHE</v>
          </cell>
          <cell r="L78" t="str">
            <v>ALICANTE</v>
          </cell>
          <cell r="M78" t="str">
            <v>CL/ CAÑADA,12</v>
          </cell>
          <cell r="N78" t="str">
            <v>03206</v>
          </cell>
          <cell r="O78" t="str">
            <v>+34 965461560</v>
          </cell>
          <cell r="P78" t="str">
            <v>ESPAÑA</v>
          </cell>
          <cell r="Q78" t="str">
            <v>carloshurtado@hurcal.com</v>
          </cell>
          <cell r="R78" t="str">
            <v/>
          </cell>
          <cell r="S78" t="str">
            <v>CL/ CAÑADA,12</v>
          </cell>
          <cell r="T78" t="str">
            <v>03206</v>
          </cell>
          <cell r="V78" t="str">
            <v>ELCHE</v>
          </cell>
          <cell r="W78" t="str">
            <v>ALICANTE</v>
          </cell>
        </row>
        <row r="79">
          <cell r="A79">
            <v>3993</v>
          </cell>
          <cell r="B79" t="str">
            <v>LOLA'S ROCRUES S.L.</v>
          </cell>
          <cell r="C79" t="str">
            <v>2020-M-C1-R3</v>
          </cell>
          <cell r="D79">
            <v>0.03</v>
          </cell>
          <cell r="E79" t="str">
            <v>B11477304</v>
          </cell>
          <cell r="F79" t="str">
            <v>NACIONAL</v>
          </cell>
          <cell r="G79"/>
          <cell r="H79"/>
          <cell r="I79" t="str">
            <v>1004D</v>
          </cell>
          <cell r="J79" t="str">
            <v>NOEL BLANCO</v>
          </cell>
          <cell r="K79" t="str">
            <v>LA LINEA DE LA CONCEPCION</v>
          </cell>
          <cell r="L79" t="str">
            <v>CADIZ</v>
          </cell>
          <cell r="M79" t="str">
            <v>CL/ SALVADOR DALI,2</v>
          </cell>
          <cell r="N79" t="str">
            <v>11300</v>
          </cell>
          <cell r="O79" t="str">
            <v>+34 956174427</v>
          </cell>
          <cell r="P79" t="str">
            <v>ESPAÑA</v>
          </cell>
          <cell r="Q79" t="str">
            <v>comercialolas@hotmail.com</v>
          </cell>
          <cell r="R79" t="str">
            <v/>
          </cell>
          <cell r="S79" t="str">
            <v>CL/ SALVADOR DALI,2</v>
          </cell>
          <cell r="T79">
            <v>11300</v>
          </cell>
          <cell r="V79" t="str">
            <v>LA LINEA DE LA CONCEPCION</v>
          </cell>
          <cell r="W79" t="str">
            <v>CADIZ</v>
          </cell>
        </row>
        <row r="80">
          <cell r="A80">
            <v>3869</v>
          </cell>
          <cell r="B80" t="str">
            <v>QUAFURG BCN S.C.C.L.</v>
          </cell>
          <cell r="C80" t="str">
            <v>2020-M-C1-R3</v>
          </cell>
          <cell r="D80">
            <v>0.03</v>
          </cell>
          <cell r="E80" t="str">
            <v>F62128186</v>
          </cell>
          <cell r="F80" t="str">
            <v>NACIONAL</v>
          </cell>
          <cell r="G80"/>
          <cell r="H80"/>
          <cell r="I80" t="str">
            <v>1004D</v>
          </cell>
          <cell r="J80" t="str">
            <v>NOEL BLANCO</v>
          </cell>
          <cell r="K80" t="str">
            <v>BARCELONA</v>
          </cell>
          <cell r="L80" t="str">
            <v>BARCELONA</v>
          </cell>
          <cell r="M80" t="str">
            <v>CL VALENCIA 392 LOCAL 3</v>
          </cell>
          <cell r="N80" t="str">
            <v>08013</v>
          </cell>
          <cell r="O80" t="str">
            <v>+34 932080274</v>
          </cell>
          <cell r="P80" t="str">
            <v>ESPAÑA</v>
          </cell>
          <cell r="Q80" t="str">
            <v>quafurg@gmail.com</v>
          </cell>
          <cell r="R80" t="str">
            <v/>
          </cell>
          <cell r="S80" t="str">
            <v>CL VALENCIA 392 LOCAL 3</v>
          </cell>
          <cell r="T80" t="str">
            <v>08013</v>
          </cell>
          <cell r="U80" t="str">
            <v/>
          </cell>
          <cell r="V80" t="str">
            <v>BARCELONA</v>
          </cell>
          <cell r="W80" t="str">
            <v>BARCELONA</v>
          </cell>
        </row>
        <row r="81">
          <cell r="A81">
            <v>3688</v>
          </cell>
          <cell r="B81" t="str">
            <v>APARICIO XARAU, SILVIA</v>
          </cell>
          <cell r="C81" t="str">
            <v>2020-M-C1-R3</v>
          </cell>
          <cell r="D81">
            <v>0.03</v>
          </cell>
          <cell r="E81" t="str">
            <v>38089626Q</v>
          </cell>
          <cell r="F81" t="str">
            <v>NACREQ</v>
          </cell>
          <cell r="G81"/>
          <cell r="H81">
            <v>5.1999999999999998E-2</v>
          </cell>
          <cell r="I81" t="str">
            <v>1004D</v>
          </cell>
          <cell r="J81" t="str">
            <v>NOEL BLANCO</v>
          </cell>
          <cell r="K81" t="str">
            <v>CALDES DE MONTBUI</v>
          </cell>
          <cell r="L81" t="str">
            <v>BARCELONA</v>
          </cell>
          <cell r="M81" t="str">
            <v>CL/ HOMS,1 - LOCAL 3</v>
          </cell>
          <cell r="N81" t="str">
            <v>08140</v>
          </cell>
          <cell r="O81" t="str">
            <v>+34 938622033</v>
          </cell>
          <cell r="P81" t="str">
            <v>ESPAÑA</v>
          </cell>
          <cell r="Q81" t="str">
            <v>silvia.comercialpeluqueria@gmail.com</v>
          </cell>
          <cell r="R81" t="str">
            <v/>
          </cell>
          <cell r="S81" t="str">
            <v>CL/ HOMS,1 - LOCAL 3</v>
          </cell>
          <cell r="T81" t="str">
            <v>08140</v>
          </cell>
          <cell r="V81" t="str">
            <v>CALDES DE MONTBUI</v>
          </cell>
          <cell r="W81" t="str">
            <v>BARCELONA</v>
          </cell>
        </row>
        <row r="82">
          <cell r="A82">
            <v>3178</v>
          </cell>
          <cell r="B82" t="str">
            <v>LAJE COSMETICS, S.L.</v>
          </cell>
          <cell r="C82" t="str">
            <v>2020-M-C1-R3</v>
          </cell>
          <cell r="D82">
            <v>0.03</v>
          </cell>
          <cell r="E82" t="str">
            <v>B64030539</v>
          </cell>
          <cell r="F82" t="str">
            <v>NACIONAL</v>
          </cell>
          <cell r="G82"/>
          <cell r="H82"/>
          <cell r="I82" t="str">
            <v>1004D</v>
          </cell>
          <cell r="J82" t="str">
            <v>NOEL BLANCO</v>
          </cell>
          <cell r="K82" t="str">
            <v>GRANOLLERS</v>
          </cell>
          <cell r="L82" t="str">
            <v>BARCELONA</v>
          </cell>
          <cell r="M82" t="str">
            <v>CL/ GIRONA 2</v>
          </cell>
          <cell r="N82" t="str">
            <v>08400</v>
          </cell>
          <cell r="O82" t="str">
            <v>+34 938702200</v>
          </cell>
          <cell r="P82" t="str">
            <v>ESPAÑA</v>
          </cell>
          <cell r="Q82" t="str">
            <v>info@lajecosmetics.com</v>
          </cell>
          <cell r="R82" t="str">
            <v/>
          </cell>
          <cell r="S82" t="str">
            <v>CL/ GIRONA 2</v>
          </cell>
          <cell r="T82" t="str">
            <v>08400</v>
          </cell>
          <cell r="V82" t="str">
            <v>GRANOLLERS</v>
          </cell>
          <cell r="W82" t="str">
            <v>BARCELONA</v>
          </cell>
        </row>
        <row r="83">
          <cell r="A83">
            <v>3057</v>
          </cell>
          <cell r="B83" t="str">
            <v>PERRUQUERIA I BELLESA MAITE S.C.P.</v>
          </cell>
          <cell r="C83" t="str">
            <v>2020-M-A1-R3</v>
          </cell>
          <cell r="D83">
            <v>0.05</v>
          </cell>
          <cell r="E83" t="str">
            <v>J63805303</v>
          </cell>
          <cell r="F83" t="str">
            <v>NACIONAL</v>
          </cell>
          <cell r="G83"/>
          <cell r="H83"/>
          <cell r="I83" t="str">
            <v>1004D</v>
          </cell>
          <cell r="J83" t="str">
            <v>NOEL BLANCO</v>
          </cell>
          <cell r="K83" t="str">
            <v>SABADELL</v>
          </cell>
          <cell r="L83" t="str">
            <v>BARCELONA</v>
          </cell>
          <cell r="M83" t="str">
            <v>PZ/ JONQUERES,16</v>
          </cell>
          <cell r="N83" t="str">
            <v>08208</v>
          </cell>
          <cell r="O83" t="str">
            <v>+34 937238389</v>
          </cell>
          <cell r="P83" t="str">
            <v>ESPAÑA</v>
          </cell>
          <cell r="Q83" t="str">
            <v>noemi1979@live.com</v>
          </cell>
          <cell r="R83" t="str">
            <v/>
          </cell>
          <cell r="S83" t="str">
            <v>PZ/ JONQUERES,16</v>
          </cell>
          <cell r="T83" t="str">
            <v>08208</v>
          </cell>
          <cell r="V83" t="str">
            <v>SABADELL</v>
          </cell>
          <cell r="W83" t="str">
            <v>BARCELONA</v>
          </cell>
        </row>
        <row r="84">
          <cell r="A84">
            <v>2519</v>
          </cell>
          <cell r="B84" t="str">
            <v>GRAS SUREDA, GEMMA</v>
          </cell>
          <cell r="C84" t="str">
            <v>2020-M-A1-R3</v>
          </cell>
          <cell r="D84">
            <v>0.05</v>
          </cell>
          <cell r="E84" t="str">
            <v>38815457J</v>
          </cell>
          <cell r="F84" t="str">
            <v>NACREQ</v>
          </cell>
          <cell r="G84"/>
          <cell r="H84">
            <v>5.1999999999999998E-2</v>
          </cell>
          <cell r="I84" t="str">
            <v>1004D</v>
          </cell>
          <cell r="J84" t="str">
            <v>NOEL BLANCO</v>
          </cell>
          <cell r="K84" t="str">
            <v>TORDERA</v>
          </cell>
          <cell r="L84" t="str">
            <v>BARCELONA</v>
          </cell>
          <cell r="M84" t="str">
            <v>PLAÇA LLUÍS COMPANYS 26</v>
          </cell>
          <cell r="N84" t="str">
            <v>08490</v>
          </cell>
          <cell r="O84" t="str">
            <v>+34 937641244</v>
          </cell>
          <cell r="P84" t="str">
            <v>ESPAÑA</v>
          </cell>
          <cell r="Q84" t="str">
            <v>g.gras.sureda@gmail.com</v>
          </cell>
          <cell r="R84" t="str">
            <v/>
          </cell>
          <cell r="S84" t="str">
            <v>PLAÇA LLUÍS COMPANYS 26</v>
          </cell>
          <cell r="T84" t="str">
            <v>08490</v>
          </cell>
          <cell r="U84" t="str">
            <v/>
          </cell>
          <cell r="V84" t="str">
            <v>TORDERA</v>
          </cell>
          <cell r="W84" t="str">
            <v>BARCELONA</v>
          </cell>
        </row>
        <row r="85">
          <cell r="A85">
            <v>2227</v>
          </cell>
          <cell r="B85" t="str">
            <v>PIERINO COSMETICS S.L.U.</v>
          </cell>
          <cell r="C85" t="str">
            <v>2020-D-B1-R2</v>
          </cell>
          <cell r="D85">
            <v>0.03</v>
          </cell>
          <cell r="E85" t="str">
            <v>B37416773</v>
          </cell>
          <cell r="F85" t="str">
            <v>NACIONAL</v>
          </cell>
          <cell r="G85"/>
          <cell r="H85"/>
          <cell r="I85" t="str">
            <v>1004D</v>
          </cell>
          <cell r="J85" t="str">
            <v>NOEL BLANCO</v>
          </cell>
          <cell r="K85" t="str">
            <v>VILLARES DE LA REINA</v>
          </cell>
          <cell r="L85" t="str">
            <v>SALAMANCA</v>
          </cell>
          <cell r="M85" t="str">
            <v>CL/ CAÑO DE LAS PIMIENTAS,58</v>
          </cell>
          <cell r="N85" t="str">
            <v>37184</v>
          </cell>
          <cell r="O85" t="str">
            <v>+34 923203339</v>
          </cell>
          <cell r="P85" t="str">
            <v>ESPAÑA</v>
          </cell>
          <cell r="Q85" t="str">
            <v>manel@pierinocosmetics.com</v>
          </cell>
          <cell r="R85" t="str">
            <v/>
          </cell>
          <cell r="S85" t="str">
            <v>CL/ CAÑO DE LAS PIMIENTAS,58</v>
          </cell>
          <cell r="T85">
            <v>37184</v>
          </cell>
          <cell r="V85" t="str">
            <v>VILLARES DE LA REINA</v>
          </cell>
          <cell r="W85" t="str">
            <v>SALAMANCA</v>
          </cell>
        </row>
        <row r="86">
          <cell r="A86">
            <v>2157</v>
          </cell>
          <cell r="B86" t="str">
            <v>PERRINO CASARES, JOSE MANUEL</v>
          </cell>
          <cell r="C86" t="str">
            <v>2020-M-B1-R3</v>
          </cell>
          <cell r="D86">
            <v>0.03</v>
          </cell>
          <cell r="E86" t="str">
            <v>12309330Y</v>
          </cell>
          <cell r="F86" t="str">
            <v>NACREQ</v>
          </cell>
          <cell r="G86"/>
          <cell r="H86">
            <v>5.1999999999999998E-2</v>
          </cell>
          <cell r="I86" t="str">
            <v>1004D</v>
          </cell>
          <cell r="J86" t="str">
            <v>NOEL BLANCO</v>
          </cell>
          <cell r="K86" t="str">
            <v>SALAMANCA</v>
          </cell>
          <cell r="L86" t="str">
            <v>SALAMANCA</v>
          </cell>
          <cell r="M86" t="str">
            <v>AV ITALIA 28</v>
          </cell>
          <cell r="N86">
            <v>37006</v>
          </cell>
          <cell r="O86" t="str">
            <v>+34 923124076</v>
          </cell>
          <cell r="P86" t="str">
            <v>ESPAÑA</v>
          </cell>
          <cell r="Q86" t="str">
            <v>teresafrailemartin@gmail.com</v>
          </cell>
          <cell r="R86" t="str">
            <v/>
          </cell>
          <cell r="S86" t="str">
            <v>AV ITALIA 28</v>
          </cell>
          <cell r="T86">
            <v>37006</v>
          </cell>
          <cell r="V86" t="str">
            <v>SALAMANCA</v>
          </cell>
          <cell r="W86" t="str">
            <v>SALAMANCA</v>
          </cell>
        </row>
        <row r="87">
          <cell r="A87">
            <v>2000</v>
          </cell>
          <cell r="B87" t="str">
            <v>JARA MARTIN, RICARDO J.</v>
          </cell>
          <cell r="C87" t="str">
            <v>2020-M-D1-R3</v>
          </cell>
          <cell r="D87">
            <v>0.03</v>
          </cell>
          <cell r="E87" t="str">
            <v>33925815X</v>
          </cell>
          <cell r="F87" t="str">
            <v>NACIONAL</v>
          </cell>
          <cell r="G87">
            <v>0.02</v>
          </cell>
          <cell r="H87"/>
          <cell r="I87" t="str">
            <v>1004D</v>
          </cell>
          <cell r="J87" t="str">
            <v>NOEL BLANCO</v>
          </cell>
          <cell r="K87" t="str">
            <v>BADALONA</v>
          </cell>
          <cell r="L87" t="str">
            <v>BARCELONA</v>
          </cell>
          <cell r="M87" t="str">
            <v>AV/ ALFONSO XIII, 610-BAJO</v>
          </cell>
          <cell r="N87" t="str">
            <v>08913</v>
          </cell>
          <cell r="O87" t="str">
            <v>+34 625030893</v>
          </cell>
          <cell r="P87" t="str">
            <v>ESPAÑA</v>
          </cell>
          <cell r="Q87" t="str">
            <v>rjara5168@gmail.com</v>
          </cell>
          <cell r="R87" t="str">
            <v/>
          </cell>
          <cell r="S87" t="str">
            <v>AV/ ALFONSO XIII, 610-BAJO</v>
          </cell>
          <cell r="T87" t="str">
            <v>08913</v>
          </cell>
          <cell r="U87" t="str">
            <v/>
          </cell>
          <cell r="V87" t="str">
            <v>BADALONA</v>
          </cell>
          <cell r="W87" t="str">
            <v>BARCELONA</v>
          </cell>
        </row>
        <row r="88">
          <cell r="A88">
            <v>1875</v>
          </cell>
          <cell r="B88" t="str">
            <v>RUIZ BACAS, MARIA FELICIDAD</v>
          </cell>
          <cell r="C88" t="str">
            <v>2020-M-D1-R3</v>
          </cell>
          <cell r="D88">
            <v>0.03</v>
          </cell>
          <cell r="E88" t="str">
            <v>38823219R</v>
          </cell>
          <cell r="F88" t="str">
            <v>NACREQ</v>
          </cell>
          <cell r="G88">
            <v>0.02</v>
          </cell>
          <cell r="H88">
            <v>5.1999999999999998E-2</v>
          </cell>
          <cell r="I88" t="str">
            <v>1004D</v>
          </cell>
          <cell r="J88" t="str">
            <v>NOEL BLANCO</v>
          </cell>
          <cell r="K88" t="str">
            <v>MATARO</v>
          </cell>
          <cell r="L88" t="str">
            <v>BARCELONA</v>
          </cell>
          <cell r="M88" t="str">
            <v>CL MIGUEL VIADA 119</v>
          </cell>
          <cell r="N88" t="str">
            <v>08302</v>
          </cell>
          <cell r="O88" t="str">
            <v>+34 937575211</v>
          </cell>
          <cell r="P88" t="str">
            <v>ESPAÑA</v>
          </cell>
          <cell r="Q88" t="str">
            <v>labotigadeltint@hotmail.com</v>
          </cell>
          <cell r="R88" t="str">
            <v/>
          </cell>
          <cell r="S88" t="str">
            <v>CL MIGUEL VIADA 119</v>
          </cell>
          <cell r="T88" t="str">
            <v>08302</v>
          </cell>
          <cell r="V88" t="str">
            <v>MATARO</v>
          </cell>
          <cell r="W88" t="str">
            <v>BARCELONA</v>
          </cell>
        </row>
        <row r="89">
          <cell r="A89">
            <v>1633</v>
          </cell>
          <cell r="B89" t="str">
            <v>ATHISS EIVISSA, SL</v>
          </cell>
          <cell r="C89" t="str">
            <v>2020-D-B1-R2</v>
          </cell>
          <cell r="D89">
            <v>0.03</v>
          </cell>
          <cell r="E89" t="str">
            <v>B57097065</v>
          </cell>
          <cell r="F89" t="str">
            <v>NACIONAL</v>
          </cell>
          <cell r="G89"/>
          <cell r="H89"/>
          <cell r="I89" t="str">
            <v>1004D</v>
          </cell>
          <cell r="J89" t="str">
            <v>NOEL BLANCO</v>
          </cell>
          <cell r="K89" t="str">
            <v>EIVISSA</v>
          </cell>
          <cell r="L89" t="str">
            <v>BALEARES</v>
          </cell>
          <cell r="M89" t="str">
            <v>CL AGAPITO LLOBET, 5 LOCAL</v>
          </cell>
          <cell r="N89" t="str">
            <v>07800</v>
          </cell>
          <cell r="O89" t="str">
            <v>+34 971398830</v>
          </cell>
          <cell r="P89" t="str">
            <v>ESPAÑA</v>
          </cell>
          <cell r="Q89" t="str">
            <v>mathissibiza@gmail.com</v>
          </cell>
          <cell r="R89" t="str">
            <v/>
          </cell>
          <cell r="S89" t="str">
            <v>CL AGAPITO LLOBET 22 BAJOS</v>
          </cell>
          <cell r="T89" t="str">
            <v>07800</v>
          </cell>
          <cell r="U89" t="str">
            <v/>
          </cell>
          <cell r="V89" t="str">
            <v>EIVISSA</v>
          </cell>
          <cell r="W89" t="str">
            <v>BALEARES</v>
          </cell>
        </row>
        <row r="90">
          <cell r="A90">
            <v>1518</v>
          </cell>
          <cell r="B90" t="str">
            <v>ALTA COSMETICA GABOR, S.L.</v>
          </cell>
          <cell r="C90" t="str">
            <v>2020-M-D1-R3</v>
          </cell>
          <cell r="D90">
            <v>0.03</v>
          </cell>
          <cell r="E90" t="str">
            <v>B13345988</v>
          </cell>
          <cell r="F90" t="str">
            <v>NACIONAL</v>
          </cell>
          <cell r="G90"/>
          <cell r="H90"/>
          <cell r="I90" t="str">
            <v>1004D</v>
          </cell>
          <cell r="J90" t="str">
            <v>NOEL BLANCO</v>
          </cell>
          <cell r="K90" t="str">
            <v>CIUDAD REAL</v>
          </cell>
          <cell r="L90" t="str">
            <v>CIUDAD REAL</v>
          </cell>
          <cell r="M90" t="str">
            <v>CL ALFONSO X EL SABIO 11</v>
          </cell>
          <cell r="N90">
            <v>13001</v>
          </cell>
          <cell r="O90" t="str">
            <v>+34 926216391</v>
          </cell>
          <cell r="P90" t="str">
            <v>ESPAÑA</v>
          </cell>
          <cell r="Q90" t="str">
            <v>cosmeticagabor@hotmail.com</v>
          </cell>
          <cell r="R90" t="str">
            <v/>
          </cell>
          <cell r="S90" t="str">
            <v>CL ALFONSO X EL SABIO 11</v>
          </cell>
          <cell r="T90">
            <v>13001</v>
          </cell>
          <cell r="V90" t="str">
            <v>CIUDAD REAL</v>
          </cell>
          <cell r="W90" t="str">
            <v>CIUDAD REAL</v>
          </cell>
        </row>
        <row r="91">
          <cell r="A91">
            <v>1421</v>
          </cell>
          <cell r="B91" t="str">
            <v>ALVAREZ URRUELA, JESUS</v>
          </cell>
          <cell r="C91" t="str">
            <v>2020-M-D1-R3</v>
          </cell>
          <cell r="D91">
            <v>0.03</v>
          </cell>
          <cell r="E91" t="str">
            <v>30656921Z</v>
          </cell>
          <cell r="F91" t="str">
            <v>NACIONAL</v>
          </cell>
          <cell r="G91">
            <v>0.02</v>
          </cell>
          <cell r="H91"/>
          <cell r="I91" t="str">
            <v>1004D</v>
          </cell>
          <cell r="J91" t="str">
            <v>NOEL BLANCO</v>
          </cell>
          <cell r="K91" t="str">
            <v>ZALLA</v>
          </cell>
          <cell r="L91" t="str">
            <v>BIZKAIA</v>
          </cell>
          <cell r="M91" t="str">
            <v>AV LANZAGORTA 18</v>
          </cell>
          <cell r="N91">
            <v>48860</v>
          </cell>
          <cell r="O91" t="str">
            <v>+34 946390612</v>
          </cell>
          <cell r="P91" t="str">
            <v>ESPAÑA</v>
          </cell>
          <cell r="Q91" t="str">
            <v>pelujesuszalla@gmail.com</v>
          </cell>
          <cell r="R91" t="str">
            <v/>
          </cell>
          <cell r="S91" t="str">
            <v>AV LANZAGORTA 18</v>
          </cell>
          <cell r="T91" t="str">
            <v>48860</v>
          </cell>
          <cell r="U91" t="str">
            <v/>
          </cell>
          <cell r="V91" t="str">
            <v>ZALLA</v>
          </cell>
          <cell r="W91" t="str">
            <v>VIZCAYA</v>
          </cell>
        </row>
        <row r="92">
          <cell r="A92">
            <v>1065</v>
          </cell>
          <cell r="B92" t="str">
            <v>DIFUSIO 9, S.A.</v>
          </cell>
          <cell r="C92" t="str">
            <v>2020-M-B1-R3</v>
          </cell>
          <cell r="D92">
            <v>0.03</v>
          </cell>
          <cell r="E92" t="str">
            <v>A17118092</v>
          </cell>
          <cell r="F92" t="str">
            <v>NACIONAL</v>
          </cell>
          <cell r="G92"/>
          <cell r="H92"/>
          <cell r="I92" t="str">
            <v>1004D</v>
          </cell>
          <cell r="J92" t="str">
            <v>NOEL BLANCO</v>
          </cell>
          <cell r="K92" t="str">
            <v>GIRONA</v>
          </cell>
          <cell r="L92" t="str">
            <v>GIRONA</v>
          </cell>
          <cell r="M92" t="str">
            <v>CL SEQUIA 22</v>
          </cell>
          <cell r="N92">
            <v>17001</v>
          </cell>
          <cell r="O92" t="str">
            <v>+34 972219237</v>
          </cell>
          <cell r="P92" t="str">
            <v>ESPAÑA</v>
          </cell>
          <cell r="Q92" t="str">
            <v>difusio9@difusio9.es</v>
          </cell>
          <cell r="R92" t="str">
            <v/>
          </cell>
          <cell r="S92" t="str">
            <v>CL SEQUIA 22</v>
          </cell>
          <cell r="T92">
            <v>17001</v>
          </cell>
          <cell r="V92" t="str">
            <v>GIRONA</v>
          </cell>
          <cell r="W92" t="str">
            <v>GIRONA</v>
          </cell>
        </row>
        <row r="93">
          <cell r="A93">
            <v>1008</v>
          </cell>
          <cell r="B93" t="str">
            <v>HERNANDEZ SANCHEZ, FILOMENA</v>
          </cell>
          <cell r="C93" t="str">
            <v>2020-M-A1-R3</v>
          </cell>
          <cell r="D93">
            <v>0.05</v>
          </cell>
          <cell r="E93" t="str">
            <v>37658447H</v>
          </cell>
          <cell r="F93" t="str">
            <v>NACREQ</v>
          </cell>
          <cell r="G93"/>
          <cell r="H93">
            <v>5.1999999999999998E-2</v>
          </cell>
          <cell r="I93" t="str">
            <v>1004D</v>
          </cell>
          <cell r="J93" t="str">
            <v>NOEL BLANCO</v>
          </cell>
          <cell r="K93" t="str">
            <v>PLATJA D'ARO</v>
          </cell>
          <cell r="L93" t="str">
            <v>GIRONA</v>
          </cell>
          <cell r="M93" t="str">
            <v>CL EDIF.EUROCENTER ILLA 2 LOCAL 53.</v>
          </cell>
          <cell r="N93">
            <v>17250</v>
          </cell>
          <cell r="O93" t="str">
            <v>+34 972818664</v>
          </cell>
          <cell r="P93" t="str">
            <v>ESPAÑA</v>
          </cell>
          <cell r="Q93" t="str">
            <v>comercialbahi@yahoo.es</v>
          </cell>
          <cell r="R93" t="str">
            <v/>
          </cell>
          <cell r="S93" t="str">
            <v>CL EDIF.EUROCENTER ILLA 2 LOCAL 53.</v>
          </cell>
          <cell r="T93">
            <v>17250</v>
          </cell>
          <cell r="V93" t="str">
            <v>PLATJA D'ARO</v>
          </cell>
          <cell r="W93" t="str">
            <v>GIRONA</v>
          </cell>
        </row>
        <row r="94">
          <cell r="A94">
            <v>858</v>
          </cell>
          <cell r="B94" t="str">
            <v>CIAL. JACINTO CANALES, S.L.</v>
          </cell>
          <cell r="C94" t="str">
            <v>2020-M-D1-R3</v>
          </cell>
          <cell r="D94">
            <v>0.03</v>
          </cell>
          <cell r="E94" t="str">
            <v>B61805560</v>
          </cell>
          <cell r="F94" t="str">
            <v>NACIONAL</v>
          </cell>
          <cell r="G94">
            <v>0.02</v>
          </cell>
          <cell r="H94"/>
          <cell r="I94" t="str">
            <v>1004D</v>
          </cell>
          <cell r="J94" t="str">
            <v>NOEL BLANCO</v>
          </cell>
          <cell r="K94" t="str">
            <v>BARCELONA</v>
          </cell>
          <cell r="L94" t="str">
            <v>BARCELONA</v>
          </cell>
          <cell r="M94" t="str">
            <v>CL PADILLA 220</v>
          </cell>
          <cell r="N94" t="str">
            <v>08013</v>
          </cell>
          <cell r="O94" t="str">
            <v>+34 932451001</v>
          </cell>
          <cell r="P94" t="str">
            <v>ESPAÑA</v>
          </cell>
          <cell r="Q94" t="str">
            <v>jcanales@jcanales.e.telefonica.net</v>
          </cell>
          <cell r="R94" t="str">
            <v/>
          </cell>
          <cell r="S94" t="str">
            <v>CL PADILLA 220</v>
          </cell>
          <cell r="T94" t="str">
            <v>08013</v>
          </cell>
          <cell r="V94" t="str">
            <v>BARCELONA</v>
          </cell>
          <cell r="W94" t="str">
            <v>BARCELONA</v>
          </cell>
        </row>
        <row r="95">
          <cell r="A95">
            <v>705</v>
          </cell>
          <cell r="B95" t="str">
            <v>COOP. PELUQUEROS PALENTINOS</v>
          </cell>
          <cell r="C95" t="str">
            <v>2020-D-A1-R2</v>
          </cell>
          <cell r="D95">
            <v>0.03</v>
          </cell>
          <cell r="E95" t="str">
            <v>F34152694</v>
          </cell>
          <cell r="F95" t="str">
            <v>NACIONAL</v>
          </cell>
          <cell r="G95"/>
          <cell r="H95"/>
          <cell r="I95" t="str">
            <v>1004D</v>
          </cell>
          <cell r="J95" t="str">
            <v>NOEL BLANCO</v>
          </cell>
          <cell r="K95" t="str">
            <v>PALENCIA</v>
          </cell>
          <cell r="L95" t="str">
            <v>PALENCIA</v>
          </cell>
          <cell r="M95" t="str">
            <v>AV CARDENAL CISNEROS 22</v>
          </cell>
          <cell r="N95">
            <v>34002</v>
          </cell>
          <cell r="O95" t="str">
            <v>+34 979710187</v>
          </cell>
          <cell r="P95" t="str">
            <v>ESPAÑA</v>
          </cell>
          <cell r="Q95" t="str">
            <v>copepale@gmail.com</v>
          </cell>
          <cell r="R95" t="str">
            <v/>
          </cell>
          <cell r="S95" t="str">
            <v>AV CARDENAL CISNEROS 22</v>
          </cell>
          <cell r="T95">
            <v>34002</v>
          </cell>
          <cell r="V95" t="str">
            <v>PALENCIA</v>
          </cell>
          <cell r="W95" t="str">
            <v>PALENCIA</v>
          </cell>
        </row>
        <row r="96">
          <cell r="A96">
            <v>653</v>
          </cell>
          <cell r="B96" t="str">
            <v>ASORAL COSMETICOS, S.L.</v>
          </cell>
          <cell r="C96" t="str">
            <v>2020-D-C1-R2</v>
          </cell>
          <cell r="D96">
            <v>0.03</v>
          </cell>
          <cell r="E96" t="str">
            <v>B15628985</v>
          </cell>
          <cell r="F96" t="str">
            <v>NACIONAL</v>
          </cell>
          <cell r="G96"/>
          <cell r="H96"/>
          <cell r="I96" t="str">
            <v>1004D</v>
          </cell>
          <cell r="J96" t="str">
            <v>NOEL BLANCO</v>
          </cell>
          <cell r="K96" t="str">
            <v>SUEVOS-ARTEIXO</v>
          </cell>
          <cell r="L96" t="str">
            <v>LA CORUÑA</v>
          </cell>
          <cell r="M96" t="str">
            <v>TR DO PORTIÑO,2 MODULO OFIMATICO,NAVE 2</v>
          </cell>
          <cell r="N96">
            <v>15140</v>
          </cell>
          <cell r="O96" t="str">
            <v>+34 981160055</v>
          </cell>
          <cell r="P96" t="str">
            <v>ESPAÑA</v>
          </cell>
          <cell r="Q96" t="str">
            <v>info@asoralcosmeticos.com</v>
          </cell>
          <cell r="R96" t="str">
            <v>TENEN IMPAGATS</v>
          </cell>
          <cell r="S96" t="str">
            <v>TR DO PORTIÑO,2 MODULO OFIMATICO,NAVE 2</v>
          </cell>
          <cell r="T96">
            <v>15140</v>
          </cell>
          <cell r="V96" t="str">
            <v>SUEVOS-ARTEIXO</v>
          </cell>
          <cell r="W96" t="str">
            <v>LA CORUÑA</v>
          </cell>
        </row>
        <row r="97">
          <cell r="A97">
            <v>565</v>
          </cell>
          <cell r="B97" t="str">
            <v>EXCLUSIVAS GONFER, S.L.</v>
          </cell>
          <cell r="C97" t="str">
            <v>2020-M-A1-R3</v>
          </cell>
          <cell r="D97">
            <v>0.05</v>
          </cell>
          <cell r="E97" t="str">
            <v>B61407573</v>
          </cell>
          <cell r="F97" t="str">
            <v>NACIONAL</v>
          </cell>
          <cell r="G97">
            <v>0.02</v>
          </cell>
          <cell r="H97"/>
          <cell r="I97" t="str">
            <v>1004D</v>
          </cell>
          <cell r="J97" t="str">
            <v>NOEL BLANCO</v>
          </cell>
          <cell r="K97" t="str">
            <v>BARCELONA</v>
          </cell>
          <cell r="L97" t="str">
            <v>BARCELONA</v>
          </cell>
          <cell r="M97" t="str">
            <v>CL DOLÇA DE PROVENÇA 2 MARESME</v>
          </cell>
          <cell r="N97" t="str">
            <v>08020</v>
          </cell>
          <cell r="O97" t="str">
            <v>+34 933050354</v>
          </cell>
          <cell r="P97" t="str">
            <v>ESPAÑA</v>
          </cell>
          <cell r="Q97" t="str">
            <v>gonfer@carobels.com</v>
          </cell>
          <cell r="R97" t="str">
            <v/>
          </cell>
          <cell r="S97" t="str">
            <v>CL DOLÇA DE PROVENÇA 2 MARESME</v>
          </cell>
          <cell r="T97" t="str">
            <v>08020</v>
          </cell>
          <cell r="V97" t="str">
            <v>BARCELONA</v>
          </cell>
          <cell r="W97" t="str">
            <v>BARCELONA</v>
          </cell>
        </row>
        <row r="98">
          <cell r="A98">
            <v>554</v>
          </cell>
          <cell r="B98" t="str">
            <v>DOMINGUEZ RIVAS, Mª CARMEN</v>
          </cell>
          <cell r="C98" t="str">
            <v>2020-M-C1-R3</v>
          </cell>
          <cell r="D98">
            <v>0.03</v>
          </cell>
          <cell r="E98" t="str">
            <v>46637143C</v>
          </cell>
          <cell r="F98" t="str">
            <v>NACREQ</v>
          </cell>
          <cell r="G98"/>
          <cell r="H98">
            <v>5.1999999999999998E-2</v>
          </cell>
          <cell r="I98" t="str">
            <v>1004D</v>
          </cell>
          <cell r="J98" t="str">
            <v>NOEL BLANCO</v>
          </cell>
          <cell r="K98" t="str">
            <v>SANT ANDREU DE LA BARCA</v>
          </cell>
          <cell r="L98" t="str">
            <v>BARCELONA</v>
          </cell>
          <cell r="M98" t="str">
            <v>CL MAYOR 28</v>
          </cell>
          <cell r="N98" t="str">
            <v>08740</v>
          </cell>
          <cell r="O98" t="str">
            <v>+34 936821940</v>
          </cell>
          <cell r="P98" t="str">
            <v>ESPAÑA</v>
          </cell>
          <cell r="Q98" t="str">
            <v>lalunacomercial96@gmail.com</v>
          </cell>
          <cell r="R98" t="str">
            <v/>
          </cell>
          <cell r="S98" t="str">
            <v>CL MAYOR 28</v>
          </cell>
          <cell r="T98" t="str">
            <v>08740</v>
          </cell>
          <cell r="U98" t="str">
            <v/>
          </cell>
          <cell r="V98" t="str">
            <v>SANT ANDREU DE LA BARCA</v>
          </cell>
          <cell r="W98" t="str">
            <v>BARCELONA</v>
          </cell>
        </row>
        <row r="99">
          <cell r="A99">
            <v>544</v>
          </cell>
          <cell r="B99" t="str">
            <v>PIQUET ORTEGA, SILVIA</v>
          </cell>
          <cell r="C99" t="str">
            <v>2020-M-C1-R3</v>
          </cell>
          <cell r="D99">
            <v>0.03</v>
          </cell>
          <cell r="E99" t="str">
            <v>40992757H</v>
          </cell>
          <cell r="F99" t="str">
            <v>NACREQ</v>
          </cell>
          <cell r="G99"/>
          <cell r="H99">
            <v>5.1999999999999998E-2</v>
          </cell>
          <cell r="I99" t="str">
            <v>1004D</v>
          </cell>
          <cell r="J99" t="str">
            <v>NOEL BLANCO</v>
          </cell>
          <cell r="K99" t="str">
            <v>BARCELONA</v>
          </cell>
          <cell r="L99" t="str">
            <v>BARCELONA</v>
          </cell>
          <cell r="M99" t="str">
            <v>CL VALENCIA 571</v>
          </cell>
          <cell r="N99" t="str">
            <v>08026</v>
          </cell>
          <cell r="O99" t="str">
            <v>+34 932462948</v>
          </cell>
          <cell r="P99" t="str">
            <v>ESPAÑA</v>
          </cell>
          <cell r="Q99" t="str">
            <v>silviapiquet22@hotmail.com</v>
          </cell>
          <cell r="R99" t="str">
            <v/>
          </cell>
          <cell r="S99" t="str">
            <v>CL VALENCIA 571</v>
          </cell>
          <cell r="T99" t="str">
            <v>08026</v>
          </cell>
          <cell r="V99" t="str">
            <v>BARCELONA</v>
          </cell>
          <cell r="W99" t="str">
            <v>BARCELONA</v>
          </cell>
        </row>
        <row r="100">
          <cell r="A100">
            <v>500</v>
          </cell>
          <cell r="B100" t="str">
            <v>CEBRIAN, C.B.</v>
          </cell>
          <cell r="C100" t="str">
            <v>2020-M-D1-R3</v>
          </cell>
          <cell r="D100">
            <v>0.03</v>
          </cell>
          <cell r="E100" t="str">
            <v>E02243426</v>
          </cell>
          <cell r="F100" t="str">
            <v>NACREQ</v>
          </cell>
          <cell r="G100"/>
          <cell r="H100">
            <v>5.1999999999999998E-2</v>
          </cell>
          <cell r="I100" t="str">
            <v>1004D</v>
          </cell>
          <cell r="J100" t="str">
            <v>NOEL BLANCO</v>
          </cell>
          <cell r="K100" t="str">
            <v>ALBACETE</v>
          </cell>
          <cell r="L100" t="str">
            <v>ALBACETE</v>
          </cell>
          <cell r="M100" t="str">
            <v>CL PEDRO MARTINEZ GUTIERREZ 2</v>
          </cell>
          <cell r="N100" t="str">
            <v>02006</v>
          </cell>
          <cell r="O100" t="str">
            <v>+34 967190388</v>
          </cell>
          <cell r="P100" t="str">
            <v>ESPAÑA</v>
          </cell>
          <cell r="Q100" t="str">
            <v>cebriancb@outlook.com</v>
          </cell>
          <cell r="R100" t="str">
            <v/>
          </cell>
          <cell r="S100" t="str">
            <v>CTRA. MAHORA KM 0,200. P.I.A. BLANCO NAV.4</v>
          </cell>
          <cell r="T100" t="str">
            <v>02006</v>
          </cell>
          <cell r="U100" t="str">
            <v/>
          </cell>
          <cell r="V100" t="str">
            <v>ALBACETE</v>
          </cell>
          <cell r="W100" t="str">
            <v>Albacete</v>
          </cell>
        </row>
        <row r="101">
          <cell r="A101">
            <v>199</v>
          </cell>
          <cell r="B101" t="str">
            <v>COMERCIAL LOMARK, S.C.P.</v>
          </cell>
          <cell r="C101" t="str">
            <v>2020-M-D1-R3</v>
          </cell>
          <cell r="D101">
            <v>0.03</v>
          </cell>
          <cell r="E101" t="str">
            <v>J60955119</v>
          </cell>
          <cell r="F101" t="str">
            <v>NACIONAL</v>
          </cell>
          <cell r="G101"/>
          <cell r="H101"/>
          <cell r="I101" t="str">
            <v>1004D</v>
          </cell>
          <cell r="J101" t="str">
            <v>NOEL BLANCO</v>
          </cell>
          <cell r="K101" t="str">
            <v>MOLINS DE REI</v>
          </cell>
          <cell r="L101" t="str">
            <v>BARCELONA</v>
          </cell>
          <cell r="M101" t="str">
            <v>CL/ CARRIL,17-19,4-BIS</v>
          </cell>
          <cell r="N101" t="str">
            <v>08750</v>
          </cell>
          <cell r="O101" t="str">
            <v>+34 936683653</v>
          </cell>
          <cell r="P101" t="str">
            <v>ESPAÑA</v>
          </cell>
          <cell r="Q101" t="str">
            <v>comerciallomark@gmail.com</v>
          </cell>
          <cell r="R101" t="str">
            <v/>
          </cell>
          <cell r="S101" t="str">
            <v>CL/ CARRIL,17-19,4-BIS</v>
          </cell>
          <cell r="T101" t="str">
            <v>08750</v>
          </cell>
          <cell r="V101" t="str">
            <v>MOLINS DE REI</v>
          </cell>
          <cell r="W101" t="str">
            <v>BARCELONA</v>
          </cell>
        </row>
        <row r="102">
          <cell r="A102">
            <v>155</v>
          </cell>
          <cell r="B102" t="str">
            <v>EXCLUSIVAS J.J. SANCHEZ, S.L.</v>
          </cell>
          <cell r="C102" t="str">
            <v>2020-M-D1-R3</v>
          </cell>
          <cell r="D102">
            <v>0.03</v>
          </cell>
          <cell r="E102" t="str">
            <v>B33805110</v>
          </cell>
          <cell r="F102" t="str">
            <v>NACIONAL</v>
          </cell>
          <cell r="G102"/>
          <cell r="H102"/>
          <cell r="I102" t="str">
            <v>1004D</v>
          </cell>
          <cell r="J102" t="str">
            <v>NOEL BLANCO</v>
          </cell>
          <cell r="K102" t="str">
            <v>GIJON</v>
          </cell>
          <cell r="L102" t="str">
            <v>ASTURIAS</v>
          </cell>
          <cell r="M102" t="str">
            <v>CL CORTES DE CADIZ 6 BIS BJ</v>
          </cell>
          <cell r="N102" t="str">
            <v>33212</v>
          </cell>
          <cell r="O102" t="str">
            <v>+34 985338175</v>
          </cell>
          <cell r="P102" t="str">
            <v>ESPAÑA</v>
          </cell>
          <cell r="Q102" t="str">
            <v>exclusivasjjsanchez@gmail.com</v>
          </cell>
          <cell r="R102" t="str">
            <v>TENEN IMPAGATS</v>
          </cell>
          <cell r="S102" t="str">
            <v>CL CORTES DE CADIZ 6 BIS BJ</v>
          </cell>
          <cell r="T102" t="str">
            <v>33212</v>
          </cell>
          <cell r="U102" t="str">
            <v/>
          </cell>
          <cell r="V102" t="str">
            <v>GIJON</v>
          </cell>
          <cell r="W102" t="str">
            <v>P.ASTURIAS</v>
          </cell>
        </row>
        <row r="103">
          <cell r="A103">
            <v>138</v>
          </cell>
          <cell r="B103" t="str">
            <v>VIPEMASA C.B.</v>
          </cell>
          <cell r="C103" t="str">
            <v>2020-M-B1-R3</v>
          </cell>
          <cell r="D103">
            <v>0.03</v>
          </cell>
          <cell r="E103" t="str">
            <v>E39057344</v>
          </cell>
          <cell r="F103" t="str">
            <v>NACIONAL</v>
          </cell>
          <cell r="G103"/>
          <cell r="H103"/>
          <cell r="I103" t="str">
            <v>1004D</v>
          </cell>
          <cell r="J103" t="str">
            <v>NOEL BLANCO</v>
          </cell>
          <cell r="K103" t="str">
            <v>SANTANDER</v>
          </cell>
          <cell r="L103" t="str">
            <v>SANTANDER</v>
          </cell>
          <cell r="M103" t="str">
            <v>CL SAN FERNANDO 32 SOTANO</v>
          </cell>
          <cell r="N103">
            <v>39010</v>
          </cell>
          <cell r="O103" t="str">
            <v>+34 942238233</v>
          </cell>
          <cell r="P103" t="str">
            <v>ESPAÑA</v>
          </cell>
          <cell r="Q103" t="str">
            <v>raulvipemasa@gmail.com</v>
          </cell>
          <cell r="R103" t="str">
            <v/>
          </cell>
          <cell r="S103" t="str">
            <v>CL SAN FERNANDO 32 SOTANO</v>
          </cell>
          <cell r="T103">
            <v>39010</v>
          </cell>
          <cell r="V103" t="str">
            <v>SANTANDER</v>
          </cell>
          <cell r="W103" t="str">
            <v>SANTANDER</v>
          </cell>
        </row>
        <row r="104">
          <cell r="A104">
            <v>106</v>
          </cell>
          <cell r="B104" t="str">
            <v>LARA SANCHEZ, FRANCISCO</v>
          </cell>
          <cell r="C104" t="str">
            <v>2020-D-D1-R2</v>
          </cell>
          <cell r="D104">
            <v>0.03</v>
          </cell>
          <cell r="E104" t="str">
            <v>34010807V</v>
          </cell>
          <cell r="F104" t="str">
            <v>NACIONAL</v>
          </cell>
          <cell r="G104">
            <v>0.02</v>
          </cell>
          <cell r="H104"/>
          <cell r="I104" t="str">
            <v>1004D</v>
          </cell>
          <cell r="J104" t="str">
            <v>NOEL BLANCO</v>
          </cell>
          <cell r="K104" t="str">
            <v>BENAMEJI</v>
          </cell>
          <cell r="L104" t="str">
            <v>CORDOBA</v>
          </cell>
          <cell r="M104" t="str">
            <v>AV LAS VENTAS 35</v>
          </cell>
          <cell r="N104">
            <v>14910</v>
          </cell>
          <cell r="O104" t="str">
            <v>+34 629888997</v>
          </cell>
          <cell r="P104" t="str">
            <v>ESPAÑA</v>
          </cell>
          <cell r="Q104" t="str">
            <v>dislapefla@hotmail.com</v>
          </cell>
          <cell r="R104" t="str">
            <v/>
          </cell>
          <cell r="S104" t="str">
            <v>AV LAS VENTAS 35</v>
          </cell>
          <cell r="T104" t="str">
            <v>14910</v>
          </cell>
          <cell r="U104" t="str">
            <v/>
          </cell>
          <cell r="V104" t="str">
            <v>BENAMEJI</v>
          </cell>
          <cell r="W104" t="str">
            <v>CORDOBA</v>
          </cell>
        </row>
        <row r="105">
          <cell r="A105">
            <v>102</v>
          </cell>
          <cell r="B105" t="str">
            <v>EXCLUSIVAS LADY'S S.L.</v>
          </cell>
          <cell r="C105" t="str">
            <v>2020-D-C1-R2</v>
          </cell>
          <cell r="D105">
            <v>0.03</v>
          </cell>
          <cell r="E105" t="str">
            <v>B18089235</v>
          </cell>
          <cell r="F105" t="str">
            <v>NACIONAL</v>
          </cell>
          <cell r="G105"/>
          <cell r="H105"/>
          <cell r="I105" t="str">
            <v>1004D</v>
          </cell>
          <cell r="J105" t="str">
            <v>NOEL BLANCO</v>
          </cell>
          <cell r="K105" t="str">
            <v>PELIGROS</v>
          </cell>
          <cell r="L105" t="str">
            <v>GRANADA</v>
          </cell>
          <cell r="M105" t="str">
            <v>CL CASTILLA 39-40</v>
          </cell>
          <cell r="N105">
            <v>18210</v>
          </cell>
          <cell r="O105" t="str">
            <v>+34 958400177</v>
          </cell>
          <cell r="P105" t="str">
            <v>ESPAÑA</v>
          </cell>
          <cell r="Q105" t="str">
            <v>plopez@exclusivasladys.com</v>
          </cell>
          <cell r="R105" t="str">
            <v/>
          </cell>
          <cell r="S105" t="str">
            <v>CL CASTILLA 39-40</v>
          </cell>
          <cell r="T105" t="str">
            <v>18210</v>
          </cell>
          <cell r="U105" t="str">
            <v>ESQ. CL MURCIA, 9.I. ZARATE</v>
          </cell>
          <cell r="V105" t="str">
            <v>PELIGROS</v>
          </cell>
          <cell r="W105" t="str">
            <v>GRANADA</v>
          </cell>
        </row>
        <row r="106">
          <cell r="A106">
            <v>79</v>
          </cell>
          <cell r="B106" t="str">
            <v>COMERCIAL PUJANTE S.L.</v>
          </cell>
          <cell r="C106" t="str">
            <v>2020-M-D1-R3</v>
          </cell>
          <cell r="D106">
            <v>0.03</v>
          </cell>
          <cell r="E106" t="str">
            <v>B30094338</v>
          </cell>
          <cell r="F106" t="str">
            <v>NACIONAL</v>
          </cell>
          <cell r="G106"/>
          <cell r="H106"/>
          <cell r="I106" t="str">
            <v>1004D</v>
          </cell>
          <cell r="J106" t="str">
            <v>NOEL BLANCO</v>
          </cell>
          <cell r="K106" t="str">
            <v>MURCIA</v>
          </cell>
          <cell r="L106" t="str">
            <v>MURCIA</v>
          </cell>
          <cell r="M106" t="str">
            <v>CL RIQUELME 15</v>
          </cell>
          <cell r="N106">
            <v>30005</v>
          </cell>
          <cell r="O106" t="str">
            <v>+34 968215814</v>
          </cell>
          <cell r="P106" t="str">
            <v>ESPAÑA</v>
          </cell>
          <cell r="Q106" t="str">
            <v>rafael@comercialpujante.com</v>
          </cell>
          <cell r="R106" t="str">
            <v/>
          </cell>
          <cell r="S106" t="str">
            <v>CL RIQUELME 15</v>
          </cell>
          <cell r="T106">
            <v>30005</v>
          </cell>
          <cell r="U106" t="str">
            <v/>
          </cell>
          <cell r="V106" t="str">
            <v>MURCIA</v>
          </cell>
          <cell r="W106" t="str">
            <v>MURCIA</v>
          </cell>
        </row>
        <row r="107">
          <cell r="A107">
            <v>31</v>
          </cell>
          <cell r="B107" t="str">
            <v>EXCLUSIVAS NEGREDO S.L.</v>
          </cell>
          <cell r="C107" t="str">
            <v>2020-D-C1-R2</v>
          </cell>
          <cell r="D107">
            <v>0.03</v>
          </cell>
          <cell r="E107" t="str">
            <v>B20223178</v>
          </cell>
          <cell r="F107" t="str">
            <v>NACIONAL</v>
          </cell>
          <cell r="G107"/>
          <cell r="H107"/>
          <cell r="I107" t="str">
            <v>1004D</v>
          </cell>
          <cell r="J107" t="str">
            <v>NOEL BLANCO</v>
          </cell>
          <cell r="K107" t="str">
            <v>GUIPUZCOA</v>
          </cell>
          <cell r="L107" t="str">
            <v>GUIPUZCOA</v>
          </cell>
          <cell r="M107" t="str">
            <v>CL/ IRIBAR 6 C8-C9 POL.A.E. NEINOR</v>
          </cell>
          <cell r="N107">
            <v>20018</v>
          </cell>
          <cell r="O107" t="str">
            <v>+34 943492554</v>
          </cell>
          <cell r="P107" t="str">
            <v>ESPAÑA</v>
          </cell>
          <cell r="Q107" t="str">
            <v>administracion@negredogroup.com</v>
          </cell>
          <cell r="R107" t="str">
            <v/>
          </cell>
          <cell r="S107" t="str">
            <v>CL PORTUETXE 37</v>
          </cell>
          <cell r="T107" t="str">
            <v>20180</v>
          </cell>
          <cell r="U107" t="str">
            <v>POL. UGALDETXO-FRENTE SUPER ALCAMPO</v>
          </cell>
          <cell r="V107" t="str">
            <v>OIARTZUN</v>
          </cell>
          <cell r="W107" t="str">
            <v>GUIPUZCOA</v>
          </cell>
        </row>
        <row r="108">
          <cell r="A108">
            <v>9</v>
          </cell>
          <cell r="B108" t="str">
            <v>DIST.CAROBEL'S CATALUÑA, S.L.</v>
          </cell>
          <cell r="C108" t="str">
            <v>2020-M-C1-R3</v>
          </cell>
          <cell r="D108">
            <v>0.03</v>
          </cell>
          <cell r="E108" t="str">
            <v>B59945725</v>
          </cell>
          <cell r="F108" t="str">
            <v>NACIONAL</v>
          </cell>
          <cell r="G108"/>
          <cell r="H108"/>
          <cell r="I108" t="str">
            <v>1004D</v>
          </cell>
          <cell r="J108" t="str">
            <v>NOEL BLANCO</v>
          </cell>
          <cell r="K108" t="str">
            <v>SANTA COLOMA DE GRAMENET</v>
          </cell>
          <cell r="L108" t="str">
            <v>BARCELONA</v>
          </cell>
          <cell r="M108" t="str">
            <v>CL RELOJ, 7-9</v>
          </cell>
          <cell r="N108" t="str">
            <v>08923</v>
          </cell>
          <cell r="O108" t="str">
            <v>+34 933929352</v>
          </cell>
          <cell r="P108" t="str">
            <v>ESPAÑA</v>
          </cell>
          <cell r="Q108" t="str">
            <v>discar@carobels.com</v>
          </cell>
          <cell r="R108" t="str">
            <v/>
          </cell>
          <cell r="S108" t="str">
            <v>CL RELOJ, 7-9</v>
          </cell>
          <cell r="T108" t="str">
            <v>08923</v>
          </cell>
          <cell r="V108" t="str">
            <v>SANTA COLOMA DE GRAMENET</v>
          </cell>
          <cell r="W108" t="str">
            <v>BARCELONA</v>
          </cell>
        </row>
        <row r="109">
          <cell r="A109">
            <v>1</v>
          </cell>
          <cell r="B109" t="str">
            <v>PRUEBA</v>
          </cell>
          <cell r="C109" t="str">
            <v>PRUEBA</v>
          </cell>
          <cell r="D109">
            <v>0.03</v>
          </cell>
          <cell r="E109" t="str">
            <v>PRUEBA</v>
          </cell>
          <cell r="F109" t="str">
            <v>PRUEBA</v>
          </cell>
          <cell r="G109"/>
          <cell r="H109"/>
          <cell r="I109" t="str">
            <v>PRUEBA</v>
          </cell>
          <cell r="J109" t="str">
            <v>PRUEBA</v>
          </cell>
          <cell r="K109" t="str">
            <v>PRUEBA</v>
          </cell>
          <cell r="L109" t="str">
            <v>PRUEBA</v>
          </cell>
          <cell r="M109" t="str">
            <v>PRUEBA</v>
          </cell>
          <cell r="N109" t="str">
            <v>PRUEBA</v>
          </cell>
          <cell r="O109" t="str">
            <v>PRUEBA</v>
          </cell>
          <cell r="P109" t="str">
            <v>PRUEBA</v>
          </cell>
          <cell r="Q109" t="str">
            <v>PRUEBA</v>
          </cell>
          <cell r="R109" t="str">
            <v>PRUEBA</v>
          </cell>
          <cell r="S109" t="str">
            <v>PRUEBA</v>
          </cell>
          <cell r="T109" t="str">
            <v>PRUEBA</v>
          </cell>
          <cell r="V109" t="str">
            <v>PRUEBA</v>
          </cell>
          <cell r="W109" t="str">
            <v>PRUEBA</v>
          </cell>
        </row>
      </sheetData>
      <sheetData sheetId="8">
        <row r="2">
          <cell r="A2">
            <v>3</v>
          </cell>
          <cell r="B2" t="str">
            <v>30 DÍAS</v>
          </cell>
        </row>
        <row r="3">
          <cell r="A3">
            <v>4</v>
          </cell>
          <cell r="B3" t="str">
            <v>30-60 DÍAS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O340"/>
  <sheetViews>
    <sheetView zoomScale="80" zoomScaleNormal="80" workbookViewId="0">
      <selection activeCell="J22" sqref="J22"/>
    </sheetView>
  </sheetViews>
  <sheetFormatPr baseColWidth="10" defaultColWidth="11.5703125" defaultRowHeight="17.25" x14ac:dyDescent="0.25"/>
  <cols>
    <col min="1" max="1" width="3.140625" style="151" customWidth="1"/>
    <col min="2" max="2" width="19.140625" style="150" customWidth="1"/>
    <col min="3" max="5" width="15.7109375" style="150" customWidth="1"/>
    <col min="6" max="6" width="8.7109375" style="150" customWidth="1"/>
    <col min="7" max="7" width="10.85546875" style="150" customWidth="1"/>
    <col min="8" max="8" width="8.7109375" style="150" customWidth="1"/>
    <col min="9" max="9" width="10.85546875" style="150" customWidth="1"/>
    <col min="10" max="10" width="30.7109375" style="150" customWidth="1"/>
    <col min="11" max="16384" width="11.5703125" style="150"/>
  </cols>
  <sheetData>
    <row r="1" spans="1:10" x14ac:dyDescent="0.3">
      <c r="A1" s="137"/>
      <c r="B1" s="349" t="s">
        <v>572</v>
      </c>
      <c r="C1" s="349"/>
      <c r="D1" s="138"/>
      <c r="E1" s="139"/>
      <c r="F1" s="129"/>
      <c r="G1" s="130"/>
      <c r="H1" s="140"/>
      <c r="I1" s="140"/>
      <c r="J1" s="96" t="s">
        <v>15192</v>
      </c>
    </row>
    <row r="2" spans="1:10" x14ac:dyDescent="0.3">
      <c r="A2" s="108"/>
      <c r="B2" s="141" t="s">
        <v>573</v>
      </c>
      <c r="C2" s="141"/>
      <c r="D2" s="142"/>
      <c r="E2" s="143"/>
      <c r="F2" s="144"/>
      <c r="G2" s="145"/>
      <c r="H2" s="140"/>
      <c r="I2" s="140"/>
      <c r="J2" s="35"/>
    </row>
    <row r="3" spans="1:10" x14ac:dyDescent="0.3">
      <c r="A3" s="108"/>
      <c r="B3" s="146"/>
      <c r="C3" s="142"/>
      <c r="D3" s="147"/>
      <c r="E3" s="142"/>
      <c r="F3" s="144"/>
      <c r="G3" s="145"/>
      <c r="H3" s="352" t="s">
        <v>92</v>
      </c>
      <c r="I3" s="352"/>
      <c r="J3" s="5"/>
    </row>
    <row r="4" spans="1:10" x14ac:dyDescent="0.3">
      <c r="A4" s="108"/>
      <c r="B4" s="146"/>
      <c r="C4" s="142"/>
      <c r="D4" s="147"/>
      <c r="E4" s="142"/>
      <c r="F4" s="144"/>
      <c r="G4" s="145"/>
      <c r="H4" s="352" t="s">
        <v>93</v>
      </c>
      <c r="I4" s="352"/>
      <c r="J4" s="5"/>
    </row>
    <row r="5" spans="1:10" x14ac:dyDescent="0.3">
      <c r="A5" s="108"/>
      <c r="B5" s="146"/>
      <c r="C5" s="142"/>
      <c r="D5" s="147"/>
      <c r="E5" s="142"/>
      <c r="F5" s="144"/>
      <c r="G5" s="145"/>
      <c r="H5" s="353" t="s">
        <v>94</v>
      </c>
      <c r="I5" s="353"/>
      <c r="J5" s="5"/>
    </row>
    <row r="6" spans="1:10" ht="25.9" customHeight="1" x14ac:dyDescent="0.25">
      <c r="A6" s="38"/>
      <c r="B6" s="317" t="s">
        <v>75</v>
      </c>
      <c r="C6" s="318"/>
      <c r="D6" s="318"/>
      <c r="E6" s="318"/>
      <c r="F6" s="318"/>
      <c r="G6" s="318"/>
      <c r="H6" s="318"/>
      <c r="I6" s="318"/>
      <c r="J6" s="319"/>
    </row>
    <row r="7" spans="1:10" ht="9.6" customHeight="1" x14ac:dyDescent="0.25">
      <c r="A7" s="148"/>
      <c r="B7" s="132"/>
      <c r="C7" s="133"/>
      <c r="D7" s="134"/>
      <c r="E7" s="134"/>
      <c r="F7" s="135"/>
      <c r="G7" s="113"/>
      <c r="H7" s="126"/>
      <c r="I7" s="126"/>
      <c r="J7" s="136"/>
    </row>
    <row r="8" spans="1:10" ht="17.45" customHeight="1" x14ac:dyDescent="0.25">
      <c r="A8" s="148"/>
      <c r="B8" s="162" t="s">
        <v>63</v>
      </c>
      <c r="C8" s="163"/>
      <c r="D8" s="164"/>
      <c r="E8" s="164"/>
      <c r="F8" s="165"/>
      <c r="G8" s="166"/>
      <c r="H8" s="167"/>
      <c r="I8" s="167"/>
      <c r="J8" s="168"/>
    </row>
    <row r="9" spans="1:10" ht="17.45" customHeight="1" x14ac:dyDescent="0.25">
      <c r="A9" s="148"/>
      <c r="B9" s="354">
        <f ca="1">NOW()</f>
        <v>46079.370734143522</v>
      </c>
      <c r="C9" s="355"/>
      <c r="D9" s="355"/>
      <c r="E9" s="355"/>
      <c r="F9" s="355"/>
      <c r="G9" s="355"/>
      <c r="H9" s="355"/>
      <c r="I9" s="355"/>
      <c r="J9" s="356"/>
    </row>
    <row r="10" spans="1:10" ht="17.45" customHeight="1" x14ac:dyDescent="0.25">
      <c r="A10" s="148"/>
      <c r="B10" s="176"/>
      <c r="C10" s="177"/>
      <c r="D10" s="178"/>
      <c r="E10" s="178"/>
      <c r="F10" s="179"/>
      <c r="G10" s="180"/>
      <c r="H10" s="181"/>
      <c r="I10" s="181"/>
      <c r="J10" s="179"/>
    </row>
    <row r="11" spans="1:10" ht="17.45" customHeight="1" x14ac:dyDescent="0.25">
      <c r="A11" s="148"/>
      <c r="B11" s="169" t="s">
        <v>67</v>
      </c>
      <c r="C11" s="170"/>
      <c r="D11" s="171"/>
      <c r="E11" s="171"/>
      <c r="F11" s="172"/>
      <c r="G11" s="173"/>
      <c r="H11" s="174"/>
      <c r="I11" s="174"/>
      <c r="J11" s="175"/>
    </row>
    <row r="12" spans="1:10" ht="17.45" customHeight="1" x14ac:dyDescent="0.25">
      <c r="A12" s="148"/>
      <c r="B12" s="154" t="s">
        <v>91</v>
      </c>
      <c r="C12" s="195"/>
      <c r="D12" s="98" t="s">
        <v>66</v>
      </c>
      <c r="E12" s="357" t="e">
        <f>VLOOKUP(C12,'BBDD ACTUALITZADA'!A2:O103,2,FALSE)</f>
        <v>#N/A</v>
      </c>
      <c r="F12" s="357"/>
      <c r="G12" s="357"/>
      <c r="H12" s="357"/>
      <c r="I12" s="357"/>
      <c r="J12" s="357"/>
    </row>
    <row r="13" spans="1:10" ht="17.45" customHeight="1" x14ac:dyDescent="0.25">
      <c r="A13" s="148"/>
      <c r="B13" s="97" t="s">
        <v>68</v>
      </c>
      <c r="C13" s="358" t="e">
        <f>VLOOKUP(C12,'BBDD ACTUALITZADA'!A2:O103,4,FALSE)</f>
        <v>#N/A</v>
      </c>
      <c r="D13" s="359"/>
      <c r="E13" s="359"/>
      <c r="F13" s="359"/>
      <c r="G13" s="359"/>
      <c r="H13" s="359"/>
      <c r="I13" s="359"/>
      <c r="J13" s="360"/>
    </row>
    <row r="14" spans="1:10" ht="17.45" customHeight="1" x14ac:dyDescent="0.25">
      <c r="A14" s="148"/>
      <c r="B14" s="97" t="s">
        <v>69</v>
      </c>
      <c r="C14" s="358" t="e">
        <f>VLOOKUP(C12,'BBDD ACTUALITZADA'!A2:O103,6,FALSE)</f>
        <v>#N/A</v>
      </c>
      <c r="D14" s="359"/>
      <c r="E14" s="359"/>
      <c r="F14" s="359"/>
      <c r="G14" s="360"/>
      <c r="H14" s="361" t="s">
        <v>86</v>
      </c>
      <c r="I14" s="362"/>
      <c r="J14" s="279" t="e">
        <f>VLOOKUP(C12,'BBDD ACTUALITZADA'!A2:O103,5,FALSE)</f>
        <v>#N/A</v>
      </c>
    </row>
    <row r="15" spans="1:10" ht="17.45" customHeight="1" x14ac:dyDescent="0.25">
      <c r="A15" s="148"/>
      <c r="B15" s="97" t="s">
        <v>70</v>
      </c>
      <c r="C15" s="358" t="e">
        <f>VLOOKUP(C12,'BBDD ACTUALITZADA'!A2:O103,7,FALSE)</f>
        <v>#N/A</v>
      </c>
      <c r="D15" s="359"/>
      <c r="E15" s="359"/>
      <c r="F15" s="359"/>
      <c r="G15" s="360"/>
      <c r="H15" s="97" t="s">
        <v>71</v>
      </c>
      <c r="I15" s="97"/>
      <c r="J15" s="233" t="e">
        <f>VLOOKUP(C12,'BBDD ACTUALITZADA'!A2:O103,8,FALSE)</f>
        <v>#N/A</v>
      </c>
    </row>
    <row r="16" spans="1:10" ht="17.45" customHeight="1" x14ac:dyDescent="0.25">
      <c r="A16" s="148"/>
      <c r="B16" s="97" t="s">
        <v>593</v>
      </c>
      <c r="C16" s="351" t="e">
        <f>VLOOKUP(C12,'BBDD ACTUALITZADA'!A2:P103,16)</f>
        <v>#N/A</v>
      </c>
      <c r="D16" s="351"/>
      <c r="E16" s="351"/>
      <c r="F16" s="351"/>
      <c r="G16" s="351"/>
      <c r="H16" s="351"/>
      <c r="I16" s="351"/>
      <c r="J16" s="351"/>
    </row>
    <row r="17" spans="1:10" ht="17.45" customHeight="1" x14ac:dyDescent="0.25">
      <c r="A17" s="148"/>
      <c r="B17" s="157"/>
      <c r="C17" s="148"/>
      <c r="D17" s="157"/>
      <c r="E17" s="157"/>
      <c r="F17" s="158"/>
      <c r="G17" s="159"/>
      <c r="H17" s="160"/>
      <c r="I17" s="160"/>
      <c r="J17" s="158"/>
    </row>
    <row r="18" spans="1:10" ht="17.45" customHeight="1" x14ac:dyDescent="0.25">
      <c r="A18" s="148"/>
      <c r="B18" s="169" t="s">
        <v>14871</v>
      </c>
      <c r="C18" s="170"/>
      <c r="D18" s="171"/>
      <c r="E18" s="171"/>
      <c r="F18" s="172"/>
      <c r="G18" s="173"/>
      <c r="H18" s="174"/>
      <c r="I18" s="174"/>
      <c r="J18" s="175"/>
    </row>
    <row r="19" spans="1:10" ht="17.45" customHeight="1" x14ac:dyDescent="0.25">
      <c r="A19" s="148"/>
      <c r="B19" s="154" t="s">
        <v>68</v>
      </c>
      <c r="C19" s="364" t="e">
        <f>VLOOKUP(C12,'BBDD ACTUALITZADA'!A2:P103,4,FALSE)</f>
        <v>#N/A</v>
      </c>
      <c r="D19" s="365"/>
      <c r="E19" s="365"/>
      <c r="F19" s="365"/>
      <c r="G19" s="365"/>
      <c r="H19" s="365"/>
      <c r="I19" s="365"/>
      <c r="J19" s="366"/>
    </row>
    <row r="20" spans="1:10" ht="17.45" customHeight="1" x14ac:dyDescent="0.25">
      <c r="A20" s="148"/>
      <c r="B20" s="97" t="s">
        <v>14872</v>
      </c>
      <c r="C20" s="367" t="e">
        <f>VLOOKUP(C12,BBDD,21,0)</f>
        <v>#REF!</v>
      </c>
      <c r="D20" s="368"/>
      <c r="E20" s="368"/>
      <c r="F20" s="368"/>
      <c r="G20" s="368"/>
      <c r="H20" s="368"/>
      <c r="I20" s="368"/>
      <c r="J20" s="369"/>
    </row>
    <row r="21" spans="1:10" ht="17.45" customHeight="1" x14ac:dyDescent="0.25">
      <c r="A21" s="148"/>
      <c r="B21" s="97" t="s">
        <v>69</v>
      </c>
      <c r="C21" s="358" t="e">
        <f>VLOOKUP(C12,'BBDD ACTUALITZADA'!A9:O110,6,FALSE)</f>
        <v>#N/A</v>
      </c>
      <c r="D21" s="359"/>
      <c r="E21" s="359"/>
      <c r="F21" s="359"/>
      <c r="G21" s="360"/>
      <c r="H21" s="361" t="s">
        <v>86</v>
      </c>
      <c r="I21" s="362"/>
      <c r="J21" s="279" t="e">
        <f>VLOOKUP(C12,'BBDD ACTUALITZADA'!A9:O110,5,FALSE)</f>
        <v>#N/A</v>
      </c>
    </row>
    <row r="22" spans="1:10" ht="17.45" customHeight="1" x14ac:dyDescent="0.25">
      <c r="A22" s="148"/>
      <c r="B22" s="97" t="s">
        <v>70</v>
      </c>
      <c r="C22" s="358" t="e">
        <f>VLOOKUP(C12,'BBDD ACTUALITZADA'!A9:O110,7,FALSE)</f>
        <v>#N/A</v>
      </c>
      <c r="D22" s="359"/>
      <c r="E22" s="359"/>
      <c r="F22" s="359"/>
      <c r="G22" s="360"/>
      <c r="H22" s="97" t="s">
        <v>71</v>
      </c>
      <c r="I22" s="97"/>
      <c r="J22" s="310" t="e">
        <f>J15</f>
        <v>#N/A</v>
      </c>
    </row>
    <row r="23" spans="1:10" ht="17.45" customHeight="1" x14ac:dyDescent="0.25">
      <c r="A23" s="148"/>
      <c r="B23" s="97" t="s">
        <v>593</v>
      </c>
      <c r="C23" s="363" t="e">
        <f>C16</f>
        <v>#N/A</v>
      </c>
      <c r="D23" s="363"/>
      <c r="E23" s="363"/>
      <c r="F23" s="363"/>
      <c r="G23" s="363"/>
      <c r="H23" s="363"/>
      <c r="I23" s="363"/>
      <c r="J23" s="363"/>
    </row>
    <row r="24" spans="1:10" ht="17.45" customHeight="1" x14ac:dyDescent="0.25">
      <c r="A24" s="148"/>
      <c r="B24" s="157"/>
      <c r="C24" s="148"/>
      <c r="D24" s="157"/>
      <c r="E24" s="157"/>
      <c r="F24" s="158"/>
      <c r="G24" s="159"/>
      <c r="H24" s="160"/>
      <c r="I24" s="160"/>
      <c r="J24" s="158"/>
    </row>
    <row r="25" spans="1:10" ht="17.45" customHeight="1" x14ac:dyDescent="0.25">
      <c r="A25" s="148"/>
      <c r="B25" s="162" t="s">
        <v>64</v>
      </c>
      <c r="C25" s="163"/>
      <c r="D25" s="164"/>
      <c r="E25" s="164"/>
      <c r="F25" s="165"/>
      <c r="G25" s="166"/>
      <c r="H25" s="167"/>
      <c r="I25" s="167"/>
      <c r="J25" s="168"/>
    </row>
    <row r="26" spans="1:10" ht="17.45" customHeight="1" x14ac:dyDescent="0.25">
      <c r="A26" s="148"/>
      <c r="B26" s="154" t="s">
        <v>65</v>
      </c>
      <c r="C26" s="155" t="e">
        <f>VLOOKUP(C12,'BBDD ACTUALITZADA'!A2:P103,10,FALSE)</f>
        <v>#N/A</v>
      </c>
      <c r="D26" s="154" t="s">
        <v>66</v>
      </c>
      <c r="E26" s="336" t="e">
        <f>VLOOKUP(C12,'BBDD ACTUALITZADA'!A2:Q103,17,FALSE)</f>
        <v>#N/A</v>
      </c>
      <c r="F26" s="336"/>
      <c r="G26" s="336"/>
      <c r="H26" s="336"/>
      <c r="I26" s="336"/>
      <c r="J26" s="336"/>
    </row>
    <row r="27" spans="1:10" ht="17.45" customHeight="1" x14ac:dyDescent="0.25">
      <c r="A27" s="148"/>
      <c r="B27" s="156"/>
      <c r="C27" s="148"/>
      <c r="D27" s="157"/>
      <c r="E27" s="157"/>
      <c r="F27" s="158"/>
      <c r="G27" s="159"/>
      <c r="H27" s="160"/>
      <c r="I27" s="160"/>
      <c r="J27" s="158"/>
    </row>
    <row r="28" spans="1:10" ht="17.45" customHeight="1" x14ac:dyDescent="0.25">
      <c r="A28" s="148"/>
      <c r="B28" s="162" t="s">
        <v>72</v>
      </c>
      <c r="C28" s="163"/>
      <c r="D28" s="164"/>
      <c r="E28" s="164"/>
      <c r="F28" s="165"/>
      <c r="G28" s="166"/>
      <c r="H28" s="167"/>
      <c r="I28" s="167"/>
      <c r="J28" s="168"/>
    </row>
    <row r="29" spans="1:10" ht="17.45" customHeight="1" x14ac:dyDescent="0.25">
      <c r="A29" s="148"/>
      <c r="B29" s="154" t="s">
        <v>73</v>
      </c>
      <c r="C29" s="190"/>
      <c r="D29" s="183"/>
      <c r="E29" s="183"/>
      <c r="F29" s="183"/>
      <c r="G29" s="183"/>
      <c r="H29" s="183"/>
      <c r="I29" s="183"/>
      <c r="J29" s="184"/>
    </row>
    <row r="30" spans="1:10" ht="17.45" customHeight="1" x14ac:dyDescent="0.25">
      <c r="A30" s="148"/>
      <c r="B30" s="97" t="s">
        <v>74</v>
      </c>
      <c r="C30" s="191"/>
      <c r="D30" s="185"/>
      <c r="E30" s="185"/>
      <c r="F30" s="185"/>
      <c r="G30" s="185"/>
      <c r="H30" s="185"/>
      <c r="I30" s="185"/>
      <c r="J30" s="186"/>
    </row>
    <row r="31" spans="1:10" ht="17.45" customHeight="1" x14ac:dyDescent="0.25">
      <c r="A31" s="148"/>
      <c r="B31" s="97" t="s">
        <v>14888</v>
      </c>
      <c r="C31" s="290">
        <v>0.7</v>
      </c>
      <c r="D31" s="185"/>
      <c r="E31" s="185"/>
      <c r="F31" s="185"/>
      <c r="G31" s="185"/>
      <c r="H31" s="185"/>
      <c r="I31" s="185"/>
      <c r="J31" s="186"/>
    </row>
    <row r="32" spans="1:10" ht="9.6" customHeight="1" x14ac:dyDescent="0.25">
      <c r="A32" s="148"/>
      <c r="B32" s="132"/>
      <c r="C32" s="133"/>
      <c r="D32" s="134"/>
      <c r="E32" s="134"/>
      <c r="F32" s="135"/>
      <c r="G32" s="113"/>
      <c r="H32" s="126"/>
      <c r="I32" s="126"/>
      <c r="J32" s="136"/>
    </row>
    <row r="33" spans="1:15" ht="25.9" customHeight="1" x14ac:dyDescent="0.25">
      <c r="A33" s="148"/>
      <c r="B33" s="317" t="s">
        <v>62</v>
      </c>
      <c r="C33" s="318"/>
      <c r="D33" s="318"/>
      <c r="E33" s="318"/>
      <c r="F33" s="318"/>
      <c r="G33" s="318"/>
      <c r="H33" s="318"/>
      <c r="I33" s="318"/>
      <c r="J33" s="319"/>
    </row>
    <row r="34" spans="1:15" ht="9.6" customHeight="1" x14ac:dyDescent="0.25">
      <c r="A34" s="148"/>
      <c r="B34" s="132"/>
      <c r="C34" s="133"/>
      <c r="D34" s="134"/>
      <c r="E34" s="134"/>
      <c r="F34" s="135"/>
      <c r="G34" s="113"/>
      <c r="H34" s="126"/>
      <c r="I34" s="126"/>
      <c r="J34" s="136"/>
    </row>
    <row r="35" spans="1:15" ht="22.9" customHeight="1" x14ac:dyDescent="0.25">
      <c r="A35" s="110"/>
      <c r="B35" s="337" t="s">
        <v>83</v>
      </c>
      <c r="C35" s="338"/>
      <c r="D35" s="338"/>
      <c r="E35" s="338"/>
      <c r="F35" s="338"/>
      <c r="G35" s="338"/>
      <c r="H35" s="338"/>
      <c r="I35" s="339"/>
      <c r="J35" s="39">
        <f>'PRODUCTO TÉCNICO'!M7</f>
        <v>0</v>
      </c>
    </row>
    <row r="36" spans="1:15" ht="22.9" customHeight="1" x14ac:dyDescent="0.25">
      <c r="A36" s="110"/>
      <c r="B36" s="340" t="s">
        <v>82</v>
      </c>
      <c r="C36" s="341"/>
      <c r="D36" s="341"/>
      <c r="E36" s="341"/>
      <c r="F36" s="341"/>
      <c r="G36" s="341"/>
      <c r="H36" s="341"/>
      <c r="I36" s="342"/>
      <c r="J36" s="41">
        <f>'PRODUCTO REVENTA'!M7</f>
        <v>0</v>
      </c>
    </row>
    <row r="37" spans="1:15" ht="22.9" customHeight="1" x14ac:dyDescent="0.25">
      <c r="A37" s="110"/>
      <c r="B37" s="343" t="s">
        <v>115</v>
      </c>
      <c r="C37" s="344"/>
      <c r="D37" s="344"/>
      <c r="E37" s="344"/>
      <c r="F37" s="344"/>
      <c r="G37" s="344"/>
      <c r="H37" s="344"/>
      <c r="I37" s="345"/>
      <c r="J37" s="42">
        <f>J35+J36</f>
        <v>0</v>
      </c>
    </row>
    <row r="38" spans="1:15" ht="22.9" customHeight="1" x14ac:dyDescent="0.25">
      <c r="A38" s="110"/>
      <c r="B38" s="346" t="s">
        <v>590</v>
      </c>
      <c r="C38" s="347"/>
      <c r="D38" s="347"/>
      <c r="E38" s="347"/>
      <c r="F38" s="347"/>
      <c r="G38" s="347"/>
      <c r="H38" s="347"/>
      <c r="I38" s="348"/>
      <c r="J38" s="218"/>
    </row>
    <row r="39" spans="1:15" x14ac:dyDescent="0.25">
      <c r="A39" s="148"/>
      <c r="B39" s="132"/>
      <c r="C39" s="133"/>
      <c r="D39" s="134"/>
      <c r="E39" s="134"/>
      <c r="F39" s="135"/>
      <c r="G39" s="113"/>
      <c r="H39" s="126"/>
      <c r="I39" s="126"/>
      <c r="J39" s="136"/>
      <c r="N39" s="216"/>
      <c r="O39" s="216"/>
    </row>
    <row r="40" spans="1:15" x14ac:dyDescent="0.25">
      <c r="A40" s="108"/>
      <c r="B40" s="102"/>
      <c r="C40" s="103"/>
      <c r="D40" s="104"/>
      <c r="E40" s="103"/>
      <c r="F40" s="105"/>
      <c r="G40" s="106"/>
      <c r="H40" s="120"/>
      <c r="I40" s="120"/>
      <c r="J40" s="121"/>
    </row>
    <row r="41" spans="1:15" ht="17.45" customHeight="1" x14ac:dyDescent="0.25">
      <c r="A41" s="108"/>
      <c r="B41" s="107"/>
      <c r="C41" s="349" t="s">
        <v>95</v>
      </c>
      <c r="D41" s="349"/>
      <c r="E41" s="349"/>
      <c r="F41" s="108"/>
      <c r="G41" s="188">
        <v>0.03</v>
      </c>
      <c r="H41" s="350">
        <f>(J37-J38)*G41</f>
        <v>0</v>
      </c>
      <c r="I41" s="350"/>
      <c r="J41" s="122"/>
    </row>
    <row r="42" spans="1:15" ht="10.9" customHeight="1" x14ac:dyDescent="0.25">
      <c r="A42" s="148"/>
      <c r="B42" s="109"/>
      <c r="C42" s="110"/>
      <c r="D42" s="111"/>
      <c r="E42" s="111"/>
      <c r="F42" s="112"/>
      <c r="G42" s="113"/>
      <c r="H42" s="126"/>
      <c r="I42" s="126"/>
      <c r="J42" s="123"/>
    </row>
    <row r="43" spans="1:15" ht="17.45" customHeight="1" x14ac:dyDescent="0.25">
      <c r="A43" s="108"/>
      <c r="B43" s="107"/>
      <c r="C43" s="114" t="s">
        <v>96</v>
      </c>
      <c r="D43" s="114"/>
      <c r="E43" s="114"/>
      <c r="F43" s="115"/>
      <c r="G43" s="116"/>
      <c r="H43" s="350">
        <f>'MATERIAL MARKETING'!H7+'MATERIAL MKT OUTLET'!G7</f>
        <v>0</v>
      </c>
      <c r="I43" s="350"/>
      <c r="J43" s="122"/>
    </row>
    <row r="44" spans="1:15" ht="10.9" customHeight="1" x14ac:dyDescent="0.25">
      <c r="A44" s="148"/>
      <c r="B44" s="109"/>
      <c r="C44" s="110"/>
      <c r="D44" s="111"/>
      <c r="E44" s="111"/>
      <c r="F44" s="112"/>
      <c r="G44" s="113"/>
      <c r="H44" s="126"/>
      <c r="I44" s="126"/>
      <c r="J44" s="123"/>
    </row>
    <row r="45" spans="1:15" ht="17.45" customHeight="1" x14ac:dyDescent="0.25">
      <c r="A45" s="108"/>
      <c r="B45" s="117"/>
      <c r="C45" s="114" t="s">
        <v>1</v>
      </c>
      <c r="D45" s="114"/>
      <c r="E45" s="114"/>
      <c r="F45" s="118"/>
      <c r="G45" s="116"/>
      <c r="H45" s="350">
        <f>H41-H43</f>
        <v>0</v>
      </c>
      <c r="I45" s="350"/>
      <c r="J45" s="99" t="str">
        <f>IF(H45&lt;0,"A PAGAR",IF(H45&gt;0,"A COMPENSAR","COMPENSADO"))</f>
        <v>COMPENSADO</v>
      </c>
    </row>
    <row r="46" spans="1:15" ht="10.9" customHeight="1" x14ac:dyDescent="0.25">
      <c r="A46" s="108"/>
      <c r="B46" s="119"/>
      <c r="C46" s="335"/>
      <c r="D46" s="335"/>
      <c r="E46" s="335"/>
      <c r="F46" s="335"/>
      <c r="G46" s="335"/>
      <c r="H46" s="125"/>
      <c r="I46" s="125"/>
      <c r="J46" s="124"/>
    </row>
    <row r="47" spans="1:15" ht="17.45" customHeight="1" x14ac:dyDescent="0.25">
      <c r="A47" s="108"/>
      <c r="B47" s="127" t="s">
        <v>97</v>
      </c>
      <c r="C47" s="108"/>
      <c r="D47" s="128"/>
      <c r="E47" s="108"/>
      <c r="F47" s="129"/>
      <c r="G47" s="130"/>
      <c r="H47" s="120"/>
      <c r="I47" s="120"/>
      <c r="J47" s="131"/>
    </row>
    <row r="48" spans="1:15" ht="9.6" customHeight="1" x14ac:dyDescent="0.25">
      <c r="A48" s="148"/>
      <c r="B48" s="132"/>
      <c r="C48" s="133"/>
      <c r="D48" s="134"/>
      <c r="E48" s="134"/>
      <c r="F48" s="135"/>
      <c r="G48" s="113"/>
      <c r="H48" s="126"/>
      <c r="I48" s="126"/>
      <c r="J48" s="161"/>
    </row>
    <row r="49" spans="1:15" ht="25.9" customHeight="1" x14ac:dyDescent="0.25">
      <c r="A49" s="148"/>
      <c r="B49" s="317" t="s">
        <v>890</v>
      </c>
      <c r="C49" s="318"/>
      <c r="D49" s="318"/>
      <c r="E49" s="318"/>
      <c r="F49" s="318"/>
      <c r="G49" s="318"/>
      <c r="H49" s="318"/>
      <c r="I49" s="318"/>
      <c r="J49" s="319"/>
    </row>
    <row r="50" spans="1:15" ht="9.6" customHeight="1" x14ac:dyDescent="0.25">
      <c r="A50" s="148"/>
      <c r="B50" s="132"/>
      <c r="C50" s="133"/>
      <c r="D50" s="134"/>
      <c r="E50" s="134"/>
      <c r="F50" s="135"/>
      <c r="G50" s="113"/>
      <c r="H50" s="126"/>
      <c r="I50" s="126"/>
      <c r="J50" s="136"/>
    </row>
    <row r="51" spans="1:15" ht="22.9" customHeight="1" x14ac:dyDescent="0.25">
      <c r="A51" s="110"/>
      <c r="B51" s="312" t="s">
        <v>14752</v>
      </c>
      <c r="C51" s="313"/>
      <c r="D51" s="313"/>
      <c r="E51" s="313"/>
      <c r="F51" s="313"/>
      <c r="G51" s="313"/>
      <c r="H51" s="313"/>
      <c r="I51" s="314"/>
      <c r="J51" s="201">
        <f>'PRODUCTO OUTLET'!J7</f>
        <v>0</v>
      </c>
      <c r="N51" s="216"/>
    </row>
    <row r="52" spans="1:15" x14ac:dyDescent="0.25">
      <c r="A52" s="148"/>
      <c r="B52" s="132"/>
      <c r="C52" s="133"/>
      <c r="D52" s="134"/>
      <c r="E52" s="134"/>
      <c r="F52" s="135"/>
      <c r="G52" s="113"/>
      <c r="H52" s="126"/>
      <c r="I52" s="126"/>
      <c r="J52" s="136"/>
      <c r="N52" s="216"/>
      <c r="O52" s="216"/>
    </row>
    <row r="53" spans="1:15" x14ac:dyDescent="0.25">
      <c r="A53" s="108"/>
      <c r="B53" s="244"/>
      <c r="C53" s="245"/>
      <c r="D53" s="246"/>
      <c r="E53" s="245"/>
      <c r="F53" s="247"/>
      <c r="G53" s="248"/>
      <c r="H53" s="249"/>
      <c r="I53" s="249"/>
      <c r="J53" s="250"/>
    </row>
    <row r="54" spans="1:15" ht="17.45" customHeight="1" x14ac:dyDescent="0.25">
      <c r="A54" s="108"/>
      <c r="B54" s="251"/>
      <c r="C54" s="315" t="s">
        <v>95</v>
      </c>
      <c r="D54" s="315"/>
      <c r="E54" s="315"/>
      <c r="F54" s="253"/>
      <c r="G54" s="254"/>
      <c r="H54" s="316">
        <f>J51*G54</f>
        <v>0</v>
      </c>
      <c r="I54" s="316"/>
      <c r="J54" s="255"/>
    </row>
    <row r="55" spans="1:15" ht="10.9" customHeight="1" x14ac:dyDescent="0.25">
      <c r="A55" s="148"/>
      <c r="B55" s="256"/>
      <c r="C55" s="257"/>
      <c r="D55" s="258"/>
      <c r="E55" s="258"/>
      <c r="F55" s="259"/>
      <c r="G55" s="260"/>
      <c r="H55" s="261"/>
      <c r="I55" s="261"/>
      <c r="J55" s="262"/>
    </row>
    <row r="56" spans="1:15" ht="17.45" customHeight="1" x14ac:dyDescent="0.25">
      <c r="A56" s="108"/>
      <c r="B56" s="251"/>
      <c r="C56" s="252" t="s">
        <v>96</v>
      </c>
      <c r="D56" s="252"/>
      <c r="E56" s="252"/>
      <c r="F56" s="263"/>
      <c r="G56" s="264"/>
      <c r="H56" s="316">
        <f>'MATERIAL MKT OUTLET'!G7</f>
        <v>0</v>
      </c>
      <c r="I56" s="316"/>
      <c r="J56" s="255"/>
    </row>
    <row r="57" spans="1:15" ht="10.9" customHeight="1" x14ac:dyDescent="0.25">
      <c r="A57" s="148"/>
      <c r="B57" s="256"/>
      <c r="C57" s="257"/>
      <c r="D57" s="258"/>
      <c r="E57" s="258"/>
      <c r="F57" s="259"/>
      <c r="G57" s="260"/>
      <c r="H57" s="261"/>
      <c r="I57" s="261"/>
      <c r="J57" s="262"/>
    </row>
    <row r="58" spans="1:15" ht="17.45" customHeight="1" x14ac:dyDescent="0.25">
      <c r="A58" s="108"/>
      <c r="B58" s="265"/>
      <c r="C58" s="252" t="s">
        <v>1</v>
      </c>
      <c r="D58" s="252"/>
      <c r="E58" s="252"/>
      <c r="F58" s="266"/>
      <c r="G58" s="264"/>
      <c r="H58" s="316">
        <f>H54-H56</f>
        <v>0</v>
      </c>
      <c r="I58" s="316"/>
      <c r="J58" s="267" t="str">
        <f>IF(H58&lt;0,"A PAGAR",IF(H58&gt;0,"A COMPENSAR","COMPENSADO"))</f>
        <v>COMPENSADO</v>
      </c>
    </row>
    <row r="59" spans="1:15" ht="10.9" customHeight="1" x14ac:dyDescent="0.25">
      <c r="A59" s="108"/>
      <c r="B59" s="268"/>
      <c r="C59" s="311"/>
      <c r="D59" s="311"/>
      <c r="E59" s="311"/>
      <c r="F59" s="311"/>
      <c r="G59" s="311"/>
      <c r="H59" s="269"/>
      <c r="I59" s="269"/>
      <c r="J59" s="270"/>
    </row>
    <row r="60" spans="1:15" ht="17.45" customHeight="1" x14ac:dyDescent="0.25">
      <c r="A60" s="108"/>
      <c r="B60" s="127" t="s">
        <v>97</v>
      </c>
      <c r="C60" s="108"/>
      <c r="D60" s="128"/>
      <c r="E60" s="108"/>
      <c r="F60" s="129"/>
      <c r="G60" s="130"/>
      <c r="H60" s="120"/>
      <c r="I60" s="120"/>
      <c r="J60" s="131"/>
    </row>
    <row r="61" spans="1:15" ht="9.6" customHeight="1" x14ac:dyDescent="0.25">
      <c r="A61" s="148"/>
      <c r="B61" s="132"/>
      <c r="C61" s="133"/>
      <c r="D61" s="134"/>
      <c r="E61" s="134"/>
      <c r="F61" s="135"/>
      <c r="G61" s="113"/>
      <c r="H61" s="126"/>
      <c r="I61" s="126"/>
      <c r="J61" s="161"/>
    </row>
    <row r="62" spans="1:15" s="152" customFormat="1" ht="22.9" customHeight="1" x14ac:dyDescent="0.25">
      <c r="A62" s="149"/>
      <c r="B62" s="330" t="s">
        <v>84</v>
      </c>
      <c r="C62" s="331"/>
      <c r="D62" s="331"/>
      <c r="E62" s="331"/>
      <c r="F62" s="331"/>
      <c r="G62" s="331"/>
      <c r="H62" s="331"/>
      <c r="I62" s="332"/>
      <c r="J62" s="187">
        <f>J37+J51</f>
        <v>0</v>
      </c>
    </row>
    <row r="63" spans="1:15" s="153" customFormat="1" ht="17.45" customHeight="1" x14ac:dyDescent="0.25">
      <c r="A63" s="148"/>
      <c r="B63" s="326" t="s">
        <v>85</v>
      </c>
      <c r="C63" s="327"/>
      <c r="D63" s="326" t="s">
        <v>87</v>
      </c>
      <c r="E63" s="327"/>
      <c r="F63" s="326" t="s">
        <v>88</v>
      </c>
      <c r="G63" s="327"/>
      <c r="H63" s="326" t="s">
        <v>89</v>
      </c>
      <c r="I63" s="327"/>
      <c r="J63" s="281" t="s">
        <v>90</v>
      </c>
    </row>
    <row r="64" spans="1:15" s="152" customFormat="1" ht="22.9" customHeight="1" x14ac:dyDescent="0.25">
      <c r="A64" s="149"/>
      <c r="B64" s="282" t="e">
        <f>VLOOKUP(C12,#REF!,7,0)</f>
        <v>#REF!</v>
      </c>
      <c r="C64" s="182" t="e">
        <f>J62*B64</f>
        <v>#REF!</v>
      </c>
      <c r="D64" s="328" t="e">
        <f>J62-C64</f>
        <v>#REF!</v>
      </c>
      <c r="E64" s="329"/>
      <c r="F64" s="282">
        <v>0.21</v>
      </c>
      <c r="G64" s="182" t="e">
        <f>D64*F64</f>
        <v>#REF!</v>
      </c>
      <c r="H64" s="283" t="e">
        <f>VLOOKUP(C12,#REF!,8,0)</f>
        <v>#REF!</v>
      </c>
      <c r="I64" s="217">
        <v>0</v>
      </c>
      <c r="J64" s="101" t="e">
        <f>(J62-C64)+G64+I64</f>
        <v>#REF!</v>
      </c>
    </row>
    <row r="65" spans="1:10" s="153" customFormat="1" ht="17.45" customHeight="1" x14ac:dyDescent="0.25">
      <c r="A65" s="148"/>
      <c r="B65" s="326" t="s">
        <v>14874</v>
      </c>
      <c r="C65" s="372"/>
      <c r="D65" s="372"/>
      <c r="E65" s="327"/>
      <c r="F65" s="326" t="s">
        <v>14876</v>
      </c>
      <c r="G65" s="372"/>
      <c r="H65" s="372"/>
      <c r="I65" s="372"/>
      <c r="J65" s="327"/>
    </row>
    <row r="66" spans="1:10" s="152" customFormat="1" ht="22.9" customHeight="1" x14ac:dyDescent="0.25">
      <c r="A66" s="149"/>
      <c r="B66" s="285" t="s">
        <v>14877</v>
      </c>
      <c r="C66" s="286">
        <v>2</v>
      </c>
      <c r="D66" s="370" t="s">
        <v>14875</v>
      </c>
      <c r="E66" s="371"/>
      <c r="F66" s="328" t="s">
        <v>14878</v>
      </c>
      <c r="G66" s="329"/>
      <c r="H66" s="373">
        <v>3</v>
      </c>
      <c r="I66" s="374"/>
      <c r="J66" s="284" t="str">
        <f>VLOOKUP(H66,TP,2,0)</f>
        <v>30 DÍAS</v>
      </c>
    </row>
    <row r="67" spans="1:10" ht="9.6" customHeight="1" x14ac:dyDescent="0.25">
      <c r="A67" s="148"/>
      <c r="B67" s="132"/>
      <c r="C67" s="134"/>
      <c r="D67" s="134"/>
      <c r="E67" s="134"/>
      <c r="F67" s="135"/>
      <c r="G67" s="113"/>
      <c r="H67" s="126"/>
      <c r="I67" s="126"/>
      <c r="J67" s="136"/>
    </row>
    <row r="68" spans="1:10" ht="17.45" customHeight="1" x14ac:dyDescent="0.25">
      <c r="A68" s="108"/>
      <c r="B68" s="100" t="s">
        <v>114</v>
      </c>
      <c r="C68" s="333"/>
      <c r="D68" s="333"/>
      <c r="E68" s="333"/>
      <c r="F68" s="333"/>
      <c r="G68" s="333"/>
      <c r="H68" s="333"/>
      <c r="I68" s="333"/>
      <c r="J68" s="334"/>
    </row>
    <row r="69" spans="1:10" ht="17.45" customHeight="1" x14ac:dyDescent="0.25">
      <c r="A69" s="108"/>
      <c r="B69" s="320"/>
      <c r="C69" s="321"/>
      <c r="D69" s="321"/>
      <c r="E69" s="321"/>
      <c r="F69" s="321"/>
      <c r="G69" s="321"/>
      <c r="H69" s="321"/>
      <c r="I69" s="321"/>
      <c r="J69" s="322"/>
    </row>
    <row r="70" spans="1:10" ht="17.45" customHeight="1" x14ac:dyDescent="0.25">
      <c r="A70" s="108"/>
      <c r="B70" s="320"/>
      <c r="C70" s="321"/>
      <c r="D70" s="321"/>
      <c r="E70" s="321"/>
      <c r="F70" s="321"/>
      <c r="G70" s="321"/>
      <c r="H70" s="321"/>
      <c r="I70" s="321"/>
      <c r="J70" s="322"/>
    </row>
    <row r="71" spans="1:10" ht="17.45" customHeight="1" x14ac:dyDescent="0.25">
      <c r="A71" s="108"/>
      <c r="B71" s="320"/>
      <c r="C71" s="321"/>
      <c r="D71" s="321"/>
      <c r="E71" s="321"/>
      <c r="F71" s="321"/>
      <c r="G71" s="321"/>
      <c r="H71" s="321"/>
      <c r="I71" s="321"/>
      <c r="J71" s="322"/>
    </row>
    <row r="72" spans="1:10" ht="17.45" customHeight="1" x14ac:dyDescent="0.25">
      <c r="A72" s="108"/>
      <c r="B72" s="320"/>
      <c r="C72" s="321"/>
      <c r="D72" s="321"/>
      <c r="E72" s="321"/>
      <c r="F72" s="321"/>
      <c r="G72" s="321"/>
      <c r="H72" s="321"/>
      <c r="I72" s="321"/>
      <c r="J72" s="322"/>
    </row>
    <row r="73" spans="1:10" ht="17.45" customHeight="1" x14ac:dyDescent="0.25">
      <c r="A73" s="108"/>
      <c r="B73" s="320"/>
      <c r="C73" s="321"/>
      <c r="D73" s="321"/>
      <c r="E73" s="321"/>
      <c r="F73" s="321"/>
      <c r="G73" s="321"/>
      <c r="H73" s="321"/>
      <c r="I73" s="321"/>
      <c r="J73" s="322"/>
    </row>
    <row r="74" spans="1:10" ht="17.45" customHeight="1" x14ac:dyDescent="0.25">
      <c r="A74" s="108"/>
      <c r="B74" s="320"/>
      <c r="C74" s="321"/>
      <c r="D74" s="321"/>
      <c r="E74" s="321"/>
      <c r="F74" s="321"/>
      <c r="G74" s="321"/>
      <c r="H74" s="321"/>
      <c r="I74" s="321"/>
      <c r="J74" s="322"/>
    </row>
    <row r="75" spans="1:10" ht="17.45" customHeight="1" x14ac:dyDescent="0.25">
      <c r="A75" s="108"/>
      <c r="B75" s="320"/>
      <c r="C75" s="321"/>
      <c r="D75" s="321"/>
      <c r="E75" s="321"/>
      <c r="F75" s="321"/>
      <c r="G75" s="321"/>
      <c r="H75" s="321"/>
      <c r="I75" s="321"/>
      <c r="J75" s="322"/>
    </row>
    <row r="76" spans="1:10" ht="17.45" customHeight="1" x14ac:dyDescent="0.25">
      <c r="A76" s="108"/>
      <c r="B76" s="323"/>
      <c r="C76" s="324"/>
      <c r="D76" s="324"/>
      <c r="E76" s="324"/>
      <c r="F76" s="324"/>
      <c r="G76" s="324"/>
      <c r="H76" s="324"/>
      <c r="I76" s="324"/>
      <c r="J76" s="325"/>
    </row>
    <row r="77" spans="1:10" x14ac:dyDescent="0.25">
      <c r="A77" s="148"/>
    </row>
    <row r="78" spans="1:10" x14ac:dyDescent="0.25">
      <c r="A78" s="148"/>
    </row>
    <row r="79" spans="1:10" x14ac:dyDescent="0.25">
      <c r="A79" s="148"/>
    </row>
    <row r="80" spans="1:10" x14ac:dyDescent="0.25">
      <c r="A80" s="148"/>
    </row>
    <row r="81" spans="1:1" x14ac:dyDescent="0.25">
      <c r="A81" s="148"/>
    </row>
    <row r="82" spans="1:1" x14ac:dyDescent="0.25">
      <c r="A82" s="148"/>
    </row>
    <row r="83" spans="1:1" x14ac:dyDescent="0.25">
      <c r="A83" s="148"/>
    </row>
    <row r="84" spans="1:1" x14ac:dyDescent="0.25">
      <c r="A84" s="148"/>
    </row>
    <row r="85" spans="1:1" x14ac:dyDescent="0.25">
      <c r="A85" s="148"/>
    </row>
    <row r="86" spans="1:1" x14ac:dyDescent="0.25">
      <c r="A86" s="148"/>
    </row>
    <row r="87" spans="1:1" x14ac:dyDescent="0.25">
      <c r="A87" s="148"/>
    </row>
    <row r="88" spans="1:1" x14ac:dyDescent="0.25">
      <c r="A88" s="148"/>
    </row>
    <row r="89" spans="1:1" x14ac:dyDescent="0.25">
      <c r="A89" s="148"/>
    </row>
    <row r="90" spans="1:1" x14ac:dyDescent="0.25">
      <c r="A90" s="148"/>
    </row>
    <row r="91" spans="1:1" x14ac:dyDescent="0.25">
      <c r="A91" s="148"/>
    </row>
    <row r="92" spans="1:1" x14ac:dyDescent="0.25">
      <c r="A92" s="148"/>
    </row>
    <row r="93" spans="1:1" x14ac:dyDescent="0.25">
      <c r="A93" s="148"/>
    </row>
    <row r="94" spans="1:1" x14ac:dyDescent="0.25">
      <c r="A94" s="148"/>
    </row>
    <row r="95" spans="1:1" x14ac:dyDescent="0.25">
      <c r="A95" s="148"/>
    </row>
    <row r="96" spans="1:1" x14ac:dyDescent="0.25">
      <c r="A96" s="148"/>
    </row>
    <row r="97" spans="1:1" x14ac:dyDescent="0.25">
      <c r="A97" s="148"/>
    </row>
    <row r="98" spans="1:1" x14ac:dyDescent="0.25">
      <c r="A98" s="148"/>
    </row>
    <row r="99" spans="1:1" x14ac:dyDescent="0.25">
      <c r="A99" s="148"/>
    </row>
    <row r="100" spans="1:1" x14ac:dyDescent="0.25">
      <c r="A100" s="148"/>
    </row>
    <row r="101" spans="1:1" x14ac:dyDescent="0.25">
      <c r="A101" s="148"/>
    </row>
    <row r="102" spans="1:1" x14ac:dyDescent="0.25">
      <c r="A102" s="148"/>
    </row>
    <row r="103" spans="1:1" x14ac:dyDescent="0.25">
      <c r="A103" s="148"/>
    </row>
    <row r="104" spans="1:1" x14ac:dyDescent="0.25">
      <c r="A104" s="148"/>
    </row>
    <row r="105" spans="1:1" x14ac:dyDescent="0.25">
      <c r="A105" s="148"/>
    </row>
    <row r="106" spans="1:1" x14ac:dyDescent="0.25">
      <c r="A106" s="148"/>
    </row>
    <row r="107" spans="1:1" x14ac:dyDescent="0.25">
      <c r="A107" s="148"/>
    </row>
    <row r="108" spans="1:1" x14ac:dyDescent="0.25">
      <c r="A108" s="148"/>
    </row>
    <row r="109" spans="1:1" x14ac:dyDescent="0.25">
      <c r="A109" s="148"/>
    </row>
    <row r="110" spans="1:1" x14ac:dyDescent="0.25">
      <c r="A110" s="148"/>
    </row>
    <row r="111" spans="1:1" x14ac:dyDescent="0.25">
      <c r="A111" s="148"/>
    </row>
    <row r="112" spans="1:1" x14ac:dyDescent="0.25">
      <c r="A112" s="148"/>
    </row>
    <row r="113" spans="1:1" x14ac:dyDescent="0.25">
      <c r="A113" s="148"/>
    </row>
    <row r="114" spans="1:1" x14ac:dyDescent="0.25">
      <c r="A114" s="148"/>
    </row>
    <row r="115" spans="1:1" x14ac:dyDescent="0.25">
      <c r="A115" s="148"/>
    </row>
    <row r="116" spans="1:1" x14ac:dyDescent="0.25">
      <c r="A116" s="148"/>
    </row>
    <row r="117" spans="1:1" x14ac:dyDescent="0.25">
      <c r="A117" s="148"/>
    </row>
    <row r="118" spans="1:1" x14ac:dyDescent="0.25">
      <c r="A118" s="148"/>
    </row>
    <row r="119" spans="1:1" x14ac:dyDescent="0.25">
      <c r="A119" s="148"/>
    </row>
    <row r="120" spans="1:1" x14ac:dyDescent="0.25">
      <c r="A120" s="148"/>
    </row>
    <row r="121" spans="1:1" x14ac:dyDescent="0.25">
      <c r="A121" s="148"/>
    </row>
    <row r="122" spans="1:1" x14ac:dyDescent="0.25">
      <c r="A122" s="148"/>
    </row>
    <row r="123" spans="1:1" x14ac:dyDescent="0.25">
      <c r="A123" s="148"/>
    </row>
    <row r="124" spans="1:1" x14ac:dyDescent="0.25">
      <c r="A124" s="148"/>
    </row>
    <row r="125" spans="1:1" x14ac:dyDescent="0.25">
      <c r="A125" s="148"/>
    </row>
    <row r="126" spans="1:1" x14ac:dyDescent="0.25">
      <c r="A126" s="148"/>
    </row>
    <row r="127" spans="1:1" x14ac:dyDescent="0.25">
      <c r="A127" s="148"/>
    </row>
    <row r="128" spans="1:1" x14ac:dyDescent="0.25">
      <c r="A128" s="148"/>
    </row>
    <row r="129" spans="1:1" x14ac:dyDescent="0.25">
      <c r="A129" s="148"/>
    </row>
    <row r="130" spans="1:1" x14ac:dyDescent="0.25">
      <c r="A130" s="148"/>
    </row>
    <row r="131" spans="1:1" x14ac:dyDescent="0.25">
      <c r="A131" s="148"/>
    </row>
    <row r="132" spans="1:1" x14ac:dyDescent="0.25">
      <c r="A132" s="148"/>
    </row>
    <row r="133" spans="1:1" x14ac:dyDescent="0.25">
      <c r="A133" s="148"/>
    </row>
    <row r="134" spans="1:1" x14ac:dyDescent="0.25">
      <c r="A134" s="148"/>
    </row>
    <row r="135" spans="1:1" x14ac:dyDescent="0.25">
      <c r="A135" s="148"/>
    </row>
    <row r="136" spans="1:1" x14ac:dyDescent="0.25">
      <c r="A136" s="148"/>
    </row>
    <row r="137" spans="1:1" x14ac:dyDescent="0.25">
      <c r="A137" s="148"/>
    </row>
    <row r="138" spans="1:1" x14ac:dyDescent="0.25">
      <c r="A138" s="148"/>
    </row>
    <row r="139" spans="1:1" x14ac:dyDescent="0.25">
      <c r="A139" s="148"/>
    </row>
    <row r="140" spans="1:1" x14ac:dyDescent="0.25">
      <c r="A140" s="148"/>
    </row>
    <row r="141" spans="1:1" x14ac:dyDescent="0.25">
      <c r="A141" s="148"/>
    </row>
    <row r="142" spans="1:1" x14ac:dyDescent="0.25">
      <c r="A142" s="148"/>
    </row>
    <row r="143" spans="1:1" x14ac:dyDescent="0.25">
      <c r="A143" s="148"/>
    </row>
    <row r="144" spans="1:1" x14ac:dyDescent="0.25">
      <c r="A144" s="148"/>
    </row>
    <row r="145" spans="1:1" x14ac:dyDescent="0.25">
      <c r="A145" s="148"/>
    </row>
    <row r="146" spans="1:1" x14ac:dyDescent="0.25">
      <c r="A146" s="148"/>
    </row>
    <row r="147" spans="1:1" x14ac:dyDescent="0.25">
      <c r="A147" s="148"/>
    </row>
    <row r="148" spans="1:1" x14ac:dyDescent="0.25">
      <c r="A148" s="148"/>
    </row>
    <row r="149" spans="1:1" x14ac:dyDescent="0.25">
      <c r="A149" s="148"/>
    </row>
    <row r="150" spans="1:1" x14ac:dyDescent="0.25">
      <c r="A150" s="148"/>
    </row>
    <row r="151" spans="1:1" x14ac:dyDescent="0.25">
      <c r="A151" s="148"/>
    </row>
    <row r="152" spans="1:1" x14ac:dyDescent="0.25">
      <c r="A152" s="148"/>
    </row>
    <row r="153" spans="1:1" x14ac:dyDescent="0.25">
      <c r="A153" s="148"/>
    </row>
    <row r="154" spans="1:1" x14ac:dyDescent="0.25">
      <c r="A154" s="148"/>
    </row>
    <row r="155" spans="1:1" x14ac:dyDescent="0.25">
      <c r="A155" s="148"/>
    </row>
    <row r="156" spans="1:1" x14ac:dyDescent="0.25">
      <c r="A156" s="148"/>
    </row>
    <row r="157" spans="1:1" x14ac:dyDescent="0.25">
      <c r="A157" s="148"/>
    </row>
    <row r="158" spans="1:1" x14ac:dyDescent="0.25">
      <c r="A158" s="148"/>
    </row>
    <row r="159" spans="1:1" x14ac:dyDescent="0.25">
      <c r="A159" s="148"/>
    </row>
    <row r="160" spans="1:1" x14ac:dyDescent="0.25">
      <c r="A160" s="148"/>
    </row>
    <row r="161" spans="1:1" x14ac:dyDescent="0.25">
      <c r="A161" s="148"/>
    </row>
    <row r="162" spans="1:1" x14ac:dyDescent="0.25">
      <c r="A162" s="148"/>
    </row>
    <row r="163" spans="1:1" x14ac:dyDescent="0.25">
      <c r="A163" s="148"/>
    </row>
    <row r="164" spans="1:1" x14ac:dyDescent="0.25">
      <c r="A164" s="148"/>
    </row>
    <row r="165" spans="1:1" x14ac:dyDescent="0.25">
      <c r="A165" s="148"/>
    </row>
    <row r="166" spans="1:1" x14ac:dyDescent="0.25">
      <c r="A166" s="148"/>
    </row>
    <row r="167" spans="1:1" x14ac:dyDescent="0.25">
      <c r="A167" s="148"/>
    </row>
    <row r="168" spans="1:1" x14ac:dyDescent="0.25">
      <c r="A168" s="148"/>
    </row>
    <row r="169" spans="1:1" x14ac:dyDescent="0.25">
      <c r="A169" s="148"/>
    </row>
    <row r="170" spans="1:1" x14ac:dyDescent="0.25">
      <c r="A170" s="148"/>
    </row>
    <row r="171" spans="1:1" x14ac:dyDescent="0.25">
      <c r="A171" s="148"/>
    </row>
    <row r="172" spans="1:1" x14ac:dyDescent="0.25">
      <c r="A172" s="148"/>
    </row>
    <row r="173" spans="1:1" x14ac:dyDescent="0.25">
      <c r="A173" s="148"/>
    </row>
    <row r="174" spans="1:1" x14ac:dyDescent="0.25">
      <c r="A174" s="148"/>
    </row>
    <row r="175" spans="1:1" x14ac:dyDescent="0.25">
      <c r="A175" s="148"/>
    </row>
    <row r="176" spans="1:1" x14ac:dyDescent="0.25">
      <c r="A176" s="148"/>
    </row>
    <row r="177" spans="1:1" x14ac:dyDescent="0.25">
      <c r="A177" s="148"/>
    </row>
    <row r="178" spans="1:1" x14ac:dyDescent="0.25">
      <c r="A178" s="148"/>
    </row>
    <row r="179" spans="1:1" x14ac:dyDescent="0.25">
      <c r="A179" s="148"/>
    </row>
    <row r="180" spans="1:1" x14ac:dyDescent="0.25">
      <c r="A180" s="148"/>
    </row>
    <row r="181" spans="1:1" x14ac:dyDescent="0.25">
      <c r="A181" s="148"/>
    </row>
    <row r="182" spans="1:1" x14ac:dyDescent="0.25">
      <c r="A182" s="148"/>
    </row>
    <row r="183" spans="1:1" x14ac:dyDescent="0.25">
      <c r="A183" s="148"/>
    </row>
    <row r="184" spans="1:1" x14ac:dyDescent="0.25">
      <c r="A184" s="148"/>
    </row>
    <row r="185" spans="1:1" x14ac:dyDescent="0.25">
      <c r="A185" s="148"/>
    </row>
    <row r="186" spans="1:1" x14ac:dyDescent="0.25">
      <c r="A186" s="148"/>
    </row>
    <row r="187" spans="1:1" x14ac:dyDescent="0.25">
      <c r="A187" s="148"/>
    </row>
    <row r="188" spans="1:1" x14ac:dyDescent="0.25">
      <c r="A188" s="148"/>
    </row>
    <row r="189" spans="1:1" x14ac:dyDescent="0.25">
      <c r="A189" s="148"/>
    </row>
    <row r="190" spans="1:1" x14ac:dyDescent="0.25">
      <c r="A190" s="148"/>
    </row>
    <row r="191" spans="1:1" x14ac:dyDescent="0.25">
      <c r="A191" s="148"/>
    </row>
    <row r="192" spans="1:1" x14ac:dyDescent="0.25">
      <c r="A192" s="148"/>
    </row>
    <row r="193" spans="1:1" x14ac:dyDescent="0.25">
      <c r="A193" s="148"/>
    </row>
    <row r="194" spans="1:1" x14ac:dyDescent="0.25">
      <c r="A194" s="148"/>
    </row>
    <row r="195" spans="1:1" x14ac:dyDescent="0.25">
      <c r="A195" s="148"/>
    </row>
    <row r="196" spans="1:1" x14ac:dyDescent="0.25">
      <c r="A196" s="148"/>
    </row>
    <row r="197" spans="1:1" x14ac:dyDescent="0.25">
      <c r="A197" s="148"/>
    </row>
    <row r="198" spans="1:1" x14ac:dyDescent="0.25">
      <c r="A198" s="148"/>
    </row>
    <row r="199" spans="1:1" x14ac:dyDescent="0.25">
      <c r="A199" s="148"/>
    </row>
    <row r="200" spans="1:1" x14ac:dyDescent="0.25">
      <c r="A200" s="148"/>
    </row>
    <row r="201" spans="1:1" x14ac:dyDescent="0.25">
      <c r="A201" s="148"/>
    </row>
    <row r="202" spans="1:1" x14ac:dyDescent="0.25">
      <c r="A202" s="148"/>
    </row>
    <row r="203" spans="1:1" x14ac:dyDescent="0.25">
      <c r="A203" s="148"/>
    </row>
    <row r="204" spans="1:1" x14ac:dyDescent="0.25">
      <c r="A204" s="148"/>
    </row>
    <row r="205" spans="1:1" x14ac:dyDescent="0.25">
      <c r="A205" s="148"/>
    </row>
    <row r="206" spans="1:1" x14ac:dyDescent="0.25">
      <c r="A206" s="148"/>
    </row>
    <row r="207" spans="1:1" x14ac:dyDescent="0.25">
      <c r="A207" s="148"/>
    </row>
    <row r="208" spans="1:1" x14ac:dyDescent="0.25">
      <c r="A208" s="148"/>
    </row>
    <row r="209" spans="1:1" x14ac:dyDescent="0.25">
      <c r="A209" s="148"/>
    </row>
    <row r="210" spans="1:1" x14ac:dyDescent="0.25">
      <c r="A210" s="148"/>
    </row>
    <row r="211" spans="1:1" x14ac:dyDescent="0.25">
      <c r="A211" s="148"/>
    </row>
    <row r="212" spans="1:1" x14ac:dyDescent="0.25">
      <c r="A212" s="148"/>
    </row>
    <row r="213" spans="1:1" x14ac:dyDescent="0.25">
      <c r="A213" s="148"/>
    </row>
    <row r="214" spans="1:1" x14ac:dyDescent="0.25">
      <c r="A214" s="148"/>
    </row>
    <row r="215" spans="1:1" x14ac:dyDescent="0.25">
      <c r="A215" s="148"/>
    </row>
    <row r="216" spans="1:1" x14ac:dyDescent="0.25">
      <c r="A216" s="148"/>
    </row>
    <row r="217" spans="1:1" x14ac:dyDescent="0.25">
      <c r="A217" s="148"/>
    </row>
    <row r="218" spans="1:1" x14ac:dyDescent="0.25">
      <c r="A218" s="148"/>
    </row>
    <row r="219" spans="1:1" x14ac:dyDescent="0.25">
      <c r="A219" s="148"/>
    </row>
    <row r="220" spans="1:1" x14ac:dyDescent="0.25">
      <c r="A220" s="148"/>
    </row>
    <row r="221" spans="1:1" x14ac:dyDescent="0.25">
      <c r="A221" s="148"/>
    </row>
    <row r="222" spans="1:1" x14ac:dyDescent="0.25">
      <c r="A222" s="148"/>
    </row>
    <row r="223" spans="1:1" x14ac:dyDescent="0.25">
      <c r="A223" s="148"/>
    </row>
    <row r="224" spans="1:1" x14ac:dyDescent="0.25">
      <c r="A224" s="148"/>
    </row>
    <row r="225" spans="1:1" x14ac:dyDescent="0.25">
      <c r="A225" s="148"/>
    </row>
    <row r="226" spans="1:1" x14ac:dyDescent="0.25">
      <c r="A226" s="148"/>
    </row>
    <row r="227" spans="1:1" x14ac:dyDescent="0.25">
      <c r="A227" s="148"/>
    </row>
    <row r="228" spans="1:1" x14ac:dyDescent="0.25">
      <c r="A228" s="148"/>
    </row>
    <row r="229" spans="1:1" x14ac:dyDescent="0.25">
      <c r="A229" s="148"/>
    </row>
    <row r="230" spans="1:1" x14ac:dyDescent="0.25">
      <c r="A230" s="148"/>
    </row>
    <row r="231" spans="1:1" x14ac:dyDescent="0.25">
      <c r="A231" s="148"/>
    </row>
    <row r="232" spans="1:1" x14ac:dyDescent="0.25">
      <c r="A232" s="148"/>
    </row>
    <row r="233" spans="1:1" x14ac:dyDescent="0.25">
      <c r="A233" s="148"/>
    </row>
    <row r="234" spans="1:1" x14ac:dyDescent="0.25">
      <c r="A234" s="148"/>
    </row>
    <row r="235" spans="1:1" x14ac:dyDescent="0.25">
      <c r="A235" s="148"/>
    </row>
    <row r="236" spans="1:1" x14ac:dyDescent="0.25">
      <c r="A236" s="148"/>
    </row>
    <row r="237" spans="1:1" x14ac:dyDescent="0.25">
      <c r="A237" s="148"/>
    </row>
    <row r="238" spans="1:1" x14ac:dyDescent="0.25">
      <c r="A238" s="148"/>
    </row>
    <row r="239" spans="1:1" x14ac:dyDescent="0.25">
      <c r="A239" s="148"/>
    </row>
    <row r="240" spans="1:1" x14ac:dyDescent="0.25">
      <c r="A240" s="148"/>
    </row>
    <row r="241" spans="1:1" x14ac:dyDescent="0.25">
      <c r="A241" s="148"/>
    </row>
    <row r="242" spans="1:1" x14ac:dyDescent="0.25">
      <c r="A242" s="148"/>
    </row>
    <row r="243" spans="1:1" x14ac:dyDescent="0.25">
      <c r="A243" s="148"/>
    </row>
    <row r="244" spans="1:1" x14ac:dyDescent="0.25">
      <c r="A244" s="148"/>
    </row>
    <row r="245" spans="1:1" x14ac:dyDescent="0.25">
      <c r="A245" s="148"/>
    </row>
    <row r="246" spans="1:1" x14ac:dyDescent="0.25">
      <c r="A246" s="148"/>
    </row>
    <row r="247" spans="1:1" x14ac:dyDescent="0.25">
      <c r="A247" s="148"/>
    </row>
    <row r="248" spans="1:1" x14ac:dyDescent="0.25">
      <c r="A248" s="148"/>
    </row>
    <row r="249" spans="1:1" x14ac:dyDescent="0.25">
      <c r="A249" s="148"/>
    </row>
    <row r="250" spans="1:1" x14ac:dyDescent="0.25">
      <c r="A250" s="148"/>
    </row>
    <row r="251" spans="1:1" x14ac:dyDescent="0.25">
      <c r="A251" s="148"/>
    </row>
    <row r="252" spans="1:1" x14ac:dyDescent="0.25">
      <c r="A252" s="148"/>
    </row>
    <row r="253" spans="1:1" x14ac:dyDescent="0.25">
      <c r="A253" s="148"/>
    </row>
    <row r="254" spans="1:1" x14ac:dyDescent="0.25">
      <c r="A254" s="148"/>
    </row>
    <row r="255" spans="1:1" x14ac:dyDescent="0.25">
      <c r="A255" s="148"/>
    </row>
    <row r="256" spans="1:1" x14ac:dyDescent="0.25">
      <c r="A256" s="148"/>
    </row>
    <row r="257" spans="1:1" x14ac:dyDescent="0.25">
      <c r="A257" s="148"/>
    </row>
    <row r="258" spans="1:1" x14ac:dyDescent="0.25">
      <c r="A258" s="148"/>
    </row>
    <row r="259" spans="1:1" x14ac:dyDescent="0.25">
      <c r="A259" s="148"/>
    </row>
    <row r="260" spans="1:1" x14ac:dyDescent="0.25">
      <c r="A260" s="148"/>
    </row>
    <row r="261" spans="1:1" x14ac:dyDescent="0.25">
      <c r="A261" s="148"/>
    </row>
    <row r="262" spans="1:1" x14ac:dyDescent="0.25">
      <c r="A262" s="148"/>
    </row>
    <row r="263" spans="1:1" x14ac:dyDescent="0.25">
      <c r="A263" s="148"/>
    </row>
    <row r="264" spans="1:1" x14ac:dyDescent="0.25">
      <c r="A264" s="148"/>
    </row>
    <row r="265" spans="1:1" x14ac:dyDescent="0.25">
      <c r="A265" s="148"/>
    </row>
    <row r="266" spans="1:1" x14ac:dyDescent="0.25">
      <c r="A266" s="148"/>
    </row>
    <row r="267" spans="1:1" x14ac:dyDescent="0.25">
      <c r="A267" s="148"/>
    </row>
    <row r="268" spans="1:1" x14ac:dyDescent="0.25">
      <c r="A268" s="148"/>
    </row>
    <row r="269" spans="1:1" x14ac:dyDescent="0.25">
      <c r="A269" s="148"/>
    </row>
    <row r="270" spans="1:1" x14ac:dyDescent="0.25">
      <c r="A270" s="148"/>
    </row>
    <row r="271" spans="1:1" x14ac:dyDescent="0.25">
      <c r="A271" s="148"/>
    </row>
    <row r="272" spans="1:1" x14ac:dyDescent="0.25">
      <c r="A272" s="148"/>
    </row>
    <row r="273" spans="1:1" x14ac:dyDescent="0.25">
      <c r="A273" s="148"/>
    </row>
    <row r="274" spans="1:1" x14ac:dyDescent="0.25">
      <c r="A274" s="148"/>
    </row>
    <row r="275" spans="1:1" x14ac:dyDescent="0.25">
      <c r="A275" s="148"/>
    </row>
    <row r="276" spans="1:1" x14ac:dyDescent="0.25">
      <c r="A276" s="148"/>
    </row>
    <row r="277" spans="1:1" x14ac:dyDescent="0.25">
      <c r="A277" s="148"/>
    </row>
    <row r="278" spans="1:1" x14ac:dyDescent="0.25">
      <c r="A278" s="148"/>
    </row>
    <row r="279" spans="1:1" x14ac:dyDescent="0.25">
      <c r="A279" s="148"/>
    </row>
    <row r="280" spans="1:1" x14ac:dyDescent="0.25">
      <c r="A280" s="148"/>
    </row>
    <row r="281" spans="1:1" x14ac:dyDescent="0.25">
      <c r="A281" s="148"/>
    </row>
    <row r="282" spans="1:1" x14ac:dyDescent="0.25">
      <c r="A282" s="148"/>
    </row>
    <row r="283" spans="1:1" x14ac:dyDescent="0.25">
      <c r="A283" s="148"/>
    </row>
    <row r="284" spans="1:1" x14ac:dyDescent="0.25">
      <c r="A284" s="148"/>
    </row>
    <row r="285" spans="1:1" x14ac:dyDescent="0.25">
      <c r="A285" s="148"/>
    </row>
    <row r="286" spans="1:1" x14ac:dyDescent="0.25">
      <c r="A286" s="148"/>
    </row>
    <row r="287" spans="1:1" x14ac:dyDescent="0.25">
      <c r="A287" s="148"/>
    </row>
    <row r="288" spans="1:1" x14ac:dyDescent="0.25">
      <c r="A288" s="148"/>
    </row>
    <row r="289" spans="1:1" x14ac:dyDescent="0.25">
      <c r="A289" s="148"/>
    </row>
    <row r="290" spans="1:1" x14ac:dyDescent="0.25">
      <c r="A290" s="148"/>
    </row>
    <row r="291" spans="1:1" x14ac:dyDescent="0.25">
      <c r="A291" s="148"/>
    </row>
    <row r="292" spans="1:1" x14ac:dyDescent="0.25">
      <c r="A292" s="148"/>
    </row>
    <row r="293" spans="1:1" x14ac:dyDescent="0.25">
      <c r="A293" s="148"/>
    </row>
    <row r="294" spans="1:1" x14ac:dyDescent="0.25">
      <c r="A294" s="148"/>
    </row>
    <row r="295" spans="1:1" x14ac:dyDescent="0.25">
      <c r="A295" s="148"/>
    </row>
    <row r="296" spans="1:1" x14ac:dyDescent="0.25">
      <c r="A296" s="148"/>
    </row>
    <row r="297" spans="1:1" x14ac:dyDescent="0.25">
      <c r="A297" s="148"/>
    </row>
    <row r="298" spans="1:1" x14ac:dyDescent="0.25">
      <c r="A298" s="148"/>
    </row>
    <row r="299" spans="1:1" x14ac:dyDescent="0.25">
      <c r="A299" s="148"/>
    </row>
    <row r="300" spans="1:1" x14ac:dyDescent="0.25">
      <c r="A300" s="148"/>
    </row>
    <row r="301" spans="1:1" x14ac:dyDescent="0.25">
      <c r="A301" s="148"/>
    </row>
    <row r="302" spans="1:1" x14ac:dyDescent="0.25">
      <c r="A302" s="148"/>
    </row>
    <row r="303" spans="1:1" x14ac:dyDescent="0.25">
      <c r="A303" s="148"/>
    </row>
    <row r="304" spans="1:1" x14ac:dyDescent="0.25">
      <c r="A304" s="148"/>
    </row>
    <row r="305" spans="1:1" x14ac:dyDescent="0.25">
      <c r="A305" s="148"/>
    </row>
    <row r="306" spans="1:1" x14ac:dyDescent="0.25">
      <c r="A306" s="148"/>
    </row>
    <row r="307" spans="1:1" x14ac:dyDescent="0.25">
      <c r="A307" s="148"/>
    </row>
    <row r="308" spans="1:1" x14ac:dyDescent="0.25">
      <c r="A308" s="148"/>
    </row>
    <row r="309" spans="1:1" x14ac:dyDescent="0.25">
      <c r="A309" s="148"/>
    </row>
    <row r="310" spans="1:1" x14ac:dyDescent="0.25">
      <c r="A310" s="148"/>
    </row>
    <row r="311" spans="1:1" x14ac:dyDescent="0.25">
      <c r="A311" s="148"/>
    </row>
    <row r="312" spans="1:1" x14ac:dyDescent="0.25">
      <c r="A312" s="148"/>
    </row>
    <row r="313" spans="1:1" x14ac:dyDescent="0.25">
      <c r="A313" s="148"/>
    </row>
    <row r="314" spans="1:1" x14ac:dyDescent="0.25">
      <c r="A314" s="148"/>
    </row>
    <row r="315" spans="1:1" x14ac:dyDescent="0.25">
      <c r="A315" s="148"/>
    </row>
    <row r="316" spans="1:1" x14ac:dyDescent="0.25">
      <c r="A316" s="148"/>
    </row>
    <row r="317" spans="1:1" x14ac:dyDescent="0.25">
      <c r="A317" s="148"/>
    </row>
    <row r="318" spans="1:1" x14ac:dyDescent="0.25">
      <c r="A318" s="148"/>
    </row>
    <row r="319" spans="1:1" x14ac:dyDescent="0.25">
      <c r="A319" s="148"/>
    </row>
    <row r="320" spans="1:1" x14ac:dyDescent="0.25">
      <c r="A320" s="148"/>
    </row>
    <row r="321" spans="1:1" x14ac:dyDescent="0.25">
      <c r="A321" s="148"/>
    </row>
    <row r="322" spans="1:1" x14ac:dyDescent="0.25">
      <c r="A322" s="148"/>
    </row>
    <row r="323" spans="1:1" x14ac:dyDescent="0.25">
      <c r="A323" s="148"/>
    </row>
    <row r="324" spans="1:1" x14ac:dyDescent="0.25">
      <c r="A324" s="148"/>
    </row>
    <row r="325" spans="1:1" x14ac:dyDescent="0.25">
      <c r="A325" s="148"/>
    </row>
    <row r="326" spans="1:1" x14ac:dyDescent="0.25">
      <c r="A326" s="148"/>
    </row>
    <row r="327" spans="1:1" x14ac:dyDescent="0.25">
      <c r="A327" s="148"/>
    </row>
    <row r="328" spans="1:1" x14ac:dyDescent="0.25">
      <c r="A328" s="148"/>
    </row>
    <row r="329" spans="1:1" x14ac:dyDescent="0.25">
      <c r="A329" s="148"/>
    </row>
    <row r="330" spans="1:1" x14ac:dyDescent="0.25">
      <c r="A330" s="148"/>
    </row>
    <row r="331" spans="1:1" x14ac:dyDescent="0.25">
      <c r="A331" s="148"/>
    </row>
    <row r="332" spans="1:1" x14ac:dyDescent="0.25">
      <c r="A332" s="148"/>
    </row>
    <row r="333" spans="1:1" x14ac:dyDescent="0.25">
      <c r="A333" s="148"/>
    </row>
    <row r="334" spans="1:1" x14ac:dyDescent="0.25">
      <c r="A334" s="148"/>
    </row>
    <row r="335" spans="1:1" x14ac:dyDescent="0.25">
      <c r="A335" s="148"/>
    </row>
    <row r="336" spans="1:1" x14ac:dyDescent="0.25">
      <c r="A336" s="148"/>
    </row>
    <row r="337" spans="1:1" x14ac:dyDescent="0.25">
      <c r="A337" s="148"/>
    </row>
    <row r="338" spans="1:1" x14ac:dyDescent="0.25">
      <c r="A338" s="148"/>
    </row>
    <row r="339" spans="1:1" x14ac:dyDescent="0.25">
      <c r="A339" s="108"/>
    </row>
    <row r="340" spans="1:1" x14ac:dyDescent="0.25">
      <c r="A340" s="108"/>
    </row>
  </sheetData>
  <sheetProtection algorithmName="SHA-512" hashValue="Mk1aP3lgu8C2z68ePlwVswR8qiHBkR176XxkJxPFIjvnVHLEJp6T4AWQJxw5MnJXGhWaDBllROJhY1hTaQ0vrw==" saltValue="OqKQGckgGmSDlVSqlGBBoQ==" spinCount="100000" sheet="1" formatCells="0" selectLockedCells="1" autoFilter="0"/>
  <mergeCells count="56">
    <mergeCell ref="D66:E66"/>
    <mergeCell ref="B65:E65"/>
    <mergeCell ref="F65:J65"/>
    <mergeCell ref="F66:G66"/>
    <mergeCell ref="H66:I66"/>
    <mergeCell ref="C23:J23"/>
    <mergeCell ref="C19:J19"/>
    <mergeCell ref="C20:J20"/>
    <mergeCell ref="C21:G21"/>
    <mergeCell ref="H21:I21"/>
    <mergeCell ref="C22:G22"/>
    <mergeCell ref="C16:J16"/>
    <mergeCell ref="B1:C1"/>
    <mergeCell ref="H3:I3"/>
    <mergeCell ref="H4:I4"/>
    <mergeCell ref="H5:I5"/>
    <mergeCell ref="B6:J6"/>
    <mergeCell ref="B9:J9"/>
    <mergeCell ref="E12:J12"/>
    <mergeCell ref="C13:J13"/>
    <mergeCell ref="C14:G14"/>
    <mergeCell ref="H14:I14"/>
    <mergeCell ref="C15:G15"/>
    <mergeCell ref="C46:G46"/>
    <mergeCell ref="E26:J26"/>
    <mergeCell ref="B33:J33"/>
    <mergeCell ref="B35:I35"/>
    <mergeCell ref="B36:I36"/>
    <mergeCell ref="B37:I37"/>
    <mergeCell ref="B38:I38"/>
    <mergeCell ref="C41:E41"/>
    <mergeCell ref="H41:I41"/>
    <mergeCell ref="H43:I43"/>
    <mergeCell ref="H45:I45"/>
    <mergeCell ref="B49:J49"/>
    <mergeCell ref="B73:J73"/>
    <mergeCell ref="B74:J74"/>
    <mergeCell ref="B75:J75"/>
    <mergeCell ref="B76:J76"/>
    <mergeCell ref="B63:C63"/>
    <mergeCell ref="D63:E63"/>
    <mergeCell ref="F63:G63"/>
    <mergeCell ref="H63:I63"/>
    <mergeCell ref="D64:E64"/>
    <mergeCell ref="B72:J72"/>
    <mergeCell ref="B62:I62"/>
    <mergeCell ref="C68:J68"/>
    <mergeCell ref="B69:J69"/>
    <mergeCell ref="B70:J70"/>
    <mergeCell ref="B71:J71"/>
    <mergeCell ref="C59:G59"/>
    <mergeCell ref="B51:I51"/>
    <mergeCell ref="C54:E54"/>
    <mergeCell ref="H54:I54"/>
    <mergeCell ref="H56:I56"/>
    <mergeCell ref="H58:I58"/>
  </mergeCells>
  <conditionalFormatting sqref="J45">
    <cfRule type="containsText" dxfId="18" priority="4" stopIfTrue="1" operator="containsText" text="COMPENSADO">
      <formula>NOT(ISERROR(SEARCH("COMPENSADO",J45)))</formula>
    </cfRule>
    <cfRule type="containsText" dxfId="17" priority="5" stopIfTrue="1" operator="containsText" text="A COMPENSAR">
      <formula>NOT(ISERROR(SEARCH("A COMPENSAR",J45)))</formula>
    </cfRule>
    <cfRule type="containsText" dxfId="16" priority="6" stopIfTrue="1" operator="containsText" text="A PAGAR">
      <formula>NOT(ISERROR(SEARCH("A PAGAR",J45)))</formula>
    </cfRule>
  </conditionalFormatting>
  <conditionalFormatting sqref="J58">
    <cfRule type="containsText" dxfId="15" priority="1" stopIfTrue="1" operator="containsText" text="COMPENSADO">
      <formula>NOT(ISERROR(SEARCH("COMPENSADO",J58)))</formula>
    </cfRule>
    <cfRule type="containsText" dxfId="14" priority="2" stopIfTrue="1" operator="containsText" text="A COMPENSAR">
      <formula>NOT(ISERROR(SEARCH("A COMPENSAR",J58)))</formula>
    </cfRule>
    <cfRule type="containsText" dxfId="13" priority="3" stopIfTrue="1" operator="containsText" text="A PAGAR">
      <formula>NOT(ISERROR(SEARCH("A PAGAR",J58)))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portrait" r:id="rId1"/>
  <ignoredErrors>
    <ignoredError sqref="H64 B64" evalErro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ÉRMINO DE PAGO" prompt="Elige una opción de la lista" xr:uid="{4BA360B4-77B6-41C3-8CCE-5F64712F5DE5}">
          <x14:formula1>
            <xm:f>'T.P.'!$A$2:$A$3</xm:f>
          </x14:formula1>
          <xm:sqref>H66:I66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IO311"/>
  <sheetViews>
    <sheetView showGridLines="0"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9" sqref="N9"/>
    </sheetView>
  </sheetViews>
  <sheetFormatPr baseColWidth="10" defaultColWidth="12" defaultRowHeight="19.5" customHeight="1" x14ac:dyDescent="0.25"/>
  <cols>
    <col min="1" max="1" width="3.140625" style="10" customWidth="1"/>
    <col min="2" max="2" width="11" style="18" customWidth="1"/>
    <col min="3" max="3" width="74.5703125" style="10" customWidth="1"/>
    <col min="4" max="4" width="11.7109375" style="17" customWidth="1"/>
    <col min="5" max="6" width="11.7109375" style="7" customWidth="1"/>
    <col min="7" max="7" width="22" style="229" customWidth="1"/>
    <col min="8" max="8" width="21.5703125" style="17" bestFit="1" customWidth="1"/>
    <col min="9" max="9" width="11.7109375" style="10" customWidth="1"/>
    <col min="10" max="10" width="11.7109375" style="8" customWidth="1"/>
    <col min="11" max="12" width="11.7109375" style="9" customWidth="1"/>
    <col min="13" max="13" width="13.7109375" style="19" customWidth="1"/>
    <col min="14" max="16384" width="12" style="10"/>
  </cols>
  <sheetData>
    <row r="1" spans="1:249" ht="15.75" customHeight="1" x14ac:dyDescent="0.3">
      <c r="A1" s="24"/>
      <c r="B1" s="381" t="s">
        <v>572</v>
      </c>
      <c r="C1" s="381"/>
      <c r="D1" s="43"/>
      <c r="E1" s="26"/>
      <c r="F1" s="26"/>
      <c r="G1" s="224"/>
      <c r="H1" s="45"/>
      <c r="I1" s="25"/>
      <c r="J1" s="27"/>
      <c r="K1" s="28"/>
      <c r="L1" s="28"/>
      <c r="M1" s="35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</row>
    <row r="2" spans="1:249" ht="15.75" customHeight="1" x14ac:dyDescent="0.3">
      <c r="A2" s="29"/>
      <c r="B2" s="237" t="s">
        <v>573</v>
      </c>
      <c r="C2" s="30"/>
      <c r="D2" s="46"/>
      <c r="E2" s="33"/>
      <c r="F2" s="33"/>
      <c r="G2" s="225"/>
      <c r="H2" s="37"/>
      <c r="I2" s="32"/>
      <c r="J2" s="34"/>
      <c r="K2" s="47"/>
      <c r="L2" s="47"/>
      <c r="M2" s="35"/>
    </row>
    <row r="3" spans="1:249" ht="15.75" customHeight="1" x14ac:dyDescent="0.3">
      <c r="A3" s="29"/>
      <c r="B3" s="36"/>
      <c r="C3" s="31"/>
      <c r="D3" s="46"/>
      <c r="E3" s="33"/>
      <c r="F3" s="33"/>
      <c r="G3" s="225"/>
      <c r="H3" s="37"/>
      <c r="I3" s="31"/>
      <c r="J3" s="34"/>
      <c r="K3" s="47"/>
      <c r="L3" s="47"/>
      <c r="M3" s="35"/>
    </row>
    <row r="4" spans="1:249" ht="15.75" customHeight="1" x14ac:dyDescent="0.3">
      <c r="A4" s="29"/>
      <c r="B4" s="36"/>
      <c r="C4" s="31"/>
      <c r="D4" s="46"/>
      <c r="E4" s="33"/>
      <c r="F4" s="33"/>
      <c r="G4" s="225"/>
      <c r="H4" s="37"/>
      <c r="I4" s="31"/>
      <c r="J4" s="34"/>
      <c r="K4" s="47"/>
      <c r="L4" s="47"/>
      <c r="M4" s="35"/>
    </row>
    <row r="5" spans="1:249" ht="15.75" customHeight="1" x14ac:dyDescent="0.3">
      <c r="A5" s="29"/>
      <c r="B5" s="36"/>
      <c r="C5" s="31"/>
      <c r="D5" s="46"/>
      <c r="E5" s="33"/>
      <c r="F5" s="33"/>
      <c r="G5" s="225"/>
      <c r="H5" s="37"/>
      <c r="I5" s="31"/>
      <c r="J5" s="34"/>
      <c r="K5" s="47"/>
      <c r="L5" s="47"/>
      <c r="M5" s="35"/>
    </row>
    <row r="6" spans="1:249" s="15" customFormat="1" ht="25.15" customHeight="1" x14ac:dyDescent="0.25">
      <c r="A6" s="38"/>
      <c r="B6" s="378" t="s">
        <v>80</v>
      </c>
      <c r="C6" s="379"/>
      <c r="D6" s="379"/>
      <c r="E6" s="379"/>
      <c r="F6" s="379"/>
      <c r="G6" s="379"/>
      <c r="H6" s="379"/>
      <c r="I6" s="379"/>
      <c r="J6" s="379"/>
      <c r="K6" s="379"/>
      <c r="L6" s="379"/>
      <c r="M6" s="380"/>
    </row>
    <row r="7" spans="1:249" s="16" customFormat="1" ht="18" customHeight="1" x14ac:dyDescent="0.25">
      <c r="A7" s="40"/>
      <c r="B7" s="238" t="s">
        <v>83</v>
      </c>
      <c r="C7" s="48"/>
      <c r="D7" s="49">
        <f>D9+D133+D223+D231+D240+D252+D260+D267+D271+D277+D279+D302+D203+D249</f>
        <v>0</v>
      </c>
      <c r="E7" s="382"/>
      <c r="F7" s="383"/>
      <c r="G7" s="383"/>
      <c r="H7" s="383"/>
      <c r="I7" s="384"/>
      <c r="J7" s="50">
        <f>SUBTOTAL(9,J10:J132,J134:J202,J204:J222,J224:J230,J232:J239,J241:J248,J250:J251,J268:J270,J253:J259,J272:J276,J261:J266,J278:J278,J280:J301,J303:J309)</f>
        <v>0</v>
      </c>
      <c r="K7" s="376"/>
      <c r="L7" s="377"/>
      <c r="M7" s="51">
        <f>SUBTOTAL(9,M9:M309)</f>
        <v>0</v>
      </c>
    </row>
    <row r="8" spans="1:249" s="15" customFormat="1" ht="40.5" customHeight="1" x14ac:dyDescent="0.25">
      <c r="A8" s="38"/>
      <c r="B8" s="52" t="s">
        <v>2</v>
      </c>
      <c r="C8" s="53" t="s">
        <v>3</v>
      </c>
      <c r="D8" s="54" t="s">
        <v>0</v>
      </c>
      <c r="E8" s="55" t="s">
        <v>5</v>
      </c>
      <c r="F8" s="55" t="s">
        <v>42</v>
      </c>
      <c r="G8" s="54" t="s">
        <v>891</v>
      </c>
      <c r="H8" s="56" t="s">
        <v>10</v>
      </c>
      <c r="I8" s="56" t="s">
        <v>4</v>
      </c>
      <c r="J8" s="57" t="s">
        <v>6</v>
      </c>
      <c r="K8" s="58" t="s">
        <v>7</v>
      </c>
      <c r="L8" s="58" t="s">
        <v>8</v>
      </c>
      <c r="M8" s="59" t="s">
        <v>9</v>
      </c>
    </row>
    <row r="9" spans="1:249" s="15" customFormat="1" ht="15" customHeight="1" x14ac:dyDescent="0.25">
      <c r="A9" s="38"/>
      <c r="B9" s="60" t="s">
        <v>730</v>
      </c>
      <c r="C9" s="61"/>
      <c r="D9" s="62">
        <f>SUM(D10:D132)</f>
        <v>0</v>
      </c>
      <c r="E9" s="61"/>
      <c r="F9" s="61"/>
      <c r="G9" s="61"/>
      <c r="H9" s="61"/>
      <c r="I9" s="81">
        <v>12</v>
      </c>
      <c r="J9" s="94">
        <f t="shared" ref="J9:J40" si="0">D9/I9</f>
        <v>0</v>
      </c>
      <c r="K9" s="61"/>
      <c r="L9" s="61"/>
      <c r="M9" s="63"/>
    </row>
    <row r="10" spans="1:249" s="15" customFormat="1" ht="15" customHeight="1" x14ac:dyDescent="0.25">
      <c r="A10" s="38"/>
      <c r="B10" s="68">
        <v>502001</v>
      </c>
      <c r="C10" s="65" t="s">
        <v>601</v>
      </c>
      <c r="D10" s="2"/>
      <c r="E10" s="66">
        <v>36.9</v>
      </c>
      <c r="F10" s="66">
        <v>40.6</v>
      </c>
      <c r="G10" s="226" t="str">
        <f t="shared" ref="G10:G41" si="1">VLOOKUP(B10,EAN,3,0)</f>
        <v>8435057015233</v>
      </c>
      <c r="H10" s="64" t="s">
        <v>600</v>
      </c>
      <c r="I10" s="64">
        <v>12</v>
      </c>
      <c r="J10" s="189">
        <f t="shared" si="0"/>
        <v>0</v>
      </c>
      <c r="K10" s="67">
        <f>'RESUMEN PEDIDO'!$C$29</f>
        <v>0</v>
      </c>
      <c r="L10" s="67">
        <f>'RESUMEN PEDIDO'!$C$30</f>
        <v>0</v>
      </c>
      <c r="M10" s="66">
        <f t="shared" ref="M10:M41" si="2">(D10*(E10-(E10*K10)))-(D10*(E10-(E10*K10)))*L10</f>
        <v>0</v>
      </c>
    </row>
    <row r="11" spans="1:249" s="15" customFormat="1" ht="15" customHeight="1" x14ac:dyDescent="0.25">
      <c r="A11" s="38"/>
      <c r="B11" s="68">
        <v>502002</v>
      </c>
      <c r="C11" s="65" t="s">
        <v>602</v>
      </c>
      <c r="D11" s="2"/>
      <c r="E11" s="66">
        <v>36.9</v>
      </c>
      <c r="F11" s="66">
        <v>40.6</v>
      </c>
      <c r="G11" s="226" t="str">
        <f t="shared" si="1"/>
        <v>8435057015240</v>
      </c>
      <c r="H11" s="64" t="s">
        <v>600</v>
      </c>
      <c r="I11" s="64">
        <v>12</v>
      </c>
      <c r="J11" s="189">
        <f t="shared" si="0"/>
        <v>0</v>
      </c>
      <c r="K11" s="67">
        <f>'RESUMEN PEDIDO'!$C$29</f>
        <v>0</v>
      </c>
      <c r="L11" s="67">
        <f>'RESUMEN PEDIDO'!$C$30</f>
        <v>0</v>
      </c>
      <c r="M11" s="66">
        <f t="shared" si="2"/>
        <v>0</v>
      </c>
    </row>
    <row r="12" spans="1:249" s="15" customFormat="1" ht="15" customHeight="1" x14ac:dyDescent="0.25">
      <c r="A12" s="38"/>
      <c r="B12" s="68">
        <v>502003</v>
      </c>
      <c r="C12" s="65" t="s">
        <v>603</v>
      </c>
      <c r="D12" s="2"/>
      <c r="E12" s="66">
        <v>36.9</v>
      </c>
      <c r="F12" s="66">
        <v>40.6</v>
      </c>
      <c r="G12" s="226" t="str">
        <f t="shared" si="1"/>
        <v>8435057015257</v>
      </c>
      <c r="H12" s="64" t="s">
        <v>600</v>
      </c>
      <c r="I12" s="64">
        <v>12</v>
      </c>
      <c r="J12" s="189">
        <f t="shared" si="0"/>
        <v>0</v>
      </c>
      <c r="K12" s="67">
        <f>'RESUMEN PEDIDO'!$C$29</f>
        <v>0</v>
      </c>
      <c r="L12" s="67">
        <f>'RESUMEN PEDIDO'!$C$30</f>
        <v>0</v>
      </c>
      <c r="M12" s="66">
        <f t="shared" si="2"/>
        <v>0</v>
      </c>
    </row>
    <row r="13" spans="1:249" s="15" customFormat="1" ht="15" customHeight="1" x14ac:dyDescent="0.25">
      <c r="A13" s="38"/>
      <c r="B13" s="68">
        <v>502004</v>
      </c>
      <c r="C13" s="65" t="s">
        <v>604</v>
      </c>
      <c r="D13" s="2"/>
      <c r="E13" s="66">
        <v>36.9</v>
      </c>
      <c r="F13" s="66">
        <v>40.6</v>
      </c>
      <c r="G13" s="226" t="str">
        <f t="shared" si="1"/>
        <v>8435057015264</v>
      </c>
      <c r="H13" s="64" t="s">
        <v>600</v>
      </c>
      <c r="I13" s="64">
        <v>12</v>
      </c>
      <c r="J13" s="189">
        <f t="shared" si="0"/>
        <v>0</v>
      </c>
      <c r="K13" s="67">
        <f>'RESUMEN PEDIDO'!$C$29</f>
        <v>0</v>
      </c>
      <c r="L13" s="67">
        <f>'RESUMEN PEDIDO'!$C$30</f>
        <v>0</v>
      </c>
      <c r="M13" s="66">
        <f t="shared" si="2"/>
        <v>0</v>
      </c>
    </row>
    <row r="14" spans="1:249" s="15" customFormat="1" ht="15" customHeight="1" x14ac:dyDescent="0.25">
      <c r="A14" s="38"/>
      <c r="B14" s="68">
        <v>502005</v>
      </c>
      <c r="C14" s="65" t="s">
        <v>605</v>
      </c>
      <c r="D14" s="2"/>
      <c r="E14" s="66">
        <v>36.9</v>
      </c>
      <c r="F14" s="66">
        <v>40.6</v>
      </c>
      <c r="G14" s="226" t="str">
        <f t="shared" si="1"/>
        <v>8435057015271</v>
      </c>
      <c r="H14" s="64" t="s">
        <v>600</v>
      </c>
      <c r="I14" s="64">
        <v>12</v>
      </c>
      <c r="J14" s="189">
        <f t="shared" si="0"/>
        <v>0</v>
      </c>
      <c r="K14" s="67">
        <f>'RESUMEN PEDIDO'!$C$29</f>
        <v>0</v>
      </c>
      <c r="L14" s="67">
        <f>'RESUMEN PEDIDO'!$C$30</f>
        <v>0</v>
      </c>
      <c r="M14" s="66">
        <f t="shared" si="2"/>
        <v>0</v>
      </c>
    </row>
    <row r="15" spans="1:249" s="15" customFormat="1" ht="15" customHeight="1" x14ac:dyDescent="0.25">
      <c r="A15" s="38"/>
      <c r="B15" s="68">
        <v>502006</v>
      </c>
      <c r="C15" s="65" t="s">
        <v>606</v>
      </c>
      <c r="D15" s="2"/>
      <c r="E15" s="66">
        <v>36.9</v>
      </c>
      <c r="F15" s="66">
        <v>40.6</v>
      </c>
      <c r="G15" s="226" t="str">
        <f t="shared" si="1"/>
        <v>8435057015288</v>
      </c>
      <c r="H15" s="64" t="s">
        <v>600</v>
      </c>
      <c r="I15" s="64">
        <v>12</v>
      </c>
      <c r="J15" s="189">
        <f t="shared" si="0"/>
        <v>0</v>
      </c>
      <c r="K15" s="67">
        <f>'RESUMEN PEDIDO'!$C$29</f>
        <v>0</v>
      </c>
      <c r="L15" s="67">
        <f>'RESUMEN PEDIDO'!$C$30</f>
        <v>0</v>
      </c>
      <c r="M15" s="66">
        <f t="shared" si="2"/>
        <v>0</v>
      </c>
    </row>
    <row r="16" spans="1:249" s="15" customFormat="1" ht="15" customHeight="1" x14ac:dyDescent="0.25">
      <c r="A16" s="38"/>
      <c r="B16" s="68">
        <v>502007</v>
      </c>
      <c r="C16" s="65" t="s">
        <v>607</v>
      </c>
      <c r="D16" s="2"/>
      <c r="E16" s="66">
        <v>36.9</v>
      </c>
      <c r="F16" s="66">
        <v>40.6</v>
      </c>
      <c r="G16" s="226" t="str">
        <f t="shared" si="1"/>
        <v>8435057015295</v>
      </c>
      <c r="H16" s="64" t="s">
        <v>600</v>
      </c>
      <c r="I16" s="64">
        <v>12</v>
      </c>
      <c r="J16" s="189">
        <f t="shared" si="0"/>
        <v>0</v>
      </c>
      <c r="K16" s="67">
        <f>'RESUMEN PEDIDO'!$C$29</f>
        <v>0</v>
      </c>
      <c r="L16" s="67">
        <f>'RESUMEN PEDIDO'!$C$30</f>
        <v>0</v>
      </c>
      <c r="M16" s="66">
        <f t="shared" si="2"/>
        <v>0</v>
      </c>
    </row>
    <row r="17" spans="1:13" s="15" customFormat="1" ht="15" customHeight="1" x14ac:dyDescent="0.25">
      <c r="A17" s="38"/>
      <c r="B17" s="68">
        <v>502008</v>
      </c>
      <c r="C17" s="65" t="s">
        <v>608</v>
      </c>
      <c r="D17" s="2"/>
      <c r="E17" s="66">
        <v>36.9</v>
      </c>
      <c r="F17" s="66">
        <v>40.6</v>
      </c>
      <c r="G17" s="226" t="str">
        <f t="shared" si="1"/>
        <v>8435057015301</v>
      </c>
      <c r="H17" s="64" t="s">
        <v>600</v>
      </c>
      <c r="I17" s="64">
        <v>12</v>
      </c>
      <c r="J17" s="189">
        <f t="shared" si="0"/>
        <v>0</v>
      </c>
      <c r="K17" s="67">
        <f>'RESUMEN PEDIDO'!$C$29</f>
        <v>0</v>
      </c>
      <c r="L17" s="67">
        <f>'RESUMEN PEDIDO'!$C$30</f>
        <v>0</v>
      </c>
      <c r="M17" s="66">
        <f t="shared" si="2"/>
        <v>0</v>
      </c>
    </row>
    <row r="18" spans="1:13" s="15" customFormat="1" ht="15" customHeight="1" x14ac:dyDescent="0.25">
      <c r="A18" s="38"/>
      <c r="B18" s="68">
        <v>502009</v>
      </c>
      <c r="C18" s="65" t="s">
        <v>609</v>
      </c>
      <c r="D18" s="2"/>
      <c r="E18" s="66">
        <v>36.9</v>
      </c>
      <c r="F18" s="66">
        <v>40.6</v>
      </c>
      <c r="G18" s="226" t="str">
        <f t="shared" si="1"/>
        <v>8435057015318</v>
      </c>
      <c r="H18" s="64" t="s">
        <v>600</v>
      </c>
      <c r="I18" s="64">
        <v>12</v>
      </c>
      <c r="J18" s="189">
        <f t="shared" si="0"/>
        <v>0</v>
      </c>
      <c r="K18" s="67">
        <f>'RESUMEN PEDIDO'!$C$29</f>
        <v>0</v>
      </c>
      <c r="L18" s="67">
        <f>'RESUMEN PEDIDO'!$C$30</f>
        <v>0</v>
      </c>
      <c r="M18" s="66">
        <f t="shared" si="2"/>
        <v>0</v>
      </c>
    </row>
    <row r="19" spans="1:13" s="15" customFormat="1" ht="15" customHeight="1" x14ac:dyDescent="0.25">
      <c r="A19" s="38"/>
      <c r="B19" s="68">
        <v>502010</v>
      </c>
      <c r="C19" s="65" t="s">
        <v>610</v>
      </c>
      <c r="D19" s="2"/>
      <c r="E19" s="66">
        <v>36.9</v>
      </c>
      <c r="F19" s="66">
        <v>40.6</v>
      </c>
      <c r="G19" s="226" t="str">
        <f t="shared" si="1"/>
        <v>8435057015325</v>
      </c>
      <c r="H19" s="64" t="s">
        <v>600</v>
      </c>
      <c r="I19" s="64">
        <v>12</v>
      </c>
      <c r="J19" s="189">
        <f t="shared" si="0"/>
        <v>0</v>
      </c>
      <c r="K19" s="67">
        <f>'RESUMEN PEDIDO'!$C$29</f>
        <v>0</v>
      </c>
      <c r="L19" s="67">
        <f>'RESUMEN PEDIDO'!$C$30</f>
        <v>0</v>
      </c>
      <c r="M19" s="66">
        <f t="shared" si="2"/>
        <v>0</v>
      </c>
    </row>
    <row r="20" spans="1:13" s="15" customFormat="1" ht="15" customHeight="1" x14ac:dyDescent="0.25">
      <c r="A20" s="38"/>
      <c r="B20" s="68">
        <v>502011</v>
      </c>
      <c r="C20" s="65" t="s">
        <v>15191</v>
      </c>
      <c r="D20" s="2"/>
      <c r="E20" s="66">
        <v>36.9</v>
      </c>
      <c r="F20" s="66">
        <v>40.6</v>
      </c>
      <c r="G20" s="226" t="str">
        <f t="shared" si="1"/>
        <v>8435057015332</v>
      </c>
      <c r="H20" s="64" t="s">
        <v>600</v>
      </c>
      <c r="I20" s="64">
        <v>12</v>
      </c>
      <c r="J20" s="189">
        <f t="shared" si="0"/>
        <v>0</v>
      </c>
      <c r="K20" s="67">
        <f>'RESUMEN PEDIDO'!$C$29</f>
        <v>0</v>
      </c>
      <c r="L20" s="67">
        <f>'RESUMEN PEDIDO'!$C$30</f>
        <v>0</v>
      </c>
      <c r="M20" s="66">
        <f t="shared" si="2"/>
        <v>0</v>
      </c>
    </row>
    <row r="21" spans="1:13" s="15" customFormat="1" ht="15" customHeight="1" x14ac:dyDescent="0.25">
      <c r="A21" s="38"/>
      <c r="B21" s="68">
        <v>502012</v>
      </c>
      <c r="C21" s="65" t="s">
        <v>611</v>
      </c>
      <c r="D21" s="2"/>
      <c r="E21" s="66">
        <v>36.9</v>
      </c>
      <c r="F21" s="66">
        <v>40.6</v>
      </c>
      <c r="G21" s="226" t="str">
        <f t="shared" si="1"/>
        <v>8435057015349</v>
      </c>
      <c r="H21" s="64" t="s">
        <v>600</v>
      </c>
      <c r="I21" s="64">
        <v>12</v>
      </c>
      <c r="J21" s="189">
        <f t="shared" si="0"/>
        <v>0</v>
      </c>
      <c r="K21" s="67">
        <f>'RESUMEN PEDIDO'!$C$29</f>
        <v>0</v>
      </c>
      <c r="L21" s="67">
        <f>'RESUMEN PEDIDO'!$C$30</f>
        <v>0</v>
      </c>
      <c r="M21" s="66">
        <f t="shared" si="2"/>
        <v>0</v>
      </c>
    </row>
    <row r="22" spans="1:13" s="15" customFormat="1" ht="15" customHeight="1" x14ac:dyDescent="0.25">
      <c r="A22" s="38"/>
      <c r="B22" s="68">
        <v>502013</v>
      </c>
      <c r="C22" s="65" t="s">
        <v>612</v>
      </c>
      <c r="D22" s="2"/>
      <c r="E22" s="66">
        <v>36.9</v>
      </c>
      <c r="F22" s="66">
        <v>40.6</v>
      </c>
      <c r="G22" s="226" t="str">
        <f t="shared" si="1"/>
        <v>8435057015356</v>
      </c>
      <c r="H22" s="64" t="s">
        <v>600</v>
      </c>
      <c r="I22" s="64">
        <v>12</v>
      </c>
      <c r="J22" s="189">
        <f t="shared" si="0"/>
        <v>0</v>
      </c>
      <c r="K22" s="67">
        <f>'RESUMEN PEDIDO'!$C$29</f>
        <v>0</v>
      </c>
      <c r="L22" s="67">
        <f>'RESUMEN PEDIDO'!$C$30</f>
        <v>0</v>
      </c>
      <c r="M22" s="66">
        <f t="shared" si="2"/>
        <v>0</v>
      </c>
    </row>
    <row r="23" spans="1:13" s="15" customFormat="1" ht="15" customHeight="1" x14ac:dyDescent="0.25">
      <c r="A23" s="38"/>
      <c r="B23" s="68">
        <v>502014</v>
      </c>
      <c r="C23" s="65" t="s">
        <v>613</v>
      </c>
      <c r="D23" s="2"/>
      <c r="E23" s="66">
        <v>36.9</v>
      </c>
      <c r="F23" s="66">
        <v>40.6</v>
      </c>
      <c r="G23" s="226" t="str">
        <f t="shared" si="1"/>
        <v>8435057015363</v>
      </c>
      <c r="H23" s="64" t="s">
        <v>600</v>
      </c>
      <c r="I23" s="64">
        <v>12</v>
      </c>
      <c r="J23" s="189">
        <f t="shared" si="0"/>
        <v>0</v>
      </c>
      <c r="K23" s="67">
        <f>'RESUMEN PEDIDO'!$C$29</f>
        <v>0</v>
      </c>
      <c r="L23" s="67">
        <f>'RESUMEN PEDIDO'!$C$30</f>
        <v>0</v>
      </c>
      <c r="M23" s="66">
        <f t="shared" si="2"/>
        <v>0</v>
      </c>
    </row>
    <row r="24" spans="1:13" s="15" customFormat="1" ht="15" customHeight="1" x14ac:dyDescent="0.25">
      <c r="A24" s="38"/>
      <c r="B24" s="68">
        <v>502015</v>
      </c>
      <c r="C24" s="65" t="s">
        <v>614</v>
      </c>
      <c r="D24" s="2"/>
      <c r="E24" s="66">
        <v>36.9</v>
      </c>
      <c r="F24" s="66">
        <v>40.6</v>
      </c>
      <c r="G24" s="226" t="str">
        <f t="shared" si="1"/>
        <v>8435057015370</v>
      </c>
      <c r="H24" s="64" t="s">
        <v>600</v>
      </c>
      <c r="I24" s="64">
        <v>12</v>
      </c>
      <c r="J24" s="189">
        <f t="shared" si="0"/>
        <v>0</v>
      </c>
      <c r="K24" s="67">
        <f>'RESUMEN PEDIDO'!$C$29</f>
        <v>0</v>
      </c>
      <c r="L24" s="67">
        <f>'RESUMEN PEDIDO'!$C$30</f>
        <v>0</v>
      </c>
      <c r="M24" s="66">
        <f t="shared" si="2"/>
        <v>0</v>
      </c>
    </row>
    <row r="25" spans="1:13" s="15" customFormat="1" ht="15" customHeight="1" x14ac:dyDescent="0.25">
      <c r="A25" s="38"/>
      <c r="B25" s="68">
        <v>502016</v>
      </c>
      <c r="C25" s="65" t="s">
        <v>615</v>
      </c>
      <c r="D25" s="2"/>
      <c r="E25" s="66">
        <v>36.9</v>
      </c>
      <c r="F25" s="66">
        <v>40.6</v>
      </c>
      <c r="G25" s="226" t="str">
        <f t="shared" si="1"/>
        <v>8435057015387</v>
      </c>
      <c r="H25" s="64" t="s">
        <v>600</v>
      </c>
      <c r="I25" s="64">
        <v>12</v>
      </c>
      <c r="J25" s="189">
        <f t="shared" si="0"/>
        <v>0</v>
      </c>
      <c r="K25" s="67">
        <f>'RESUMEN PEDIDO'!$C$29</f>
        <v>0</v>
      </c>
      <c r="L25" s="67">
        <f>'RESUMEN PEDIDO'!$C$30</f>
        <v>0</v>
      </c>
      <c r="M25" s="66">
        <f t="shared" si="2"/>
        <v>0</v>
      </c>
    </row>
    <row r="26" spans="1:13" s="15" customFormat="1" ht="15" customHeight="1" x14ac:dyDescent="0.25">
      <c r="A26" s="38"/>
      <c r="B26" s="68">
        <v>502017</v>
      </c>
      <c r="C26" s="65" t="s">
        <v>616</v>
      </c>
      <c r="D26" s="2"/>
      <c r="E26" s="66">
        <v>36.9</v>
      </c>
      <c r="F26" s="66">
        <v>40.6</v>
      </c>
      <c r="G26" s="226" t="str">
        <f t="shared" si="1"/>
        <v>8435057015394</v>
      </c>
      <c r="H26" s="64" t="s">
        <v>600</v>
      </c>
      <c r="I26" s="64">
        <v>12</v>
      </c>
      <c r="J26" s="189">
        <f t="shared" si="0"/>
        <v>0</v>
      </c>
      <c r="K26" s="67">
        <f>'RESUMEN PEDIDO'!$C$29</f>
        <v>0</v>
      </c>
      <c r="L26" s="67">
        <f>'RESUMEN PEDIDO'!$C$30</f>
        <v>0</v>
      </c>
      <c r="M26" s="66">
        <f t="shared" si="2"/>
        <v>0</v>
      </c>
    </row>
    <row r="27" spans="1:13" s="15" customFormat="1" ht="15" customHeight="1" x14ac:dyDescent="0.25">
      <c r="A27" s="38"/>
      <c r="B27" s="68">
        <v>502018</v>
      </c>
      <c r="C27" s="65" t="s">
        <v>617</v>
      </c>
      <c r="D27" s="2"/>
      <c r="E27" s="66">
        <v>36.9</v>
      </c>
      <c r="F27" s="66">
        <v>40.6</v>
      </c>
      <c r="G27" s="226" t="str">
        <f t="shared" si="1"/>
        <v>8435057015400</v>
      </c>
      <c r="H27" s="64" t="s">
        <v>600</v>
      </c>
      <c r="I27" s="64">
        <v>12</v>
      </c>
      <c r="J27" s="189">
        <f t="shared" si="0"/>
        <v>0</v>
      </c>
      <c r="K27" s="67">
        <f>'RESUMEN PEDIDO'!$C$29</f>
        <v>0</v>
      </c>
      <c r="L27" s="67">
        <f>'RESUMEN PEDIDO'!$C$30</f>
        <v>0</v>
      </c>
      <c r="M27" s="66">
        <f t="shared" si="2"/>
        <v>0</v>
      </c>
    </row>
    <row r="28" spans="1:13" s="15" customFormat="1" ht="15" customHeight="1" x14ac:dyDescent="0.25">
      <c r="A28" s="38"/>
      <c r="B28" s="68">
        <v>502019</v>
      </c>
      <c r="C28" s="65" t="s">
        <v>618</v>
      </c>
      <c r="D28" s="2"/>
      <c r="E28" s="66">
        <v>36.9</v>
      </c>
      <c r="F28" s="66">
        <v>40.6</v>
      </c>
      <c r="G28" s="226" t="str">
        <f t="shared" si="1"/>
        <v>8435057015417</v>
      </c>
      <c r="H28" s="64" t="s">
        <v>600</v>
      </c>
      <c r="I28" s="64">
        <v>12</v>
      </c>
      <c r="J28" s="189">
        <f t="shared" si="0"/>
        <v>0</v>
      </c>
      <c r="K28" s="67">
        <f>'RESUMEN PEDIDO'!$C$29</f>
        <v>0</v>
      </c>
      <c r="L28" s="67">
        <f>'RESUMEN PEDIDO'!$C$30</f>
        <v>0</v>
      </c>
      <c r="M28" s="66">
        <f t="shared" si="2"/>
        <v>0</v>
      </c>
    </row>
    <row r="29" spans="1:13" s="15" customFormat="1" ht="15" customHeight="1" x14ac:dyDescent="0.25">
      <c r="A29" s="38"/>
      <c r="B29" s="68">
        <v>502020</v>
      </c>
      <c r="C29" s="65" t="s">
        <v>619</v>
      </c>
      <c r="D29" s="2"/>
      <c r="E29" s="66">
        <v>36.9</v>
      </c>
      <c r="F29" s="66">
        <v>40.6</v>
      </c>
      <c r="G29" s="226" t="str">
        <f t="shared" si="1"/>
        <v>8435057015424</v>
      </c>
      <c r="H29" s="64" t="s">
        <v>600</v>
      </c>
      <c r="I29" s="64">
        <v>12</v>
      </c>
      <c r="J29" s="189">
        <f t="shared" si="0"/>
        <v>0</v>
      </c>
      <c r="K29" s="67">
        <f>'RESUMEN PEDIDO'!$C$29</f>
        <v>0</v>
      </c>
      <c r="L29" s="67">
        <f>'RESUMEN PEDIDO'!$C$30</f>
        <v>0</v>
      </c>
      <c r="M29" s="66">
        <f t="shared" si="2"/>
        <v>0</v>
      </c>
    </row>
    <row r="30" spans="1:13" s="15" customFormat="1" ht="15" customHeight="1" x14ac:dyDescent="0.25">
      <c r="A30" s="38"/>
      <c r="B30" s="68">
        <v>502021</v>
      </c>
      <c r="C30" s="65" t="s">
        <v>620</v>
      </c>
      <c r="D30" s="2"/>
      <c r="E30" s="66">
        <v>36.9</v>
      </c>
      <c r="F30" s="66">
        <v>40.6</v>
      </c>
      <c r="G30" s="226" t="str">
        <f t="shared" si="1"/>
        <v>8435057015431</v>
      </c>
      <c r="H30" s="64" t="s">
        <v>600</v>
      </c>
      <c r="I30" s="64">
        <v>12</v>
      </c>
      <c r="J30" s="189">
        <f t="shared" si="0"/>
        <v>0</v>
      </c>
      <c r="K30" s="67">
        <f>'RESUMEN PEDIDO'!$C$29</f>
        <v>0</v>
      </c>
      <c r="L30" s="67">
        <f>'RESUMEN PEDIDO'!$C$30</f>
        <v>0</v>
      </c>
      <c r="M30" s="66">
        <f t="shared" si="2"/>
        <v>0</v>
      </c>
    </row>
    <row r="31" spans="1:13" s="15" customFormat="1" ht="15" customHeight="1" x14ac:dyDescent="0.25">
      <c r="A31" s="38"/>
      <c r="B31" s="68">
        <v>502022</v>
      </c>
      <c r="C31" s="65" t="s">
        <v>621</v>
      </c>
      <c r="D31" s="2"/>
      <c r="E31" s="66">
        <v>36.9</v>
      </c>
      <c r="F31" s="66">
        <v>40.6</v>
      </c>
      <c r="G31" s="226" t="str">
        <f t="shared" si="1"/>
        <v>8435057015448</v>
      </c>
      <c r="H31" s="64" t="s">
        <v>600</v>
      </c>
      <c r="I31" s="64">
        <v>12</v>
      </c>
      <c r="J31" s="189">
        <f t="shared" si="0"/>
        <v>0</v>
      </c>
      <c r="K31" s="67">
        <f>'RESUMEN PEDIDO'!$C$29</f>
        <v>0</v>
      </c>
      <c r="L31" s="67">
        <f>'RESUMEN PEDIDO'!$C$30</f>
        <v>0</v>
      </c>
      <c r="M31" s="66">
        <f t="shared" si="2"/>
        <v>0</v>
      </c>
    </row>
    <row r="32" spans="1:13" s="15" customFormat="1" ht="15" customHeight="1" x14ac:dyDescent="0.25">
      <c r="A32" s="38"/>
      <c r="B32" s="68">
        <v>502023</v>
      </c>
      <c r="C32" s="65" t="s">
        <v>622</v>
      </c>
      <c r="D32" s="2"/>
      <c r="E32" s="66">
        <v>36.9</v>
      </c>
      <c r="F32" s="66">
        <v>40.6</v>
      </c>
      <c r="G32" s="226" t="str">
        <f t="shared" si="1"/>
        <v>8435057015455</v>
      </c>
      <c r="H32" s="64" t="s">
        <v>600</v>
      </c>
      <c r="I32" s="64">
        <v>12</v>
      </c>
      <c r="J32" s="189">
        <f t="shared" si="0"/>
        <v>0</v>
      </c>
      <c r="K32" s="67">
        <f>'RESUMEN PEDIDO'!$C$29</f>
        <v>0</v>
      </c>
      <c r="L32" s="67">
        <f>'RESUMEN PEDIDO'!$C$30</f>
        <v>0</v>
      </c>
      <c r="M32" s="66">
        <f t="shared" si="2"/>
        <v>0</v>
      </c>
    </row>
    <row r="33" spans="1:13" s="15" customFormat="1" ht="15" customHeight="1" x14ac:dyDescent="0.25">
      <c r="A33" s="38"/>
      <c r="B33" s="68">
        <v>502024</v>
      </c>
      <c r="C33" s="65" t="s">
        <v>623</v>
      </c>
      <c r="D33" s="2"/>
      <c r="E33" s="66">
        <v>36.9</v>
      </c>
      <c r="F33" s="66">
        <v>40.6</v>
      </c>
      <c r="G33" s="226" t="str">
        <f t="shared" si="1"/>
        <v>8435057015462</v>
      </c>
      <c r="H33" s="64" t="s">
        <v>600</v>
      </c>
      <c r="I33" s="64">
        <v>12</v>
      </c>
      <c r="J33" s="189">
        <f t="shared" si="0"/>
        <v>0</v>
      </c>
      <c r="K33" s="67">
        <f>'RESUMEN PEDIDO'!$C$29</f>
        <v>0</v>
      </c>
      <c r="L33" s="67">
        <f>'RESUMEN PEDIDO'!$C$30</f>
        <v>0</v>
      </c>
      <c r="M33" s="66">
        <f t="shared" si="2"/>
        <v>0</v>
      </c>
    </row>
    <row r="34" spans="1:13" s="15" customFormat="1" ht="15" customHeight="1" x14ac:dyDescent="0.25">
      <c r="A34" s="38"/>
      <c r="B34" s="68">
        <v>502025</v>
      </c>
      <c r="C34" s="65" t="s">
        <v>624</v>
      </c>
      <c r="D34" s="2"/>
      <c r="E34" s="66">
        <v>36.9</v>
      </c>
      <c r="F34" s="66">
        <v>40.6</v>
      </c>
      <c r="G34" s="226" t="str">
        <f t="shared" si="1"/>
        <v>8435057015479</v>
      </c>
      <c r="H34" s="64" t="s">
        <v>600</v>
      </c>
      <c r="I34" s="64">
        <v>12</v>
      </c>
      <c r="J34" s="189">
        <f t="shared" si="0"/>
        <v>0</v>
      </c>
      <c r="K34" s="67">
        <f>'RESUMEN PEDIDO'!$C$29</f>
        <v>0</v>
      </c>
      <c r="L34" s="67">
        <f>'RESUMEN PEDIDO'!$C$30</f>
        <v>0</v>
      </c>
      <c r="M34" s="66">
        <f t="shared" si="2"/>
        <v>0</v>
      </c>
    </row>
    <row r="35" spans="1:13" s="15" customFormat="1" ht="15" customHeight="1" x14ac:dyDescent="0.25">
      <c r="A35" s="38"/>
      <c r="B35" s="68">
        <v>502026</v>
      </c>
      <c r="C35" s="65" t="s">
        <v>625</v>
      </c>
      <c r="D35" s="2"/>
      <c r="E35" s="66">
        <v>36.9</v>
      </c>
      <c r="F35" s="66">
        <v>40.6</v>
      </c>
      <c r="G35" s="226" t="str">
        <f t="shared" si="1"/>
        <v>8435057015486</v>
      </c>
      <c r="H35" s="64" t="s">
        <v>600</v>
      </c>
      <c r="I35" s="64">
        <v>12</v>
      </c>
      <c r="J35" s="189">
        <f t="shared" si="0"/>
        <v>0</v>
      </c>
      <c r="K35" s="67">
        <f>'RESUMEN PEDIDO'!$C$29</f>
        <v>0</v>
      </c>
      <c r="L35" s="67">
        <f>'RESUMEN PEDIDO'!$C$30</f>
        <v>0</v>
      </c>
      <c r="M35" s="66">
        <f t="shared" si="2"/>
        <v>0</v>
      </c>
    </row>
    <row r="36" spans="1:13" s="15" customFormat="1" ht="15" customHeight="1" x14ac:dyDescent="0.25">
      <c r="A36" s="38"/>
      <c r="B36" s="68">
        <v>502027</v>
      </c>
      <c r="C36" s="65" t="s">
        <v>626</v>
      </c>
      <c r="D36" s="2"/>
      <c r="E36" s="66">
        <v>36.9</v>
      </c>
      <c r="F36" s="66">
        <v>40.6</v>
      </c>
      <c r="G36" s="226" t="str">
        <f t="shared" si="1"/>
        <v>8435057015493</v>
      </c>
      <c r="H36" s="64" t="s">
        <v>600</v>
      </c>
      <c r="I36" s="64">
        <v>12</v>
      </c>
      <c r="J36" s="189">
        <f t="shared" si="0"/>
        <v>0</v>
      </c>
      <c r="K36" s="67">
        <f>'RESUMEN PEDIDO'!$C$29</f>
        <v>0</v>
      </c>
      <c r="L36" s="67">
        <f>'RESUMEN PEDIDO'!$C$30</f>
        <v>0</v>
      </c>
      <c r="M36" s="66">
        <f t="shared" si="2"/>
        <v>0</v>
      </c>
    </row>
    <row r="37" spans="1:13" s="15" customFormat="1" ht="15" customHeight="1" x14ac:dyDescent="0.25">
      <c r="A37" s="38"/>
      <c r="B37" s="68">
        <v>502028</v>
      </c>
      <c r="C37" s="65" t="s">
        <v>627</v>
      </c>
      <c r="D37" s="2"/>
      <c r="E37" s="66">
        <v>36.9</v>
      </c>
      <c r="F37" s="66">
        <v>40.6</v>
      </c>
      <c r="G37" s="226" t="str">
        <f t="shared" si="1"/>
        <v>8435057015509</v>
      </c>
      <c r="H37" s="64" t="s">
        <v>600</v>
      </c>
      <c r="I37" s="64">
        <v>12</v>
      </c>
      <c r="J37" s="189">
        <f t="shared" si="0"/>
        <v>0</v>
      </c>
      <c r="K37" s="67">
        <f>'RESUMEN PEDIDO'!$C$29</f>
        <v>0</v>
      </c>
      <c r="L37" s="67">
        <f>'RESUMEN PEDIDO'!$C$30</f>
        <v>0</v>
      </c>
      <c r="M37" s="66">
        <f t="shared" si="2"/>
        <v>0</v>
      </c>
    </row>
    <row r="38" spans="1:13" s="15" customFormat="1" ht="15" customHeight="1" x14ac:dyDescent="0.25">
      <c r="A38" s="38"/>
      <c r="B38" s="68">
        <v>502029</v>
      </c>
      <c r="C38" s="65" t="s">
        <v>628</v>
      </c>
      <c r="D38" s="2"/>
      <c r="E38" s="66">
        <v>36.9</v>
      </c>
      <c r="F38" s="66">
        <v>40.6</v>
      </c>
      <c r="G38" s="226" t="str">
        <f t="shared" si="1"/>
        <v>8435057015516</v>
      </c>
      <c r="H38" s="64" t="s">
        <v>600</v>
      </c>
      <c r="I38" s="64">
        <v>12</v>
      </c>
      <c r="J38" s="189">
        <f t="shared" si="0"/>
        <v>0</v>
      </c>
      <c r="K38" s="67">
        <f>'RESUMEN PEDIDO'!$C$29</f>
        <v>0</v>
      </c>
      <c r="L38" s="67">
        <f>'RESUMEN PEDIDO'!$C$30</f>
        <v>0</v>
      </c>
      <c r="M38" s="66">
        <f t="shared" si="2"/>
        <v>0</v>
      </c>
    </row>
    <row r="39" spans="1:13" s="15" customFormat="1" ht="15" customHeight="1" x14ac:dyDescent="0.25">
      <c r="A39" s="38"/>
      <c r="B39" s="68">
        <v>502030</v>
      </c>
      <c r="C39" s="65" t="s">
        <v>629</v>
      </c>
      <c r="D39" s="2"/>
      <c r="E39" s="66">
        <v>36.9</v>
      </c>
      <c r="F39" s="66">
        <v>40.6</v>
      </c>
      <c r="G39" s="226" t="str">
        <f t="shared" si="1"/>
        <v>8435057015523</v>
      </c>
      <c r="H39" s="64" t="s">
        <v>600</v>
      </c>
      <c r="I39" s="64">
        <v>12</v>
      </c>
      <c r="J39" s="189">
        <f t="shared" si="0"/>
        <v>0</v>
      </c>
      <c r="K39" s="67">
        <f>'RESUMEN PEDIDO'!$C$29</f>
        <v>0</v>
      </c>
      <c r="L39" s="67">
        <f>'RESUMEN PEDIDO'!$C$30</f>
        <v>0</v>
      </c>
      <c r="M39" s="66">
        <f t="shared" si="2"/>
        <v>0</v>
      </c>
    </row>
    <row r="40" spans="1:13" s="15" customFormat="1" ht="15" customHeight="1" x14ac:dyDescent="0.25">
      <c r="A40" s="38"/>
      <c r="B40" s="68">
        <v>502031</v>
      </c>
      <c r="C40" s="65" t="s">
        <v>630</v>
      </c>
      <c r="D40" s="2"/>
      <c r="E40" s="66">
        <v>36.9</v>
      </c>
      <c r="F40" s="66">
        <v>40.6</v>
      </c>
      <c r="G40" s="226" t="str">
        <f t="shared" si="1"/>
        <v>8435057015530</v>
      </c>
      <c r="H40" s="64" t="s">
        <v>600</v>
      </c>
      <c r="I40" s="64">
        <v>12</v>
      </c>
      <c r="J40" s="189">
        <f t="shared" si="0"/>
        <v>0</v>
      </c>
      <c r="K40" s="67">
        <f>'RESUMEN PEDIDO'!$C$29</f>
        <v>0</v>
      </c>
      <c r="L40" s="67">
        <f>'RESUMEN PEDIDO'!$C$30</f>
        <v>0</v>
      </c>
      <c r="M40" s="66">
        <f t="shared" si="2"/>
        <v>0</v>
      </c>
    </row>
    <row r="41" spans="1:13" s="15" customFormat="1" ht="15" customHeight="1" x14ac:dyDescent="0.25">
      <c r="A41" s="38"/>
      <c r="B41" s="68">
        <v>502032</v>
      </c>
      <c r="C41" s="65" t="s">
        <v>631</v>
      </c>
      <c r="D41" s="2"/>
      <c r="E41" s="66">
        <v>36.9</v>
      </c>
      <c r="F41" s="66">
        <v>40.6</v>
      </c>
      <c r="G41" s="226" t="str">
        <f t="shared" si="1"/>
        <v>8435057015547</v>
      </c>
      <c r="H41" s="64" t="s">
        <v>600</v>
      </c>
      <c r="I41" s="64">
        <v>12</v>
      </c>
      <c r="J41" s="189">
        <f t="shared" ref="J41:J72" si="3">D41/I41</f>
        <v>0</v>
      </c>
      <c r="K41" s="67">
        <f>'RESUMEN PEDIDO'!$C$29</f>
        <v>0</v>
      </c>
      <c r="L41" s="67">
        <f>'RESUMEN PEDIDO'!$C$30</f>
        <v>0</v>
      </c>
      <c r="M41" s="66">
        <f t="shared" si="2"/>
        <v>0</v>
      </c>
    </row>
    <row r="42" spans="1:13" s="15" customFormat="1" ht="15" customHeight="1" x14ac:dyDescent="0.25">
      <c r="A42" s="38"/>
      <c r="B42" s="68">
        <v>502033</v>
      </c>
      <c r="C42" s="65" t="s">
        <v>632</v>
      </c>
      <c r="D42" s="2"/>
      <c r="E42" s="66">
        <v>36.9</v>
      </c>
      <c r="F42" s="66">
        <v>40.6</v>
      </c>
      <c r="G42" s="226" t="str">
        <f t="shared" ref="G42:G73" si="4">VLOOKUP(B42,EAN,3,0)</f>
        <v>8435057015554</v>
      </c>
      <c r="H42" s="64" t="s">
        <v>600</v>
      </c>
      <c r="I42" s="64">
        <v>12</v>
      </c>
      <c r="J42" s="189">
        <f t="shared" si="3"/>
        <v>0</v>
      </c>
      <c r="K42" s="67">
        <f>'RESUMEN PEDIDO'!$C$29</f>
        <v>0</v>
      </c>
      <c r="L42" s="67">
        <f>'RESUMEN PEDIDO'!$C$30</f>
        <v>0</v>
      </c>
      <c r="M42" s="66">
        <f t="shared" ref="M42:M73" si="5">(D42*(E42-(E42*K42)))-(D42*(E42-(E42*K42)))*L42</f>
        <v>0</v>
      </c>
    </row>
    <row r="43" spans="1:13" s="15" customFormat="1" ht="15" customHeight="1" x14ac:dyDescent="0.25">
      <c r="A43" s="38"/>
      <c r="B43" s="68">
        <v>502034</v>
      </c>
      <c r="C43" s="65" t="s">
        <v>633</v>
      </c>
      <c r="D43" s="2"/>
      <c r="E43" s="66">
        <v>36.9</v>
      </c>
      <c r="F43" s="66">
        <v>40.6</v>
      </c>
      <c r="G43" s="226" t="str">
        <f t="shared" si="4"/>
        <v>8435057015561</v>
      </c>
      <c r="H43" s="64" t="s">
        <v>600</v>
      </c>
      <c r="I43" s="64">
        <v>12</v>
      </c>
      <c r="J43" s="189">
        <f t="shared" si="3"/>
        <v>0</v>
      </c>
      <c r="K43" s="67">
        <f>'RESUMEN PEDIDO'!$C$29</f>
        <v>0</v>
      </c>
      <c r="L43" s="67">
        <f>'RESUMEN PEDIDO'!$C$30</f>
        <v>0</v>
      </c>
      <c r="M43" s="66">
        <f t="shared" si="5"/>
        <v>0</v>
      </c>
    </row>
    <row r="44" spans="1:13" s="15" customFormat="1" ht="15" customHeight="1" x14ac:dyDescent="0.25">
      <c r="A44" s="38"/>
      <c r="B44" s="68">
        <v>502035</v>
      </c>
      <c r="C44" s="65" t="s">
        <v>634</v>
      </c>
      <c r="D44" s="2"/>
      <c r="E44" s="66">
        <v>36.9</v>
      </c>
      <c r="F44" s="66">
        <v>40.6</v>
      </c>
      <c r="G44" s="226" t="str">
        <f t="shared" si="4"/>
        <v>8435057015578</v>
      </c>
      <c r="H44" s="64" t="s">
        <v>600</v>
      </c>
      <c r="I44" s="64">
        <v>12</v>
      </c>
      <c r="J44" s="189">
        <f t="shared" si="3"/>
        <v>0</v>
      </c>
      <c r="K44" s="67">
        <f>'RESUMEN PEDIDO'!$C$29</f>
        <v>0</v>
      </c>
      <c r="L44" s="67">
        <f>'RESUMEN PEDIDO'!$C$30</f>
        <v>0</v>
      </c>
      <c r="M44" s="66">
        <f t="shared" si="5"/>
        <v>0</v>
      </c>
    </row>
    <row r="45" spans="1:13" s="15" customFormat="1" ht="15" customHeight="1" x14ac:dyDescent="0.25">
      <c r="A45" s="38"/>
      <c r="B45" s="68">
        <v>502036</v>
      </c>
      <c r="C45" s="65" t="s">
        <v>635</v>
      </c>
      <c r="D45" s="2"/>
      <c r="E45" s="66">
        <v>36.9</v>
      </c>
      <c r="F45" s="66">
        <v>40.6</v>
      </c>
      <c r="G45" s="226" t="str">
        <f t="shared" si="4"/>
        <v>8435057015585</v>
      </c>
      <c r="H45" s="64" t="s">
        <v>600</v>
      </c>
      <c r="I45" s="64">
        <v>12</v>
      </c>
      <c r="J45" s="189">
        <f t="shared" si="3"/>
        <v>0</v>
      </c>
      <c r="K45" s="67">
        <f>'RESUMEN PEDIDO'!$C$29</f>
        <v>0</v>
      </c>
      <c r="L45" s="67">
        <f>'RESUMEN PEDIDO'!$C$30</f>
        <v>0</v>
      </c>
      <c r="M45" s="66">
        <f t="shared" si="5"/>
        <v>0</v>
      </c>
    </row>
    <row r="46" spans="1:13" s="15" customFormat="1" ht="15" customHeight="1" x14ac:dyDescent="0.25">
      <c r="A46" s="38"/>
      <c r="B46" s="68">
        <v>502037</v>
      </c>
      <c r="C46" s="65" t="s">
        <v>636</v>
      </c>
      <c r="D46" s="2"/>
      <c r="E46" s="66">
        <v>36.9</v>
      </c>
      <c r="F46" s="66">
        <v>40.6</v>
      </c>
      <c r="G46" s="226" t="str">
        <f t="shared" si="4"/>
        <v>8435057015592</v>
      </c>
      <c r="H46" s="64" t="s">
        <v>600</v>
      </c>
      <c r="I46" s="64">
        <v>12</v>
      </c>
      <c r="J46" s="189">
        <f t="shared" si="3"/>
        <v>0</v>
      </c>
      <c r="K46" s="67">
        <f>'RESUMEN PEDIDO'!$C$29</f>
        <v>0</v>
      </c>
      <c r="L46" s="67">
        <f>'RESUMEN PEDIDO'!$C$30</f>
        <v>0</v>
      </c>
      <c r="M46" s="66">
        <f t="shared" si="5"/>
        <v>0</v>
      </c>
    </row>
    <row r="47" spans="1:13" s="15" customFormat="1" ht="15" customHeight="1" x14ac:dyDescent="0.25">
      <c r="A47" s="38"/>
      <c r="B47" s="68">
        <v>502038</v>
      </c>
      <c r="C47" s="65" t="s">
        <v>637</v>
      </c>
      <c r="D47" s="2"/>
      <c r="E47" s="66">
        <v>36.9</v>
      </c>
      <c r="F47" s="66">
        <v>40.6</v>
      </c>
      <c r="G47" s="226" t="str">
        <f t="shared" si="4"/>
        <v>8435057015608</v>
      </c>
      <c r="H47" s="64" t="s">
        <v>600</v>
      </c>
      <c r="I47" s="64">
        <v>12</v>
      </c>
      <c r="J47" s="189">
        <f t="shared" si="3"/>
        <v>0</v>
      </c>
      <c r="K47" s="67">
        <f>'RESUMEN PEDIDO'!$C$29</f>
        <v>0</v>
      </c>
      <c r="L47" s="67">
        <f>'RESUMEN PEDIDO'!$C$30</f>
        <v>0</v>
      </c>
      <c r="M47" s="66">
        <f t="shared" si="5"/>
        <v>0</v>
      </c>
    </row>
    <row r="48" spans="1:13" s="15" customFormat="1" ht="15" customHeight="1" x14ac:dyDescent="0.25">
      <c r="A48" s="38"/>
      <c r="B48" s="68">
        <v>502039</v>
      </c>
      <c r="C48" s="65" t="s">
        <v>638</v>
      </c>
      <c r="D48" s="2"/>
      <c r="E48" s="66">
        <v>36.9</v>
      </c>
      <c r="F48" s="66">
        <v>40.6</v>
      </c>
      <c r="G48" s="226" t="str">
        <f t="shared" si="4"/>
        <v>8435057015615</v>
      </c>
      <c r="H48" s="64" t="s">
        <v>600</v>
      </c>
      <c r="I48" s="64">
        <v>12</v>
      </c>
      <c r="J48" s="189">
        <f t="shared" si="3"/>
        <v>0</v>
      </c>
      <c r="K48" s="67">
        <f>'RESUMEN PEDIDO'!$C$29</f>
        <v>0</v>
      </c>
      <c r="L48" s="67">
        <f>'RESUMEN PEDIDO'!$C$30</f>
        <v>0</v>
      </c>
      <c r="M48" s="66">
        <f t="shared" si="5"/>
        <v>0</v>
      </c>
    </row>
    <row r="49" spans="1:13" s="15" customFormat="1" ht="15" customHeight="1" x14ac:dyDescent="0.25">
      <c r="A49" s="38"/>
      <c r="B49" s="68">
        <v>502040</v>
      </c>
      <c r="C49" s="65" t="s">
        <v>639</v>
      </c>
      <c r="D49" s="2"/>
      <c r="E49" s="66">
        <v>36.9</v>
      </c>
      <c r="F49" s="66">
        <v>40.6</v>
      </c>
      <c r="G49" s="226" t="str">
        <f t="shared" si="4"/>
        <v>8435057015622</v>
      </c>
      <c r="H49" s="64" t="s">
        <v>600</v>
      </c>
      <c r="I49" s="64">
        <v>12</v>
      </c>
      <c r="J49" s="189">
        <f t="shared" si="3"/>
        <v>0</v>
      </c>
      <c r="K49" s="67">
        <f>'RESUMEN PEDIDO'!$C$29</f>
        <v>0</v>
      </c>
      <c r="L49" s="67">
        <f>'RESUMEN PEDIDO'!$C$30</f>
        <v>0</v>
      </c>
      <c r="M49" s="66">
        <f t="shared" si="5"/>
        <v>0</v>
      </c>
    </row>
    <row r="50" spans="1:13" s="15" customFormat="1" ht="15" customHeight="1" x14ac:dyDescent="0.25">
      <c r="A50" s="38"/>
      <c r="B50" s="68">
        <v>502041</v>
      </c>
      <c r="C50" s="65" t="s">
        <v>640</v>
      </c>
      <c r="D50" s="2"/>
      <c r="E50" s="66">
        <v>36.9</v>
      </c>
      <c r="F50" s="66">
        <v>40.6</v>
      </c>
      <c r="G50" s="226" t="str">
        <f t="shared" si="4"/>
        <v>8435057015639</v>
      </c>
      <c r="H50" s="64" t="s">
        <v>600</v>
      </c>
      <c r="I50" s="64">
        <v>12</v>
      </c>
      <c r="J50" s="189">
        <f t="shared" si="3"/>
        <v>0</v>
      </c>
      <c r="K50" s="67">
        <f>'RESUMEN PEDIDO'!$C$29</f>
        <v>0</v>
      </c>
      <c r="L50" s="67">
        <f>'RESUMEN PEDIDO'!$C$30</f>
        <v>0</v>
      </c>
      <c r="M50" s="66">
        <f t="shared" si="5"/>
        <v>0</v>
      </c>
    </row>
    <row r="51" spans="1:13" s="15" customFormat="1" ht="15" customHeight="1" x14ac:dyDescent="0.25">
      <c r="A51" s="38"/>
      <c r="B51" s="68">
        <v>502042</v>
      </c>
      <c r="C51" s="65" t="s">
        <v>641</v>
      </c>
      <c r="D51" s="2"/>
      <c r="E51" s="66">
        <v>36.9</v>
      </c>
      <c r="F51" s="66">
        <v>40.6</v>
      </c>
      <c r="G51" s="226" t="str">
        <f t="shared" si="4"/>
        <v>8435057015646</v>
      </c>
      <c r="H51" s="64" t="s">
        <v>600</v>
      </c>
      <c r="I51" s="64">
        <v>12</v>
      </c>
      <c r="J51" s="189">
        <f t="shared" si="3"/>
        <v>0</v>
      </c>
      <c r="K51" s="67">
        <f>'RESUMEN PEDIDO'!$C$29</f>
        <v>0</v>
      </c>
      <c r="L51" s="67">
        <f>'RESUMEN PEDIDO'!$C$30</f>
        <v>0</v>
      </c>
      <c r="M51" s="66">
        <f t="shared" si="5"/>
        <v>0</v>
      </c>
    </row>
    <row r="52" spans="1:13" s="15" customFormat="1" ht="15" customHeight="1" x14ac:dyDescent="0.25">
      <c r="A52" s="38"/>
      <c r="B52" s="68">
        <v>502043</v>
      </c>
      <c r="C52" s="65" t="s">
        <v>642</v>
      </c>
      <c r="D52" s="2"/>
      <c r="E52" s="66">
        <v>36.9</v>
      </c>
      <c r="F52" s="66">
        <v>40.6</v>
      </c>
      <c r="G52" s="226" t="str">
        <f t="shared" si="4"/>
        <v>8435057015653</v>
      </c>
      <c r="H52" s="64" t="s">
        <v>600</v>
      </c>
      <c r="I52" s="64">
        <v>12</v>
      </c>
      <c r="J52" s="189">
        <f t="shared" si="3"/>
        <v>0</v>
      </c>
      <c r="K52" s="67">
        <f>'RESUMEN PEDIDO'!$C$29</f>
        <v>0</v>
      </c>
      <c r="L52" s="67">
        <f>'RESUMEN PEDIDO'!$C$30</f>
        <v>0</v>
      </c>
      <c r="M52" s="66">
        <f t="shared" si="5"/>
        <v>0</v>
      </c>
    </row>
    <row r="53" spans="1:13" s="15" customFormat="1" ht="15" customHeight="1" x14ac:dyDescent="0.25">
      <c r="A53" s="38"/>
      <c r="B53" s="68">
        <v>502044</v>
      </c>
      <c r="C53" s="65" t="s">
        <v>643</v>
      </c>
      <c r="D53" s="2"/>
      <c r="E53" s="66">
        <v>36.9</v>
      </c>
      <c r="F53" s="66">
        <v>40.6</v>
      </c>
      <c r="G53" s="226" t="str">
        <f t="shared" si="4"/>
        <v>8435057015660</v>
      </c>
      <c r="H53" s="64" t="s">
        <v>600</v>
      </c>
      <c r="I53" s="64">
        <v>12</v>
      </c>
      <c r="J53" s="189">
        <f t="shared" si="3"/>
        <v>0</v>
      </c>
      <c r="K53" s="67">
        <f>'RESUMEN PEDIDO'!$C$29</f>
        <v>0</v>
      </c>
      <c r="L53" s="67">
        <f>'RESUMEN PEDIDO'!$C$30</f>
        <v>0</v>
      </c>
      <c r="M53" s="66">
        <f t="shared" si="5"/>
        <v>0</v>
      </c>
    </row>
    <row r="54" spans="1:13" s="15" customFormat="1" ht="15" customHeight="1" x14ac:dyDescent="0.25">
      <c r="A54" s="38"/>
      <c r="B54" s="68">
        <v>502045</v>
      </c>
      <c r="C54" s="65" t="s">
        <v>644</v>
      </c>
      <c r="D54" s="2"/>
      <c r="E54" s="66">
        <v>36.9</v>
      </c>
      <c r="F54" s="66">
        <v>40.6</v>
      </c>
      <c r="G54" s="226" t="str">
        <f t="shared" si="4"/>
        <v>8435057015677</v>
      </c>
      <c r="H54" s="64" t="s">
        <v>600</v>
      </c>
      <c r="I54" s="64">
        <v>12</v>
      </c>
      <c r="J54" s="189">
        <f t="shared" si="3"/>
        <v>0</v>
      </c>
      <c r="K54" s="67">
        <f>'RESUMEN PEDIDO'!$C$29</f>
        <v>0</v>
      </c>
      <c r="L54" s="67">
        <f>'RESUMEN PEDIDO'!$C$30</f>
        <v>0</v>
      </c>
      <c r="M54" s="66">
        <f t="shared" si="5"/>
        <v>0</v>
      </c>
    </row>
    <row r="55" spans="1:13" s="15" customFormat="1" ht="15" customHeight="1" x14ac:dyDescent="0.25">
      <c r="A55" s="38"/>
      <c r="B55" s="68">
        <v>502046</v>
      </c>
      <c r="C55" s="65" t="s">
        <v>645</v>
      </c>
      <c r="D55" s="2"/>
      <c r="E55" s="66">
        <v>36.9</v>
      </c>
      <c r="F55" s="66">
        <v>40.6</v>
      </c>
      <c r="G55" s="226" t="str">
        <f t="shared" si="4"/>
        <v>8435057015684</v>
      </c>
      <c r="H55" s="64" t="s">
        <v>600</v>
      </c>
      <c r="I55" s="64">
        <v>12</v>
      </c>
      <c r="J55" s="189">
        <f t="shared" si="3"/>
        <v>0</v>
      </c>
      <c r="K55" s="67">
        <f>'RESUMEN PEDIDO'!$C$29</f>
        <v>0</v>
      </c>
      <c r="L55" s="67">
        <f>'RESUMEN PEDIDO'!$C$30</f>
        <v>0</v>
      </c>
      <c r="M55" s="66">
        <f t="shared" si="5"/>
        <v>0</v>
      </c>
    </row>
    <row r="56" spans="1:13" s="15" customFormat="1" ht="15" customHeight="1" x14ac:dyDescent="0.25">
      <c r="A56" s="38"/>
      <c r="B56" s="68">
        <v>502047</v>
      </c>
      <c r="C56" s="65" t="s">
        <v>646</v>
      </c>
      <c r="D56" s="2"/>
      <c r="E56" s="66">
        <v>36.9</v>
      </c>
      <c r="F56" s="66">
        <v>40.6</v>
      </c>
      <c r="G56" s="226" t="str">
        <f t="shared" si="4"/>
        <v>8435057015691</v>
      </c>
      <c r="H56" s="64" t="s">
        <v>600</v>
      </c>
      <c r="I56" s="64">
        <v>12</v>
      </c>
      <c r="J56" s="189">
        <f t="shared" si="3"/>
        <v>0</v>
      </c>
      <c r="K56" s="67">
        <f>'RESUMEN PEDIDO'!$C$29</f>
        <v>0</v>
      </c>
      <c r="L56" s="67">
        <f>'RESUMEN PEDIDO'!$C$30</f>
        <v>0</v>
      </c>
      <c r="M56" s="66">
        <f t="shared" si="5"/>
        <v>0</v>
      </c>
    </row>
    <row r="57" spans="1:13" s="15" customFormat="1" ht="15" customHeight="1" x14ac:dyDescent="0.25">
      <c r="A57" s="38"/>
      <c r="B57" s="68">
        <v>502048</v>
      </c>
      <c r="C57" s="65" t="s">
        <v>647</v>
      </c>
      <c r="D57" s="2"/>
      <c r="E57" s="66">
        <v>36.9</v>
      </c>
      <c r="F57" s="66">
        <v>40.6</v>
      </c>
      <c r="G57" s="226" t="str">
        <f t="shared" si="4"/>
        <v>8435057015707</v>
      </c>
      <c r="H57" s="64" t="s">
        <v>600</v>
      </c>
      <c r="I57" s="64">
        <v>12</v>
      </c>
      <c r="J57" s="189">
        <f t="shared" si="3"/>
        <v>0</v>
      </c>
      <c r="K57" s="67">
        <f>'RESUMEN PEDIDO'!$C$29</f>
        <v>0</v>
      </c>
      <c r="L57" s="67">
        <f>'RESUMEN PEDIDO'!$C$30</f>
        <v>0</v>
      </c>
      <c r="M57" s="66">
        <f t="shared" si="5"/>
        <v>0</v>
      </c>
    </row>
    <row r="58" spans="1:13" s="15" customFormat="1" ht="15" customHeight="1" x14ac:dyDescent="0.25">
      <c r="A58" s="38"/>
      <c r="B58" s="68">
        <v>502049</v>
      </c>
      <c r="C58" s="65" t="s">
        <v>648</v>
      </c>
      <c r="D58" s="2"/>
      <c r="E58" s="66">
        <v>36.9</v>
      </c>
      <c r="F58" s="66">
        <v>40.6</v>
      </c>
      <c r="G58" s="226" t="str">
        <f t="shared" si="4"/>
        <v>8435057015714</v>
      </c>
      <c r="H58" s="64" t="s">
        <v>600</v>
      </c>
      <c r="I58" s="64">
        <v>12</v>
      </c>
      <c r="J58" s="189">
        <f t="shared" si="3"/>
        <v>0</v>
      </c>
      <c r="K58" s="67">
        <f>'RESUMEN PEDIDO'!$C$29</f>
        <v>0</v>
      </c>
      <c r="L58" s="67">
        <f>'RESUMEN PEDIDO'!$C$30</f>
        <v>0</v>
      </c>
      <c r="M58" s="66">
        <f t="shared" si="5"/>
        <v>0</v>
      </c>
    </row>
    <row r="59" spans="1:13" s="15" customFormat="1" ht="15" customHeight="1" x14ac:dyDescent="0.25">
      <c r="A59" s="38"/>
      <c r="B59" s="68">
        <v>502050</v>
      </c>
      <c r="C59" s="65" t="s">
        <v>649</v>
      </c>
      <c r="D59" s="2"/>
      <c r="E59" s="66">
        <v>36.9</v>
      </c>
      <c r="F59" s="66">
        <v>40.6</v>
      </c>
      <c r="G59" s="226" t="str">
        <f t="shared" si="4"/>
        <v>8435057015721</v>
      </c>
      <c r="H59" s="64" t="s">
        <v>600</v>
      </c>
      <c r="I59" s="64">
        <v>12</v>
      </c>
      <c r="J59" s="189">
        <f t="shared" si="3"/>
        <v>0</v>
      </c>
      <c r="K59" s="67">
        <f>'RESUMEN PEDIDO'!$C$29</f>
        <v>0</v>
      </c>
      <c r="L59" s="67">
        <f>'RESUMEN PEDIDO'!$C$30</f>
        <v>0</v>
      </c>
      <c r="M59" s="66">
        <f t="shared" si="5"/>
        <v>0</v>
      </c>
    </row>
    <row r="60" spans="1:13" s="15" customFormat="1" ht="15" customHeight="1" x14ac:dyDescent="0.25">
      <c r="A60" s="38"/>
      <c r="B60" s="68">
        <v>502051</v>
      </c>
      <c r="C60" s="65" t="s">
        <v>650</v>
      </c>
      <c r="D60" s="2"/>
      <c r="E60" s="66">
        <v>36.9</v>
      </c>
      <c r="F60" s="66">
        <v>40.6</v>
      </c>
      <c r="G60" s="226" t="str">
        <f t="shared" si="4"/>
        <v>8435057015738</v>
      </c>
      <c r="H60" s="64" t="s">
        <v>600</v>
      </c>
      <c r="I60" s="64">
        <v>12</v>
      </c>
      <c r="J60" s="189">
        <f t="shared" si="3"/>
        <v>0</v>
      </c>
      <c r="K60" s="67">
        <f>'RESUMEN PEDIDO'!$C$29</f>
        <v>0</v>
      </c>
      <c r="L60" s="67">
        <f>'RESUMEN PEDIDO'!$C$30</f>
        <v>0</v>
      </c>
      <c r="M60" s="66">
        <f t="shared" si="5"/>
        <v>0</v>
      </c>
    </row>
    <row r="61" spans="1:13" s="15" customFormat="1" ht="15" customHeight="1" x14ac:dyDescent="0.25">
      <c r="A61" s="38"/>
      <c r="B61" s="68">
        <v>502052</v>
      </c>
      <c r="C61" s="65" t="s">
        <v>651</v>
      </c>
      <c r="D61" s="2"/>
      <c r="E61" s="66">
        <v>36.9</v>
      </c>
      <c r="F61" s="66">
        <v>40.6</v>
      </c>
      <c r="G61" s="226" t="str">
        <f t="shared" si="4"/>
        <v>8435057015745</v>
      </c>
      <c r="H61" s="64" t="s">
        <v>600</v>
      </c>
      <c r="I61" s="64">
        <v>12</v>
      </c>
      <c r="J61" s="189">
        <f t="shared" si="3"/>
        <v>0</v>
      </c>
      <c r="K61" s="67">
        <f>'RESUMEN PEDIDO'!$C$29</f>
        <v>0</v>
      </c>
      <c r="L61" s="67">
        <f>'RESUMEN PEDIDO'!$C$30</f>
        <v>0</v>
      </c>
      <c r="M61" s="66">
        <f t="shared" si="5"/>
        <v>0</v>
      </c>
    </row>
    <row r="62" spans="1:13" s="15" customFormat="1" ht="15" customHeight="1" x14ac:dyDescent="0.25">
      <c r="A62" s="38"/>
      <c r="B62" s="68">
        <v>502053</v>
      </c>
      <c r="C62" s="65" t="s">
        <v>652</v>
      </c>
      <c r="D62" s="2"/>
      <c r="E62" s="66">
        <v>36.9</v>
      </c>
      <c r="F62" s="66">
        <v>40.6</v>
      </c>
      <c r="G62" s="226" t="str">
        <f t="shared" si="4"/>
        <v>8435057015752</v>
      </c>
      <c r="H62" s="64" t="s">
        <v>600</v>
      </c>
      <c r="I62" s="64">
        <v>12</v>
      </c>
      <c r="J62" s="189">
        <f t="shared" si="3"/>
        <v>0</v>
      </c>
      <c r="K62" s="67">
        <f>'RESUMEN PEDIDO'!$C$29</f>
        <v>0</v>
      </c>
      <c r="L62" s="67">
        <f>'RESUMEN PEDIDO'!$C$30</f>
        <v>0</v>
      </c>
      <c r="M62" s="66">
        <f t="shared" si="5"/>
        <v>0</v>
      </c>
    </row>
    <row r="63" spans="1:13" s="15" customFormat="1" ht="15" customHeight="1" x14ac:dyDescent="0.25">
      <c r="A63" s="38"/>
      <c r="B63" s="68">
        <v>502054</v>
      </c>
      <c r="C63" s="65" t="s">
        <v>653</v>
      </c>
      <c r="D63" s="2"/>
      <c r="E63" s="66">
        <v>36.9</v>
      </c>
      <c r="F63" s="66">
        <v>40.6</v>
      </c>
      <c r="G63" s="226" t="str">
        <f t="shared" si="4"/>
        <v>8435057015769</v>
      </c>
      <c r="H63" s="64" t="s">
        <v>600</v>
      </c>
      <c r="I63" s="64">
        <v>12</v>
      </c>
      <c r="J63" s="189">
        <f t="shared" si="3"/>
        <v>0</v>
      </c>
      <c r="K63" s="67">
        <f>'RESUMEN PEDIDO'!$C$29</f>
        <v>0</v>
      </c>
      <c r="L63" s="67">
        <f>'RESUMEN PEDIDO'!$C$30</f>
        <v>0</v>
      </c>
      <c r="M63" s="66">
        <f t="shared" si="5"/>
        <v>0</v>
      </c>
    </row>
    <row r="64" spans="1:13" s="15" customFormat="1" ht="15" customHeight="1" x14ac:dyDescent="0.25">
      <c r="A64" s="38"/>
      <c r="B64" s="68">
        <v>502055</v>
      </c>
      <c r="C64" s="65" t="s">
        <v>654</v>
      </c>
      <c r="D64" s="2"/>
      <c r="E64" s="66">
        <v>36.9</v>
      </c>
      <c r="F64" s="66">
        <v>40.6</v>
      </c>
      <c r="G64" s="226" t="str">
        <f t="shared" si="4"/>
        <v>8435057015776</v>
      </c>
      <c r="H64" s="64" t="s">
        <v>600</v>
      </c>
      <c r="I64" s="64">
        <v>12</v>
      </c>
      <c r="J64" s="189">
        <f t="shared" si="3"/>
        <v>0</v>
      </c>
      <c r="K64" s="67">
        <f>'RESUMEN PEDIDO'!$C$29</f>
        <v>0</v>
      </c>
      <c r="L64" s="67">
        <f>'RESUMEN PEDIDO'!$C$30</f>
        <v>0</v>
      </c>
      <c r="M64" s="66">
        <f t="shared" si="5"/>
        <v>0</v>
      </c>
    </row>
    <row r="65" spans="1:13" s="15" customFormat="1" ht="15" customHeight="1" x14ac:dyDescent="0.25">
      <c r="A65" s="38"/>
      <c r="B65" s="68">
        <v>502056</v>
      </c>
      <c r="C65" s="65" t="s">
        <v>655</v>
      </c>
      <c r="D65" s="2"/>
      <c r="E65" s="66">
        <v>36.9</v>
      </c>
      <c r="F65" s="66">
        <v>40.6</v>
      </c>
      <c r="G65" s="226" t="str">
        <f t="shared" si="4"/>
        <v>8435057015783</v>
      </c>
      <c r="H65" s="64" t="s">
        <v>600</v>
      </c>
      <c r="I65" s="64">
        <v>12</v>
      </c>
      <c r="J65" s="189">
        <f t="shared" si="3"/>
        <v>0</v>
      </c>
      <c r="K65" s="67">
        <f>'RESUMEN PEDIDO'!$C$29</f>
        <v>0</v>
      </c>
      <c r="L65" s="67">
        <f>'RESUMEN PEDIDO'!$C$30</f>
        <v>0</v>
      </c>
      <c r="M65" s="66">
        <f t="shared" si="5"/>
        <v>0</v>
      </c>
    </row>
    <row r="66" spans="1:13" s="15" customFormat="1" ht="15" customHeight="1" x14ac:dyDescent="0.25">
      <c r="A66" s="38"/>
      <c r="B66" s="68">
        <v>502057</v>
      </c>
      <c r="C66" s="65" t="s">
        <v>656</v>
      </c>
      <c r="D66" s="2"/>
      <c r="E66" s="66">
        <v>36.9</v>
      </c>
      <c r="F66" s="66">
        <v>40.6</v>
      </c>
      <c r="G66" s="226" t="str">
        <f t="shared" si="4"/>
        <v>8435057015790</v>
      </c>
      <c r="H66" s="64" t="s">
        <v>600</v>
      </c>
      <c r="I66" s="64">
        <v>12</v>
      </c>
      <c r="J66" s="189">
        <f t="shared" si="3"/>
        <v>0</v>
      </c>
      <c r="K66" s="67">
        <f>'RESUMEN PEDIDO'!$C$29</f>
        <v>0</v>
      </c>
      <c r="L66" s="67">
        <f>'RESUMEN PEDIDO'!$C$30</f>
        <v>0</v>
      </c>
      <c r="M66" s="66">
        <f t="shared" si="5"/>
        <v>0</v>
      </c>
    </row>
    <row r="67" spans="1:13" s="15" customFormat="1" ht="15" customHeight="1" x14ac:dyDescent="0.25">
      <c r="A67" s="38"/>
      <c r="B67" s="68">
        <v>502058</v>
      </c>
      <c r="C67" s="65" t="s">
        <v>657</v>
      </c>
      <c r="D67" s="2"/>
      <c r="E67" s="66">
        <v>36.9</v>
      </c>
      <c r="F67" s="66">
        <v>40.6</v>
      </c>
      <c r="G67" s="226" t="str">
        <f t="shared" si="4"/>
        <v>8435057015806</v>
      </c>
      <c r="H67" s="64" t="s">
        <v>600</v>
      </c>
      <c r="I67" s="64">
        <v>12</v>
      </c>
      <c r="J67" s="189">
        <f t="shared" si="3"/>
        <v>0</v>
      </c>
      <c r="K67" s="67">
        <f>'RESUMEN PEDIDO'!$C$29</f>
        <v>0</v>
      </c>
      <c r="L67" s="67">
        <f>'RESUMEN PEDIDO'!$C$30</f>
        <v>0</v>
      </c>
      <c r="M67" s="66">
        <f t="shared" si="5"/>
        <v>0</v>
      </c>
    </row>
    <row r="68" spans="1:13" s="15" customFormat="1" ht="15" customHeight="1" x14ac:dyDescent="0.25">
      <c r="A68" s="38"/>
      <c r="B68" s="68">
        <v>502059</v>
      </c>
      <c r="C68" s="65" t="s">
        <v>658</v>
      </c>
      <c r="D68" s="2"/>
      <c r="E68" s="66">
        <v>36.9</v>
      </c>
      <c r="F68" s="66">
        <v>40.6</v>
      </c>
      <c r="G68" s="226" t="str">
        <f t="shared" si="4"/>
        <v>8435057015813</v>
      </c>
      <c r="H68" s="64" t="s">
        <v>600</v>
      </c>
      <c r="I68" s="64">
        <v>12</v>
      </c>
      <c r="J68" s="189">
        <f t="shared" si="3"/>
        <v>0</v>
      </c>
      <c r="K68" s="67">
        <f>'RESUMEN PEDIDO'!$C$29</f>
        <v>0</v>
      </c>
      <c r="L68" s="67">
        <f>'RESUMEN PEDIDO'!$C$30</f>
        <v>0</v>
      </c>
      <c r="M68" s="66">
        <f t="shared" si="5"/>
        <v>0</v>
      </c>
    </row>
    <row r="69" spans="1:13" s="15" customFormat="1" ht="15" customHeight="1" x14ac:dyDescent="0.25">
      <c r="A69" s="38"/>
      <c r="B69" s="68">
        <v>502060</v>
      </c>
      <c r="C69" s="65" t="s">
        <v>659</v>
      </c>
      <c r="D69" s="2"/>
      <c r="E69" s="66">
        <v>36.9</v>
      </c>
      <c r="F69" s="66">
        <v>40.6</v>
      </c>
      <c r="G69" s="226" t="str">
        <f t="shared" si="4"/>
        <v>8435057015820</v>
      </c>
      <c r="H69" s="64" t="s">
        <v>600</v>
      </c>
      <c r="I69" s="64">
        <v>12</v>
      </c>
      <c r="J69" s="189">
        <f t="shared" si="3"/>
        <v>0</v>
      </c>
      <c r="K69" s="67">
        <f>'RESUMEN PEDIDO'!$C$29</f>
        <v>0</v>
      </c>
      <c r="L69" s="67">
        <f>'RESUMEN PEDIDO'!$C$30</f>
        <v>0</v>
      </c>
      <c r="M69" s="66">
        <f t="shared" si="5"/>
        <v>0</v>
      </c>
    </row>
    <row r="70" spans="1:13" s="15" customFormat="1" ht="15" customHeight="1" x14ac:dyDescent="0.25">
      <c r="A70" s="38"/>
      <c r="B70" s="68">
        <v>502061</v>
      </c>
      <c r="C70" s="65" t="s">
        <v>660</v>
      </c>
      <c r="D70" s="2"/>
      <c r="E70" s="66">
        <v>36.9</v>
      </c>
      <c r="F70" s="66">
        <v>40.6</v>
      </c>
      <c r="G70" s="226" t="str">
        <f t="shared" si="4"/>
        <v>8435057015837</v>
      </c>
      <c r="H70" s="64" t="s">
        <v>600</v>
      </c>
      <c r="I70" s="64">
        <v>12</v>
      </c>
      <c r="J70" s="189">
        <f t="shared" si="3"/>
        <v>0</v>
      </c>
      <c r="K70" s="67">
        <f>'RESUMEN PEDIDO'!$C$29</f>
        <v>0</v>
      </c>
      <c r="L70" s="67">
        <f>'RESUMEN PEDIDO'!$C$30</f>
        <v>0</v>
      </c>
      <c r="M70" s="66">
        <f t="shared" si="5"/>
        <v>0</v>
      </c>
    </row>
    <row r="71" spans="1:13" s="15" customFormat="1" ht="15" customHeight="1" x14ac:dyDescent="0.25">
      <c r="A71" s="38"/>
      <c r="B71" s="68">
        <v>502062</v>
      </c>
      <c r="C71" s="65" t="s">
        <v>661</v>
      </c>
      <c r="D71" s="2"/>
      <c r="E71" s="66">
        <v>36.9</v>
      </c>
      <c r="F71" s="66">
        <v>40.6</v>
      </c>
      <c r="G71" s="226" t="str">
        <f t="shared" si="4"/>
        <v>8435057015844</v>
      </c>
      <c r="H71" s="64" t="s">
        <v>600</v>
      </c>
      <c r="I71" s="64">
        <v>12</v>
      </c>
      <c r="J71" s="189">
        <f t="shared" si="3"/>
        <v>0</v>
      </c>
      <c r="K71" s="67">
        <f>'RESUMEN PEDIDO'!$C$29</f>
        <v>0</v>
      </c>
      <c r="L71" s="67">
        <f>'RESUMEN PEDIDO'!$C$30</f>
        <v>0</v>
      </c>
      <c r="M71" s="66">
        <f t="shared" si="5"/>
        <v>0</v>
      </c>
    </row>
    <row r="72" spans="1:13" s="15" customFormat="1" ht="15" customHeight="1" x14ac:dyDescent="0.25">
      <c r="A72" s="38"/>
      <c r="B72" s="68">
        <v>502063</v>
      </c>
      <c r="C72" s="65" t="s">
        <v>662</v>
      </c>
      <c r="D72" s="2"/>
      <c r="E72" s="66">
        <v>36.9</v>
      </c>
      <c r="F72" s="66">
        <v>40.6</v>
      </c>
      <c r="G72" s="226" t="str">
        <f t="shared" si="4"/>
        <v>8435057015851</v>
      </c>
      <c r="H72" s="64" t="s">
        <v>600</v>
      </c>
      <c r="I72" s="64">
        <v>12</v>
      </c>
      <c r="J72" s="189">
        <f t="shared" si="3"/>
        <v>0</v>
      </c>
      <c r="K72" s="67">
        <f>'RESUMEN PEDIDO'!$C$29</f>
        <v>0</v>
      </c>
      <c r="L72" s="67">
        <f>'RESUMEN PEDIDO'!$C$30</f>
        <v>0</v>
      </c>
      <c r="M72" s="66">
        <f t="shared" si="5"/>
        <v>0</v>
      </c>
    </row>
    <row r="73" spans="1:13" s="15" customFormat="1" ht="15" customHeight="1" x14ac:dyDescent="0.25">
      <c r="A73" s="38"/>
      <c r="B73" s="68">
        <v>502064</v>
      </c>
      <c r="C73" s="65" t="s">
        <v>663</v>
      </c>
      <c r="D73" s="2"/>
      <c r="E73" s="66">
        <v>36.9</v>
      </c>
      <c r="F73" s="66">
        <v>40.6</v>
      </c>
      <c r="G73" s="226" t="str">
        <f t="shared" si="4"/>
        <v>8435057015868</v>
      </c>
      <c r="H73" s="64" t="s">
        <v>600</v>
      </c>
      <c r="I73" s="64">
        <v>12</v>
      </c>
      <c r="J73" s="189">
        <f t="shared" ref="J73:J104" si="6">D73/I73</f>
        <v>0</v>
      </c>
      <c r="K73" s="67">
        <f>'RESUMEN PEDIDO'!$C$29</f>
        <v>0</v>
      </c>
      <c r="L73" s="67">
        <f>'RESUMEN PEDIDO'!$C$30</f>
        <v>0</v>
      </c>
      <c r="M73" s="66">
        <f t="shared" si="5"/>
        <v>0</v>
      </c>
    </row>
    <row r="74" spans="1:13" s="15" customFormat="1" ht="15" customHeight="1" x14ac:dyDescent="0.25">
      <c r="A74" s="38"/>
      <c r="B74" s="68">
        <v>502065</v>
      </c>
      <c r="C74" s="65" t="s">
        <v>664</v>
      </c>
      <c r="D74" s="2"/>
      <c r="E74" s="66">
        <v>36.9</v>
      </c>
      <c r="F74" s="66">
        <v>40.6</v>
      </c>
      <c r="G74" s="226" t="str">
        <f t="shared" ref="G74:G105" si="7">VLOOKUP(B74,EAN,3,0)</f>
        <v>8435057015875</v>
      </c>
      <c r="H74" s="64" t="s">
        <v>600</v>
      </c>
      <c r="I74" s="64">
        <v>12</v>
      </c>
      <c r="J74" s="189">
        <f t="shared" si="6"/>
        <v>0</v>
      </c>
      <c r="K74" s="67">
        <f>'RESUMEN PEDIDO'!$C$29</f>
        <v>0</v>
      </c>
      <c r="L74" s="67">
        <f>'RESUMEN PEDIDO'!$C$30</f>
        <v>0</v>
      </c>
      <c r="M74" s="66">
        <f t="shared" ref="M74:M105" si="8">(D74*(E74-(E74*K74)))-(D74*(E74-(E74*K74)))*L74</f>
        <v>0</v>
      </c>
    </row>
    <row r="75" spans="1:13" s="15" customFormat="1" ht="15" customHeight="1" x14ac:dyDescent="0.25">
      <c r="A75" s="38"/>
      <c r="B75" s="68">
        <v>502066</v>
      </c>
      <c r="C75" s="65" t="s">
        <v>665</v>
      </c>
      <c r="D75" s="2"/>
      <c r="E75" s="66">
        <v>36.9</v>
      </c>
      <c r="F75" s="66">
        <v>40.6</v>
      </c>
      <c r="G75" s="226" t="str">
        <f t="shared" si="7"/>
        <v>8435057015882</v>
      </c>
      <c r="H75" s="64" t="s">
        <v>600</v>
      </c>
      <c r="I75" s="64">
        <v>12</v>
      </c>
      <c r="J75" s="189">
        <f t="shared" si="6"/>
        <v>0</v>
      </c>
      <c r="K75" s="67">
        <f>'RESUMEN PEDIDO'!$C$29</f>
        <v>0</v>
      </c>
      <c r="L75" s="67">
        <f>'RESUMEN PEDIDO'!$C$30</f>
        <v>0</v>
      </c>
      <c r="M75" s="66">
        <f t="shared" si="8"/>
        <v>0</v>
      </c>
    </row>
    <row r="76" spans="1:13" s="15" customFormat="1" ht="15" customHeight="1" x14ac:dyDescent="0.25">
      <c r="A76" s="38"/>
      <c r="B76" s="68">
        <v>502067</v>
      </c>
      <c r="C76" s="65" t="s">
        <v>666</v>
      </c>
      <c r="D76" s="2"/>
      <c r="E76" s="66">
        <v>36.9</v>
      </c>
      <c r="F76" s="66">
        <v>40.6</v>
      </c>
      <c r="G76" s="226" t="str">
        <f t="shared" si="7"/>
        <v>8435057015899</v>
      </c>
      <c r="H76" s="64" t="s">
        <v>600</v>
      </c>
      <c r="I76" s="64">
        <v>12</v>
      </c>
      <c r="J76" s="189">
        <f t="shared" si="6"/>
        <v>0</v>
      </c>
      <c r="K76" s="67">
        <f>'RESUMEN PEDIDO'!$C$29</f>
        <v>0</v>
      </c>
      <c r="L76" s="67">
        <f>'RESUMEN PEDIDO'!$C$30</f>
        <v>0</v>
      </c>
      <c r="M76" s="66">
        <f t="shared" si="8"/>
        <v>0</v>
      </c>
    </row>
    <row r="77" spans="1:13" s="15" customFormat="1" ht="15" customHeight="1" x14ac:dyDescent="0.25">
      <c r="A77" s="38"/>
      <c r="B77" s="68">
        <v>502068</v>
      </c>
      <c r="C77" s="65" t="s">
        <v>667</v>
      </c>
      <c r="D77" s="2"/>
      <c r="E77" s="66">
        <v>36.9</v>
      </c>
      <c r="F77" s="66">
        <v>40.6</v>
      </c>
      <c r="G77" s="226" t="str">
        <f t="shared" si="7"/>
        <v>8435057015905</v>
      </c>
      <c r="H77" s="64" t="s">
        <v>600</v>
      </c>
      <c r="I77" s="64">
        <v>12</v>
      </c>
      <c r="J77" s="189">
        <f t="shared" si="6"/>
        <v>0</v>
      </c>
      <c r="K77" s="67">
        <f>'RESUMEN PEDIDO'!$C$29</f>
        <v>0</v>
      </c>
      <c r="L77" s="67">
        <f>'RESUMEN PEDIDO'!$C$30</f>
        <v>0</v>
      </c>
      <c r="M77" s="66">
        <f t="shared" si="8"/>
        <v>0</v>
      </c>
    </row>
    <row r="78" spans="1:13" s="15" customFormat="1" ht="15" customHeight="1" x14ac:dyDescent="0.25">
      <c r="A78" s="38"/>
      <c r="B78" s="68">
        <v>502069</v>
      </c>
      <c r="C78" s="65" t="s">
        <v>668</v>
      </c>
      <c r="D78" s="2"/>
      <c r="E78" s="66">
        <v>36.9</v>
      </c>
      <c r="F78" s="66">
        <v>40.6</v>
      </c>
      <c r="G78" s="226" t="str">
        <f t="shared" si="7"/>
        <v>8435057015912</v>
      </c>
      <c r="H78" s="64" t="s">
        <v>600</v>
      </c>
      <c r="I78" s="64">
        <v>12</v>
      </c>
      <c r="J78" s="189">
        <f t="shared" si="6"/>
        <v>0</v>
      </c>
      <c r="K78" s="67">
        <f>'RESUMEN PEDIDO'!$C$29</f>
        <v>0</v>
      </c>
      <c r="L78" s="67">
        <f>'RESUMEN PEDIDO'!$C$30</f>
        <v>0</v>
      </c>
      <c r="M78" s="66">
        <f t="shared" si="8"/>
        <v>0</v>
      </c>
    </row>
    <row r="79" spans="1:13" s="15" customFormat="1" ht="15" customHeight="1" x14ac:dyDescent="0.25">
      <c r="A79" s="38"/>
      <c r="B79" s="68">
        <v>502070</v>
      </c>
      <c r="C79" s="65" t="s">
        <v>669</v>
      </c>
      <c r="D79" s="2"/>
      <c r="E79" s="66">
        <v>36.9</v>
      </c>
      <c r="F79" s="66">
        <v>40.6</v>
      </c>
      <c r="G79" s="226" t="str">
        <f t="shared" si="7"/>
        <v>8435057015929</v>
      </c>
      <c r="H79" s="64" t="s">
        <v>600</v>
      </c>
      <c r="I79" s="64">
        <v>12</v>
      </c>
      <c r="J79" s="189">
        <f t="shared" si="6"/>
        <v>0</v>
      </c>
      <c r="K79" s="67">
        <f>'RESUMEN PEDIDO'!$C$29</f>
        <v>0</v>
      </c>
      <c r="L79" s="67">
        <f>'RESUMEN PEDIDO'!$C$30</f>
        <v>0</v>
      </c>
      <c r="M79" s="66">
        <f t="shared" si="8"/>
        <v>0</v>
      </c>
    </row>
    <row r="80" spans="1:13" s="15" customFormat="1" ht="15" customHeight="1" x14ac:dyDescent="0.25">
      <c r="A80" s="38"/>
      <c r="B80" s="68">
        <v>502071</v>
      </c>
      <c r="C80" s="65" t="s">
        <v>670</v>
      </c>
      <c r="D80" s="2"/>
      <c r="E80" s="66">
        <v>36.9</v>
      </c>
      <c r="F80" s="66">
        <v>40.6</v>
      </c>
      <c r="G80" s="226" t="str">
        <f t="shared" si="7"/>
        <v>8435057015936</v>
      </c>
      <c r="H80" s="64" t="s">
        <v>600</v>
      </c>
      <c r="I80" s="64">
        <v>12</v>
      </c>
      <c r="J80" s="189">
        <f t="shared" si="6"/>
        <v>0</v>
      </c>
      <c r="K80" s="67">
        <f>'RESUMEN PEDIDO'!$C$29</f>
        <v>0</v>
      </c>
      <c r="L80" s="67">
        <f>'RESUMEN PEDIDO'!$C$30</f>
        <v>0</v>
      </c>
      <c r="M80" s="66">
        <f t="shared" si="8"/>
        <v>0</v>
      </c>
    </row>
    <row r="81" spans="1:13" s="15" customFormat="1" ht="15" customHeight="1" x14ac:dyDescent="0.25">
      <c r="A81" s="38"/>
      <c r="B81" s="68">
        <v>502072</v>
      </c>
      <c r="C81" s="65" t="s">
        <v>671</v>
      </c>
      <c r="D81" s="2"/>
      <c r="E81" s="66">
        <v>36.9</v>
      </c>
      <c r="F81" s="66">
        <v>40.6</v>
      </c>
      <c r="G81" s="226" t="str">
        <f t="shared" si="7"/>
        <v>8435057015943</v>
      </c>
      <c r="H81" s="64" t="s">
        <v>600</v>
      </c>
      <c r="I81" s="64">
        <v>12</v>
      </c>
      <c r="J81" s="189">
        <f t="shared" si="6"/>
        <v>0</v>
      </c>
      <c r="K81" s="67">
        <f>'RESUMEN PEDIDO'!$C$29</f>
        <v>0</v>
      </c>
      <c r="L81" s="67">
        <f>'RESUMEN PEDIDO'!$C$30</f>
        <v>0</v>
      </c>
      <c r="M81" s="66">
        <f t="shared" si="8"/>
        <v>0</v>
      </c>
    </row>
    <row r="82" spans="1:13" s="15" customFormat="1" ht="15" customHeight="1" x14ac:dyDescent="0.25">
      <c r="A82" s="38"/>
      <c r="B82" s="68">
        <v>502073</v>
      </c>
      <c r="C82" s="65" t="s">
        <v>672</v>
      </c>
      <c r="D82" s="2"/>
      <c r="E82" s="66">
        <v>36.9</v>
      </c>
      <c r="F82" s="66">
        <v>40.6</v>
      </c>
      <c r="G82" s="226" t="str">
        <f t="shared" si="7"/>
        <v>8435057015950</v>
      </c>
      <c r="H82" s="64" t="s">
        <v>600</v>
      </c>
      <c r="I82" s="64">
        <v>12</v>
      </c>
      <c r="J82" s="189">
        <f t="shared" si="6"/>
        <v>0</v>
      </c>
      <c r="K82" s="67">
        <f>'RESUMEN PEDIDO'!$C$29</f>
        <v>0</v>
      </c>
      <c r="L82" s="67">
        <f>'RESUMEN PEDIDO'!$C$30</f>
        <v>0</v>
      </c>
      <c r="M82" s="66">
        <f t="shared" si="8"/>
        <v>0</v>
      </c>
    </row>
    <row r="83" spans="1:13" s="15" customFormat="1" ht="15" customHeight="1" x14ac:dyDescent="0.25">
      <c r="A83" s="38"/>
      <c r="B83" s="68">
        <v>502074</v>
      </c>
      <c r="C83" s="65" t="s">
        <v>673</v>
      </c>
      <c r="D83" s="2"/>
      <c r="E83" s="66">
        <v>36.9</v>
      </c>
      <c r="F83" s="66">
        <v>40.6</v>
      </c>
      <c r="G83" s="226" t="str">
        <f t="shared" si="7"/>
        <v>8435057015967</v>
      </c>
      <c r="H83" s="64" t="s">
        <v>600</v>
      </c>
      <c r="I83" s="64">
        <v>12</v>
      </c>
      <c r="J83" s="189">
        <f t="shared" si="6"/>
        <v>0</v>
      </c>
      <c r="K83" s="67">
        <f>'RESUMEN PEDIDO'!$C$29</f>
        <v>0</v>
      </c>
      <c r="L83" s="67">
        <f>'RESUMEN PEDIDO'!$C$30</f>
        <v>0</v>
      </c>
      <c r="M83" s="66">
        <f t="shared" si="8"/>
        <v>0</v>
      </c>
    </row>
    <row r="84" spans="1:13" s="15" customFormat="1" ht="15" customHeight="1" x14ac:dyDescent="0.25">
      <c r="A84" s="38"/>
      <c r="B84" s="68">
        <v>502075</v>
      </c>
      <c r="C84" s="65" t="s">
        <v>674</v>
      </c>
      <c r="D84" s="2"/>
      <c r="E84" s="66">
        <v>36.9</v>
      </c>
      <c r="F84" s="66">
        <v>40.6</v>
      </c>
      <c r="G84" s="226" t="str">
        <f t="shared" si="7"/>
        <v>8435057015974</v>
      </c>
      <c r="H84" s="64" t="s">
        <v>600</v>
      </c>
      <c r="I84" s="64">
        <v>12</v>
      </c>
      <c r="J84" s="189">
        <f t="shared" si="6"/>
        <v>0</v>
      </c>
      <c r="K84" s="67">
        <f>'RESUMEN PEDIDO'!$C$29</f>
        <v>0</v>
      </c>
      <c r="L84" s="67">
        <f>'RESUMEN PEDIDO'!$C$30</f>
        <v>0</v>
      </c>
      <c r="M84" s="66">
        <f t="shared" si="8"/>
        <v>0</v>
      </c>
    </row>
    <row r="85" spans="1:13" s="15" customFormat="1" ht="15" customHeight="1" x14ac:dyDescent="0.25">
      <c r="A85" s="38"/>
      <c r="B85" s="68">
        <v>502076</v>
      </c>
      <c r="C85" s="65" t="s">
        <v>675</v>
      </c>
      <c r="D85" s="2"/>
      <c r="E85" s="66">
        <v>36.9</v>
      </c>
      <c r="F85" s="66">
        <v>40.6</v>
      </c>
      <c r="G85" s="226" t="str">
        <f t="shared" si="7"/>
        <v>8435057015981</v>
      </c>
      <c r="H85" s="64" t="s">
        <v>600</v>
      </c>
      <c r="I85" s="64">
        <v>12</v>
      </c>
      <c r="J85" s="189">
        <f t="shared" si="6"/>
        <v>0</v>
      </c>
      <c r="K85" s="67">
        <f>'RESUMEN PEDIDO'!$C$29</f>
        <v>0</v>
      </c>
      <c r="L85" s="67">
        <f>'RESUMEN PEDIDO'!$C$30</f>
        <v>0</v>
      </c>
      <c r="M85" s="66">
        <f t="shared" si="8"/>
        <v>0</v>
      </c>
    </row>
    <row r="86" spans="1:13" s="15" customFormat="1" ht="15" customHeight="1" x14ac:dyDescent="0.25">
      <c r="A86" s="38"/>
      <c r="B86" s="68">
        <v>502077</v>
      </c>
      <c r="C86" s="65" t="s">
        <v>676</v>
      </c>
      <c r="D86" s="2"/>
      <c r="E86" s="66">
        <v>36.9</v>
      </c>
      <c r="F86" s="66">
        <v>40.6</v>
      </c>
      <c r="G86" s="226" t="str">
        <f t="shared" si="7"/>
        <v>8435057015998</v>
      </c>
      <c r="H86" s="64" t="s">
        <v>600</v>
      </c>
      <c r="I86" s="64">
        <v>12</v>
      </c>
      <c r="J86" s="189">
        <f t="shared" si="6"/>
        <v>0</v>
      </c>
      <c r="K86" s="67">
        <f>'RESUMEN PEDIDO'!$C$29</f>
        <v>0</v>
      </c>
      <c r="L86" s="67">
        <f>'RESUMEN PEDIDO'!$C$30</f>
        <v>0</v>
      </c>
      <c r="M86" s="66">
        <f t="shared" si="8"/>
        <v>0</v>
      </c>
    </row>
    <row r="87" spans="1:13" s="15" customFormat="1" ht="15" customHeight="1" x14ac:dyDescent="0.25">
      <c r="A87" s="38"/>
      <c r="B87" s="68">
        <v>502078</v>
      </c>
      <c r="C87" s="65" t="s">
        <v>677</v>
      </c>
      <c r="D87" s="2"/>
      <c r="E87" s="66">
        <v>36.9</v>
      </c>
      <c r="F87" s="66">
        <v>40.6</v>
      </c>
      <c r="G87" s="226" t="str">
        <f t="shared" si="7"/>
        <v>8435057016001</v>
      </c>
      <c r="H87" s="64" t="s">
        <v>600</v>
      </c>
      <c r="I87" s="64">
        <v>12</v>
      </c>
      <c r="J87" s="189">
        <f t="shared" si="6"/>
        <v>0</v>
      </c>
      <c r="K87" s="67">
        <f>'RESUMEN PEDIDO'!$C$29</f>
        <v>0</v>
      </c>
      <c r="L87" s="67">
        <f>'RESUMEN PEDIDO'!$C$30</f>
        <v>0</v>
      </c>
      <c r="M87" s="66">
        <f t="shared" si="8"/>
        <v>0</v>
      </c>
    </row>
    <row r="88" spans="1:13" s="15" customFormat="1" ht="15" customHeight="1" x14ac:dyDescent="0.25">
      <c r="A88" s="38"/>
      <c r="B88" s="68">
        <v>502079</v>
      </c>
      <c r="C88" s="65" t="s">
        <v>678</v>
      </c>
      <c r="D88" s="2"/>
      <c r="E88" s="66">
        <v>36.9</v>
      </c>
      <c r="F88" s="66">
        <v>40.6</v>
      </c>
      <c r="G88" s="226" t="str">
        <f t="shared" si="7"/>
        <v>8435057016018</v>
      </c>
      <c r="H88" s="64" t="s">
        <v>600</v>
      </c>
      <c r="I88" s="64">
        <v>12</v>
      </c>
      <c r="J88" s="189">
        <f t="shared" si="6"/>
        <v>0</v>
      </c>
      <c r="K88" s="67">
        <f>'RESUMEN PEDIDO'!$C$29</f>
        <v>0</v>
      </c>
      <c r="L88" s="67">
        <f>'RESUMEN PEDIDO'!$C$30</f>
        <v>0</v>
      </c>
      <c r="M88" s="66">
        <f t="shared" si="8"/>
        <v>0</v>
      </c>
    </row>
    <row r="89" spans="1:13" s="15" customFormat="1" ht="15" customHeight="1" x14ac:dyDescent="0.25">
      <c r="A89" s="38"/>
      <c r="B89" s="68">
        <v>502080</v>
      </c>
      <c r="C89" s="65" t="s">
        <v>679</v>
      </c>
      <c r="D89" s="2"/>
      <c r="E89" s="66">
        <v>36.9</v>
      </c>
      <c r="F89" s="66">
        <v>40.6</v>
      </c>
      <c r="G89" s="226" t="str">
        <f t="shared" si="7"/>
        <v>8435057016025</v>
      </c>
      <c r="H89" s="64" t="s">
        <v>600</v>
      </c>
      <c r="I89" s="64">
        <v>12</v>
      </c>
      <c r="J89" s="189">
        <f t="shared" si="6"/>
        <v>0</v>
      </c>
      <c r="K89" s="67">
        <f>'RESUMEN PEDIDO'!$C$29</f>
        <v>0</v>
      </c>
      <c r="L89" s="67">
        <f>'RESUMEN PEDIDO'!$C$30</f>
        <v>0</v>
      </c>
      <c r="M89" s="66">
        <f t="shared" si="8"/>
        <v>0</v>
      </c>
    </row>
    <row r="90" spans="1:13" s="15" customFormat="1" ht="15" customHeight="1" x14ac:dyDescent="0.25">
      <c r="A90" s="38"/>
      <c r="B90" s="68">
        <v>502081</v>
      </c>
      <c r="C90" s="65" t="s">
        <v>680</v>
      </c>
      <c r="D90" s="2"/>
      <c r="E90" s="66">
        <v>36.9</v>
      </c>
      <c r="F90" s="66">
        <v>40.6</v>
      </c>
      <c r="G90" s="226" t="str">
        <f t="shared" si="7"/>
        <v>8435057016032</v>
      </c>
      <c r="H90" s="64" t="s">
        <v>600</v>
      </c>
      <c r="I90" s="64">
        <v>12</v>
      </c>
      <c r="J90" s="189">
        <f t="shared" si="6"/>
        <v>0</v>
      </c>
      <c r="K90" s="67">
        <f>'RESUMEN PEDIDO'!$C$29</f>
        <v>0</v>
      </c>
      <c r="L90" s="67">
        <f>'RESUMEN PEDIDO'!$C$30</f>
        <v>0</v>
      </c>
      <c r="M90" s="66">
        <f t="shared" si="8"/>
        <v>0</v>
      </c>
    </row>
    <row r="91" spans="1:13" s="15" customFormat="1" ht="15" customHeight="1" x14ac:dyDescent="0.25">
      <c r="A91" s="38"/>
      <c r="B91" s="68">
        <v>502082</v>
      </c>
      <c r="C91" s="65" t="s">
        <v>681</v>
      </c>
      <c r="D91" s="2"/>
      <c r="E91" s="66">
        <v>36.9</v>
      </c>
      <c r="F91" s="66">
        <v>40.6</v>
      </c>
      <c r="G91" s="226" t="str">
        <f t="shared" si="7"/>
        <v>8435057016049</v>
      </c>
      <c r="H91" s="64" t="s">
        <v>600</v>
      </c>
      <c r="I91" s="64">
        <v>12</v>
      </c>
      <c r="J91" s="189">
        <f t="shared" si="6"/>
        <v>0</v>
      </c>
      <c r="K91" s="67">
        <f>'RESUMEN PEDIDO'!$C$29</f>
        <v>0</v>
      </c>
      <c r="L91" s="67">
        <f>'RESUMEN PEDIDO'!$C$30</f>
        <v>0</v>
      </c>
      <c r="M91" s="66">
        <f t="shared" si="8"/>
        <v>0</v>
      </c>
    </row>
    <row r="92" spans="1:13" s="15" customFormat="1" ht="15" customHeight="1" x14ac:dyDescent="0.25">
      <c r="A92" s="38"/>
      <c r="B92" s="68">
        <v>502083</v>
      </c>
      <c r="C92" s="65" t="s">
        <v>682</v>
      </c>
      <c r="D92" s="2"/>
      <c r="E92" s="66">
        <v>36.9</v>
      </c>
      <c r="F92" s="66">
        <v>40.6</v>
      </c>
      <c r="G92" s="226" t="str">
        <f t="shared" si="7"/>
        <v>8435057016056</v>
      </c>
      <c r="H92" s="64" t="s">
        <v>600</v>
      </c>
      <c r="I92" s="64">
        <v>12</v>
      </c>
      <c r="J92" s="189">
        <f t="shared" si="6"/>
        <v>0</v>
      </c>
      <c r="K92" s="67">
        <f>'RESUMEN PEDIDO'!$C$29</f>
        <v>0</v>
      </c>
      <c r="L92" s="67">
        <f>'RESUMEN PEDIDO'!$C$30</f>
        <v>0</v>
      </c>
      <c r="M92" s="66">
        <f t="shared" si="8"/>
        <v>0</v>
      </c>
    </row>
    <row r="93" spans="1:13" s="15" customFormat="1" ht="15" customHeight="1" x14ac:dyDescent="0.25">
      <c r="A93" s="38"/>
      <c r="B93" s="68">
        <v>502084</v>
      </c>
      <c r="C93" s="65" t="s">
        <v>683</v>
      </c>
      <c r="D93" s="2"/>
      <c r="E93" s="66">
        <v>36.9</v>
      </c>
      <c r="F93" s="66">
        <v>40.6</v>
      </c>
      <c r="G93" s="226" t="str">
        <f t="shared" si="7"/>
        <v>8435057016063</v>
      </c>
      <c r="H93" s="64" t="s">
        <v>600</v>
      </c>
      <c r="I93" s="64">
        <v>12</v>
      </c>
      <c r="J93" s="189">
        <f t="shared" si="6"/>
        <v>0</v>
      </c>
      <c r="K93" s="67">
        <f>'RESUMEN PEDIDO'!$C$29</f>
        <v>0</v>
      </c>
      <c r="L93" s="67">
        <f>'RESUMEN PEDIDO'!$C$30</f>
        <v>0</v>
      </c>
      <c r="M93" s="66">
        <f t="shared" si="8"/>
        <v>0</v>
      </c>
    </row>
    <row r="94" spans="1:13" s="15" customFormat="1" ht="15" customHeight="1" x14ac:dyDescent="0.25">
      <c r="A94" s="38"/>
      <c r="B94" s="68">
        <v>502085</v>
      </c>
      <c r="C94" s="65" t="s">
        <v>684</v>
      </c>
      <c r="D94" s="2"/>
      <c r="E94" s="66">
        <v>36.9</v>
      </c>
      <c r="F94" s="66">
        <v>40.6</v>
      </c>
      <c r="G94" s="226" t="str">
        <f t="shared" si="7"/>
        <v>8435057016070</v>
      </c>
      <c r="H94" s="64" t="s">
        <v>600</v>
      </c>
      <c r="I94" s="64">
        <v>12</v>
      </c>
      <c r="J94" s="189">
        <f t="shared" si="6"/>
        <v>0</v>
      </c>
      <c r="K94" s="67">
        <f>'RESUMEN PEDIDO'!$C$29</f>
        <v>0</v>
      </c>
      <c r="L94" s="67">
        <f>'RESUMEN PEDIDO'!$C$30</f>
        <v>0</v>
      </c>
      <c r="M94" s="66">
        <f t="shared" si="8"/>
        <v>0</v>
      </c>
    </row>
    <row r="95" spans="1:13" s="15" customFormat="1" ht="15" customHeight="1" x14ac:dyDescent="0.25">
      <c r="A95" s="38"/>
      <c r="B95" s="68">
        <v>502086</v>
      </c>
      <c r="C95" s="65" t="s">
        <v>685</v>
      </c>
      <c r="D95" s="2"/>
      <c r="E95" s="66">
        <v>36.9</v>
      </c>
      <c r="F95" s="66">
        <v>40.6</v>
      </c>
      <c r="G95" s="226" t="str">
        <f t="shared" si="7"/>
        <v>8435057016087</v>
      </c>
      <c r="H95" s="64" t="s">
        <v>600</v>
      </c>
      <c r="I95" s="64">
        <v>12</v>
      </c>
      <c r="J95" s="189">
        <f t="shared" si="6"/>
        <v>0</v>
      </c>
      <c r="K95" s="67">
        <f>'RESUMEN PEDIDO'!$C$29</f>
        <v>0</v>
      </c>
      <c r="L95" s="67">
        <f>'RESUMEN PEDIDO'!$C$30</f>
        <v>0</v>
      </c>
      <c r="M95" s="66">
        <f t="shared" si="8"/>
        <v>0</v>
      </c>
    </row>
    <row r="96" spans="1:13" s="15" customFormat="1" ht="15" customHeight="1" x14ac:dyDescent="0.25">
      <c r="A96" s="38"/>
      <c r="B96" s="68">
        <v>502087</v>
      </c>
      <c r="C96" s="65" t="s">
        <v>686</v>
      </c>
      <c r="D96" s="2"/>
      <c r="E96" s="66">
        <v>36.9</v>
      </c>
      <c r="F96" s="66">
        <v>40.6</v>
      </c>
      <c r="G96" s="226" t="str">
        <f t="shared" si="7"/>
        <v>8435057016094</v>
      </c>
      <c r="H96" s="64" t="s">
        <v>600</v>
      </c>
      <c r="I96" s="64">
        <v>12</v>
      </c>
      <c r="J96" s="189">
        <f t="shared" si="6"/>
        <v>0</v>
      </c>
      <c r="K96" s="67">
        <f>'RESUMEN PEDIDO'!$C$29</f>
        <v>0</v>
      </c>
      <c r="L96" s="67">
        <f>'RESUMEN PEDIDO'!$C$30</f>
        <v>0</v>
      </c>
      <c r="M96" s="66">
        <f t="shared" si="8"/>
        <v>0</v>
      </c>
    </row>
    <row r="97" spans="1:13" s="15" customFormat="1" ht="15" customHeight="1" x14ac:dyDescent="0.25">
      <c r="A97" s="38"/>
      <c r="B97" s="68">
        <v>502088</v>
      </c>
      <c r="C97" s="65" t="s">
        <v>687</v>
      </c>
      <c r="D97" s="2"/>
      <c r="E97" s="66">
        <v>36.9</v>
      </c>
      <c r="F97" s="66">
        <v>40.6</v>
      </c>
      <c r="G97" s="226" t="str">
        <f t="shared" si="7"/>
        <v>8435057016100</v>
      </c>
      <c r="H97" s="64" t="s">
        <v>600</v>
      </c>
      <c r="I97" s="64">
        <v>12</v>
      </c>
      <c r="J97" s="189">
        <f t="shared" si="6"/>
        <v>0</v>
      </c>
      <c r="K97" s="67">
        <f>'RESUMEN PEDIDO'!$C$29</f>
        <v>0</v>
      </c>
      <c r="L97" s="67">
        <f>'RESUMEN PEDIDO'!$C$30</f>
        <v>0</v>
      </c>
      <c r="M97" s="66">
        <f t="shared" si="8"/>
        <v>0</v>
      </c>
    </row>
    <row r="98" spans="1:13" s="15" customFormat="1" ht="15" customHeight="1" x14ac:dyDescent="0.25">
      <c r="A98" s="38"/>
      <c r="B98" s="68">
        <v>502089</v>
      </c>
      <c r="C98" s="65" t="s">
        <v>688</v>
      </c>
      <c r="D98" s="2"/>
      <c r="E98" s="66">
        <v>36.9</v>
      </c>
      <c r="F98" s="66">
        <v>40.6</v>
      </c>
      <c r="G98" s="226" t="str">
        <f t="shared" si="7"/>
        <v>8435057016117</v>
      </c>
      <c r="H98" s="64" t="s">
        <v>600</v>
      </c>
      <c r="I98" s="64">
        <v>12</v>
      </c>
      <c r="J98" s="189">
        <f t="shared" si="6"/>
        <v>0</v>
      </c>
      <c r="K98" s="67">
        <f>'RESUMEN PEDIDO'!$C$29</f>
        <v>0</v>
      </c>
      <c r="L98" s="67">
        <f>'RESUMEN PEDIDO'!$C$30</f>
        <v>0</v>
      </c>
      <c r="M98" s="66">
        <f t="shared" si="8"/>
        <v>0</v>
      </c>
    </row>
    <row r="99" spans="1:13" s="15" customFormat="1" ht="15" customHeight="1" x14ac:dyDescent="0.25">
      <c r="A99" s="38"/>
      <c r="B99" s="68">
        <v>502090</v>
      </c>
      <c r="C99" s="65" t="s">
        <v>689</v>
      </c>
      <c r="D99" s="2"/>
      <c r="E99" s="66">
        <v>36.9</v>
      </c>
      <c r="F99" s="66">
        <v>40.6</v>
      </c>
      <c r="G99" s="226" t="str">
        <f t="shared" si="7"/>
        <v>8435057016124</v>
      </c>
      <c r="H99" s="64" t="s">
        <v>600</v>
      </c>
      <c r="I99" s="64">
        <v>12</v>
      </c>
      <c r="J99" s="189">
        <f t="shared" si="6"/>
        <v>0</v>
      </c>
      <c r="K99" s="67">
        <f>'RESUMEN PEDIDO'!$C$29</f>
        <v>0</v>
      </c>
      <c r="L99" s="67">
        <f>'RESUMEN PEDIDO'!$C$30</f>
        <v>0</v>
      </c>
      <c r="M99" s="66">
        <f t="shared" si="8"/>
        <v>0</v>
      </c>
    </row>
    <row r="100" spans="1:13" s="15" customFormat="1" ht="15" customHeight="1" x14ac:dyDescent="0.25">
      <c r="A100" s="38"/>
      <c r="B100" s="68">
        <v>502091</v>
      </c>
      <c r="C100" s="65" t="s">
        <v>690</v>
      </c>
      <c r="D100" s="2"/>
      <c r="E100" s="66">
        <v>36.9</v>
      </c>
      <c r="F100" s="66">
        <v>40.6</v>
      </c>
      <c r="G100" s="226" t="str">
        <f t="shared" si="7"/>
        <v>8435057016131</v>
      </c>
      <c r="H100" s="64" t="s">
        <v>600</v>
      </c>
      <c r="I100" s="64">
        <v>12</v>
      </c>
      <c r="J100" s="189">
        <f t="shared" si="6"/>
        <v>0</v>
      </c>
      <c r="K100" s="67">
        <f>'RESUMEN PEDIDO'!$C$29</f>
        <v>0</v>
      </c>
      <c r="L100" s="67">
        <f>'RESUMEN PEDIDO'!$C$30</f>
        <v>0</v>
      </c>
      <c r="M100" s="66">
        <f t="shared" si="8"/>
        <v>0</v>
      </c>
    </row>
    <row r="101" spans="1:13" s="15" customFormat="1" ht="15" customHeight="1" x14ac:dyDescent="0.25">
      <c r="A101" s="38"/>
      <c r="B101" s="68">
        <v>502092</v>
      </c>
      <c r="C101" s="65" t="s">
        <v>691</v>
      </c>
      <c r="D101" s="2"/>
      <c r="E101" s="66">
        <v>36.9</v>
      </c>
      <c r="F101" s="66">
        <v>40.6</v>
      </c>
      <c r="G101" s="226" t="str">
        <f t="shared" si="7"/>
        <v>8435057016148</v>
      </c>
      <c r="H101" s="64" t="s">
        <v>600</v>
      </c>
      <c r="I101" s="64">
        <v>12</v>
      </c>
      <c r="J101" s="189">
        <f t="shared" si="6"/>
        <v>0</v>
      </c>
      <c r="K101" s="67">
        <f>'RESUMEN PEDIDO'!$C$29</f>
        <v>0</v>
      </c>
      <c r="L101" s="67">
        <f>'RESUMEN PEDIDO'!$C$30</f>
        <v>0</v>
      </c>
      <c r="M101" s="66">
        <f t="shared" si="8"/>
        <v>0</v>
      </c>
    </row>
    <row r="102" spans="1:13" s="15" customFormat="1" ht="15" customHeight="1" x14ac:dyDescent="0.25">
      <c r="A102" s="38"/>
      <c r="B102" s="68">
        <v>502093</v>
      </c>
      <c r="C102" s="65" t="s">
        <v>692</v>
      </c>
      <c r="D102" s="2"/>
      <c r="E102" s="66">
        <v>36.9</v>
      </c>
      <c r="F102" s="66">
        <v>40.6</v>
      </c>
      <c r="G102" s="226" t="str">
        <f t="shared" si="7"/>
        <v>8435057016155</v>
      </c>
      <c r="H102" s="64" t="s">
        <v>600</v>
      </c>
      <c r="I102" s="64">
        <v>12</v>
      </c>
      <c r="J102" s="189">
        <f t="shared" si="6"/>
        <v>0</v>
      </c>
      <c r="K102" s="67">
        <f>'RESUMEN PEDIDO'!$C$29</f>
        <v>0</v>
      </c>
      <c r="L102" s="67">
        <f>'RESUMEN PEDIDO'!$C$30</f>
        <v>0</v>
      </c>
      <c r="M102" s="66">
        <f t="shared" si="8"/>
        <v>0</v>
      </c>
    </row>
    <row r="103" spans="1:13" s="15" customFormat="1" ht="15" customHeight="1" x14ac:dyDescent="0.25">
      <c r="A103" s="38"/>
      <c r="B103" s="68">
        <v>502094</v>
      </c>
      <c r="C103" s="65" t="s">
        <v>693</v>
      </c>
      <c r="D103" s="2"/>
      <c r="E103" s="66">
        <v>36.9</v>
      </c>
      <c r="F103" s="66">
        <v>40.6</v>
      </c>
      <c r="G103" s="226" t="str">
        <f t="shared" si="7"/>
        <v>8435057016162</v>
      </c>
      <c r="H103" s="64" t="s">
        <v>600</v>
      </c>
      <c r="I103" s="64">
        <v>12</v>
      </c>
      <c r="J103" s="189">
        <f t="shared" si="6"/>
        <v>0</v>
      </c>
      <c r="K103" s="67">
        <f>'RESUMEN PEDIDO'!$C$29</f>
        <v>0</v>
      </c>
      <c r="L103" s="67">
        <f>'RESUMEN PEDIDO'!$C$30</f>
        <v>0</v>
      </c>
      <c r="M103" s="66">
        <f t="shared" si="8"/>
        <v>0</v>
      </c>
    </row>
    <row r="104" spans="1:13" s="15" customFormat="1" ht="15" customHeight="1" x14ac:dyDescent="0.25">
      <c r="A104" s="38"/>
      <c r="B104" s="68">
        <v>502095</v>
      </c>
      <c r="C104" s="65" t="s">
        <v>694</v>
      </c>
      <c r="D104" s="2"/>
      <c r="E104" s="66">
        <v>36.9</v>
      </c>
      <c r="F104" s="66">
        <v>40.6</v>
      </c>
      <c r="G104" s="226" t="str">
        <f t="shared" si="7"/>
        <v>8435057016179</v>
      </c>
      <c r="H104" s="64" t="s">
        <v>600</v>
      </c>
      <c r="I104" s="64">
        <v>12</v>
      </c>
      <c r="J104" s="189">
        <f t="shared" si="6"/>
        <v>0</v>
      </c>
      <c r="K104" s="67">
        <f>'RESUMEN PEDIDO'!$C$29</f>
        <v>0</v>
      </c>
      <c r="L104" s="67">
        <f>'RESUMEN PEDIDO'!$C$30</f>
        <v>0</v>
      </c>
      <c r="M104" s="66">
        <f t="shared" si="8"/>
        <v>0</v>
      </c>
    </row>
    <row r="105" spans="1:13" s="15" customFormat="1" ht="15" customHeight="1" x14ac:dyDescent="0.25">
      <c r="A105" s="38"/>
      <c r="B105" s="68">
        <v>502096</v>
      </c>
      <c r="C105" s="65" t="s">
        <v>695</v>
      </c>
      <c r="D105" s="2"/>
      <c r="E105" s="66">
        <v>36.9</v>
      </c>
      <c r="F105" s="66">
        <v>40.6</v>
      </c>
      <c r="G105" s="226" t="str">
        <f t="shared" si="7"/>
        <v>8435057016186</v>
      </c>
      <c r="H105" s="64" t="s">
        <v>600</v>
      </c>
      <c r="I105" s="64">
        <v>12</v>
      </c>
      <c r="J105" s="189">
        <f t="shared" ref="J105:J139" si="9">D105/I105</f>
        <v>0</v>
      </c>
      <c r="K105" s="67">
        <f>'RESUMEN PEDIDO'!$C$29</f>
        <v>0</v>
      </c>
      <c r="L105" s="67">
        <f>'RESUMEN PEDIDO'!$C$30</f>
        <v>0</v>
      </c>
      <c r="M105" s="66">
        <f t="shared" si="8"/>
        <v>0</v>
      </c>
    </row>
    <row r="106" spans="1:13" s="15" customFormat="1" ht="15" customHeight="1" x14ac:dyDescent="0.25">
      <c r="A106" s="38"/>
      <c r="B106" s="68">
        <v>502097</v>
      </c>
      <c r="C106" s="65" t="s">
        <v>696</v>
      </c>
      <c r="D106" s="2"/>
      <c r="E106" s="66">
        <v>36.9</v>
      </c>
      <c r="F106" s="66">
        <v>40.6</v>
      </c>
      <c r="G106" s="226" t="str">
        <f t="shared" ref="G106:G129" si="10">VLOOKUP(B106,EAN,3,0)</f>
        <v>8435057016193</v>
      </c>
      <c r="H106" s="64" t="s">
        <v>600</v>
      </c>
      <c r="I106" s="64">
        <v>12</v>
      </c>
      <c r="J106" s="189">
        <f t="shared" si="9"/>
        <v>0</v>
      </c>
      <c r="K106" s="67">
        <f>'RESUMEN PEDIDO'!$C$29</f>
        <v>0</v>
      </c>
      <c r="L106" s="67">
        <f>'RESUMEN PEDIDO'!$C$30</f>
        <v>0</v>
      </c>
      <c r="M106" s="66">
        <f t="shared" ref="M106:M129" si="11">(D106*(E106-(E106*K106)))-(D106*(E106-(E106*K106)))*L106</f>
        <v>0</v>
      </c>
    </row>
    <row r="107" spans="1:13" s="15" customFormat="1" ht="15" customHeight="1" x14ac:dyDescent="0.25">
      <c r="A107" s="38"/>
      <c r="B107" s="68">
        <v>502098</v>
      </c>
      <c r="C107" s="65" t="s">
        <v>697</v>
      </c>
      <c r="D107" s="2"/>
      <c r="E107" s="66">
        <v>36.9</v>
      </c>
      <c r="F107" s="66">
        <v>40.6</v>
      </c>
      <c r="G107" s="226" t="str">
        <f t="shared" si="10"/>
        <v>8435057016209</v>
      </c>
      <c r="H107" s="64" t="s">
        <v>600</v>
      </c>
      <c r="I107" s="64">
        <v>12</v>
      </c>
      <c r="J107" s="189">
        <f t="shared" si="9"/>
        <v>0</v>
      </c>
      <c r="K107" s="67">
        <f>'RESUMEN PEDIDO'!$C$29</f>
        <v>0</v>
      </c>
      <c r="L107" s="67">
        <f>'RESUMEN PEDIDO'!$C$30</f>
        <v>0</v>
      </c>
      <c r="M107" s="66">
        <f t="shared" si="11"/>
        <v>0</v>
      </c>
    </row>
    <row r="108" spans="1:13" s="15" customFormat="1" ht="15" customHeight="1" x14ac:dyDescent="0.25">
      <c r="A108" s="38"/>
      <c r="B108" s="68">
        <v>502099</v>
      </c>
      <c r="C108" s="65" t="s">
        <v>698</v>
      </c>
      <c r="D108" s="2"/>
      <c r="E108" s="66">
        <v>36.9</v>
      </c>
      <c r="F108" s="66">
        <v>40.6</v>
      </c>
      <c r="G108" s="226" t="str">
        <f t="shared" si="10"/>
        <v>8435057016216</v>
      </c>
      <c r="H108" s="64" t="s">
        <v>600</v>
      </c>
      <c r="I108" s="64">
        <v>12</v>
      </c>
      <c r="J108" s="189">
        <f t="shared" si="9"/>
        <v>0</v>
      </c>
      <c r="K108" s="67">
        <f>'RESUMEN PEDIDO'!$C$29</f>
        <v>0</v>
      </c>
      <c r="L108" s="67">
        <f>'RESUMEN PEDIDO'!$C$30</f>
        <v>0</v>
      </c>
      <c r="M108" s="66">
        <f t="shared" si="11"/>
        <v>0</v>
      </c>
    </row>
    <row r="109" spans="1:13" s="15" customFormat="1" ht="15" customHeight="1" x14ac:dyDescent="0.25">
      <c r="A109" s="38"/>
      <c r="B109" s="68">
        <v>502100</v>
      </c>
      <c r="C109" s="65" t="s">
        <v>699</v>
      </c>
      <c r="D109" s="2"/>
      <c r="E109" s="66">
        <v>36.9</v>
      </c>
      <c r="F109" s="66">
        <v>40.6</v>
      </c>
      <c r="G109" s="226" t="str">
        <f t="shared" si="10"/>
        <v>8435057016223</v>
      </c>
      <c r="H109" s="64" t="s">
        <v>600</v>
      </c>
      <c r="I109" s="64">
        <v>12</v>
      </c>
      <c r="J109" s="189">
        <f t="shared" si="9"/>
        <v>0</v>
      </c>
      <c r="K109" s="67">
        <f>'RESUMEN PEDIDO'!$C$29</f>
        <v>0</v>
      </c>
      <c r="L109" s="67">
        <f>'RESUMEN PEDIDO'!$C$30</f>
        <v>0</v>
      </c>
      <c r="M109" s="66">
        <f t="shared" si="11"/>
        <v>0</v>
      </c>
    </row>
    <row r="110" spans="1:13" s="15" customFormat="1" ht="15" customHeight="1" x14ac:dyDescent="0.25">
      <c r="A110" s="38"/>
      <c r="B110" s="68">
        <v>502101</v>
      </c>
      <c r="C110" s="65" t="s">
        <v>700</v>
      </c>
      <c r="D110" s="2"/>
      <c r="E110" s="66">
        <v>36.9</v>
      </c>
      <c r="F110" s="66">
        <v>40.6</v>
      </c>
      <c r="G110" s="226" t="str">
        <f t="shared" si="10"/>
        <v>8435057016230</v>
      </c>
      <c r="H110" s="64" t="s">
        <v>600</v>
      </c>
      <c r="I110" s="64">
        <v>12</v>
      </c>
      <c r="J110" s="189">
        <f t="shared" si="9"/>
        <v>0</v>
      </c>
      <c r="K110" s="67">
        <f>'RESUMEN PEDIDO'!$C$29</f>
        <v>0</v>
      </c>
      <c r="L110" s="67">
        <f>'RESUMEN PEDIDO'!$C$30</f>
        <v>0</v>
      </c>
      <c r="M110" s="66">
        <f t="shared" si="11"/>
        <v>0</v>
      </c>
    </row>
    <row r="111" spans="1:13" s="15" customFormat="1" ht="15" customHeight="1" x14ac:dyDescent="0.25">
      <c r="A111" s="38"/>
      <c r="B111" s="68">
        <v>502102</v>
      </c>
      <c r="C111" s="65" t="s">
        <v>701</v>
      </c>
      <c r="D111" s="2"/>
      <c r="E111" s="66">
        <v>36.9</v>
      </c>
      <c r="F111" s="66">
        <v>40.6</v>
      </c>
      <c r="G111" s="226" t="str">
        <f t="shared" si="10"/>
        <v>8435057016247</v>
      </c>
      <c r="H111" s="64" t="s">
        <v>600</v>
      </c>
      <c r="I111" s="64">
        <v>12</v>
      </c>
      <c r="J111" s="189">
        <f t="shared" si="9"/>
        <v>0</v>
      </c>
      <c r="K111" s="67">
        <f>'RESUMEN PEDIDO'!$C$29</f>
        <v>0</v>
      </c>
      <c r="L111" s="67">
        <f>'RESUMEN PEDIDO'!$C$30</f>
        <v>0</v>
      </c>
      <c r="M111" s="66">
        <f t="shared" si="11"/>
        <v>0</v>
      </c>
    </row>
    <row r="112" spans="1:13" s="15" customFormat="1" ht="15" customHeight="1" x14ac:dyDescent="0.25">
      <c r="A112" s="38"/>
      <c r="B112" s="68">
        <v>502103</v>
      </c>
      <c r="C112" s="65" t="s">
        <v>702</v>
      </c>
      <c r="D112" s="2"/>
      <c r="E112" s="66">
        <v>36.9</v>
      </c>
      <c r="F112" s="66">
        <v>40.6</v>
      </c>
      <c r="G112" s="226" t="str">
        <f t="shared" si="10"/>
        <v>8435057016254</v>
      </c>
      <c r="H112" s="64" t="s">
        <v>600</v>
      </c>
      <c r="I112" s="64">
        <v>12</v>
      </c>
      <c r="J112" s="189">
        <f t="shared" si="9"/>
        <v>0</v>
      </c>
      <c r="K112" s="67">
        <f>'RESUMEN PEDIDO'!$C$29</f>
        <v>0</v>
      </c>
      <c r="L112" s="67">
        <f>'RESUMEN PEDIDO'!$C$30</f>
        <v>0</v>
      </c>
      <c r="M112" s="66">
        <f t="shared" si="11"/>
        <v>0</v>
      </c>
    </row>
    <row r="113" spans="1:13" s="15" customFormat="1" ht="15" customHeight="1" x14ac:dyDescent="0.25">
      <c r="A113" s="38"/>
      <c r="B113" s="68">
        <v>502104</v>
      </c>
      <c r="C113" s="65" t="s">
        <v>703</v>
      </c>
      <c r="D113" s="2"/>
      <c r="E113" s="66">
        <v>36.9</v>
      </c>
      <c r="F113" s="66">
        <v>40.6</v>
      </c>
      <c r="G113" s="226" t="str">
        <f t="shared" si="10"/>
        <v>8435057016261</v>
      </c>
      <c r="H113" s="64" t="s">
        <v>600</v>
      </c>
      <c r="I113" s="64">
        <v>12</v>
      </c>
      <c r="J113" s="189">
        <f t="shared" si="9"/>
        <v>0</v>
      </c>
      <c r="K113" s="67">
        <f>'RESUMEN PEDIDO'!$C$29</f>
        <v>0</v>
      </c>
      <c r="L113" s="67">
        <f>'RESUMEN PEDIDO'!$C$30</f>
        <v>0</v>
      </c>
      <c r="M113" s="66">
        <f t="shared" si="11"/>
        <v>0</v>
      </c>
    </row>
    <row r="114" spans="1:13" s="15" customFormat="1" ht="15" customHeight="1" x14ac:dyDescent="0.25">
      <c r="A114" s="38"/>
      <c r="B114" s="68">
        <v>502105</v>
      </c>
      <c r="C114" s="65" t="s">
        <v>704</v>
      </c>
      <c r="D114" s="2"/>
      <c r="E114" s="66">
        <v>36.9</v>
      </c>
      <c r="F114" s="66">
        <v>40.6</v>
      </c>
      <c r="G114" s="226" t="str">
        <f t="shared" si="10"/>
        <v>8435057016278</v>
      </c>
      <c r="H114" s="64" t="s">
        <v>600</v>
      </c>
      <c r="I114" s="64">
        <v>12</v>
      </c>
      <c r="J114" s="189">
        <f t="shared" si="9"/>
        <v>0</v>
      </c>
      <c r="K114" s="67">
        <f>'RESUMEN PEDIDO'!$C$29</f>
        <v>0</v>
      </c>
      <c r="L114" s="67">
        <f>'RESUMEN PEDIDO'!$C$30</f>
        <v>0</v>
      </c>
      <c r="M114" s="66">
        <f t="shared" si="11"/>
        <v>0</v>
      </c>
    </row>
    <row r="115" spans="1:13" s="15" customFormat="1" ht="15" customHeight="1" x14ac:dyDescent="0.25">
      <c r="A115" s="38"/>
      <c r="B115" s="68">
        <v>502106</v>
      </c>
      <c r="C115" s="65" t="s">
        <v>705</v>
      </c>
      <c r="D115" s="2"/>
      <c r="E115" s="66">
        <v>36.9</v>
      </c>
      <c r="F115" s="66">
        <v>40.6</v>
      </c>
      <c r="G115" s="226" t="str">
        <f t="shared" si="10"/>
        <v>8435057016285</v>
      </c>
      <c r="H115" s="64" t="s">
        <v>600</v>
      </c>
      <c r="I115" s="64">
        <v>12</v>
      </c>
      <c r="J115" s="189">
        <f t="shared" si="9"/>
        <v>0</v>
      </c>
      <c r="K115" s="67">
        <f>'RESUMEN PEDIDO'!$C$29</f>
        <v>0</v>
      </c>
      <c r="L115" s="67">
        <f>'RESUMEN PEDIDO'!$C$30</f>
        <v>0</v>
      </c>
      <c r="M115" s="66">
        <f t="shared" si="11"/>
        <v>0</v>
      </c>
    </row>
    <row r="116" spans="1:13" s="15" customFormat="1" ht="15" customHeight="1" x14ac:dyDescent="0.25">
      <c r="A116" s="38"/>
      <c r="B116" s="68">
        <v>502107</v>
      </c>
      <c r="C116" s="65" t="s">
        <v>706</v>
      </c>
      <c r="D116" s="2"/>
      <c r="E116" s="66">
        <v>36.9</v>
      </c>
      <c r="F116" s="66">
        <v>40.6</v>
      </c>
      <c r="G116" s="226" t="str">
        <f t="shared" si="10"/>
        <v>8435057016292</v>
      </c>
      <c r="H116" s="64" t="s">
        <v>600</v>
      </c>
      <c r="I116" s="64">
        <v>12</v>
      </c>
      <c r="J116" s="189">
        <f t="shared" si="9"/>
        <v>0</v>
      </c>
      <c r="K116" s="67">
        <f>'RESUMEN PEDIDO'!$C$29</f>
        <v>0</v>
      </c>
      <c r="L116" s="67">
        <f>'RESUMEN PEDIDO'!$C$30</f>
        <v>0</v>
      </c>
      <c r="M116" s="66">
        <f t="shared" si="11"/>
        <v>0</v>
      </c>
    </row>
    <row r="117" spans="1:13" s="15" customFormat="1" ht="15" customHeight="1" x14ac:dyDescent="0.25">
      <c r="A117" s="38"/>
      <c r="B117" s="68">
        <v>502108</v>
      </c>
      <c r="C117" s="65" t="s">
        <v>707</v>
      </c>
      <c r="D117" s="2"/>
      <c r="E117" s="66">
        <v>36.9</v>
      </c>
      <c r="F117" s="66">
        <v>40.6</v>
      </c>
      <c r="G117" s="226" t="str">
        <f t="shared" si="10"/>
        <v>8435057016308</v>
      </c>
      <c r="H117" s="64" t="s">
        <v>600</v>
      </c>
      <c r="I117" s="64">
        <v>12</v>
      </c>
      <c r="J117" s="189">
        <f t="shared" si="9"/>
        <v>0</v>
      </c>
      <c r="K117" s="67">
        <f>'RESUMEN PEDIDO'!$C$29</f>
        <v>0</v>
      </c>
      <c r="L117" s="67">
        <f>'RESUMEN PEDIDO'!$C$30</f>
        <v>0</v>
      </c>
      <c r="M117" s="66">
        <f t="shared" si="11"/>
        <v>0</v>
      </c>
    </row>
    <row r="118" spans="1:13" s="15" customFormat="1" ht="15" customHeight="1" x14ac:dyDescent="0.25">
      <c r="A118" s="38"/>
      <c r="B118" s="68">
        <v>502109</v>
      </c>
      <c r="C118" s="65" t="s">
        <v>708</v>
      </c>
      <c r="D118" s="2"/>
      <c r="E118" s="66">
        <v>36.9</v>
      </c>
      <c r="F118" s="66">
        <v>40.6</v>
      </c>
      <c r="G118" s="226" t="str">
        <f t="shared" si="10"/>
        <v>8435057016315</v>
      </c>
      <c r="H118" s="64" t="s">
        <v>600</v>
      </c>
      <c r="I118" s="64">
        <v>12</v>
      </c>
      <c r="J118" s="189">
        <f t="shared" si="9"/>
        <v>0</v>
      </c>
      <c r="K118" s="67">
        <f>'RESUMEN PEDIDO'!$C$29</f>
        <v>0</v>
      </c>
      <c r="L118" s="67">
        <f>'RESUMEN PEDIDO'!$C$30</f>
        <v>0</v>
      </c>
      <c r="M118" s="66">
        <f t="shared" si="11"/>
        <v>0</v>
      </c>
    </row>
    <row r="119" spans="1:13" s="15" customFormat="1" ht="15" customHeight="1" x14ac:dyDescent="0.25">
      <c r="A119" s="38"/>
      <c r="B119" s="68">
        <v>502110</v>
      </c>
      <c r="C119" s="65" t="s">
        <v>709</v>
      </c>
      <c r="D119" s="2"/>
      <c r="E119" s="66">
        <v>36.9</v>
      </c>
      <c r="F119" s="66">
        <v>40.6</v>
      </c>
      <c r="G119" s="226" t="str">
        <f t="shared" si="10"/>
        <v>8435057016322</v>
      </c>
      <c r="H119" s="64" t="s">
        <v>600</v>
      </c>
      <c r="I119" s="64">
        <v>12</v>
      </c>
      <c r="J119" s="189">
        <f t="shared" si="9"/>
        <v>0</v>
      </c>
      <c r="K119" s="67">
        <f>'RESUMEN PEDIDO'!$C$29</f>
        <v>0</v>
      </c>
      <c r="L119" s="67">
        <f>'RESUMEN PEDIDO'!$C$30</f>
        <v>0</v>
      </c>
      <c r="M119" s="66">
        <f t="shared" si="11"/>
        <v>0</v>
      </c>
    </row>
    <row r="120" spans="1:13" s="15" customFormat="1" ht="15" customHeight="1" x14ac:dyDescent="0.25">
      <c r="A120" s="38"/>
      <c r="B120" s="68">
        <v>502111</v>
      </c>
      <c r="C120" s="65" t="s">
        <v>710</v>
      </c>
      <c r="D120" s="2"/>
      <c r="E120" s="66">
        <v>36.9</v>
      </c>
      <c r="F120" s="66">
        <v>40.6</v>
      </c>
      <c r="G120" s="226" t="str">
        <f t="shared" si="10"/>
        <v>8435057016339</v>
      </c>
      <c r="H120" s="64" t="s">
        <v>600</v>
      </c>
      <c r="I120" s="64">
        <v>12</v>
      </c>
      <c r="J120" s="189">
        <f t="shared" si="9"/>
        <v>0</v>
      </c>
      <c r="K120" s="67">
        <f>'RESUMEN PEDIDO'!$C$29</f>
        <v>0</v>
      </c>
      <c r="L120" s="67">
        <f>'RESUMEN PEDIDO'!$C$30</f>
        <v>0</v>
      </c>
      <c r="M120" s="66">
        <f t="shared" si="11"/>
        <v>0</v>
      </c>
    </row>
    <row r="121" spans="1:13" s="15" customFormat="1" ht="15" customHeight="1" x14ac:dyDescent="0.25">
      <c r="A121" s="38"/>
      <c r="B121" s="68">
        <v>502112</v>
      </c>
      <c r="C121" s="65" t="s">
        <v>711</v>
      </c>
      <c r="D121" s="2"/>
      <c r="E121" s="66">
        <v>36.9</v>
      </c>
      <c r="F121" s="66">
        <v>40.6</v>
      </c>
      <c r="G121" s="226" t="str">
        <f t="shared" si="10"/>
        <v>8435057016346</v>
      </c>
      <c r="H121" s="64" t="s">
        <v>600</v>
      </c>
      <c r="I121" s="64">
        <v>12</v>
      </c>
      <c r="J121" s="189">
        <f t="shared" si="9"/>
        <v>0</v>
      </c>
      <c r="K121" s="67">
        <f>'RESUMEN PEDIDO'!$C$29</f>
        <v>0</v>
      </c>
      <c r="L121" s="67">
        <f>'RESUMEN PEDIDO'!$C$30</f>
        <v>0</v>
      </c>
      <c r="M121" s="66">
        <f t="shared" si="11"/>
        <v>0</v>
      </c>
    </row>
    <row r="122" spans="1:13" s="15" customFormat="1" ht="15" customHeight="1" x14ac:dyDescent="0.25">
      <c r="A122" s="38"/>
      <c r="B122" s="68">
        <v>502113</v>
      </c>
      <c r="C122" s="65" t="s">
        <v>712</v>
      </c>
      <c r="D122" s="2"/>
      <c r="E122" s="66">
        <v>36.9</v>
      </c>
      <c r="F122" s="66">
        <v>40.6</v>
      </c>
      <c r="G122" s="226" t="str">
        <f t="shared" si="10"/>
        <v>8435057016353</v>
      </c>
      <c r="H122" s="64" t="s">
        <v>600</v>
      </c>
      <c r="I122" s="64">
        <v>12</v>
      </c>
      <c r="J122" s="189">
        <f t="shared" si="9"/>
        <v>0</v>
      </c>
      <c r="K122" s="67">
        <f>'RESUMEN PEDIDO'!$C$29</f>
        <v>0</v>
      </c>
      <c r="L122" s="67">
        <f>'RESUMEN PEDIDO'!$C$30</f>
        <v>0</v>
      </c>
      <c r="M122" s="66">
        <f t="shared" si="11"/>
        <v>0</v>
      </c>
    </row>
    <row r="123" spans="1:13" s="15" customFormat="1" ht="15" customHeight="1" x14ac:dyDescent="0.25">
      <c r="A123" s="38"/>
      <c r="B123" s="68">
        <v>502114</v>
      </c>
      <c r="C123" s="65" t="s">
        <v>713</v>
      </c>
      <c r="D123" s="2"/>
      <c r="E123" s="66">
        <v>36.9</v>
      </c>
      <c r="F123" s="66">
        <v>40.6</v>
      </c>
      <c r="G123" s="226" t="str">
        <f t="shared" si="10"/>
        <v>8435057016360</v>
      </c>
      <c r="H123" s="64" t="s">
        <v>600</v>
      </c>
      <c r="I123" s="64">
        <v>12</v>
      </c>
      <c r="J123" s="189">
        <f t="shared" si="9"/>
        <v>0</v>
      </c>
      <c r="K123" s="67">
        <f>'RESUMEN PEDIDO'!$C$29</f>
        <v>0</v>
      </c>
      <c r="L123" s="67">
        <f>'RESUMEN PEDIDO'!$C$30</f>
        <v>0</v>
      </c>
      <c r="M123" s="66">
        <f t="shared" si="11"/>
        <v>0</v>
      </c>
    </row>
    <row r="124" spans="1:13" s="15" customFormat="1" ht="15" customHeight="1" x14ac:dyDescent="0.25">
      <c r="A124" s="38"/>
      <c r="B124" s="68">
        <v>502115</v>
      </c>
      <c r="C124" s="65" t="s">
        <v>714</v>
      </c>
      <c r="D124" s="2"/>
      <c r="E124" s="66">
        <v>36.9</v>
      </c>
      <c r="F124" s="66">
        <v>40.6</v>
      </c>
      <c r="G124" s="226" t="str">
        <f t="shared" si="10"/>
        <v>8435057016377</v>
      </c>
      <c r="H124" s="64" t="s">
        <v>600</v>
      </c>
      <c r="I124" s="64">
        <v>12</v>
      </c>
      <c r="J124" s="189">
        <f t="shared" si="9"/>
        <v>0</v>
      </c>
      <c r="K124" s="67">
        <f>'RESUMEN PEDIDO'!$C$29</f>
        <v>0</v>
      </c>
      <c r="L124" s="67">
        <f>'RESUMEN PEDIDO'!$C$30</f>
        <v>0</v>
      </c>
      <c r="M124" s="66">
        <f t="shared" si="11"/>
        <v>0</v>
      </c>
    </row>
    <row r="125" spans="1:13" s="15" customFormat="1" ht="15" customHeight="1" x14ac:dyDescent="0.25">
      <c r="A125" s="38"/>
      <c r="B125" s="68">
        <v>502116</v>
      </c>
      <c r="C125" s="65" t="s">
        <v>715</v>
      </c>
      <c r="D125" s="2"/>
      <c r="E125" s="66">
        <v>36.9</v>
      </c>
      <c r="F125" s="66">
        <v>40.6</v>
      </c>
      <c r="G125" s="226" t="str">
        <f t="shared" si="10"/>
        <v>8435057016384</v>
      </c>
      <c r="H125" s="64" t="s">
        <v>600</v>
      </c>
      <c r="I125" s="64">
        <v>12</v>
      </c>
      <c r="J125" s="189">
        <f t="shared" si="9"/>
        <v>0</v>
      </c>
      <c r="K125" s="67">
        <f>'RESUMEN PEDIDO'!$C$29</f>
        <v>0</v>
      </c>
      <c r="L125" s="67">
        <f>'RESUMEN PEDIDO'!$C$30</f>
        <v>0</v>
      </c>
      <c r="M125" s="66">
        <f t="shared" si="11"/>
        <v>0</v>
      </c>
    </row>
    <row r="126" spans="1:13" s="15" customFormat="1" ht="15" customHeight="1" x14ac:dyDescent="0.25">
      <c r="A126" s="38"/>
      <c r="B126" s="68">
        <v>502117</v>
      </c>
      <c r="C126" s="65" t="s">
        <v>716</v>
      </c>
      <c r="D126" s="2"/>
      <c r="E126" s="66">
        <v>36.9</v>
      </c>
      <c r="F126" s="66">
        <v>40.6</v>
      </c>
      <c r="G126" s="226" t="str">
        <f t="shared" si="10"/>
        <v>8435057016391</v>
      </c>
      <c r="H126" s="64" t="s">
        <v>600</v>
      </c>
      <c r="I126" s="64">
        <v>12</v>
      </c>
      <c r="J126" s="189">
        <f t="shared" si="9"/>
        <v>0</v>
      </c>
      <c r="K126" s="67">
        <f>'RESUMEN PEDIDO'!$C$29</f>
        <v>0</v>
      </c>
      <c r="L126" s="67">
        <f>'RESUMEN PEDIDO'!$C$30</f>
        <v>0</v>
      </c>
      <c r="M126" s="66">
        <f t="shared" si="11"/>
        <v>0</v>
      </c>
    </row>
    <row r="127" spans="1:13" s="15" customFormat="1" ht="15" customHeight="1" x14ac:dyDescent="0.25">
      <c r="A127" s="38"/>
      <c r="B127" s="68">
        <v>502118</v>
      </c>
      <c r="C127" s="65" t="s">
        <v>717</v>
      </c>
      <c r="D127" s="2"/>
      <c r="E127" s="66">
        <v>36.9</v>
      </c>
      <c r="F127" s="66">
        <v>40.6</v>
      </c>
      <c r="G127" s="226" t="str">
        <f t="shared" si="10"/>
        <v>8435057016407</v>
      </c>
      <c r="H127" s="64" t="s">
        <v>600</v>
      </c>
      <c r="I127" s="64">
        <v>12</v>
      </c>
      <c r="J127" s="189">
        <f t="shared" si="9"/>
        <v>0</v>
      </c>
      <c r="K127" s="67">
        <f>'RESUMEN PEDIDO'!$C$29</f>
        <v>0</v>
      </c>
      <c r="L127" s="67">
        <f>'RESUMEN PEDIDO'!$C$30</f>
        <v>0</v>
      </c>
      <c r="M127" s="66">
        <f t="shared" si="11"/>
        <v>0</v>
      </c>
    </row>
    <row r="128" spans="1:13" s="15" customFormat="1" ht="15" customHeight="1" x14ac:dyDescent="0.25">
      <c r="A128" s="38"/>
      <c r="B128" s="68">
        <v>502119</v>
      </c>
      <c r="C128" s="65" t="s">
        <v>718</v>
      </c>
      <c r="D128" s="2"/>
      <c r="E128" s="66">
        <v>36.9</v>
      </c>
      <c r="F128" s="66">
        <v>40.6</v>
      </c>
      <c r="G128" s="226" t="str">
        <f t="shared" si="10"/>
        <v>8435057016414</v>
      </c>
      <c r="H128" s="64" t="s">
        <v>600</v>
      </c>
      <c r="I128" s="64">
        <v>12</v>
      </c>
      <c r="J128" s="189">
        <f t="shared" si="9"/>
        <v>0</v>
      </c>
      <c r="K128" s="67">
        <f>'RESUMEN PEDIDO'!$C$29</f>
        <v>0</v>
      </c>
      <c r="L128" s="67">
        <f>'RESUMEN PEDIDO'!$C$30</f>
        <v>0</v>
      </c>
      <c r="M128" s="66">
        <f t="shared" si="11"/>
        <v>0</v>
      </c>
    </row>
    <row r="129" spans="1:13" s="15" customFormat="1" ht="15" customHeight="1" x14ac:dyDescent="0.25">
      <c r="A129" s="38"/>
      <c r="B129" s="68">
        <v>502120</v>
      </c>
      <c r="C129" s="65" t="s">
        <v>719</v>
      </c>
      <c r="D129" s="2"/>
      <c r="E129" s="66">
        <v>36.9</v>
      </c>
      <c r="F129" s="66">
        <v>40.6</v>
      </c>
      <c r="G129" s="226" t="str">
        <f t="shared" si="10"/>
        <v>8435057016421</v>
      </c>
      <c r="H129" s="64" t="s">
        <v>600</v>
      </c>
      <c r="I129" s="64">
        <v>12</v>
      </c>
      <c r="J129" s="189">
        <f t="shared" si="9"/>
        <v>0</v>
      </c>
      <c r="K129" s="67">
        <f>'RESUMEN PEDIDO'!$C$29</f>
        <v>0</v>
      </c>
      <c r="L129" s="67">
        <f>'RESUMEN PEDIDO'!$C$30</f>
        <v>0</v>
      </c>
      <c r="M129" s="66">
        <f t="shared" si="11"/>
        <v>0</v>
      </c>
    </row>
    <row r="130" spans="1:13" s="15" customFormat="1" ht="15" customHeight="1" x14ac:dyDescent="0.25">
      <c r="A130" s="38"/>
      <c r="B130" s="68">
        <v>502154</v>
      </c>
      <c r="C130" s="65" t="s">
        <v>15107</v>
      </c>
      <c r="D130" s="2"/>
      <c r="E130" s="66">
        <v>36.9</v>
      </c>
      <c r="F130" s="66">
        <v>40.6</v>
      </c>
      <c r="G130" s="226">
        <v>8435057020350</v>
      </c>
      <c r="H130" s="64" t="s">
        <v>600</v>
      </c>
      <c r="I130" s="64">
        <v>12</v>
      </c>
      <c r="J130" s="189">
        <f t="shared" ref="J130:J132" si="12">D130/I130</f>
        <v>0</v>
      </c>
      <c r="K130" s="67">
        <f>'RESUMEN PEDIDO'!$C$29</f>
        <v>0</v>
      </c>
      <c r="L130" s="67">
        <f>'RESUMEN PEDIDO'!$C$30</f>
        <v>0</v>
      </c>
      <c r="M130" s="66">
        <f t="shared" ref="M130:M132" si="13">(D130*(E130-(E130*K130)))-(D130*(E130-(E130*K130)))*L130</f>
        <v>0</v>
      </c>
    </row>
    <row r="131" spans="1:13" s="15" customFormat="1" ht="15" customHeight="1" x14ac:dyDescent="0.25">
      <c r="A131" s="38"/>
      <c r="B131" s="68">
        <v>502155</v>
      </c>
      <c r="C131" s="65" t="s">
        <v>15106</v>
      </c>
      <c r="D131" s="2"/>
      <c r="E131" s="66">
        <v>36.9</v>
      </c>
      <c r="F131" s="66">
        <v>40.6</v>
      </c>
      <c r="G131" s="226">
        <v>8435057020367</v>
      </c>
      <c r="H131" s="64" t="s">
        <v>600</v>
      </c>
      <c r="I131" s="64">
        <v>12</v>
      </c>
      <c r="J131" s="189">
        <f t="shared" si="12"/>
        <v>0</v>
      </c>
      <c r="K131" s="67">
        <f>'RESUMEN PEDIDO'!$C$29</f>
        <v>0</v>
      </c>
      <c r="L131" s="67">
        <f>'RESUMEN PEDIDO'!$C$30</f>
        <v>0</v>
      </c>
      <c r="M131" s="66">
        <f t="shared" si="13"/>
        <v>0</v>
      </c>
    </row>
    <row r="132" spans="1:13" s="15" customFormat="1" ht="15" customHeight="1" x14ac:dyDescent="0.25">
      <c r="A132" s="38"/>
      <c r="B132" s="68">
        <v>502156</v>
      </c>
      <c r="C132" s="65" t="s">
        <v>15108</v>
      </c>
      <c r="D132" s="2"/>
      <c r="E132" s="66">
        <v>36.9</v>
      </c>
      <c r="F132" s="66">
        <v>40.6</v>
      </c>
      <c r="G132" s="226">
        <v>8435057020344</v>
      </c>
      <c r="H132" s="64" t="s">
        <v>600</v>
      </c>
      <c r="I132" s="64">
        <v>12</v>
      </c>
      <c r="J132" s="189">
        <f t="shared" si="12"/>
        <v>0</v>
      </c>
      <c r="K132" s="67">
        <f>'RESUMEN PEDIDO'!$C$29</f>
        <v>0</v>
      </c>
      <c r="L132" s="67">
        <f>'RESUMEN PEDIDO'!$C$30</f>
        <v>0</v>
      </c>
      <c r="M132" s="66">
        <f t="shared" si="13"/>
        <v>0</v>
      </c>
    </row>
    <row r="133" spans="1:13" s="15" customFormat="1" ht="15" customHeight="1" x14ac:dyDescent="0.25">
      <c r="A133" s="38"/>
      <c r="B133" s="60" t="s">
        <v>14719</v>
      </c>
      <c r="C133" s="61"/>
      <c r="D133" s="62">
        <f>SUM(D134:D202)</f>
        <v>0</v>
      </c>
      <c r="E133" s="61"/>
      <c r="F133" s="61"/>
      <c r="G133" s="61"/>
      <c r="H133" s="61"/>
      <c r="I133" s="81">
        <v>12</v>
      </c>
      <c r="J133" s="94">
        <f t="shared" si="9"/>
        <v>0</v>
      </c>
      <c r="K133" s="61"/>
      <c r="L133" s="61"/>
      <c r="M133" s="63"/>
    </row>
    <row r="134" spans="1:13" s="15" customFormat="1" ht="15" customHeight="1" x14ac:dyDescent="0.25">
      <c r="A134" s="38"/>
      <c r="B134" s="68">
        <v>513101</v>
      </c>
      <c r="C134" s="65" t="s">
        <v>762</v>
      </c>
      <c r="D134" s="2"/>
      <c r="E134" s="66">
        <v>36.9</v>
      </c>
      <c r="F134" s="66">
        <v>40.6</v>
      </c>
      <c r="G134" s="226" t="str">
        <f t="shared" ref="G134:G165" si="14">VLOOKUP(B134,EAN,3,0)</f>
        <v>8435057017237</v>
      </c>
      <c r="H134" s="64" t="s">
        <v>600</v>
      </c>
      <c r="I134" s="64">
        <v>12</v>
      </c>
      <c r="J134" s="189">
        <f t="shared" si="9"/>
        <v>0</v>
      </c>
      <c r="K134" s="67">
        <f>'RESUMEN PEDIDO'!$C$29</f>
        <v>0</v>
      </c>
      <c r="L134" s="67">
        <f>'RESUMEN PEDIDO'!$C$30</f>
        <v>0</v>
      </c>
      <c r="M134" s="66">
        <f t="shared" ref="M134:M165" si="15">(D134*(E134-(E134*K134)))-(D134*(E134-(E134*K134)))*L134</f>
        <v>0</v>
      </c>
    </row>
    <row r="135" spans="1:13" s="15" customFormat="1" ht="15" customHeight="1" x14ac:dyDescent="0.25">
      <c r="A135" s="38"/>
      <c r="B135" s="68">
        <v>513102</v>
      </c>
      <c r="C135" s="65" t="s">
        <v>763</v>
      </c>
      <c r="D135" s="2"/>
      <c r="E135" s="66">
        <v>36.9</v>
      </c>
      <c r="F135" s="66">
        <v>40.6</v>
      </c>
      <c r="G135" s="226" t="str">
        <f t="shared" si="14"/>
        <v>8435057017251</v>
      </c>
      <c r="H135" s="64" t="s">
        <v>600</v>
      </c>
      <c r="I135" s="64">
        <v>12</v>
      </c>
      <c r="J135" s="189">
        <f t="shared" si="9"/>
        <v>0</v>
      </c>
      <c r="K135" s="67">
        <f>'RESUMEN PEDIDO'!$C$29</f>
        <v>0</v>
      </c>
      <c r="L135" s="67">
        <f>'RESUMEN PEDIDO'!$C$30</f>
        <v>0</v>
      </c>
      <c r="M135" s="66">
        <f t="shared" si="15"/>
        <v>0</v>
      </c>
    </row>
    <row r="136" spans="1:13" s="15" customFormat="1" ht="15" customHeight="1" x14ac:dyDescent="0.25">
      <c r="A136" s="38"/>
      <c r="B136" s="68">
        <v>513103</v>
      </c>
      <c r="C136" s="65" t="s">
        <v>17</v>
      </c>
      <c r="D136" s="2"/>
      <c r="E136" s="66">
        <v>36.9</v>
      </c>
      <c r="F136" s="66">
        <v>40.6</v>
      </c>
      <c r="G136" s="226" t="str">
        <f t="shared" si="14"/>
        <v>8435057017268</v>
      </c>
      <c r="H136" s="64" t="s">
        <v>600</v>
      </c>
      <c r="I136" s="64">
        <v>12</v>
      </c>
      <c r="J136" s="189">
        <f t="shared" si="9"/>
        <v>0</v>
      </c>
      <c r="K136" s="67">
        <f>'RESUMEN PEDIDO'!$C$29</f>
        <v>0</v>
      </c>
      <c r="L136" s="67">
        <f>'RESUMEN PEDIDO'!$C$30</f>
        <v>0</v>
      </c>
      <c r="M136" s="66">
        <f t="shared" si="15"/>
        <v>0</v>
      </c>
    </row>
    <row r="137" spans="1:13" s="15" customFormat="1" ht="15" customHeight="1" x14ac:dyDescent="0.25">
      <c r="A137" s="38"/>
      <c r="B137" s="68">
        <v>513104</v>
      </c>
      <c r="C137" s="65" t="s">
        <v>18</v>
      </c>
      <c r="D137" s="2"/>
      <c r="E137" s="66">
        <v>36.9</v>
      </c>
      <c r="F137" s="66">
        <v>40.6</v>
      </c>
      <c r="G137" s="226" t="str">
        <f t="shared" si="14"/>
        <v>8435057017275</v>
      </c>
      <c r="H137" s="64" t="s">
        <v>600</v>
      </c>
      <c r="I137" s="64">
        <v>12</v>
      </c>
      <c r="J137" s="189">
        <f t="shared" si="9"/>
        <v>0</v>
      </c>
      <c r="K137" s="67">
        <f>'RESUMEN PEDIDO'!$C$29</f>
        <v>0</v>
      </c>
      <c r="L137" s="67">
        <f>'RESUMEN PEDIDO'!$C$30</f>
        <v>0</v>
      </c>
      <c r="M137" s="66">
        <f t="shared" si="15"/>
        <v>0</v>
      </c>
    </row>
    <row r="138" spans="1:13" s="15" customFormat="1" ht="15" customHeight="1" x14ac:dyDescent="0.25">
      <c r="A138" s="38"/>
      <c r="B138" s="68">
        <v>513105</v>
      </c>
      <c r="C138" s="65" t="s">
        <v>19</v>
      </c>
      <c r="D138" s="2"/>
      <c r="E138" s="66">
        <v>36.9</v>
      </c>
      <c r="F138" s="66">
        <v>40.6</v>
      </c>
      <c r="G138" s="226" t="str">
        <f t="shared" si="14"/>
        <v>8435057017282</v>
      </c>
      <c r="H138" s="64" t="s">
        <v>600</v>
      </c>
      <c r="I138" s="64">
        <v>12</v>
      </c>
      <c r="J138" s="189">
        <f t="shared" si="9"/>
        <v>0</v>
      </c>
      <c r="K138" s="67">
        <f>'RESUMEN PEDIDO'!$C$29</f>
        <v>0</v>
      </c>
      <c r="L138" s="67">
        <f>'RESUMEN PEDIDO'!$C$30</f>
        <v>0</v>
      </c>
      <c r="M138" s="66">
        <f t="shared" si="15"/>
        <v>0</v>
      </c>
    </row>
    <row r="139" spans="1:13" s="15" customFormat="1" ht="15" customHeight="1" x14ac:dyDescent="0.25">
      <c r="A139" s="38"/>
      <c r="B139" s="68">
        <v>513106</v>
      </c>
      <c r="C139" s="65" t="s">
        <v>20</v>
      </c>
      <c r="D139" s="2"/>
      <c r="E139" s="66">
        <v>36.9</v>
      </c>
      <c r="F139" s="66">
        <v>40.6</v>
      </c>
      <c r="G139" s="226" t="str">
        <f t="shared" si="14"/>
        <v>8435057017299</v>
      </c>
      <c r="H139" s="64" t="s">
        <v>600</v>
      </c>
      <c r="I139" s="64">
        <v>12</v>
      </c>
      <c r="J139" s="189">
        <f t="shared" si="9"/>
        <v>0</v>
      </c>
      <c r="K139" s="67">
        <f>'RESUMEN PEDIDO'!$C$29</f>
        <v>0</v>
      </c>
      <c r="L139" s="67">
        <f>'RESUMEN PEDIDO'!$C$30</f>
        <v>0</v>
      </c>
      <c r="M139" s="66">
        <f t="shared" si="15"/>
        <v>0</v>
      </c>
    </row>
    <row r="140" spans="1:13" s="15" customFormat="1" ht="15" customHeight="1" x14ac:dyDescent="0.25">
      <c r="A140" s="38"/>
      <c r="B140" s="68">
        <v>513107</v>
      </c>
      <c r="C140" s="65" t="s">
        <v>21</v>
      </c>
      <c r="D140" s="2"/>
      <c r="E140" s="66">
        <v>36.9</v>
      </c>
      <c r="F140" s="66">
        <v>40.6</v>
      </c>
      <c r="G140" s="226" t="str">
        <f t="shared" si="14"/>
        <v>8435057017305</v>
      </c>
      <c r="H140" s="64" t="s">
        <v>600</v>
      </c>
      <c r="I140" s="64">
        <v>12</v>
      </c>
      <c r="J140" s="189">
        <f t="shared" ref="J140:J171" si="16">D140/I140</f>
        <v>0</v>
      </c>
      <c r="K140" s="67">
        <f>'RESUMEN PEDIDO'!$C$29</f>
        <v>0</v>
      </c>
      <c r="L140" s="67">
        <f>'RESUMEN PEDIDO'!$C$30</f>
        <v>0</v>
      </c>
      <c r="M140" s="66">
        <f t="shared" si="15"/>
        <v>0</v>
      </c>
    </row>
    <row r="141" spans="1:13" s="15" customFormat="1" ht="15" customHeight="1" x14ac:dyDescent="0.25">
      <c r="A141" s="38"/>
      <c r="B141" s="68">
        <v>513108</v>
      </c>
      <c r="C141" s="65" t="s">
        <v>764</v>
      </c>
      <c r="D141" s="2"/>
      <c r="E141" s="66">
        <v>36.9</v>
      </c>
      <c r="F141" s="66">
        <v>40.6</v>
      </c>
      <c r="G141" s="226" t="str">
        <f t="shared" si="14"/>
        <v>8435057017312</v>
      </c>
      <c r="H141" s="64" t="s">
        <v>600</v>
      </c>
      <c r="I141" s="64">
        <v>12</v>
      </c>
      <c r="J141" s="189">
        <f t="shared" si="16"/>
        <v>0</v>
      </c>
      <c r="K141" s="67">
        <f>'RESUMEN PEDIDO'!$C$29</f>
        <v>0</v>
      </c>
      <c r="L141" s="67">
        <f>'RESUMEN PEDIDO'!$C$30</f>
        <v>0</v>
      </c>
      <c r="M141" s="66">
        <f t="shared" si="15"/>
        <v>0</v>
      </c>
    </row>
    <row r="142" spans="1:13" s="15" customFormat="1" ht="15" customHeight="1" x14ac:dyDescent="0.25">
      <c r="A142" s="38"/>
      <c r="B142" s="68">
        <v>513109</v>
      </c>
      <c r="C142" s="65" t="s">
        <v>765</v>
      </c>
      <c r="D142" s="2"/>
      <c r="E142" s="66">
        <v>36.9</v>
      </c>
      <c r="F142" s="66">
        <v>40.6</v>
      </c>
      <c r="G142" s="226" t="str">
        <f t="shared" si="14"/>
        <v>8435057017329</v>
      </c>
      <c r="H142" s="64" t="s">
        <v>600</v>
      </c>
      <c r="I142" s="64">
        <v>12</v>
      </c>
      <c r="J142" s="189">
        <f t="shared" si="16"/>
        <v>0</v>
      </c>
      <c r="K142" s="67">
        <f>'RESUMEN PEDIDO'!$C$29</f>
        <v>0</v>
      </c>
      <c r="L142" s="67">
        <f>'RESUMEN PEDIDO'!$C$30</f>
        <v>0</v>
      </c>
      <c r="M142" s="66">
        <f t="shared" si="15"/>
        <v>0</v>
      </c>
    </row>
    <row r="143" spans="1:13" s="15" customFormat="1" ht="15" customHeight="1" x14ac:dyDescent="0.25">
      <c r="A143" s="38"/>
      <c r="B143" s="68">
        <v>513110</v>
      </c>
      <c r="C143" s="65" t="s">
        <v>766</v>
      </c>
      <c r="D143" s="2"/>
      <c r="E143" s="66">
        <v>36.9</v>
      </c>
      <c r="F143" s="66">
        <v>40.6</v>
      </c>
      <c r="G143" s="226" t="str">
        <f t="shared" si="14"/>
        <v>8435057017336</v>
      </c>
      <c r="H143" s="64" t="s">
        <v>600</v>
      </c>
      <c r="I143" s="64">
        <v>12</v>
      </c>
      <c r="J143" s="189">
        <f t="shared" si="16"/>
        <v>0</v>
      </c>
      <c r="K143" s="67">
        <f>'RESUMEN PEDIDO'!$C$29</f>
        <v>0</v>
      </c>
      <c r="L143" s="67">
        <f>'RESUMEN PEDIDO'!$C$30</f>
        <v>0</v>
      </c>
      <c r="M143" s="66">
        <f t="shared" si="15"/>
        <v>0</v>
      </c>
    </row>
    <row r="144" spans="1:13" s="15" customFormat="1" ht="15" customHeight="1" x14ac:dyDescent="0.25">
      <c r="A144" s="38"/>
      <c r="B144" s="68">
        <v>513111</v>
      </c>
      <c r="C144" s="65" t="s">
        <v>767</v>
      </c>
      <c r="D144" s="2"/>
      <c r="E144" s="66">
        <v>36.9</v>
      </c>
      <c r="F144" s="66">
        <v>40.6</v>
      </c>
      <c r="G144" s="226" t="str">
        <f t="shared" si="14"/>
        <v>8435057017343</v>
      </c>
      <c r="H144" s="64" t="s">
        <v>600</v>
      </c>
      <c r="I144" s="64">
        <v>12</v>
      </c>
      <c r="J144" s="189">
        <f t="shared" si="16"/>
        <v>0</v>
      </c>
      <c r="K144" s="67">
        <f>'RESUMEN PEDIDO'!$C$29</f>
        <v>0</v>
      </c>
      <c r="L144" s="67">
        <f>'RESUMEN PEDIDO'!$C$30</f>
        <v>0</v>
      </c>
      <c r="M144" s="66">
        <f t="shared" si="15"/>
        <v>0</v>
      </c>
    </row>
    <row r="145" spans="1:13" s="15" customFormat="1" ht="15" customHeight="1" x14ac:dyDescent="0.25">
      <c r="A145" s="38"/>
      <c r="B145" s="68">
        <v>513112</v>
      </c>
      <c r="C145" s="65" t="s">
        <v>768</v>
      </c>
      <c r="D145" s="2"/>
      <c r="E145" s="66">
        <v>36.9</v>
      </c>
      <c r="F145" s="66">
        <v>40.6</v>
      </c>
      <c r="G145" s="226" t="str">
        <f t="shared" si="14"/>
        <v>8435057017350</v>
      </c>
      <c r="H145" s="64" t="s">
        <v>600</v>
      </c>
      <c r="I145" s="64">
        <v>12</v>
      </c>
      <c r="J145" s="189">
        <f t="shared" si="16"/>
        <v>0</v>
      </c>
      <c r="K145" s="67">
        <f>'RESUMEN PEDIDO'!$C$29</f>
        <v>0</v>
      </c>
      <c r="L145" s="67">
        <f>'RESUMEN PEDIDO'!$C$30</f>
        <v>0</v>
      </c>
      <c r="M145" s="66">
        <f t="shared" si="15"/>
        <v>0</v>
      </c>
    </row>
    <row r="146" spans="1:13" s="15" customFormat="1" ht="15" customHeight="1" x14ac:dyDescent="0.25">
      <c r="A146" s="38"/>
      <c r="B146" s="68">
        <v>513113</v>
      </c>
      <c r="C146" s="65" t="s">
        <v>769</v>
      </c>
      <c r="D146" s="2"/>
      <c r="E146" s="66">
        <v>36.9</v>
      </c>
      <c r="F146" s="66">
        <v>40.6</v>
      </c>
      <c r="G146" s="226" t="str">
        <f t="shared" si="14"/>
        <v>8435057017367</v>
      </c>
      <c r="H146" s="64" t="s">
        <v>600</v>
      </c>
      <c r="I146" s="64">
        <v>12</v>
      </c>
      <c r="J146" s="189">
        <f t="shared" si="16"/>
        <v>0</v>
      </c>
      <c r="K146" s="67">
        <f>'RESUMEN PEDIDO'!$C$29</f>
        <v>0</v>
      </c>
      <c r="L146" s="67">
        <f>'RESUMEN PEDIDO'!$C$30</f>
        <v>0</v>
      </c>
      <c r="M146" s="66">
        <f t="shared" si="15"/>
        <v>0</v>
      </c>
    </row>
    <row r="147" spans="1:13" s="15" customFormat="1" ht="15" customHeight="1" x14ac:dyDescent="0.25">
      <c r="A147" s="38"/>
      <c r="B147" s="68">
        <v>513114</v>
      </c>
      <c r="C147" s="65" t="s">
        <v>770</v>
      </c>
      <c r="D147" s="2"/>
      <c r="E147" s="66">
        <v>36.9</v>
      </c>
      <c r="F147" s="66">
        <v>40.6</v>
      </c>
      <c r="G147" s="226" t="str">
        <f t="shared" si="14"/>
        <v>8435057017374</v>
      </c>
      <c r="H147" s="64" t="s">
        <v>600</v>
      </c>
      <c r="I147" s="64">
        <v>12</v>
      </c>
      <c r="J147" s="189">
        <f t="shared" si="16"/>
        <v>0</v>
      </c>
      <c r="K147" s="67">
        <f>'RESUMEN PEDIDO'!$C$29</f>
        <v>0</v>
      </c>
      <c r="L147" s="67">
        <f>'RESUMEN PEDIDO'!$C$30</f>
        <v>0</v>
      </c>
      <c r="M147" s="66">
        <f t="shared" si="15"/>
        <v>0</v>
      </c>
    </row>
    <row r="148" spans="1:13" s="15" customFormat="1" ht="15" customHeight="1" x14ac:dyDescent="0.25">
      <c r="A148" s="38"/>
      <c r="B148" s="68">
        <v>513115</v>
      </c>
      <c r="C148" s="65" t="s">
        <v>14733</v>
      </c>
      <c r="D148" s="2"/>
      <c r="E148" s="66">
        <v>36.9</v>
      </c>
      <c r="F148" s="66">
        <v>40.6</v>
      </c>
      <c r="G148" s="226" t="str">
        <f t="shared" si="14"/>
        <v>8435057017381</v>
      </c>
      <c r="H148" s="64" t="s">
        <v>600</v>
      </c>
      <c r="I148" s="64">
        <v>12</v>
      </c>
      <c r="J148" s="189">
        <f t="shared" si="16"/>
        <v>0</v>
      </c>
      <c r="K148" s="67">
        <f>'RESUMEN PEDIDO'!$C$29</f>
        <v>0</v>
      </c>
      <c r="L148" s="67">
        <f>'RESUMEN PEDIDO'!$C$30</f>
        <v>0</v>
      </c>
      <c r="M148" s="66">
        <f t="shared" si="15"/>
        <v>0</v>
      </c>
    </row>
    <row r="149" spans="1:13" s="15" customFormat="1" ht="15" customHeight="1" x14ac:dyDescent="0.25">
      <c r="A149" s="38"/>
      <c r="B149" s="68">
        <v>513116</v>
      </c>
      <c r="C149" s="65" t="s">
        <v>771</v>
      </c>
      <c r="D149" s="2"/>
      <c r="E149" s="66">
        <v>36.9</v>
      </c>
      <c r="F149" s="66">
        <v>40.6</v>
      </c>
      <c r="G149" s="226" t="str">
        <f t="shared" si="14"/>
        <v>8435057017398</v>
      </c>
      <c r="H149" s="64" t="s">
        <v>600</v>
      </c>
      <c r="I149" s="64">
        <v>12</v>
      </c>
      <c r="J149" s="189">
        <f t="shared" si="16"/>
        <v>0</v>
      </c>
      <c r="K149" s="67">
        <f>'RESUMEN PEDIDO'!$C$29</f>
        <v>0</v>
      </c>
      <c r="L149" s="67">
        <f>'RESUMEN PEDIDO'!$C$30</f>
        <v>0</v>
      </c>
      <c r="M149" s="66">
        <f t="shared" si="15"/>
        <v>0</v>
      </c>
    </row>
    <row r="150" spans="1:13" s="15" customFormat="1" ht="15" customHeight="1" x14ac:dyDescent="0.25">
      <c r="A150" s="38"/>
      <c r="B150" s="68">
        <v>513117</v>
      </c>
      <c r="C150" s="65" t="s">
        <v>772</v>
      </c>
      <c r="D150" s="2"/>
      <c r="E150" s="66">
        <v>36.9</v>
      </c>
      <c r="F150" s="66">
        <v>40.6</v>
      </c>
      <c r="G150" s="226" t="str">
        <f t="shared" si="14"/>
        <v>8435057017404</v>
      </c>
      <c r="H150" s="64" t="s">
        <v>600</v>
      </c>
      <c r="I150" s="64">
        <v>12</v>
      </c>
      <c r="J150" s="189">
        <f t="shared" si="16"/>
        <v>0</v>
      </c>
      <c r="K150" s="67">
        <f>'RESUMEN PEDIDO'!$C$29</f>
        <v>0</v>
      </c>
      <c r="L150" s="67">
        <f>'RESUMEN PEDIDO'!$C$30</f>
        <v>0</v>
      </c>
      <c r="M150" s="66">
        <f t="shared" si="15"/>
        <v>0</v>
      </c>
    </row>
    <row r="151" spans="1:13" s="15" customFormat="1" ht="15" customHeight="1" x14ac:dyDescent="0.25">
      <c r="A151" s="38"/>
      <c r="B151" s="68">
        <v>513118</v>
      </c>
      <c r="C151" s="65" t="s">
        <v>773</v>
      </c>
      <c r="D151" s="2"/>
      <c r="E151" s="66">
        <v>36.9</v>
      </c>
      <c r="F151" s="66">
        <v>40.6</v>
      </c>
      <c r="G151" s="226" t="str">
        <f t="shared" si="14"/>
        <v>8435057017411</v>
      </c>
      <c r="H151" s="64" t="s">
        <v>600</v>
      </c>
      <c r="I151" s="64">
        <v>12</v>
      </c>
      <c r="J151" s="189">
        <f t="shared" si="16"/>
        <v>0</v>
      </c>
      <c r="K151" s="67">
        <f>'RESUMEN PEDIDO'!$C$29</f>
        <v>0</v>
      </c>
      <c r="L151" s="67">
        <f>'RESUMEN PEDIDO'!$C$30</f>
        <v>0</v>
      </c>
      <c r="M151" s="66">
        <f t="shared" si="15"/>
        <v>0</v>
      </c>
    </row>
    <row r="152" spans="1:13" s="15" customFormat="1" ht="15" customHeight="1" x14ac:dyDescent="0.25">
      <c r="A152" s="38"/>
      <c r="B152" s="68">
        <v>513119</v>
      </c>
      <c r="C152" s="65" t="s">
        <v>774</v>
      </c>
      <c r="D152" s="2"/>
      <c r="E152" s="66">
        <v>36.9</v>
      </c>
      <c r="F152" s="66">
        <v>40.6</v>
      </c>
      <c r="G152" s="226" t="str">
        <f t="shared" si="14"/>
        <v>8435057017428</v>
      </c>
      <c r="H152" s="64" t="s">
        <v>600</v>
      </c>
      <c r="I152" s="64">
        <v>12</v>
      </c>
      <c r="J152" s="189">
        <f t="shared" si="16"/>
        <v>0</v>
      </c>
      <c r="K152" s="67">
        <f>'RESUMEN PEDIDO'!$C$29</f>
        <v>0</v>
      </c>
      <c r="L152" s="67">
        <f>'RESUMEN PEDIDO'!$C$30</f>
        <v>0</v>
      </c>
      <c r="M152" s="66">
        <f t="shared" si="15"/>
        <v>0</v>
      </c>
    </row>
    <row r="153" spans="1:13" s="15" customFormat="1" ht="15" customHeight="1" x14ac:dyDescent="0.25">
      <c r="A153" s="38"/>
      <c r="B153" s="68">
        <v>513120</v>
      </c>
      <c r="C153" s="65" t="s">
        <v>775</v>
      </c>
      <c r="D153" s="2"/>
      <c r="E153" s="66">
        <v>36.9</v>
      </c>
      <c r="F153" s="66">
        <v>40.6</v>
      </c>
      <c r="G153" s="226" t="str">
        <f t="shared" si="14"/>
        <v>8435057017985</v>
      </c>
      <c r="H153" s="64" t="s">
        <v>600</v>
      </c>
      <c r="I153" s="64">
        <v>12</v>
      </c>
      <c r="J153" s="189">
        <f t="shared" si="16"/>
        <v>0</v>
      </c>
      <c r="K153" s="67">
        <f>'RESUMEN PEDIDO'!$C$29</f>
        <v>0</v>
      </c>
      <c r="L153" s="67">
        <f>'RESUMEN PEDIDO'!$C$30</f>
        <v>0</v>
      </c>
      <c r="M153" s="66">
        <f t="shared" si="15"/>
        <v>0</v>
      </c>
    </row>
    <row r="154" spans="1:13" s="15" customFormat="1" ht="15" customHeight="1" x14ac:dyDescent="0.25">
      <c r="A154" s="38"/>
      <c r="B154" s="68">
        <v>513121</v>
      </c>
      <c r="C154" s="65" t="s">
        <v>14732</v>
      </c>
      <c r="D154" s="2"/>
      <c r="E154" s="66">
        <v>36.9</v>
      </c>
      <c r="F154" s="66">
        <v>40.6</v>
      </c>
      <c r="G154" s="226" t="str">
        <f t="shared" si="14"/>
        <v>8435057017459</v>
      </c>
      <c r="H154" s="64" t="s">
        <v>600</v>
      </c>
      <c r="I154" s="64">
        <v>12</v>
      </c>
      <c r="J154" s="189">
        <f t="shared" si="16"/>
        <v>0</v>
      </c>
      <c r="K154" s="67">
        <f>'RESUMEN PEDIDO'!$C$29</f>
        <v>0</v>
      </c>
      <c r="L154" s="67">
        <f>'RESUMEN PEDIDO'!$C$30</f>
        <v>0</v>
      </c>
      <c r="M154" s="66">
        <f t="shared" si="15"/>
        <v>0</v>
      </c>
    </row>
    <row r="155" spans="1:13" s="15" customFormat="1" ht="15" customHeight="1" x14ac:dyDescent="0.25">
      <c r="A155" s="38"/>
      <c r="B155" s="68">
        <v>513122</v>
      </c>
      <c r="C155" s="65" t="s">
        <v>14731</v>
      </c>
      <c r="D155" s="2"/>
      <c r="E155" s="66">
        <v>36.9</v>
      </c>
      <c r="F155" s="66">
        <v>40.6</v>
      </c>
      <c r="G155" s="226" t="str">
        <f t="shared" si="14"/>
        <v>8435057017466</v>
      </c>
      <c r="H155" s="64" t="s">
        <v>600</v>
      </c>
      <c r="I155" s="64">
        <v>12</v>
      </c>
      <c r="J155" s="189">
        <f t="shared" si="16"/>
        <v>0</v>
      </c>
      <c r="K155" s="67">
        <f>'RESUMEN PEDIDO'!$C$29</f>
        <v>0</v>
      </c>
      <c r="L155" s="67">
        <f>'RESUMEN PEDIDO'!$C$30</f>
        <v>0</v>
      </c>
      <c r="M155" s="66">
        <f t="shared" si="15"/>
        <v>0</v>
      </c>
    </row>
    <row r="156" spans="1:13" s="15" customFormat="1" ht="15" customHeight="1" x14ac:dyDescent="0.25">
      <c r="A156" s="38"/>
      <c r="B156" s="68">
        <v>513123</v>
      </c>
      <c r="C156" s="65" t="s">
        <v>14730</v>
      </c>
      <c r="D156" s="2"/>
      <c r="E156" s="66">
        <v>36.9</v>
      </c>
      <c r="F156" s="66">
        <v>40.6</v>
      </c>
      <c r="G156" s="226" t="str">
        <f t="shared" si="14"/>
        <v>8435057017473</v>
      </c>
      <c r="H156" s="64" t="s">
        <v>600</v>
      </c>
      <c r="I156" s="64">
        <v>12</v>
      </c>
      <c r="J156" s="189">
        <f t="shared" si="16"/>
        <v>0</v>
      </c>
      <c r="K156" s="67">
        <f>'RESUMEN PEDIDO'!$C$29</f>
        <v>0</v>
      </c>
      <c r="L156" s="67">
        <f>'RESUMEN PEDIDO'!$C$30</f>
        <v>0</v>
      </c>
      <c r="M156" s="66">
        <f t="shared" si="15"/>
        <v>0</v>
      </c>
    </row>
    <row r="157" spans="1:13" s="15" customFormat="1" ht="15" customHeight="1" x14ac:dyDescent="0.25">
      <c r="A157" s="38"/>
      <c r="B157" s="68">
        <v>513124</v>
      </c>
      <c r="C157" s="65" t="s">
        <v>14729</v>
      </c>
      <c r="D157" s="2"/>
      <c r="E157" s="66">
        <v>36.9</v>
      </c>
      <c r="F157" s="66">
        <v>40.6</v>
      </c>
      <c r="G157" s="226" t="str">
        <f t="shared" si="14"/>
        <v>8435057017480</v>
      </c>
      <c r="H157" s="64" t="s">
        <v>600</v>
      </c>
      <c r="I157" s="64">
        <v>12</v>
      </c>
      <c r="J157" s="189">
        <f t="shared" si="16"/>
        <v>0</v>
      </c>
      <c r="K157" s="67">
        <f>'RESUMEN PEDIDO'!$C$29</f>
        <v>0</v>
      </c>
      <c r="L157" s="67">
        <f>'RESUMEN PEDIDO'!$C$30</f>
        <v>0</v>
      </c>
      <c r="M157" s="66">
        <f t="shared" si="15"/>
        <v>0</v>
      </c>
    </row>
    <row r="158" spans="1:13" s="15" customFormat="1" ht="15" customHeight="1" x14ac:dyDescent="0.25">
      <c r="A158" s="38"/>
      <c r="B158" s="68">
        <v>513125</v>
      </c>
      <c r="C158" s="65" t="s">
        <v>14728</v>
      </c>
      <c r="D158" s="2"/>
      <c r="E158" s="66">
        <v>36.9</v>
      </c>
      <c r="F158" s="66">
        <v>40.6</v>
      </c>
      <c r="G158" s="226" t="str">
        <f t="shared" si="14"/>
        <v>8435057017497</v>
      </c>
      <c r="H158" s="64" t="s">
        <v>600</v>
      </c>
      <c r="I158" s="64">
        <v>12</v>
      </c>
      <c r="J158" s="189">
        <f t="shared" si="16"/>
        <v>0</v>
      </c>
      <c r="K158" s="67">
        <f>'RESUMEN PEDIDO'!$C$29</f>
        <v>0</v>
      </c>
      <c r="L158" s="67">
        <f>'RESUMEN PEDIDO'!$C$30</f>
        <v>0</v>
      </c>
      <c r="M158" s="66">
        <f t="shared" si="15"/>
        <v>0</v>
      </c>
    </row>
    <row r="159" spans="1:13" s="15" customFormat="1" ht="15" customHeight="1" x14ac:dyDescent="0.25">
      <c r="A159" s="38"/>
      <c r="B159" s="68">
        <v>513126</v>
      </c>
      <c r="C159" s="65" t="s">
        <v>14727</v>
      </c>
      <c r="D159" s="2"/>
      <c r="E159" s="66">
        <v>36.9</v>
      </c>
      <c r="F159" s="66">
        <v>40.6</v>
      </c>
      <c r="G159" s="226" t="str">
        <f t="shared" si="14"/>
        <v>8435057017503</v>
      </c>
      <c r="H159" s="64" t="s">
        <v>600</v>
      </c>
      <c r="I159" s="64">
        <v>12</v>
      </c>
      <c r="J159" s="189">
        <f t="shared" si="16"/>
        <v>0</v>
      </c>
      <c r="K159" s="67">
        <f>'RESUMEN PEDIDO'!$C$29</f>
        <v>0</v>
      </c>
      <c r="L159" s="67">
        <f>'RESUMEN PEDIDO'!$C$30</f>
        <v>0</v>
      </c>
      <c r="M159" s="66">
        <f t="shared" si="15"/>
        <v>0</v>
      </c>
    </row>
    <row r="160" spans="1:13" s="15" customFormat="1" ht="15" customHeight="1" x14ac:dyDescent="0.25">
      <c r="A160" s="38"/>
      <c r="B160" s="68">
        <v>513127</v>
      </c>
      <c r="C160" s="65" t="s">
        <v>14726</v>
      </c>
      <c r="D160" s="2"/>
      <c r="E160" s="66">
        <v>36.9</v>
      </c>
      <c r="F160" s="66">
        <v>40.6</v>
      </c>
      <c r="G160" s="226" t="str">
        <f t="shared" si="14"/>
        <v>8435057017510</v>
      </c>
      <c r="H160" s="64" t="s">
        <v>600</v>
      </c>
      <c r="I160" s="64">
        <v>12</v>
      </c>
      <c r="J160" s="189">
        <f t="shared" si="16"/>
        <v>0</v>
      </c>
      <c r="K160" s="67">
        <f>'RESUMEN PEDIDO'!$C$29</f>
        <v>0</v>
      </c>
      <c r="L160" s="67">
        <f>'RESUMEN PEDIDO'!$C$30</f>
        <v>0</v>
      </c>
      <c r="M160" s="66">
        <f t="shared" si="15"/>
        <v>0</v>
      </c>
    </row>
    <row r="161" spans="1:13" s="15" customFormat="1" ht="15" customHeight="1" x14ac:dyDescent="0.25">
      <c r="A161" s="38"/>
      <c r="B161" s="68">
        <v>513128</v>
      </c>
      <c r="C161" s="65" t="s">
        <v>14725</v>
      </c>
      <c r="D161" s="2"/>
      <c r="E161" s="66">
        <v>36.9</v>
      </c>
      <c r="F161" s="66">
        <v>40.6</v>
      </c>
      <c r="G161" s="226" t="str">
        <f t="shared" si="14"/>
        <v>8435057017435</v>
      </c>
      <c r="H161" s="64" t="s">
        <v>600</v>
      </c>
      <c r="I161" s="64">
        <v>12</v>
      </c>
      <c r="J161" s="189">
        <f t="shared" si="16"/>
        <v>0</v>
      </c>
      <c r="K161" s="67">
        <f>'RESUMEN PEDIDO'!$C$29</f>
        <v>0</v>
      </c>
      <c r="L161" s="67">
        <f>'RESUMEN PEDIDO'!$C$30</f>
        <v>0</v>
      </c>
      <c r="M161" s="66">
        <f t="shared" si="15"/>
        <v>0</v>
      </c>
    </row>
    <row r="162" spans="1:13" s="15" customFormat="1" ht="15" customHeight="1" x14ac:dyDescent="0.25">
      <c r="A162" s="38"/>
      <c r="B162" s="68">
        <v>513129</v>
      </c>
      <c r="C162" s="65" t="s">
        <v>14724</v>
      </c>
      <c r="D162" s="2"/>
      <c r="E162" s="66">
        <v>36.9</v>
      </c>
      <c r="F162" s="66">
        <v>40.6</v>
      </c>
      <c r="G162" s="226" t="str">
        <f t="shared" si="14"/>
        <v>8435057017442</v>
      </c>
      <c r="H162" s="64" t="s">
        <v>600</v>
      </c>
      <c r="I162" s="64">
        <v>12</v>
      </c>
      <c r="J162" s="189">
        <f t="shared" si="16"/>
        <v>0</v>
      </c>
      <c r="K162" s="67">
        <f>'RESUMEN PEDIDO'!$C$29</f>
        <v>0</v>
      </c>
      <c r="L162" s="67">
        <f>'RESUMEN PEDIDO'!$C$30</f>
        <v>0</v>
      </c>
      <c r="M162" s="66">
        <f t="shared" si="15"/>
        <v>0</v>
      </c>
    </row>
    <row r="163" spans="1:13" s="15" customFormat="1" ht="15" customHeight="1" x14ac:dyDescent="0.25">
      <c r="A163" s="38"/>
      <c r="B163" s="68">
        <v>513130</v>
      </c>
      <c r="C163" s="65" t="s">
        <v>776</v>
      </c>
      <c r="D163" s="2"/>
      <c r="E163" s="66">
        <v>36.9</v>
      </c>
      <c r="F163" s="66">
        <v>40.6</v>
      </c>
      <c r="G163" s="226" t="str">
        <f t="shared" si="14"/>
        <v>8435057017527</v>
      </c>
      <c r="H163" s="64" t="s">
        <v>600</v>
      </c>
      <c r="I163" s="64">
        <v>12</v>
      </c>
      <c r="J163" s="189">
        <f t="shared" si="16"/>
        <v>0</v>
      </c>
      <c r="K163" s="67">
        <f>'RESUMEN PEDIDO'!$C$29</f>
        <v>0</v>
      </c>
      <c r="L163" s="67">
        <f>'RESUMEN PEDIDO'!$C$30</f>
        <v>0</v>
      </c>
      <c r="M163" s="66">
        <f t="shared" si="15"/>
        <v>0</v>
      </c>
    </row>
    <row r="164" spans="1:13" s="15" customFormat="1" ht="15" customHeight="1" x14ac:dyDescent="0.25">
      <c r="A164" s="38"/>
      <c r="B164" s="68">
        <v>513131</v>
      </c>
      <c r="C164" s="65" t="s">
        <v>14723</v>
      </c>
      <c r="D164" s="2"/>
      <c r="E164" s="66">
        <v>36.9</v>
      </c>
      <c r="F164" s="66">
        <v>40.6</v>
      </c>
      <c r="G164" s="226" t="str">
        <f t="shared" si="14"/>
        <v>8435057017534</v>
      </c>
      <c r="H164" s="64" t="s">
        <v>600</v>
      </c>
      <c r="I164" s="64">
        <v>12</v>
      </c>
      <c r="J164" s="189">
        <f t="shared" si="16"/>
        <v>0</v>
      </c>
      <c r="K164" s="67">
        <f>'RESUMEN PEDIDO'!$C$29</f>
        <v>0</v>
      </c>
      <c r="L164" s="67">
        <f>'RESUMEN PEDIDO'!$C$30</f>
        <v>0</v>
      </c>
      <c r="M164" s="66">
        <f t="shared" si="15"/>
        <v>0</v>
      </c>
    </row>
    <row r="165" spans="1:13" s="15" customFormat="1" ht="15" customHeight="1" x14ac:dyDescent="0.25">
      <c r="A165" s="38"/>
      <c r="B165" s="68">
        <v>513132</v>
      </c>
      <c r="C165" s="65" t="s">
        <v>777</v>
      </c>
      <c r="D165" s="2"/>
      <c r="E165" s="66">
        <v>36.9</v>
      </c>
      <c r="F165" s="66">
        <v>40.6</v>
      </c>
      <c r="G165" s="226" t="str">
        <f t="shared" si="14"/>
        <v>8435057017541</v>
      </c>
      <c r="H165" s="64" t="s">
        <v>600</v>
      </c>
      <c r="I165" s="64">
        <v>12</v>
      </c>
      <c r="J165" s="189">
        <f t="shared" si="16"/>
        <v>0</v>
      </c>
      <c r="K165" s="67">
        <f>'RESUMEN PEDIDO'!$C$29</f>
        <v>0</v>
      </c>
      <c r="L165" s="67">
        <f>'RESUMEN PEDIDO'!$C$30</f>
        <v>0</v>
      </c>
      <c r="M165" s="66">
        <f t="shared" si="15"/>
        <v>0</v>
      </c>
    </row>
    <row r="166" spans="1:13" s="15" customFormat="1" ht="15" customHeight="1" x14ac:dyDescent="0.25">
      <c r="A166" s="38"/>
      <c r="B166" s="68">
        <v>513133</v>
      </c>
      <c r="C166" s="65" t="s">
        <v>778</v>
      </c>
      <c r="D166" s="2"/>
      <c r="E166" s="66">
        <v>36.9</v>
      </c>
      <c r="F166" s="66">
        <v>40.6</v>
      </c>
      <c r="G166" s="226" t="str">
        <f t="shared" ref="G166:G200" si="17">VLOOKUP(B166,EAN,3,0)</f>
        <v>8435057017558</v>
      </c>
      <c r="H166" s="64" t="s">
        <v>600</v>
      </c>
      <c r="I166" s="64">
        <v>12</v>
      </c>
      <c r="J166" s="189">
        <f t="shared" si="16"/>
        <v>0</v>
      </c>
      <c r="K166" s="67">
        <f>'RESUMEN PEDIDO'!$C$29</f>
        <v>0</v>
      </c>
      <c r="L166" s="67">
        <f>'RESUMEN PEDIDO'!$C$30</f>
        <v>0</v>
      </c>
      <c r="M166" s="66">
        <f t="shared" ref="M166:M197" si="18">(D166*(E166-(E166*K166)))-(D166*(E166-(E166*K166)))*L166</f>
        <v>0</v>
      </c>
    </row>
    <row r="167" spans="1:13" s="15" customFormat="1" ht="15" customHeight="1" x14ac:dyDescent="0.25">
      <c r="A167" s="38"/>
      <c r="B167" s="68">
        <v>513134</v>
      </c>
      <c r="C167" s="65" t="s">
        <v>779</v>
      </c>
      <c r="D167" s="2"/>
      <c r="E167" s="66">
        <v>36.9</v>
      </c>
      <c r="F167" s="66">
        <v>40.6</v>
      </c>
      <c r="G167" s="226" t="str">
        <f t="shared" si="17"/>
        <v>8435057017565</v>
      </c>
      <c r="H167" s="64" t="s">
        <v>600</v>
      </c>
      <c r="I167" s="64">
        <v>12</v>
      </c>
      <c r="J167" s="189">
        <f t="shared" si="16"/>
        <v>0</v>
      </c>
      <c r="K167" s="67">
        <f>'RESUMEN PEDIDO'!$C$29</f>
        <v>0</v>
      </c>
      <c r="L167" s="67">
        <f>'RESUMEN PEDIDO'!$C$30</f>
        <v>0</v>
      </c>
      <c r="M167" s="66">
        <f t="shared" si="18"/>
        <v>0</v>
      </c>
    </row>
    <row r="168" spans="1:13" s="15" customFormat="1" ht="15" customHeight="1" x14ac:dyDescent="0.25">
      <c r="A168" s="38"/>
      <c r="B168" s="68">
        <v>513135</v>
      </c>
      <c r="C168" s="65" t="s">
        <v>780</v>
      </c>
      <c r="D168" s="2"/>
      <c r="E168" s="66">
        <v>36.9</v>
      </c>
      <c r="F168" s="66">
        <v>40.6</v>
      </c>
      <c r="G168" s="226" t="str">
        <f t="shared" si="17"/>
        <v>8435057017572</v>
      </c>
      <c r="H168" s="64" t="s">
        <v>600</v>
      </c>
      <c r="I168" s="64">
        <v>12</v>
      </c>
      <c r="J168" s="189">
        <f t="shared" si="16"/>
        <v>0</v>
      </c>
      <c r="K168" s="67">
        <f>'RESUMEN PEDIDO'!$C$29</f>
        <v>0</v>
      </c>
      <c r="L168" s="67">
        <f>'RESUMEN PEDIDO'!$C$30</f>
        <v>0</v>
      </c>
      <c r="M168" s="66">
        <f t="shared" si="18"/>
        <v>0</v>
      </c>
    </row>
    <row r="169" spans="1:13" s="15" customFormat="1" ht="15" customHeight="1" x14ac:dyDescent="0.25">
      <c r="A169" s="38"/>
      <c r="B169" s="68">
        <v>513136</v>
      </c>
      <c r="C169" s="65" t="s">
        <v>781</v>
      </c>
      <c r="D169" s="2"/>
      <c r="E169" s="66">
        <v>36.9</v>
      </c>
      <c r="F169" s="66">
        <v>40.6</v>
      </c>
      <c r="G169" s="226" t="str">
        <f t="shared" si="17"/>
        <v>8435057017589</v>
      </c>
      <c r="H169" s="64" t="s">
        <v>600</v>
      </c>
      <c r="I169" s="64">
        <v>12</v>
      </c>
      <c r="J169" s="189">
        <f t="shared" si="16"/>
        <v>0</v>
      </c>
      <c r="K169" s="67">
        <f>'RESUMEN PEDIDO'!$C$29</f>
        <v>0</v>
      </c>
      <c r="L169" s="67">
        <f>'RESUMEN PEDIDO'!$C$30</f>
        <v>0</v>
      </c>
      <c r="M169" s="66">
        <f t="shared" si="18"/>
        <v>0</v>
      </c>
    </row>
    <row r="170" spans="1:13" s="15" customFormat="1" ht="15" customHeight="1" x14ac:dyDescent="0.25">
      <c r="A170" s="38"/>
      <c r="B170" s="68">
        <v>513137</v>
      </c>
      <c r="C170" s="65" t="s">
        <v>782</v>
      </c>
      <c r="D170" s="2"/>
      <c r="E170" s="66">
        <v>36.9</v>
      </c>
      <c r="F170" s="66">
        <v>40.6</v>
      </c>
      <c r="G170" s="226" t="str">
        <f t="shared" si="17"/>
        <v>8435057017596</v>
      </c>
      <c r="H170" s="64" t="s">
        <v>600</v>
      </c>
      <c r="I170" s="64">
        <v>12</v>
      </c>
      <c r="J170" s="189">
        <f t="shared" si="16"/>
        <v>0</v>
      </c>
      <c r="K170" s="67">
        <f>'RESUMEN PEDIDO'!$C$29</f>
        <v>0</v>
      </c>
      <c r="L170" s="67">
        <f>'RESUMEN PEDIDO'!$C$30</f>
        <v>0</v>
      </c>
      <c r="M170" s="66">
        <f t="shared" si="18"/>
        <v>0</v>
      </c>
    </row>
    <row r="171" spans="1:13" s="15" customFormat="1" ht="15" customHeight="1" x14ac:dyDescent="0.25">
      <c r="A171" s="38"/>
      <c r="B171" s="68">
        <v>513138</v>
      </c>
      <c r="C171" s="65" t="s">
        <v>783</v>
      </c>
      <c r="D171" s="2"/>
      <c r="E171" s="66">
        <v>36.9</v>
      </c>
      <c r="F171" s="66">
        <v>40.6</v>
      </c>
      <c r="G171" s="226" t="str">
        <f t="shared" si="17"/>
        <v>8435057017602</v>
      </c>
      <c r="H171" s="64" t="s">
        <v>600</v>
      </c>
      <c r="I171" s="64">
        <v>12</v>
      </c>
      <c r="J171" s="189">
        <f t="shared" si="16"/>
        <v>0</v>
      </c>
      <c r="K171" s="67">
        <f>'RESUMEN PEDIDO'!$C$29</f>
        <v>0</v>
      </c>
      <c r="L171" s="67">
        <f>'RESUMEN PEDIDO'!$C$30</f>
        <v>0</v>
      </c>
      <c r="M171" s="66">
        <f t="shared" si="18"/>
        <v>0</v>
      </c>
    </row>
    <row r="172" spans="1:13" s="15" customFormat="1" ht="15" customHeight="1" x14ac:dyDescent="0.25">
      <c r="A172" s="38"/>
      <c r="B172" s="68">
        <v>513139</v>
      </c>
      <c r="C172" s="65" t="s">
        <v>784</v>
      </c>
      <c r="D172" s="2"/>
      <c r="E172" s="66">
        <v>36.9</v>
      </c>
      <c r="F172" s="66">
        <v>40.6</v>
      </c>
      <c r="G172" s="226" t="str">
        <f t="shared" si="17"/>
        <v>8435057017619</v>
      </c>
      <c r="H172" s="64" t="s">
        <v>600</v>
      </c>
      <c r="I172" s="64">
        <v>12</v>
      </c>
      <c r="J172" s="189">
        <f t="shared" ref="J172:J200" si="19">D172/I172</f>
        <v>0</v>
      </c>
      <c r="K172" s="67">
        <f>'RESUMEN PEDIDO'!$C$29</f>
        <v>0</v>
      </c>
      <c r="L172" s="67">
        <f>'RESUMEN PEDIDO'!$C$30</f>
        <v>0</v>
      </c>
      <c r="M172" s="66">
        <f t="shared" si="18"/>
        <v>0</v>
      </c>
    </row>
    <row r="173" spans="1:13" s="15" customFormat="1" ht="15" customHeight="1" x14ac:dyDescent="0.25">
      <c r="A173" s="38"/>
      <c r="B173" s="68">
        <v>513140</v>
      </c>
      <c r="C173" s="65" t="s">
        <v>785</v>
      </c>
      <c r="D173" s="2"/>
      <c r="E173" s="66">
        <v>36.9</v>
      </c>
      <c r="F173" s="66">
        <v>40.6</v>
      </c>
      <c r="G173" s="226" t="str">
        <f t="shared" si="17"/>
        <v>8435057017626</v>
      </c>
      <c r="H173" s="64" t="s">
        <v>600</v>
      </c>
      <c r="I173" s="64">
        <v>12</v>
      </c>
      <c r="J173" s="189">
        <f t="shared" si="19"/>
        <v>0</v>
      </c>
      <c r="K173" s="67">
        <f>'RESUMEN PEDIDO'!$C$29</f>
        <v>0</v>
      </c>
      <c r="L173" s="67">
        <f>'RESUMEN PEDIDO'!$C$30</f>
        <v>0</v>
      </c>
      <c r="M173" s="66">
        <f t="shared" si="18"/>
        <v>0</v>
      </c>
    </row>
    <row r="174" spans="1:13" s="15" customFormat="1" ht="15" customHeight="1" x14ac:dyDescent="0.25">
      <c r="A174" s="38"/>
      <c r="B174" s="68">
        <v>513141</v>
      </c>
      <c r="C174" s="65" t="s">
        <v>786</v>
      </c>
      <c r="D174" s="2"/>
      <c r="E174" s="66">
        <v>36.9</v>
      </c>
      <c r="F174" s="66">
        <v>40.6</v>
      </c>
      <c r="G174" s="226" t="str">
        <f t="shared" si="17"/>
        <v>8435057017633</v>
      </c>
      <c r="H174" s="64" t="s">
        <v>600</v>
      </c>
      <c r="I174" s="64">
        <v>12</v>
      </c>
      <c r="J174" s="189">
        <f t="shared" si="19"/>
        <v>0</v>
      </c>
      <c r="K174" s="67">
        <f>'RESUMEN PEDIDO'!$C$29</f>
        <v>0</v>
      </c>
      <c r="L174" s="67">
        <f>'RESUMEN PEDIDO'!$C$30</f>
        <v>0</v>
      </c>
      <c r="M174" s="66">
        <f t="shared" si="18"/>
        <v>0</v>
      </c>
    </row>
    <row r="175" spans="1:13" s="15" customFormat="1" ht="15" customHeight="1" x14ac:dyDescent="0.25">
      <c r="A175" s="38"/>
      <c r="B175" s="68">
        <v>513142</v>
      </c>
      <c r="C175" s="65" t="s">
        <v>787</v>
      </c>
      <c r="D175" s="2"/>
      <c r="E175" s="66">
        <v>36.9</v>
      </c>
      <c r="F175" s="66">
        <v>40.6</v>
      </c>
      <c r="G175" s="226" t="str">
        <f t="shared" si="17"/>
        <v>8435057017640</v>
      </c>
      <c r="H175" s="64" t="s">
        <v>600</v>
      </c>
      <c r="I175" s="64">
        <v>12</v>
      </c>
      <c r="J175" s="189">
        <f t="shared" si="19"/>
        <v>0</v>
      </c>
      <c r="K175" s="67">
        <f>'RESUMEN PEDIDO'!$C$29</f>
        <v>0</v>
      </c>
      <c r="L175" s="67">
        <f>'RESUMEN PEDIDO'!$C$30</f>
        <v>0</v>
      </c>
      <c r="M175" s="66">
        <f t="shared" si="18"/>
        <v>0</v>
      </c>
    </row>
    <row r="176" spans="1:13" s="15" customFormat="1" ht="15" customHeight="1" x14ac:dyDescent="0.25">
      <c r="A176" s="38"/>
      <c r="B176" s="68">
        <v>513143</v>
      </c>
      <c r="C176" s="65" t="s">
        <v>788</v>
      </c>
      <c r="D176" s="2"/>
      <c r="E176" s="66">
        <v>36.9</v>
      </c>
      <c r="F176" s="66">
        <v>40.6</v>
      </c>
      <c r="G176" s="226" t="str">
        <f t="shared" si="17"/>
        <v>8435057017657</v>
      </c>
      <c r="H176" s="64" t="s">
        <v>600</v>
      </c>
      <c r="I176" s="64">
        <v>12</v>
      </c>
      <c r="J176" s="189">
        <f t="shared" si="19"/>
        <v>0</v>
      </c>
      <c r="K176" s="67">
        <f>'RESUMEN PEDIDO'!$C$29</f>
        <v>0</v>
      </c>
      <c r="L176" s="67">
        <f>'RESUMEN PEDIDO'!$C$30</f>
        <v>0</v>
      </c>
      <c r="M176" s="66">
        <f t="shared" si="18"/>
        <v>0</v>
      </c>
    </row>
    <row r="177" spans="1:13" s="15" customFormat="1" ht="15" customHeight="1" x14ac:dyDescent="0.25">
      <c r="A177" s="38"/>
      <c r="B177" s="68">
        <v>513144</v>
      </c>
      <c r="C177" s="65" t="s">
        <v>789</v>
      </c>
      <c r="D177" s="2"/>
      <c r="E177" s="66">
        <v>36.9</v>
      </c>
      <c r="F177" s="66">
        <v>40.6</v>
      </c>
      <c r="G177" s="226" t="str">
        <f t="shared" si="17"/>
        <v>8435057017664</v>
      </c>
      <c r="H177" s="64" t="s">
        <v>600</v>
      </c>
      <c r="I177" s="64">
        <v>12</v>
      </c>
      <c r="J177" s="189">
        <f t="shared" si="19"/>
        <v>0</v>
      </c>
      <c r="K177" s="67">
        <f>'RESUMEN PEDIDO'!$C$29</f>
        <v>0</v>
      </c>
      <c r="L177" s="67">
        <f>'RESUMEN PEDIDO'!$C$30</f>
        <v>0</v>
      </c>
      <c r="M177" s="66">
        <f t="shared" si="18"/>
        <v>0</v>
      </c>
    </row>
    <row r="178" spans="1:13" s="15" customFormat="1" ht="15" customHeight="1" x14ac:dyDescent="0.25">
      <c r="A178" s="38"/>
      <c r="B178" s="68">
        <v>513145</v>
      </c>
      <c r="C178" s="65" t="s">
        <v>790</v>
      </c>
      <c r="D178" s="2"/>
      <c r="E178" s="66">
        <v>36.9</v>
      </c>
      <c r="F178" s="66">
        <v>40.6</v>
      </c>
      <c r="G178" s="226" t="str">
        <f t="shared" si="17"/>
        <v>8435057017671</v>
      </c>
      <c r="H178" s="64" t="s">
        <v>600</v>
      </c>
      <c r="I178" s="64">
        <v>12</v>
      </c>
      <c r="J178" s="189">
        <f t="shared" si="19"/>
        <v>0</v>
      </c>
      <c r="K178" s="67">
        <f>'RESUMEN PEDIDO'!$C$29</f>
        <v>0</v>
      </c>
      <c r="L178" s="67">
        <f>'RESUMEN PEDIDO'!$C$30</f>
        <v>0</v>
      </c>
      <c r="M178" s="66">
        <f t="shared" si="18"/>
        <v>0</v>
      </c>
    </row>
    <row r="179" spans="1:13" s="15" customFormat="1" ht="15" customHeight="1" x14ac:dyDescent="0.25">
      <c r="A179" s="38"/>
      <c r="B179" s="68">
        <v>513146</v>
      </c>
      <c r="C179" s="65" t="s">
        <v>791</v>
      </c>
      <c r="D179" s="2"/>
      <c r="E179" s="66">
        <v>36.9</v>
      </c>
      <c r="F179" s="66">
        <v>40.6</v>
      </c>
      <c r="G179" s="226" t="str">
        <f t="shared" si="17"/>
        <v>8435057017688</v>
      </c>
      <c r="H179" s="64" t="s">
        <v>600</v>
      </c>
      <c r="I179" s="64">
        <v>12</v>
      </c>
      <c r="J179" s="189">
        <f t="shared" si="19"/>
        <v>0</v>
      </c>
      <c r="K179" s="67">
        <f>'RESUMEN PEDIDO'!$C$29</f>
        <v>0</v>
      </c>
      <c r="L179" s="67">
        <f>'RESUMEN PEDIDO'!$C$30</f>
        <v>0</v>
      </c>
      <c r="M179" s="66">
        <f t="shared" si="18"/>
        <v>0</v>
      </c>
    </row>
    <row r="180" spans="1:13" s="15" customFormat="1" ht="15" customHeight="1" x14ac:dyDescent="0.25">
      <c r="A180" s="38"/>
      <c r="B180" s="68">
        <v>513147</v>
      </c>
      <c r="C180" s="65" t="s">
        <v>792</v>
      </c>
      <c r="D180" s="2"/>
      <c r="E180" s="66">
        <v>36.9</v>
      </c>
      <c r="F180" s="66">
        <v>40.6</v>
      </c>
      <c r="G180" s="226" t="str">
        <f t="shared" si="17"/>
        <v>8435057017695</v>
      </c>
      <c r="H180" s="64" t="s">
        <v>600</v>
      </c>
      <c r="I180" s="64">
        <v>12</v>
      </c>
      <c r="J180" s="189">
        <f t="shared" si="19"/>
        <v>0</v>
      </c>
      <c r="K180" s="67">
        <f>'RESUMEN PEDIDO'!$C$29</f>
        <v>0</v>
      </c>
      <c r="L180" s="67">
        <f>'RESUMEN PEDIDO'!$C$30</f>
        <v>0</v>
      </c>
      <c r="M180" s="66">
        <f t="shared" si="18"/>
        <v>0</v>
      </c>
    </row>
    <row r="181" spans="1:13" s="15" customFormat="1" ht="15" customHeight="1" x14ac:dyDescent="0.25">
      <c r="A181" s="38"/>
      <c r="B181" s="68">
        <v>513148</v>
      </c>
      <c r="C181" s="65" t="s">
        <v>793</v>
      </c>
      <c r="D181" s="2"/>
      <c r="E181" s="66">
        <v>36.9</v>
      </c>
      <c r="F181" s="66">
        <v>40.6</v>
      </c>
      <c r="G181" s="226" t="str">
        <f t="shared" si="17"/>
        <v>8435057017701</v>
      </c>
      <c r="H181" s="64" t="s">
        <v>600</v>
      </c>
      <c r="I181" s="64">
        <v>12</v>
      </c>
      <c r="J181" s="189">
        <f t="shared" si="19"/>
        <v>0</v>
      </c>
      <c r="K181" s="67">
        <f>'RESUMEN PEDIDO'!$C$29</f>
        <v>0</v>
      </c>
      <c r="L181" s="67">
        <f>'RESUMEN PEDIDO'!$C$30</f>
        <v>0</v>
      </c>
      <c r="M181" s="66">
        <f t="shared" si="18"/>
        <v>0</v>
      </c>
    </row>
    <row r="182" spans="1:13" s="15" customFormat="1" ht="15" customHeight="1" x14ac:dyDescent="0.25">
      <c r="A182" s="38"/>
      <c r="B182" s="68">
        <v>513149</v>
      </c>
      <c r="C182" s="65" t="s">
        <v>794</v>
      </c>
      <c r="D182" s="2"/>
      <c r="E182" s="66">
        <v>36.9</v>
      </c>
      <c r="F182" s="66">
        <v>40.6</v>
      </c>
      <c r="G182" s="226" t="str">
        <f t="shared" si="17"/>
        <v>8435057017718</v>
      </c>
      <c r="H182" s="64" t="s">
        <v>600</v>
      </c>
      <c r="I182" s="64">
        <v>12</v>
      </c>
      <c r="J182" s="189">
        <f t="shared" si="19"/>
        <v>0</v>
      </c>
      <c r="K182" s="67">
        <f>'RESUMEN PEDIDO'!$C$29</f>
        <v>0</v>
      </c>
      <c r="L182" s="67">
        <f>'RESUMEN PEDIDO'!$C$30</f>
        <v>0</v>
      </c>
      <c r="M182" s="66">
        <f t="shared" si="18"/>
        <v>0</v>
      </c>
    </row>
    <row r="183" spans="1:13" s="15" customFormat="1" ht="15" customHeight="1" x14ac:dyDescent="0.25">
      <c r="A183" s="38"/>
      <c r="B183" s="68">
        <v>513150</v>
      </c>
      <c r="C183" s="65" t="s">
        <v>795</v>
      </c>
      <c r="D183" s="2"/>
      <c r="E183" s="66">
        <v>36.9</v>
      </c>
      <c r="F183" s="66">
        <v>40.6</v>
      </c>
      <c r="G183" s="226" t="str">
        <f t="shared" si="17"/>
        <v>8435057017725</v>
      </c>
      <c r="H183" s="64" t="s">
        <v>600</v>
      </c>
      <c r="I183" s="64">
        <v>12</v>
      </c>
      <c r="J183" s="189">
        <f t="shared" si="19"/>
        <v>0</v>
      </c>
      <c r="K183" s="67">
        <f>'RESUMEN PEDIDO'!$C$29</f>
        <v>0</v>
      </c>
      <c r="L183" s="67">
        <f>'RESUMEN PEDIDO'!$C$30</f>
        <v>0</v>
      </c>
      <c r="M183" s="66">
        <f t="shared" si="18"/>
        <v>0</v>
      </c>
    </row>
    <row r="184" spans="1:13" s="15" customFormat="1" ht="15" customHeight="1" x14ac:dyDescent="0.25">
      <c r="A184" s="38"/>
      <c r="B184" s="68">
        <v>513151</v>
      </c>
      <c r="C184" s="65" t="s">
        <v>796</v>
      </c>
      <c r="D184" s="2"/>
      <c r="E184" s="66">
        <v>36.9</v>
      </c>
      <c r="F184" s="66">
        <v>40.6</v>
      </c>
      <c r="G184" s="226" t="str">
        <f t="shared" si="17"/>
        <v>8435057017732</v>
      </c>
      <c r="H184" s="64" t="s">
        <v>600</v>
      </c>
      <c r="I184" s="64">
        <v>12</v>
      </c>
      <c r="J184" s="189">
        <f t="shared" si="19"/>
        <v>0</v>
      </c>
      <c r="K184" s="67">
        <f>'RESUMEN PEDIDO'!$C$29</f>
        <v>0</v>
      </c>
      <c r="L184" s="67">
        <f>'RESUMEN PEDIDO'!$C$30</f>
        <v>0</v>
      </c>
      <c r="M184" s="66">
        <f t="shared" si="18"/>
        <v>0</v>
      </c>
    </row>
    <row r="185" spans="1:13" s="15" customFormat="1" ht="15" customHeight="1" x14ac:dyDescent="0.25">
      <c r="A185" s="38"/>
      <c r="B185" s="68">
        <v>513152</v>
      </c>
      <c r="C185" s="65" t="s">
        <v>797</v>
      </c>
      <c r="D185" s="2"/>
      <c r="E185" s="66">
        <v>36.9</v>
      </c>
      <c r="F185" s="66">
        <v>40.6</v>
      </c>
      <c r="G185" s="226" t="str">
        <f t="shared" si="17"/>
        <v>8435057017749</v>
      </c>
      <c r="H185" s="64" t="s">
        <v>600</v>
      </c>
      <c r="I185" s="64">
        <v>12</v>
      </c>
      <c r="J185" s="189">
        <f t="shared" si="19"/>
        <v>0</v>
      </c>
      <c r="K185" s="67">
        <f>'RESUMEN PEDIDO'!$C$29</f>
        <v>0</v>
      </c>
      <c r="L185" s="67">
        <f>'RESUMEN PEDIDO'!$C$30</f>
        <v>0</v>
      </c>
      <c r="M185" s="66">
        <f t="shared" si="18"/>
        <v>0</v>
      </c>
    </row>
    <row r="186" spans="1:13" s="15" customFormat="1" ht="15" customHeight="1" x14ac:dyDescent="0.25">
      <c r="A186" s="38"/>
      <c r="B186" s="68">
        <v>513153</v>
      </c>
      <c r="C186" s="65" t="s">
        <v>798</v>
      </c>
      <c r="D186" s="2"/>
      <c r="E186" s="66">
        <v>36.9</v>
      </c>
      <c r="F186" s="66">
        <v>40.6</v>
      </c>
      <c r="G186" s="226" t="str">
        <f t="shared" si="17"/>
        <v>8435057017756</v>
      </c>
      <c r="H186" s="64" t="s">
        <v>600</v>
      </c>
      <c r="I186" s="64">
        <v>12</v>
      </c>
      <c r="J186" s="189">
        <f t="shared" si="19"/>
        <v>0</v>
      </c>
      <c r="K186" s="67">
        <f>'RESUMEN PEDIDO'!$C$29</f>
        <v>0</v>
      </c>
      <c r="L186" s="67">
        <f>'RESUMEN PEDIDO'!$C$30</f>
        <v>0</v>
      </c>
      <c r="M186" s="66">
        <f t="shared" si="18"/>
        <v>0</v>
      </c>
    </row>
    <row r="187" spans="1:13" s="15" customFormat="1" ht="15" customHeight="1" x14ac:dyDescent="0.25">
      <c r="A187" s="38"/>
      <c r="B187" s="68">
        <v>513154</v>
      </c>
      <c r="C187" s="65" t="s">
        <v>799</v>
      </c>
      <c r="D187" s="2"/>
      <c r="E187" s="66">
        <v>36.9</v>
      </c>
      <c r="F187" s="66">
        <v>40.6</v>
      </c>
      <c r="G187" s="226" t="str">
        <f t="shared" si="17"/>
        <v>8435057017763</v>
      </c>
      <c r="H187" s="64" t="s">
        <v>600</v>
      </c>
      <c r="I187" s="64">
        <v>12</v>
      </c>
      <c r="J187" s="189">
        <f t="shared" si="19"/>
        <v>0</v>
      </c>
      <c r="K187" s="67">
        <f>'RESUMEN PEDIDO'!$C$29</f>
        <v>0</v>
      </c>
      <c r="L187" s="67">
        <f>'RESUMEN PEDIDO'!$C$30</f>
        <v>0</v>
      </c>
      <c r="M187" s="66">
        <f t="shared" si="18"/>
        <v>0</v>
      </c>
    </row>
    <row r="188" spans="1:13" s="15" customFormat="1" ht="15" customHeight="1" x14ac:dyDescent="0.25">
      <c r="A188" s="38"/>
      <c r="B188" s="68">
        <v>513155</v>
      </c>
      <c r="C188" s="65" t="s">
        <v>800</v>
      </c>
      <c r="D188" s="2"/>
      <c r="E188" s="66">
        <v>36.9</v>
      </c>
      <c r="F188" s="66">
        <v>40.6</v>
      </c>
      <c r="G188" s="226" t="str">
        <f t="shared" si="17"/>
        <v>8435057017770</v>
      </c>
      <c r="H188" s="64" t="s">
        <v>600</v>
      </c>
      <c r="I188" s="64">
        <v>12</v>
      </c>
      <c r="J188" s="189">
        <f t="shared" si="19"/>
        <v>0</v>
      </c>
      <c r="K188" s="67">
        <f>'RESUMEN PEDIDO'!$C$29</f>
        <v>0</v>
      </c>
      <c r="L188" s="67">
        <f>'RESUMEN PEDIDO'!$C$30</f>
        <v>0</v>
      </c>
      <c r="M188" s="66">
        <f t="shared" si="18"/>
        <v>0</v>
      </c>
    </row>
    <row r="189" spans="1:13" s="15" customFormat="1" ht="15" customHeight="1" x14ac:dyDescent="0.25">
      <c r="A189" s="38"/>
      <c r="B189" s="68">
        <v>513156</v>
      </c>
      <c r="C189" s="65" t="s">
        <v>801</v>
      </c>
      <c r="D189" s="2"/>
      <c r="E189" s="66">
        <v>36.9</v>
      </c>
      <c r="F189" s="66">
        <v>40.6</v>
      </c>
      <c r="G189" s="226" t="str">
        <f t="shared" si="17"/>
        <v>8435057017787</v>
      </c>
      <c r="H189" s="64" t="s">
        <v>600</v>
      </c>
      <c r="I189" s="64">
        <v>12</v>
      </c>
      <c r="J189" s="189">
        <f t="shared" si="19"/>
        <v>0</v>
      </c>
      <c r="K189" s="67">
        <f>'RESUMEN PEDIDO'!$C$29</f>
        <v>0</v>
      </c>
      <c r="L189" s="67">
        <f>'RESUMEN PEDIDO'!$C$30</f>
        <v>0</v>
      </c>
      <c r="M189" s="66">
        <f t="shared" si="18"/>
        <v>0</v>
      </c>
    </row>
    <row r="190" spans="1:13" s="15" customFormat="1" ht="15" customHeight="1" x14ac:dyDescent="0.25">
      <c r="A190" s="38"/>
      <c r="B190" s="68">
        <v>513157</v>
      </c>
      <c r="C190" s="65" t="s">
        <v>802</v>
      </c>
      <c r="D190" s="2"/>
      <c r="E190" s="66">
        <v>36.9</v>
      </c>
      <c r="F190" s="66">
        <v>40.6</v>
      </c>
      <c r="G190" s="226" t="str">
        <f t="shared" si="17"/>
        <v>8435057017794</v>
      </c>
      <c r="H190" s="64" t="s">
        <v>600</v>
      </c>
      <c r="I190" s="64">
        <v>12</v>
      </c>
      <c r="J190" s="189">
        <f t="shared" si="19"/>
        <v>0</v>
      </c>
      <c r="K190" s="67">
        <f>'RESUMEN PEDIDO'!$C$29</f>
        <v>0</v>
      </c>
      <c r="L190" s="67">
        <f>'RESUMEN PEDIDO'!$C$30</f>
        <v>0</v>
      </c>
      <c r="M190" s="66">
        <f t="shared" si="18"/>
        <v>0</v>
      </c>
    </row>
    <row r="191" spans="1:13" s="15" customFormat="1" ht="15" customHeight="1" x14ac:dyDescent="0.25">
      <c r="A191" s="38"/>
      <c r="B191" s="68">
        <v>513158</v>
      </c>
      <c r="C191" s="65" t="s">
        <v>803</v>
      </c>
      <c r="D191" s="2"/>
      <c r="E191" s="66">
        <v>36.9</v>
      </c>
      <c r="F191" s="66">
        <v>40.6</v>
      </c>
      <c r="G191" s="226" t="str">
        <f t="shared" si="17"/>
        <v>8435057017800</v>
      </c>
      <c r="H191" s="64" t="s">
        <v>600</v>
      </c>
      <c r="I191" s="64">
        <v>12</v>
      </c>
      <c r="J191" s="189">
        <f t="shared" si="19"/>
        <v>0</v>
      </c>
      <c r="K191" s="67">
        <f>'RESUMEN PEDIDO'!$C$29</f>
        <v>0</v>
      </c>
      <c r="L191" s="67">
        <f>'RESUMEN PEDIDO'!$C$30</f>
        <v>0</v>
      </c>
      <c r="M191" s="66">
        <f t="shared" si="18"/>
        <v>0</v>
      </c>
    </row>
    <row r="192" spans="1:13" s="15" customFormat="1" ht="15" customHeight="1" x14ac:dyDescent="0.25">
      <c r="A192" s="38"/>
      <c r="B192" s="68">
        <v>513159</v>
      </c>
      <c r="C192" s="65" t="s">
        <v>804</v>
      </c>
      <c r="D192" s="2"/>
      <c r="E192" s="66">
        <v>36.9</v>
      </c>
      <c r="F192" s="66">
        <v>40.6</v>
      </c>
      <c r="G192" s="226" t="str">
        <f t="shared" si="17"/>
        <v>8435057017817</v>
      </c>
      <c r="H192" s="64" t="s">
        <v>600</v>
      </c>
      <c r="I192" s="64">
        <v>12</v>
      </c>
      <c r="J192" s="189">
        <f t="shared" si="19"/>
        <v>0</v>
      </c>
      <c r="K192" s="67">
        <f>'RESUMEN PEDIDO'!$C$29</f>
        <v>0</v>
      </c>
      <c r="L192" s="67">
        <f>'RESUMEN PEDIDO'!$C$30</f>
        <v>0</v>
      </c>
      <c r="M192" s="66">
        <f t="shared" si="18"/>
        <v>0</v>
      </c>
    </row>
    <row r="193" spans="1:13" s="15" customFormat="1" ht="15" customHeight="1" x14ac:dyDescent="0.25">
      <c r="A193" s="38"/>
      <c r="B193" s="68">
        <v>513160</v>
      </c>
      <c r="C193" s="65" t="s">
        <v>805</v>
      </c>
      <c r="D193" s="2"/>
      <c r="E193" s="66">
        <v>36.9</v>
      </c>
      <c r="F193" s="66">
        <v>40.6</v>
      </c>
      <c r="G193" s="226" t="str">
        <f t="shared" si="17"/>
        <v>8435057017824</v>
      </c>
      <c r="H193" s="64" t="s">
        <v>600</v>
      </c>
      <c r="I193" s="64">
        <v>12</v>
      </c>
      <c r="J193" s="189">
        <f t="shared" si="19"/>
        <v>0</v>
      </c>
      <c r="K193" s="67">
        <f>'RESUMEN PEDIDO'!$C$29</f>
        <v>0</v>
      </c>
      <c r="L193" s="67">
        <f>'RESUMEN PEDIDO'!$C$30</f>
        <v>0</v>
      </c>
      <c r="M193" s="66">
        <f t="shared" si="18"/>
        <v>0</v>
      </c>
    </row>
    <row r="194" spans="1:13" s="15" customFormat="1" ht="15" customHeight="1" x14ac:dyDescent="0.25">
      <c r="A194" s="38"/>
      <c r="B194" s="68">
        <v>513161</v>
      </c>
      <c r="C194" s="65" t="s">
        <v>806</v>
      </c>
      <c r="D194" s="2"/>
      <c r="E194" s="66">
        <v>36.9</v>
      </c>
      <c r="F194" s="66">
        <v>40.6</v>
      </c>
      <c r="G194" s="226" t="str">
        <f t="shared" si="17"/>
        <v>8435057017831</v>
      </c>
      <c r="H194" s="64" t="s">
        <v>600</v>
      </c>
      <c r="I194" s="64">
        <v>12</v>
      </c>
      <c r="J194" s="189">
        <f t="shared" si="19"/>
        <v>0</v>
      </c>
      <c r="K194" s="67">
        <f>'RESUMEN PEDIDO'!$C$29</f>
        <v>0</v>
      </c>
      <c r="L194" s="67">
        <f>'RESUMEN PEDIDO'!$C$30</f>
        <v>0</v>
      </c>
      <c r="M194" s="66">
        <f t="shared" si="18"/>
        <v>0</v>
      </c>
    </row>
    <row r="195" spans="1:13" s="15" customFormat="1" ht="15" customHeight="1" x14ac:dyDescent="0.25">
      <c r="A195" s="38"/>
      <c r="B195" s="68">
        <v>513162</v>
      </c>
      <c r="C195" s="65" t="s">
        <v>807</v>
      </c>
      <c r="D195" s="2"/>
      <c r="E195" s="66">
        <v>36.9</v>
      </c>
      <c r="F195" s="66">
        <v>40.6</v>
      </c>
      <c r="G195" s="226" t="str">
        <f t="shared" si="17"/>
        <v>8435057017848</v>
      </c>
      <c r="H195" s="64" t="s">
        <v>600</v>
      </c>
      <c r="I195" s="64">
        <v>12</v>
      </c>
      <c r="J195" s="189">
        <f t="shared" si="19"/>
        <v>0</v>
      </c>
      <c r="K195" s="67">
        <f>'RESUMEN PEDIDO'!$C$29</f>
        <v>0</v>
      </c>
      <c r="L195" s="67">
        <f>'RESUMEN PEDIDO'!$C$30</f>
        <v>0</v>
      </c>
      <c r="M195" s="66">
        <f t="shared" si="18"/>
        <v>0</v>
      </c>
    </row>
    <row r="196" spans="1:13" s="15" customFormat="1" ht="15" customHeight="1" x14ac:dyDescent="0.25">
      <c r="A196" s="38"/>
      <c r="B196" s="68">
        <v>513163</v>
      </c>
      <c r="C196" s="65" t="s">
        <v>808</v>
      </c>
      <c r="D196" s="2"/>
      <c r="E196" s="66">
        <v>36.9</v>
      </c>
      <c r="F196" s="66">
        <v>40.6</v>
      </c>
      <c r="G196" s="226" t="str">
        <f t="shared" si="17"/>
        <v>8435057017855</v>
      </c>
      <c r="H196" s="64" t="s">
        <v>600</v>
      </c>
      <c r="I196" s="64">
        <v>12</v>
      </c>
      <c r="J196" s="189">
        <f t="shared" si="19"/>
        <v>0</v>
      </c>
      <c r="K196" s="67">
        <f>'RESUMEN PEDIDO'!$C$29</f>
        <v>0</v>
      </c>
      <c r="L196" s="67">
        <f>'RESUMEN PEDIDO'!$C$30</f>
        <v>0</v>
      </c>
      <c r="M196" s="66">
        <f t="shared" si="18"/>
        <v>0</v>
      </c>
    </row>
    <row r="197" spans="1:13" s="15" customFormat="1" ht="15" customHeight="1" x14ac:dyDescent="0.25">
      <c r="A197" s="38"/>
      <c r="B197" s="68">
        <v>513164</v>
      </c>
      <c r="C197" s="65" t="s">
        <v>809</v>
      </c>
      <c r="D197" s="2"/>
      <c r="E197" s="66">
        <v>36.9</v>
      </c>
      <c r="F197" s="66">
        <v>40.6</v>
      </c>
      <c r="G197" s="226" t="str">
        <f t="shared" si="17"/>
        <v>8435057017862</v>
      </c>
      <c r="H197" s="64" t="s">
        <v>600</v>
      </c>
      <c r="I197" s="64">
        <v>12</v>
      </c>
      <c r="J197" s="189">
        <f t="shared" si="19"/>
        <v>0</v>
      </c>
      <c r="K197" s="67">
        <f>'RESUMEN PEDIDO'!$C$29</f>
        <v>0</v>
      </c>
      <c r="L197" s="67">
        <f>'RESUMEN PEDIDO'!$C$30</f>
        <v>0</v>
      </c>
      <c r="M197" s="66">
        <f t="shared" si="18"/>
        <v>0</v>
      </c>
    </row>
    <row r="198" spans="1:13" s="15" customFormat="1" ht="15" customHeight="1" x14ac:dyDescent="0.25">
      <c r="A198" s="38"/>
      <c r="B198" s="68">
        <v>513165</v>
      </c>
      <c r="C198" s="65" t="s">
        <v>14722</v>
      </c>
      <c r="D198" s="2"/>
      <c r="E198" s="66">
        <v>36.9</v>
      </c>
      <c r="F198" s="66">
        <v>40.6</v>
      </c>
      <c r="G198" s="226" t="str">
        <f t="shared" si="17"/>
        <v>8435057017879</v>
      </c>
      <c r="H198" s="64" t="s">
        <v>600</v>
      </c>
      <c r="I198" s="64">
        <v>12</v>
      </c>
      <c r="J198" s="189">
        <f t="shared" si="19"/>
        <v>0</v>
      </c>
      <c r="K198" s="67">
        <f>'RESUMEN PEDIDO'!$C$29</f>
        <v>0</v>
      </c>
      <c r="L198" s="67">
        <f>'RESUMEN PEDIDO'!$C$30</f>
        <v>0</v>
      </c>
      <c r="M198" s="66">
        <f t="shared" ref="M198" si="20">(D198*(E198-(E198*K198)))-(D198*(E198-(E198*K198)))*L198</f>
        <v>0</v>
      </c>
    </row>
    <row r="199" spans="1:13" s="15" customFormat="1" ht="15" customHeight="1" x14ac:dyDescent="0.25">
      <c r="A199" s="38"/>
      <c r="B199" s="68">
        <v>513166</v>
      </c>
      <c r="C199" s="65" t="s">
        <v>810</v>
      </c>
      <c r="D199" s="2"/>
      <c r="E199" s="66">
        <v>36.9</v>
      </c>
      <c r="F199" s="66">
        <v>40.6</v>
      </c>
      <c r="G199" s="226" t="str">
        <f t="shared" si="17"/>
        <v>8435057017886</v>
      </c>
      <c r="H199" s="64" t="s">
        <v>600</v>
      </c>
      <c r="I199" s="64">
        <v>12</v>
      </c>
      <c r="J199" s="189">
        <f t="shared" si="19"/>
        <v>0</v>
      </c>
      <c r="K199" s="67">
        <f>'RESUMEN PEDIDO'!$C$29</f>
        <v>0</v>
      </c>
      <c r="L199" s="67">
        <f>'RESUMEN PEDIDO'!$C$30</f>
        <v>0</v>
      </c>
      <c r="M199" s="66">
        <f t="shared" ref="M199" si="21">(D199*(E199-(E199*K199)))-(D199*(E199-(E199*K199)))*L199</f>
        <v>0</v>
      </c>
    </row>
    <row r="200" spans="1:13" s="15" customFormat="1" ht="15" customHeight="1" x14ac:dyDescent="0.25">
      <c r="A200" s="38"/>
      <c r="B200" s="68">
        <v>513167</v>
      </c>
      <c r="C200" s="65" t="s">
        <v>22</v>
      </c>
      <c r="D200" s="2"/>
      <c r="E200" s="66">
        <v>36.9</v>
      </c>
      <c r="F200" s="66">
        <v>40.6</v>
      </c>
      <c r="G200" s="226" t="str">
        <f t="shared" si="17"/>
        <v>8435057017893</v>
      </c>
      <c r="H200" s="64" t="s">
        <v>600</v>
      </c>
      <c r="I200" s="64">
        <v>12</v>
      </c>
      <c r="J200" s="189">
        <f t="shared" si="19"/>
        <v>0</v>
      </c>
      <c r="K200" s="67">
        <f>'RESUMEN PEDIDO'!$C$29</f>
        <v>0</v>
      </c>
      <c r="L200" s="67">
        <f>'RESUMEN PEDIDO'!$C$30</f>
        <v>0</v>
      </c>
      <c r="M200" s="66">
        <f>(D200*(E200-(E200*K200)))-(D200*(E200-(E200*K200)))*L200</f>
        <v>0</v>
      </c>
    </row>
    <row r="201" spans="1:13" s="15" customFormat="1" ht="15" customHeight="1" x14ac:dyDescent="0.25">
      <c r="A201" s="38"/>
      <c r="B201" s="291">
        <v>513186</v>
      </c>
      <c r="C201" s="65" t="s">
        <v>14891</v>
      </c>
      <c r="D201" s="292"/>
      <c r="E201" s="66">
        <v>36.9</v>
      </c>
      <c r="F201" s="66">
        <v>40.6</v>
      </c>
      <c r="G201" s="293">
        <v>8435057019200</v>
      </c>
      <c r="H201" s="64" t="s">
        <v>600</v>
      </c>
      <c r="I201" s="64">
        <v>12</v>
      </c>
      <c r="J201" s="189">
        <f t="shared" ref="J201" si="22">D201/I201</f>
        <v>0</v>
      </c>
      <c r="K201" s="67">
        <f>'RESUMEN PEDIDO'!$C$29</f>
        <v>0</v>
      </c>
      <c r="L201" s="67">
        <f>'RESUMEN PEDIDO'!$C$30</f>
        <v>0</v>
      </c>
      <c r="M201" s="66">
        <f t="shared" ref="M201" si="23">(D201*(E201-(E201*K201)))-(D201*(E201-(E201*K201)))*L201</f>
        <v>0</v>
      </c>
    </row>
    <row r="202" spans="1:13" s="15" customFormat="1" ht="15" customHeight="1" x14ac:dyDescent="0.25">
      <c r="A202" s="38"/>
      <c r="B202" s="291">
        <v>513187</v>
      </c>
      <c r="C202" s="65" t="s">
        <v>14912</v>
      </c>
      <c r="D202" s="292"/>
      <c r="E202" s="66">
        <v>36.9</v>
      </c>
      <c r="F202" s="66">
        <v>40.6</v>
      </c>
      <c r="G202" s="293">
        <v>8435057019217</v>
      </c>
      <c r="H202" s="64" t="s">
        <v>600</v>
      </c>
      <c r="I202" s="64">
        <v>12</v>
      </c>
      <c r="J202" s="189">
        <f t="shared" ref="J202" si="24">D202/I202</f>
        <v>0</v>
      </c>
      <c r="K202" s="67">
        <f>'RESUMEN PEDIDO'!$C$29</f>
        <v>0</v>
      </c>
      <c r="L202" s="67">
        <f>'RESUMEN PEDIDO'!$C$30</f>
        <v>0</v>
      </c>
      <c r="M202" s="66">
        <f t="shared" ref="M202" si="25">(D202*(E202-(E202*K202)))-(D202*(E202-(E202*K202)))*L202</f>
        <v>0</v>
      </c>
    </row>
    <row r="203" spans="1:13" s="15" customFormat="1" ht="15" customHeight="1" x14ac:dyDescent="0.25">
      <c r="A203" s="38"/>
      <c r="B203" s="60" t="s">
        <v>14762</v>
      </c>
      <c r="C203" s="61"/>
      <c r="D203" s="62">
        <f>SUM(D204:D222)</f>
        <v>0</v>
      </c>
      <c r="E203" s="61"/>
      <c r="F203" s="61"/>
      <c r="G203" s="61"/>
      <c r="H203" s="61"/>
      <c r="I203" s="81">
        <v>36</v>
      </c>
      <c r="J203" s="94">
        <f t="shared" ref="J203:J222" si="26">D203/I203</f>
        <v>0</v>
      </c>
      <c r="K203" s="61"/>
      <c r="L203" s="61"/>
      <c r="M203" s="63"/>
    </row>
    <row r="204" spans="1:13" s="15" customFormat="1" ht="15" customHeight="1" x14ac:dyDescent="0.25">
      <c r="A204" s="38"/>
      <c r="B204" s="64">
        <v>560001</v>
      </c>
      <c r="C204" s="65" t="s">
        <v>14769</v>
      </c>
      <c r="D204" s="2"/>
      <c r="E204" s="66">
        <v>9.1999999999999993</v>
      </c>
      <c r="F204" s="66">
        <v>10.1</v>
      </c>
      <c r="G204" s="226">
        <v>8435057018654</v>
      </c>
      <c r="H204" s="64" t="s">
        <v>40</v>
      </c>
      <c r="I204" s="64">
        <v>12</v>
      </c>
      <c r="J204" s="189">
        <f t="shared" si="26"/>
        <v>0</v>
      </c>
      <c r="K204" s="67">
        <f>'RESUMEN PEDIDO'!$C$29</f>
        <v>0</v>
      </c>
      <c r="L204" s="67">
        <f>'RESUMEN PEDIDO'!$C$30</f>
        <v>0</v>
      </c>
      <c r="M204" s="66">
        <f>(D204*(E204-(E204*K204)))-(D204*(E204-(E204*K204)))*L204</f>
        <v>0</v>
      </c>
    </row>
    <row r="205" spans="1:13" s="15" customFormat="1" ht="15" customHeight="1" x14ac:dyDescent="0.25">
      <c r="A205" s="38"/>
      <c r="B205" s="64">
        <v>560002</v>
      </c>
      <c r="C205" s="65" t="s">
        <v>14770</v>
      </c>
      <c r="D205" s="2"/>
      <c r="E205" s="66">
        <v>9.1999999999999993</v>
      </c>
      <c r="F205" s="66">
        <v>10.1</v>
      </c>
      <c r="G205" s="226">
        <v>8435057018661</v>
      </c>
      <c r="H205" s="64" t="s">
        <v>40</v>
      </c>
      <c r="I205" s="64">
        <v>12</v>
      </c>
      <c r="J205" s="189">
        <f t="shared" ref="J205:J218" si="27">D205/I205</f>
        <v>0</v>
      </c>
      <c r="K205" s="67">
        <f>'RESUMEN PEDIDO'!$C$29</f>
        <v>0</v>
      </c>
      <c r="L205" s="67">
        <f>'RESUMEN PEDIDO'!$C$30</f>
        <v>0</v>
      </c>
      <c r="M205" s="66">
        <f t="shared" ref="M205:M218" si="28">(D205*(E205-(E205*K205)))-(D205*(E205-(E205*K205)))*L205</f>
        <v>0</v>
      </c>
    </row>
    <row r="206" spans="1:13" s="15" customFormat="1" ht="15" customHeight="1" x14ac:dyDescent="0.25">
      <c r="A206" s="38"/>
      <c r="B206" s="64">
        <v>560003</v>
      </c>
      <c r="C206" s="65" t="s">
        <v>14771</v>
      </c>
      <c r="D206" s="2"/>
      <c r="E206" s="66">
        <v>9.1999999999999993</v>
      </c>
      <c r="F206" s="66">
        <v>10.1</v>
      </c>
      <c r="G206" s="226">
        <v>8435057018678</v>
      </c>
      <c r="H206" s="64" t="s">
        <v>40</v>
      </c>
      <c r="I206" s="64">
        <v>12</v>
      </c>
      <c r="J206" s="189">
        <f t="shared" si="27"/>
        <v>0</v>
      </c>
      <c r="K206" s="67">
        <f>'RESUMEN PEDIDO'!$C$29</f>
        <v>0</v>
      </c>
      <c r="L206" s="67">
        <f>'RESUMEN PEDIDO'!$C$30</f>
        <v>0</v>
      </c>
      <c r="M206" s="66">
        <f t="shared" si="28"/>
        <v>0</v>
      </c>
    </row>
    <row r="207" spans="1:13" s="15" customFormat="1" ht="15" customHeight="1" x14ac:dyDescent="0.25">
      <c r="A207" s="38"/>
      <c r="B207" s="64">
        <v>560004</v>
      </c>
      <c r="C207" s="65" t="s">
        <v>14772</v>
      </c>
      <c r="D207" s="2"/>
      <c r="E207" s="66">
        <v>9.1999999999999993</v>
      </c>
      <c r="F207" s="66">
        <v>10.1</v>
      </c>
      <c r="G207" s="226">
        <v>8435057018685</v>
      </c>
      <c r="H207" s="64" t="s">
        <v>40</v>
      </c>
      <c r="I207" s="64">
        <v>12</v>
      </c>
      <c r="J207" s="189">
        <f t="shared" si="27"/>
        <v>0</v>
      </c>
      <c r="K207" s="67">
        <f>'RESUMEN PEDIDO'!$C$29</f>
        <v>0</v>
      </c>
      <c r="L207" s="67">
        <f>'RESUMEN PEDIDO'!$C$30</f>
        <v>0</v>
      </c>
      <c r="M207" s="66">
        <f t="shared" si="28"/>
        <v>0</v>
      </c>
    </row>
    <row r="208" spans="1:13" s="15" customFormat="1" ht="15" customHeight="1" x14ac:dyDescent="0.25">
      <c r="A208" s="38"/>
      <c r="B208" s="64">
        <v>560005</v>
      </c>
      <c r="C208" s="65" t="s">
        <v>14773</v>
      </c>
      <c r="D208" s="2"/>
      <c r="E208" s="66">
        <v>9.1999999999999993</v>
      </c>
      <c r="F208" s="66">
        <v>10.1</v>
      </c>
      <c r="G208" s="226">
        <v>8435057018692</v>
      </c>
      <c r="H208" s="64" t="s">
        <v>40</v>
      </c>
      <c r="I208" s="64">
        <v>12</v>
      </c>
      <c r="J208" s="189">
        <f t="shared" si="27"/>
        <v>0</v>
      </c>
      <c r="K208" s="67">
        <f>'RESUMEN PEDIDO'!$C$29</f>
        <v>0</v>
      </c>
      <c r="L208" s="67">
        <f>'RESUMEN PEDIDO'!$C$30</f>
        <v>0</v>
      </c>
      <c r="M208" s="66">
        <f t="shared" si="28"/>
        <v>0</v>
      </c>
    </row>
    <row r="209" spans="1:13" s="15" customFormat="1" ht="15" customHeight="1" x14ac:dyDescent="0.25">
      <c r="A209" s="38"/>
      <c r="B209" s="64">
        <v>560006</v>
      </c>
      <c r="C209" s="65" t="s">
        <v>14774</v>
      </c>
      <c r="D209" s="2"/>
      <c r="E209" s="66">
        <v>9.1999999999999993</v>
      </c>
      <c r="F209" s="66">
        <v>10.1</v>
      </c>
      <c r="G209" s="226">
        <v>8435057018708</v>
      </c>
      <c r="H209" s="64" t="s">
        <v>40</v>
      </c>
      <c r="I209" s="64">
        <v>12</v>
      </c>
      <c r="J209" s="189">
        <f t="shared" si="27"/>
        <v>0</v>
      </c>
      <c r="K209" s="67">
        <f>'RESUMEN PEDIDO'!$C$29</f>
        <v>0</v>
      </c>
      <c r="L209" s="67">
        <f>'RESUMEN PEDIDO'!$C$30</f>
        <v>0</v>
      </c>
      <c r="M209" s="66">
        <f t="shared" si="28"/>
        <v>0</v>
      </c>
    </row>
    <row r="210" spans="1:13" s="15" customFormat="1" ht="15" customHeight="1" x14ac:dyDescent="0.25">
      <c r="A210" s="38"/>
      <c r="B210" s="64">
        <v>560007</v>
      </c>
      <c r="C210" s="65" t="s">
        <v>14775</v>
      </c>
      <c r="D210" s="2"/>
      <c r="E210" s="66">
        <v>9.1999999999999993</v>
      </c>
      <c r="F210" s="66">
        <v>10.1</v>
      </c>
      <c r="G210" s="226">
        <v>8435057018715</v>
      </c>
      <c r="H210" s="64" t="s">
        <v>40</v>
      </c>
      <c r="I210" s="64">
        <v>12</v>
      </c>
      <c r="J210" s="189">
        <f t="shared" si="27"/>
        <v>0</v>
      </c>
      <c r="K210" s="67">
        <f>'RESUMEN PEDIDO'!$C$29</f>
        <v>0</v>
      </c>
      <c r="L210" s="67">
        <f>'RESUMEN PEDIDO'!$C$30</f>
        <v>0</v>
      </c>
      <c r="M210" s="66">
        <f t="shared" si="28"/>
        <v>0</v>
      </c>
    </row>
    <row r="211" spans="1:13" s="15" customFormat="1" ht="15" customHeight="1" x14ac:dyDescent="0.25">
      <c r="A211" s="38"/>
      <c r="B211" s="64">
        <v>560008</v>
      </c>
      <c r="C211" s="65" t="s">
        <v>14776</v>
      </c>
      <c r="D211" s="2"/>
      <c r="E211" s="66">
        <v>9.1999999999999993</v>
      </c>
      <c r="F211" s="66">
        <v>10.1</v>
      </c>
      <c r="G211" s="226">
        <v>8435057018722</v>
      </c>
      <c r="H211" s="64" t="s">
        <v>40</v>
      </c>
      <c r="I211" s="64">
        <v>12</v>
      </c>
      <c r="J211" s="189">
        <f t="shared" si="27"/>
        <v>0</v>
      </c>
      <c r="K211" s="67">
        <f>'RESUMEN PEDIDO'!$C$29</f>
        <v>0</v>
      </c>
      <c r="L211" s="67">
        <f>'RESUMEN PEDIDO'!$C$30</f>
        <v>0</v>
      </c>
      <c r="M211" s="66">
        <f t="shared" si="28"/>
        <v>0</v>
      </c>
    </row>
    <row r="212" spans="1:13" s="15" customFormat="1" ht="15" customHeight="1" x14ac:dyDescent="0.25">
      <c r="A212" s="38"/>
      <c r="B212" s="64">
        <v>560009</v>
      </c>
      <c r="C212" s="65" t="s">
        <v>14777</v>
      </c>
      <c r="D212" s="2"/>
      <c r="E212" s="66">
        <v>9.1999999999999993</v>
      </c>
      <c r="F212" s="66">
        <v>10.1</v>
      </c>
      <c r="G212" s="226">
        <v>8435057018739</v>
      </c>
      <c r="H212" s="64" t="s">
        <v>40</v>
      </c>
      <c r="I212" s="64">
        <v>12</v>
      </c>
      <c r="J212" s="189">
        <f t="shared" si="27"/>
        <v>0</v>
      </c>
      <c r="K212" s="67">
        <f>'RESUMEN PEDIDO'!$C$29</f>
        <v>0</v>
      </c>
      <c r="L212" s="67">
        <f>'RESUMEN PEDIDO'!$C$30</f>
        <v>0</v>
      </c>
      <c r="M212" s="66">
        <f t="shared" si="28"/>
        <v>0</v>
      </c>
    </row>
    <row r="213" spans="1:13" s="15" customFormat="1" ht="15" customHeight="1" x14ac:dyDescent="0.25">
      <c r="A213" s="38"/>
      <c r="B213" s="64">
        <v>560010</v>
      </c>
      <c r="C213" s="65" t="s">
        <v>14778</v>
      </c>
      <c r="D213" s="2"/>
      <c r="E213" s="66">
        <v>9.1999999999999993</v>
      </c>
      <c r="F213" s="66">
        <v>10.1</v>
      </c>
      <c r="G213" s="226">
        <v>8435057018746</v>
      </c>
      <c r="H213" s="64" t="s">
        <v>40</v>
      </c>
      <c r="I213" s="64">
        <v>12</v>
      </c>
      <c r="J213" s="189">
        <f t="shared" si="27"/>
        <v>0</v>
      </c>
      <c r="K213" s="67">
        <f>'RESUMEN PEDIDO'!$C$29</f>
        <v>0</v>
      </c>
      <c r="L213" s="67">
        <f>'RESUMEN PEDIDO'!$C$30</f>
        <v>0</v>
      </c>
      <c r="M213" s="66">
        <f t="shared" si="28"/>
        <v>0</v>
      </c>
    </row>
    <row r="214" spans="1:13" s="15" customFormat="1" ht="15" customHeight="1" x14ac:dyDescent="0.25">
      <c r="A214" s="38"/>
      <c r="B214" s="64">
        <v>560011</v>
      </c>
      <c r="C214" s="65" t="s">
        <v>14779</v>
      </c>
      <c r="D214" s="2"/>
      <c r="E214" s="66">
        <v>9.1999999999999993</v>
      </c>
      <c r="F214" s="66">
        <v>10.1</v>
      </c>
      <c r="G214" s="226">
        <v>8435057018753</v>
      </c>
      <c r="H214" s="64" t="s">
        <v>40</v>
      </c>
      <c r="I214" s="64">
        <v>12</v>
      </c>
      <c r="J214" s="189">
        <f t="shared" si="27"/>
        <v>0</v>
      </c>
      <c r="K214" s="67">
        <f>'RESUMEN PEDIDO'!$C$29</f>
        <v>0</v>
      </c>
      <c r="L214" s="67">
        <f>'RESUMEN PEDIDO'!$C$30</f>
        <v>0</v>
      </c>
      <c r="M214" s="66">
        <f t="shared" si="28"/>
        <v>0</v>
      </c>
    </row>
    <row r="215" spans="1:13" s="15" customFormat="1" ht="15" customHeight="1" x14ac:dyDescent="0.25">
      <c r="A215" s="38"/>
      <c r="B215" s="64">
        <v>560012</v>
      </c>
      <c r="C215" s="65" t="s">
        <v>14780</v>
      </c>
      <c r="D215" s="2"/>
      <c r="E215" s="66">
        <v>9.1999999999999993</v>
      </c>
      <c r="F215" s="66">
        <v>10.1</v>
      </c>
      <c r="G215" s="226">
        <v>8435057018760</v>
      </c>
      <c r="H215" s="64" t="s">
        <v>40</v>
      </c>
      <c r="I215" s="64">
        <v>12</v>
      </c>
      <c r="J215" s="189">
        <f t="shared" si="27"/>
        <v>0</v>
      </c>
      <c r="K215" s="67">
        <f>'RESUMEN PEDIDO'!$C$29</f>
        <v>0</v>
      </c>
      <c r="L215" s="67">
        <f>'RESUMEN PEDIDO'!$C$30</f>
        <v>0</v>
      </c>
      <c r="M215" s="66">
        <f t="shared" si="28"/>
        <v>0</v>
      </c>
    </row>
    <row r="216" spans="1:13" s="15" customFormat="1" ht="15" customHeight="1" x14ac:dyDescent="0.25">
      <c r="A216" s="38"/>
      <c r="B216" s="64">
        <v>560013</v>
      </c>
      <c r="C216" s="65" t="s">
        <v>14781</v>
      </c>
      <c r="D216" s="2"/>
      <c r="E216" s="66">
        <v>9.1999999999999993</v>
      </c>
      <c r="F216" s="66">
        <v>10.1</v>
      </c>
      <c r="G216" s="226">
        <v>8435057018777</v>
      </c>
      <c r="H216" s="64" t="s">
        <v>40</v>
      </c>
      <c r="I216" s="64">
        <v>12</v>
      </c>
      <c r="J216" s="189">
        <f t="shared" si="27"/>
        <v>0</v>
      </c>
      <c r="K216" s="67">
        <f>'RESUMEN PEDIDO'!$C$29</f>
        <v>0</v>
      </c>
      <c r="L216" s="67">
        <f>'RESUMEN PEDIDO'!$C$30</f>
        <v>0</v>
      </c>
      <c r="M216" s="66">
        <f t="shared" si="28"/>
        <v>0</v>
      </c>
    </row>
    <row r="217" spans="1:13" s="15" customFormat="1" ht="15" customHeight="1" x14ac:dyDescent="0.25">
      <c r="A217" s="38"/>
      <c r="B217" s="64">
        <v>560014</v>
      </c>
      <c r="C217" s="65" t="s">
        <v>14782</v>
      </c>
      <c r="D217" s="2"/>
      <c r="E217" s="66">
        <v>9.1999999999999993</v>
      </c>
      <c r="F217" s="66">
        <v>10.1</v>
      </c>
      <c r="G217" s="226">
        <v>8435057018784</v>
      </c>
      <c r="H217" s="64" t="s">
        <v>40</v>
      </c>
      <c r="I217" s="64">
        <v>12</v>
      </c>
      <c r="J217" s="189">
        <f t="shared" si="27"/>
        <v>0</v>
      </c>
      <c r="K217" s="67">
        <f>'RESUMEN PEDIDO'!$C$29</f>
        <v>0</v>
      </c>
      <c r="L217" s="67">
        <f>'RESUMEN PEDIDO'!$C$30</f>
        <v>0</v>
      </c>
      <c r="M217" s="66">
        <f t="shared" si="28"/>
        <v>0</v>
      </c>
    </row>
    <row r="218" spans="1:13" s="15" customFormat="1" ht="15" customHeight="1" x14ac:dyDescent="0.25">
      <c r="A218" s="38"/>
      <c r="B218" s="64">
        <v>560015</v>
      </c>
      <c r="C218" s="65" t="s">
        <v>14783</v>
      </c>
      <c r="D218" s="2"/>
      <c r="E218" s="66">
        <v>9.1999999999999993</v>
      </c>
      <c r="F218" s="66">
        <v>10.1</v>
      </c>
      <c r="G218" s="226">
        <v>8435057018791</v>
      </c>
      <c r="H218" s="64" t="s">
        <v>40</v>
      </c>
      <c r="I218" s="64">
        <v>12</v>
      </c>
      <c r="J218" s="189">
        <f t="shared" si="27"/>
        <v>0</v>
      </c>
      <c r="K218" s="67">
        <f>'RESUMEN PEDIDO'!$C$29</f>
        <v>0</v>
      </c>
      <c r="L218" s="67">
        <f>'RESUMEN PEDIDO'!$C$30</f>
        <v>0</v>
      </c>
      <c r="M218" s="66">
        <f t="shared" si="28"/>
        <v>0</v>
      </c>
    </row>
    <row r="219" spans="1:13" s="15" customFormat="1" ht="15" customHeight="1" x14ac:dyDescent="0.25">
      <c r="A219" s="38"/>
      <c r="B219" s="64">
        <v>560016</v>
      </c>
      <c r="C219" s="65" t="s">
        <v>14784</v>
      </c>
      <c r="D219" s="2"/>
      <c r="E219" s="66">
        <v>9.1999999999999993</v>
      </c>
      <c r="F219" s="66">
        <v>10.1</v>
      </c>
      <c r="G219" s="226">
        <v>8435057018807</v>
      </c>
      <c r="H219" s="64" t="s">
        <v>40</v>
      </c>
      <c r="I219" s="64">
        <v>12</v>
      </c>
      <c r="J219" s="189">
        <f t="shared" si="26"/>
        <v>0</v>
      </c>
      <c r="K219" s="67">
        <f>'RESUMEN PEDIDO'!$C$29</f>
        <v>0</v>
      </c>
      <c r="L219" s="67">
        <f>'RESUMEN PEDIDO'!$C$30</f>
        <v>0</v>
      </c>
      <c r="M219" s="66">
        <f>(D219*(E219-(E219*K219)))-(D219*(E219-(E219*K219)))*L219</f>
        <v>0</v>
      </c>
    </row>
    <row r="220" spans="1:13" s="15" customFormat="1" ht="15" customHeight="1" x14ac:dyDescent="0.25">
      <c r="A220" s="38"/>
      <c r="B220" s="64">
        <v>560017</v>
      </c>
      <c r="C220" s="65" t="s">
        <v>14785</v>
      </c>
      <c r="D220" s="2"/>
      <c r="E220" s="66">
        <v>9.1999999999999993</v>
      </c>
      <c r="F220" s="66">
        <v>10.1</v>
      </c>
      <c r="G220" s="226">
        <v>8435057018814</v>
      </c>
      <c r="H220" s="64" t="s">
        <v>40</v>
      </c>
      <c r="I220" s="64">
        <v>12</v>
      </c>
      <c r="J220" s="189">
        <f t="shared" si="26"/>
        <v>0</v>
      </c>
      <c r="K220" s="67">
        <f>'RESUMEN PEDIDO'!$C$29</f>
        <v>0</v>
      </c>
      <c r="L220" s="67">
        <f>'RESUMEN PEDIDO'!$C$30</f>
        <v>0</v>
      </c>
      <c r="M220" s="66">
        <f>(D220*(E220-(E220*K220)))-(D220*(E220-(E220*K220)))*L220</f>
        <v>0</v>
      </c>
    </row>
    <row r="221" spans="1:13" s="15" customFormat="1" ht="15" customHeight="1" x14ac:dyDescent="0.25">
      <c r="A221" s="38"/>
      <c r="B221" s="64">
        <v>560018</v>
      </c>
      <c r="C221" s="65" t="s">
        <v>14786</v>
      </c>
      <c r="D221" s="2"/>
      <c r="E221" s="66">
        <v>9.1999999999999993</v>
      </c>
      <c r="F221" s="66">
        <v>10.1</v>
      </c>
      <c r="G221" s="226">
        <v>8435057018821</v>
      </c>
      <c r="H221" s="64" t="s">
        <v>40</v>
      </c>
      <c r="I221" s="64">
        <v>12</v>
      </c>
      <c r="J221" s="189">
        <f t="shared" si="26"/>
        <v>0</v>
      </c>
      <c r="K221" s="67">
        <f>'RESUMEN PEDIDO'!$C$29</f>
        <v>0</v>
      </c>
      <c r="L221" s="67">
        <f>'RESUMEN PEDIDO'!$C$30</f>
        <v>0</v>
      </c>
      <c r="M221" s="66">
        <f>(D221*(E221-(E221*K221)))-(D221*(E221-(E221*K221)))*L221</f>
        <v>0</v>
      </c>
    </row>
    <row r="222" spans="1:13" s="15" customFormat="1" ht="15" customHeight="1" x14ac:dyDescent="0.25">
      <c r="A222" s="38"/>
      <c r="B222" s="64">
        <v>560019</v>
      </c>
      <c r="C222" s="65" t="s">
        <v>14787</v>
      </c>
      <c r="D222" s="2"/>
      <c r="E222" s="66">
        <v>9.1999999999999993</v>
      </c>
      <c r="F222" s="66">
        <v>10.1</v>
      </c>
      <c r="G222" s="226">
        <v>8435057018838</v>
      </c>
      <c r="H222" s="64" t="s">
        <v>40</v>
      </c>
      <c r="I222" s="64">
        <v>12</v>
      </c>
      <c r="J222" s="189">
        <f t="shared" si="26"/>
        <v>0</v>
      </c>
      <c r="K222" s="67">
        <f>'RESUMEN PEDIDO'!$C$29</f>
        <v>0</v>
      </c>
      <c r="L222" s="67">
        <f>'RESUMEN PEDIDO'!$C$30</f>
        <v>0</v>
      </c>
      <c r="M222" s="66">
        <f>(D222*(E222-(E222*K222)))-(D222*(E222-(E222*K222)))*L222</f>
        <v>0</v>
      </c>
    </row>
    <row r="223" spans="1:13" s="15" customFormat="1" ht="15" customHeight="1" x14ac:dyDescent="0.25">
      <c r="A223" s="38"/>
      <c r="B223" s="60" t="s">
        <v>575</v>
      </c>
      <c r="C223" s="61"/>
      <c r="D223" s="62">
        <f>SUM(D224:D230)</f>
        <v>0</v>
      </c>
      <c r="E223" s="61"/>
      <c r="F223" s="61"/>
      <c r="G223" s="61"/>
      <c r="H223" s="61"/>
      <c r="I223" s="81">
        <v>6</v>
      </c>
      <c r="J223" s="94">
        <f>SUM(J224:J230)</f>
        <v>0</v>
      </c>
      <c r="K223" s="61"/>
      <c r="L223" s="61"/>
      <c r="M223" s="63"/>
    </row>
    <row r="224" spans="1:13" s="15" customFormat="1" ht="15" customHeight="1" x14ac:dyDescent="0.25">
      <c r="A224" s="38"/>
      <c r="B224" s="68">
        <v>500804</v>
      </c>
      <c r="C224" s="65" t="s">
        <v>15194</v>
      </c>
      <c r="D224" s="2"/>
      <c r="E224" s="66">
        <v>16.899999999999999</v>
      </c>
      <c r="F224" s="66">
        <v>18.600000000000001</v>
      </c>
      <c r="G224" s="226" t="str">
        <f t="shared" ref="G224:G230" si="29">VLOOKUP(B224,EAN,3,0)</f>
        <v>8435057010412</v>
      </c>
      <c r="H224" s="64" t="s">
        <v>27</v>
      </c>
      <c r="I224" s="64">
        <v>6</v>
      </c>
      <c r="J224" s="189">
        <f t="shared" ref="J224:J230" si="30">D224/I224</f>
        <v>0</v>
      </c>
      <c r="K224" s="67">
        <f>'RESUMEN PEDIDO'!$C$29</f>
        <v>0</v>
      </c>
      <c r="L224" s="67">
        <f>'RESUMEN PEDIDO'!$C$30</f>
        <v>0</v>
      </c>
      <c r="M224" s="66">
        <f t="shared" ref="M224:M230" si="31">(D224*(E224-(E224*K224)))-(D224*(E224-(E224*K224)))*L224</f>
        <v>0</v>
      </c>
    </row>
    <row r="225" spans="1:13" s="15" customFormat="1" ht="15" customHeight="1" x14ac:dyDescent="0.25">
      <c r="A225" s="38"/>
      <c r="B225" s="68">
        <v>500805</v>
      </c>
      <c r="C225" s="65" t="s">
        <v>15195</v>
      </c>
      <c r="D225" s="2"/>
      <c r="E225" s="66">
        <v>16.899999999999999</v>
      </c>
      <c r="F225" s="66">
        <v>18.600000000000001</v>
      </c>
      <c r="G225" s="226" t="str">
        <f t="shared" si="29"/>
        <v>8435057010429</v>
      </c>
      <c r="H225" s="64" t="s">
        <v>27</v>
      </c>
      <c r="I225" s="64">
        <v>6</v>
      </c>
      <c r="J225" s="189">
        <f t="shared" si="30"/>
        <v>0</v>
      </c>
      <c r="K225" s="67">
        <f>'RESUMEN PEDIDO'!$C$29</f>
        <v>0</v>
      </c>
      <c r="L225" s="67">
        <f>'RESUMEN PEDIDO'!$C$30</f>
        <v>0</v>
      </c>
      <c r="M225" s="66">
        <f t="shared" si="31"/>
        <v>0</v>
      </c>
    </row>
    <row r="226" spans="1:13" s="15" customFormat="1" ht="15" customHeight="1" x14ac:dyDescent="0.25">
      <c r="A226" s="38"/>
      <c r="B226" s="68">
        <v>500806</v>
      </c>
      <c r="C226" s="65" t="s">
        <v>15196</v>
      </c>
      <c r="D226" s="2"/>
      <c r="E226" s="66">
        <v>16.899999999999999</v>
      </c>
      <c r="F226" s="66">
        <v>18.600000000000001</v>
      </c>
      <c r="G226" s="226" t="str">
        <f t="shared" si="29"/>
        <v>8435057010436</v>
      </c>
      <c r="H226" s="64" t="s">
        <v>27</v>
      </c>
      <c r="I226" s="64">
        <v>6</v>
      </c>
      <c r="J226" s="189">
        <f t="shared" si="30"/>
        <v>0</v>
      </c>
      <c r="K226" s="67">
        <f>'RESUMEN PEDIDO'!$C$29</f>
        <v>0</v>
      </c>
      <c r="L226" s="67">
        <f>'RESUMEN PEDIDO'!$C$30</f>
        <v>0</v>
      </c>
      <c r="M226" s="66">
        <f t="shared" si="31"/>
        <v>0</v>
      </c>
    </row>
    <row r="227" spans="1:13" s="15" customFormat="1" ht="15" customHeight="1" x14ac:dyDescent="0.25">
      <c r="A227" s="38"/>
      <c r="B227" s="68">
        <v>500807</v>
      </c>
      <c r="C227" s="65" t="s">
        <v>15197</v>
      </c>
      <c r="D227" s="2"/>
      <c r="E227" s="66">
        <v>16.899999999999999</v>
      </c>
      <c r="F227" s="66">
        <v>18.600000000000001</v>
      </c>
      <c r="G227" s="226" t="str">
        <f t="shared" si="29"/>
        <v>8435057010443</v>
      </c>
      <c r="H227" s="64" t="s">
        <v>27</v>
      </c>
      <c r="I227" s="64">
        <v>6</v>
      </c>
      <c r="J227" s="189">
        <f t="shared" si="30"/>
        <v>0</v>
      </c>
      <c r="K227" s="67">
        <f>'RESUMEN PEDIDO'!$C$29</f>
        <v>0</v>
      </c>
      <c r="L227" s="67">
        <f>'RESUMEN PEDIDO'!$C$30</f>
        <v>0</v>
      </c>
      <c r="M227" s="66">
        <f t="shared" si="31"/>
        <v>0</v>
      </c>
    </row>
    <row r="228" spans="1:13" s="15" customFormat="1" ht="15" customHeight="1" x14ac:dyDescent="0.25">
      <c r="A228" s="38"/>
      <c r="B228" s="68">
        <v>500808</v>
      </c>
      <c r="C228" s="65" t="s">
        <v>15198</v>
      </c>
      <c r="D228" s="2"/>
      <c r="E228" s="66">
        <v>16.899999999999999</v>
      </c>
      <c r="F228" s="66">
        <v>18.600000000000001</v>
      </c>
      <c r="G228" s="226">
        <v>8435057010436</v>
      </c>
      <c r="H228" s="64" t="s">
        <v>27</v>
      </c>
      <c r="I228" s="64">
        <v>6</v>
      </c>
      <c r="J228" s="189">
        <f t="shared" si="30"/>
        <v>0</v>
      </c>
      <c r="K228" s="67">
        <f>'RESUMEN PEDIDO'!$C$29</f>
        <v>0</v>
      </c>
      <c r="L228" s="67">
        <f>'RESUMEN PEDIDO'!$C$30</f>
        <v>0</v>
      </c>
      <c r="M228" s="66">
        <f t="shared" si="31"/>
        <v>0</v>
      </c>
    </row>
    <row r="229" spans="1:13" s="15" customFormat="1" ht="15" customHeight="1" x14ac:dyDescent="0.25">
      <c r="A229" s="38"/>
      <c r="B229" s="68">
        <v>500810</v>
      </c>
      <c r="C229" s="65" t="s">
        <v>15199</v>
      </c>
      <c r="D229" s="2"/>
      <c r="E229" s="66">
        <v>16.899999999999999</v>
      </c>
      <c r="F229" s="66">
        <v>18.600000000000001</v>
      </c>
      <c r="G229" s="226" t="str">
        <f t="shared" si="29"/>
        <v>8435057010474</v>
      </c>
      <c r="H229" s="64" t="s">
        <v>27</v>
      </c>
      <c r="I229" s="64">
        <v>6</v>
      </c>
      <c r="J229" s="189">
        <f t="shared" si="30"/>
        <v>0</v>
      </c>
      <c r="K229" s="67">
        <f>'RESUMEN PEDIDO'!$C$29</f>
        <v>0</v>
      </c>
      <c r="L229" s="67">
        <f>'RESUMEN PEDIDO'!$C$30</f>
        <v>0</v>
      </c>
      <c r="M229" s="66">
        <f t="shared" si="31"/>
        <v>0</v>
      </c>
    </row>
    <row r="230" spans="1:13" s="15" customFormat="1" ht="15" customHeight="1" x14ac:dyDescent="0.25">
      <c r="A230" s="38"/>
      <c r="B230" s="68">
        <v>500811</v>
      </c>
      <c r="C230" s="65" t="s">
        <v>15200</v>
      </c>
      <c r="D230" s="2"/>
      <c r="E230" s="66">
        <v>11.3</v>
      </c>
      <c r="F230" s="66">
        <v>12.45</v>
      </c>
      <c r="G230" s="226" t="str">
        <f t="shared" si="29"/>
        <v>8435057010481</v>
      </c>
      <c r="H230" s="64" t="s">
        <v>27</v>
      </c>
      <c r="I230" s="64">
        <v>6</v>
      </c>
      <c r="J230" s="189">
        <f t="shared" si="30"/>
        <v>0</v>
      </c>
      <c r="K230" s="67">
        <f>'RESUMEN PEDIDO'!$C$29</f>
        <v>0</v>
      </c>
      <c r="L230" s="67">
        <f>'RESUMEN PEDIDO'!$C$30</f>
        <v>0</v>
      </c>
      <c r="M230" s="66">
        <f t="shared" si="31"/>
        <v>0</v>
      </c>
    </row>
    <row r="231" spans="1:13" s="15" customFormat="1" ht="15" customHeight="1" x14ac:dyDescent="0.25">
      <c r="A231" s="38"/>
      <c r="B231" s="60" t="s">
        <v>731</v>
      </c>
      <c r="C231" s="61"/>
      <c r="D231" s="62">
        <f>SUM(D232:D239)</f>
        <v>0</v>
      </c>
      <c r="E231" s="61"/>
      <c r="F231" s="61"/>
      <c r="G231" s="61"/>
      <c r="H231" s="61"/>
      <c r="I231" s="81"/>
      <c r="J231" s="94">
        <f>SUM(J233:J239)</f>
        <v>0</v>
      </c>
      <c r="K231" s="61"/>
      <c r="L231" s="61"/>
      <c r="M231" s="63"/>
    </row>
    <row r="232" spans="1:13" s="15" customFormat="1" ht="15" customHeight="1" x14ac:dyDescent="0.25">
      <c r="A232" s="38"/>
      <c r="B232" s="68">
        <v>502121</v>
      </c>
      <c r="C232" s="65" t="s">
        <v>811</v>
      </c>
      <c r="D232" s="2"/>
      <c r="E232" s="66">
        <v>12</v>
      </c>
      <c r="F232" s="66">
        <v>13.200000000000001</v>
      </c>
      <c r="G232" s="226" t="str">
        <f t="shared" ref="G232:G239" si="32">VLOOKUP(B232,EAN,3,0)</f>
        <v>8435057016438</v>
      </c>
      <c r="H232" s="64" t="s">
        <v>23</v>
      </c>
      <c r="I232" s="64">
        <v>6</v>
      </c>
      <c r="J232" s="189">
        <f>D232/I232</f>
        <v>0</v>
      </c>
      <c r="K232" s="67">
        <f>'RESUMEN PEDIDO'!$C$29</f>
        <v>0</v>
      </c>
      <c r="L232" s="67">
        <f>'RESUMEN PEDIDO'!$C$30</f>
        <v>0</v>
      </c>
      <c r="M232" s="66">
        <f>(D232*(E232-(E232*K232)))-(D232*(E232-(E232*K232)))*L232</f>
        <v>0</v>
      </c>
    </row>
    <row r="233" spans="1:13" s="15" customFormat="1" ht="15" customHeight="1" x14ac:dyDescent="0.25">
      <c r="A233" s="38"/>
      <c r="B233" s="68">
        <v>502122</v>
      </c>
      <c r="C233" s="65" t="s">
        <v>812</v>
      </c>
      <c r="D233" s="2"/>
      <c r="E233" s="66">
        <v>12</v>
      </c>
      <c r="F233" s="66">
        <v>13.200000000000001</v>
      </c>
      <c r="G233" s="226" t="str">
        <f t="shared" si="32"/>
        <v>8435057016445</v>
      </c>
      <c r="H233" s="64" t="s">
        <v>23</v>
      </c>
      <c r="I233" s="64">
        <v>6</v>
      </c>
      <c r="J233" s="189">
        <f>D233/I233</f>
        <v>0</v>
      </c>
      <c r="K233" s="67">
        <f>'RESUMEN PEDIDO'!$C$29</f>
        <v>0</v>
      </c>
      <c r="L233" s="67">
        <f>'RESUMEN PEDIDO'!$C$30</f>
        <v>0</v>
      </c>
      <c r="M233" s="66">
        <f>(D233*(E233-(E233*K233)))-(D233*(E233-(E233*K233)))*L233</f>
        <v>0</v>
      </c>
    </row>
    <row r="234" spans="1:13" s="15" customFormat="1" ht="15" customHeight="1" x14ac:dyDescent="0.25">
      <c r="A234" s="38"/>
      <c r="B234" s="68">
        <v>502123</v>
      </c>
      <c r="C234" s="65" t="s">
        <v>813</v>
      </c>
      <c r="D234" s="2"/>
      <c r="E234" s="66">
        <v>12</v>
      </c>
      <c r="F234" s="66">
        <v>13.200000000000001</v>
      </c>
      <c r="G234" s="226" t="str">
        <f t="shared" si="32"/>
        <v>8435057016452</v>
      </c>
      <c r="H234" s="64" t="s">
        <v>23</v>
      </c>
      <c r="I234" s="64">
        <v>6</v>
      </c>
      <c r="J234" s="189">
        <f>D234/I234</f>
        <v>0</v>
      </c>
      <c r="K234" s="67">
        <f>'RESUMEN PEDIDO'!$C$29</f>
        <v>0</v>
      </c>
      <c r="L234" s="67">
        <f>'RESUMEN PEDIDO'!$C$30</f>
        <v>0</v>
      </c>
      <c r="M234" s="66">
        <f>(D234*(E234-(E234*K234)))-(D234*(E234-(E234*K234)))*L234</f>
        <v>0</v>
      </c>
    </row>
    <row r="235" spans="1:13" s="15" customFormat="1" ht="15" customHeight="1" x14ac:dyDescent="0.25">
      <c r="A235" s="38"/>
      <c r="B235" s="68">
        <v>502124</v>
      </c>
      <c r="C235" s="65" t="s">
        <v>814</v>
      </c>
      <c r="D235" s="2"/>
      <c r="E235" s="66">
        <v>12</v>
      </c>
      <c r="F235" s="66">
        <v>13.200000000000001</v>
      </c>
      <c r="G235" s="226" t="str">
        <f t="shared" si="32"/>
        <v>8435057016469</v>
      </c>
      <c r="H235" s="64" t="s">
        <v>23</v>
      </c>
      <c r="I235" s="64">
        <v>6</v>
      </c>
      <c r="J235" s="189">
        <f>D235/I235</f>
        <v>0</v>
      </c>
      <c r="K235" s="67">
        <f>'RESUMEN PEDIDO'!$C$29</f>
        <v>0</v>
      </c>
      <c r="L235" s="67">
        <f>'RESUMEN PEDIDO'!$C$30</f>
        <v>0</v>
      </c>
      <c r="M235" s="66">
        <f>(D235*(E235-(E235*K235)))-(D235*(E235-(E235*K235)))*L235</f>
        <v>0</v>
      </c>
    </row>
    <row r="236" spans="1:13" s="15" customFormat="1" ht="15" customHeight="1" x14ac:dyDescent="0.25">
      <c r="A236" s="38"/>
      <c r="B236" s="68">
        <v>502125</v>
      </c>
      <c r="C236" s="65" t="s">
        <v>811</v>
      </c>
      <c r="D236" s="2"/>
      <c r="E236" s="66">
        <v>3.3</v>
      </c>
      <c r="F236" s="66">
        <v>3.6500000000000004</v>
      </c>
      <c r="G236" s="226" t="str">
        <f t="shared" si="32"/>
        <v>8435057016476</v>
      </c>
      <c r="H236" s="64" t="s">
        <v>41</v>
      </c>
      <c r="I236" s="64">
        <v>36</v>
      </c>
      <c r="J236" s="189">
        <f t="shared" ref="J236:J239" si="33">D236/I236</f>
        <v>0</v>
      </c>
      <c r="K236" s="67">
        <f>'RESUMEN PEDIDO'!$C$29</f>
        <v>0</v>
      </c>
      <c r="L236" s="67">
        <f>'RESUMEN PEDIDO'!$C$30</f>
        <v>0</v>
      </c>
      <c r="M236" s="66">
        <f t="shared" ref="M236:M239" si="34">(D236*(E236-(E236*K236)))-(D236*(E236-(E236*K236)))*L236</f>
        <v>0</v>
      </c>
    </row>
    <row r="237" spans="1:13" s="15" customFormat="1" ht="15" customHeight="1" x14ac:dyDescent="0.25">
      <c r="A237" s="38"/>
      <c r="B237" s="68">
        <v>502126</v>
      </c>
      <c r="C237" s="65" t="s">
        <v>815</v>
      </c>
      <c r="D237" s="2"/>
      <c r="E237" s="66">
        <v>3.3</v>
      </c>
      <c r="F237" s="66">
        <v>3.6500000000000004</v>
      </c>
      <c r="G237" s="226" t="str">
        <f t="shared" si="32"/>
        <v>8435057016483</v>
      </c>
      <c r="H237" s="64" t="s">
        <v>41</v>
      </c>
      <c r="I237" s="64">
        <v>36</v>
      </c>
      <c r="J237" s="189">
        <f t="shared" si="33"/>
        <v>0</v>
      </c>
      <c r="K237" s="67">
        <f>'RESUMEN PEDIDO'!$C$29</f>
        <v>0</v>
      </c>
      <c r="L237" s="67">
        <f>'RESUMEN PEDIDO'!$C$30</f>
        <v>0</v>
      </c>
      <c r="M237" s="66">
        <f t="shared" si="34"/>
        <v>0</v>
      </c>
    </row>
    <row r="238" spans="1:13" s="15" customFormat="1" ht="15" customHeight="1" x14ac:dyDescent="0.25">
      <c r="A238" s="38"/>
      <c r="B238" s="68">
        <v>502127</v>
      </c>
      <c r="C238" s="65" t="s">
        <v>813</v>
      </c>
      <c r="D238" s="2"/>
      <c r="E238" s="66">
        <v>3.3</v>
      </c>
      <c r="F238" s="66">
        <v>3.6500000000000004</v>
      </c>
      <c r="G238" s="226" t="str">
        <f t="shared" si="32"/>
        <v>8435057016490</v>
      </c>
      <c r="H238" s="64" t="s">
        <v>41</v>
      </c>
      <c r="I238" s="64">
        <v>36</v>
      </c>
      <c r="J238" s="189">
        <f t="shared" si="33"/>
        <v>0</v>
      </c>
      <c r="K238" s="67">
        <f>'RESUMEN PEDIDO'!$C$29</f>
        <v>0</v>
      </c>
      <c r="L238" s="67">
        <f>'RESUMEN PEDIDO'!$C$30</f>
        <v>0</v>
      </c>
      <c r="M238" s="66">
        <f t="shared" si="34"/>
        <v>0</v>
      </c>
    </row>
    <row r="239" spans="1:13" s="15" customFormat="1" ht="15" customHeight="1" x14ac:dyDescent="0.25">
      <c r="A239" s="38"/>
      <c r="B239" s="68">
        <v>502128</v>
      </c>
      <c r="C239" s="65" t="s">
        <v>814</v>
      </c>
      <c r="D239" s="2"/>
      <c r="E239" s="66">
        <v>3.3</v>
      </c>
      <c r="F239" s="66">
        <v>3.6500000000000004</v>
      </c>
      <c r="G239" s="226" t="str">
        <f t="shared" si="32"/>
        <v>8435057016506</v>
      </c>
      <c r="H239" s="64" t="s">
        <v>41</v>
      </c>
      <c r="I239" s="64">
        <v>36</v>
      </c>
      <c r="J239" s="189">
        <f t="shared" si="33"/>
        <v>0</v>
      </c>
      <c r="K239" s="67">
        <f>'RESUMEN PEDIDO'!$C$29</f>
        <v>0</v>
      </c>
      <c r="L239" s="67">
        <f>'RESUMEN PEDIDO'!$C$30</f>
        <v>0</v>
      </c>
      <c r="M239" s="66">
        <f t="shared" si="34"/>
        <v>0</v>
      </c>
    </row>
    <row r="240" spans="1:13" s="15" customFormat="1" ht="15" customHeight="1" x14ac:dyDescent="0.25">
      <c r="A240" s="38"/>
      <c r="B240" s="60" t="s">
        <v>14712</v>
      </c>
      <c r="C240" s="61"/>
      <c r="D240" s="62">
        <f>SUM(D241:D248)</f>
        <v>0</v>
      </c>
      <c r="E240" s="61"/>
      <c r="F240" s="61"/>
      <c r="G240" s="61"/>
      <c r="H240" s="61"/>
      <c r="I240" s="81"/>
      <c r="J240" s="94">
        <f>SUM(J241:J248)</f>
        <v>0</v>
      </c>
      <c r="K240" s="61"/>
      <c r="L240" s="61"/>
      <c r="M240" s="63"/>
    </row>
    <row r="241" spans="1:13" s="15" customFormat="1" ht="15" customHeight="1" x14ac:dyDescent="0.25">
      <c r="A241" s="38"/>
      <c r="B241" s="192">
        <v>513169</v>
      </c>
      <c r="C241" s="193" t="s">
        <v>816</v>
      </c>
      <c r="D241" s="4"/>
      <c r="E241" s="66">
        <v>12</v>
      </c>
      <c r="F241" s="66">
        <v>13.200000000000001</v>
      </c>
      <c r="G241" s="226" t="str">
        <f t="shared" ref="G241:G248" si="35">VLOOKUP(B241,EAN,3,0)</f>
        <v>8435057017909</v>
      </c>
      <c r="H241" s="64" t="s">
        <v>23</v>
      </c>
      <c r="I241" s="64">
        <v>6</v>
      </c>
      <c r="J241" s="189">
        <f t="shared" ref="J241:J248" si="36">D241/I241</f>
        <v>0</v>
      </c>
      <c r="K241" s="67">
        <f>'RESUMEN PEDIDO'!$C$29</f>
        <v>0</v>
      </c>
      <c r="L241" s="67">
        <f>'RESUMEN PEDIDO'!$C$30</f>
        <v>0</v>
      </c>
      <c r="M241" s="66">
        <f t="shared" ref="M241:M248" si="37">(D241*(E241-(E241*K241)))-(D241*(E241-(E241*K241)))*L241</f>
        <v>0</v>
      </c>
    </row>
    <row r="242" spans="1:13" s="15" customFormat="1" ht="15" customHeight="1" x14ac:dyDescent="0.25">
      <c r="A242" s="38"/>
      <c r="B242" s="68">
        <v>513170</v>
      </c>
      <c r="C242" s="65" t="s">
        <v>817</v>
      </c>
      <c r="D242" s="2"/>
      <c r="E242" s="66">
        <v>12</v>
      </c>
      <c r="F242" s="66">
        <v>13.200000000000001</v>
      </c>
      <c r="G242" s="226" t="str">
        <f t="shared" si="35"/>
        <v>8435057017916</v>
      </c>
      <c r="H242" s="64" t="s">
        <v>23</v>
      </c>
      <c r="I242" s="64">
        <v>6</v>
      </c>
      <c r="J242" s="189">
        <f t="shared" si="36"/>
        <v>0</v>
      </c>
      <c r="K242" s="67">
        <f>'RESUMEN PEDIDO'!$C$29</f>
        <v>0</v>
      </c>
      <c r="L242" s="67">
        <f>'RESUMEN PEDIDO'!$C$30</f>
        <v>0</v>
      </c>
      <c r="M242" s="66">
        <f t="shared" si="37"/>
        <v>0</v>
      </c>
    </row>
    <row r="243" spans="1:13" s="15" customFormat="1" ht="15" customHeight="1" x14ac:dyDescent="0.25">
      <c r="A243" s="38"/>
      <c r="B243" s="68">
        <v>513171</v>
      </c>
      <c r="C243" s="65" t="s">
        <v>818</v>
      </c>
      <c r="D243" s="2"/>
      <c r="E243" s="66">
        <v>12</v>
      </c>
      <c r="F243" s="66">
        <v>13.200000000000001</v>
      </c>
      <c r="G243" s="226" t="str">
        <f t="shared" si="35"/>
        <v>8435057017923</v>
      </c>
      <c r="H243" s="64" t="s">
        <v>23</v>
      </c>
      <c r="I243" s="64">
        <v>6</v>
      </c>
      <c r="J243" s="189">
        <f t="shared" si="36"/>
        <v>0</v>
      </c>
      <c r="K243" s="67">
        <f>'RESUMEN PEDIDO'!$C$29</f>
        <v>0</v>
      </c>
      <c r="L243" s="67">
        <f>'RESUMEN PEDIDO'!$C$30</f>
        <v>0</v>
      </c>
      <c r="M243" s="66">
        <f t="shared" si="37"/>
        <v>0</v>
      </c>
    </row>
    <row r="244" spans="1:13" s="15" customFormat="1" ht="15" customHeight="1" x14ac:dyDescent="0.25">
      <c r="A244" s="38"/>
      <c r="B244" s="68">
        <v>513172</v>
      </c>
      <c r="C244" s="65" t="s">
        <v>819</v>
      </c>
      <c r="D244" s="2"/>
      <c r="E244" s="66">
        <v>12</v>
      </c>
      <c r="F244" s="66">
        <v>13.200000000000001</v>
      </c>
      <c r="G244" s="226" t="str">
        <f t="shared" si="35"/>
        <v>8435057017930</v>
      </c>
      <c r="H244" s="64" t="s">
        <v>23</v>
      </c>
      <c r="I244" s="64">
        <v>6</v>
      </c>
      <c r="J244" s="189">
        <f t="shared" si="36"/>
        <v>0</v>
      </c>
      <c r="K244" s="67">
        <f>'RESUMEN PEDIDO'!$C$29</f>
        <v>0</v>
      </c>
      <c r="L244" s="67">
        <f>'RESUMEN PEDIDO'!$C$30</f>
        <v>0</v>
      </c>
      <c r="M244" s="66">
        <f t="shared" si="37"/>
        <v>0</v>
      </c>
    </row>
    <row r="245" spans="1:13" s="15" customFormat="1" ht="15" customHeight="1" x14ac:dyDescent="0.25">
      <c r="A245" s="38"/>
      <c r="B245" s="68">
        <v>513173</v>
      </c>
      <c r="C245" s="65" t="s">
        <v>816</v>
      </c>
      <c r="D245" s="2"/>
      <c r="E245" s="66">
        <v>3.3</v>
      </c>
      <c r="F245" s="66">
        <v>3.6500000000000004</v>
      </c>
      <c r="G245" s="226" t="str">
        <f t="shared" si="35"/>
        <v>8435057017947</v>
      </c>
      <c r="H245" s="64" t="s">
        <v>41</v>
      </c>
      <c r="I245" s="64">
        <v>36</v>
      </c>
      <c r="J245" s="189">
        <f t="shared" si="36"/>
        <v>0</v>
      </c>
      <c r="K245" s="67">
        <f>'RESUMEN PEDIDO'!$C$29</f>
        <v>0</v>
      </c>
      <c r="L245" s="67">
        <f>'RESUMEN PEDIDO'!$C$30</f>
        <v>0</v>
      </c>
      <c r="M245" s="66">
        <f t="shared" si="37"/>
        <v>0</v>
      </c>
    </row>
    <row r="246" spans="1:13" s="15" customFormat="1" ht="15" customHeight="1" x14ac:dyDescent="0.25">
      <c r="A246" s="38"/>
      <c r="B246" s="68">
        <v>513174</v>
      </c>
      <c r="C246" s="65" t="s">
        <v>817</v>
      </c>
      <c r="D246" s="2"/>
      <c r="E246" s="66">
        <v>3.3</v>
      </c>
      <c r="F246" s="66">
        <v>3.6500000000000004</v>
      </c>
      <c r="G246" s="226" t="str">
        <f t="shared" si="35"/>
        <v>8435057017954</v>
      </c>
      <c r="H246" s="64" t="s">
        <v>41</v>
      </c>
      <c r="I246" s="64">
        <v>36</v>
      </c>
      <c r="J246" s="189">
        <f t="shared" si="36"/>
        <v>0</v>
      </c>
      <c r="K246" s="67">
        <f>'RESUMEN PEDIDO'!$C$29</f>
        <v>0</v>
      </c>
      <c r="L246" s="67">
        <f>'RESUMEN PEDIDO'!$C$30</f>
        <v>0</v>
      </c>
      <c r="M246" s="66">
        <f t="shared" si="37"/>
        <v>0</v>
      </c>
    </row>
    <row r="247" spans="1:13" s="15" customFormat="1" ht="15" customHeight="1" x14ac:dyDescent="0.25">
      <c r="A247" s="38"/>
      <c r="B247" s="68">
        <v>513175</v>
      </c>
      <c r="C247" s="65" t="s">
        <v>818</v>
      </c>
      <c r="D247" s="2"/>
      <c r="E247" s="66">
        <v>3.3</v>
      </c>
      <c r="F247" s="66">
        <v>3.6500000000000004</v>
      </c>
      <c r="G247" s="226" t="str">
        <f t="shared" si="35"/>
        <v>8435057017961</v>
      </c>
      <c r="H247" s="64" t="s">
        <v>41</v>
      </c>
      <c r="I247" s="64">
        <v>36</v>
      </c>
      <c r="J247" s="189">
        <f t="shared" si="36"/>
        <v>0</v>
      </c>
      <c r="K247" s="67">
        <f>'RESUMEN PEDIDO'!$C$29</f>
        <v>0</v>
      </c>
      <c r="L247" s="67">
        <f>'RESUMEN PEDIDO'!$C$30</f>
        <v>0</v>
      </c>
      <c r="M247" s="66">
        <f t="shared" si="37"/>
        <v>0</v>
      </c>
    </row>
    <row r="248" spans="1:13" s="15" customFormat="1" ht="15" customHeight="1" x14ac:dyDescent="0.25">
      <c r="A248" s="38"/>
      <c r="B248" s="68">
        <v>513176</v>
      </c>
      <c r="C248" s="65" t="s">
        <v>819</v>
      </c>
      <c r="D248" s="2"/>
      <c r="E248" s="66">
        <v>3.3</v>
      </c>
      <c r="F248" s="66">
        <v>3.6500000000000004</v>
      </c>
      <c r="G248" s="226" t="str">
        <f t="shared" si="35"/>
        <v>8435057017978</v>
      </c>
      <c r="H248" s="64" t="s">
        <v>41</v>
      </c>
      <c r="I248" s="64">
        <v>36</v>
      </c>
      <c r="J248" s="189">
        <f t="shared" si="36"/>
        <v>0</v>
      </c>
      <c r="K248" s="67">
        <f>'RESUMEN PEDIDO'!$C$29</f>
        <v>0</v>
      </c>
      <c r="L248" s="67">
        <f>'RESUMEN PEDIDO'!$C$30</f>
        <v>0</v>
      </c>
      <c r="M248" s="66">
        <f t="shared" si="37"/>
        <v>0</v>
      </c>
    </row>
    <row r="249" spans="1:13" s="15" customFormat="1" ht="15" customHeight="1" x14ac:dyDescent="0.25">
      <c r="A249" s="38"/>
      <c r="B249" s="60" t="s">
        <v>14763</v>
      </c>
      <c r="C249" s="61"/>
      <c r="D249" s="62">
        <f>SUM(D250:D251)</f>
        <v>0</v>
      </c>
      <c r="E249" s="61"/>
      <c r="F249" s="61"/>
      <c r="G249" s="61"/>
      <c r="H249" s="61"/>
      <c r="I249" s="81"/>
      <c r="J249" s="94">
        <f>SUM(J250:J251)</f>
        <v>0</v>
      </c>
      <c r="K249" s="61"/>
      <c r="L249" s="61"/>
      <c r="M249" s="63"/>
    </row>
    <row r="250" spans="1:13" s="15" customFormat="1" ht="15" customHeight="1" x14ac:dyDescent="0.25">
      <c r="A250" s="38"/>
      <c r="B250" s="91">
        <v>560020</v>
      </c>
      <c r="C250" s="193" t="s">
        <v>14788</v>
      </c>
      <c r="D250" s="4"/>
      <c r="E250" s="66">
        <v>12</v>
      </c>
      <c r="F250" s="66">
        <v>13.200000000000001</v>
      </c>
      <c r="G250" s="226">
        <v>8435057018845</v>
      </c>
      <c r="H250" s="64" t="s">
        <v>23</v>
      </c>
      <c r="I250" s="64">
        <v>6</v>
      </c>
      <c r="J250" s="189">
        <f t="shared" ref="J250:J251" si="38">D250/I250</f>
        <v>0</v>
      </c>
      <c r="K250" s="67">
        <f>'RESUMEN PEDIDO'!$C$29</f>
        <v>0</v>
      </c>
      <c r="L250" s="67">
        <f>'RESUMEN PEDIDO'!$C$30</f>
        <v>0</v>
      </c>
      <c r="M250" s="66">
        <f t="shared" ref="M250:M251" si="39">(D250*(E250-(E250*K250)))-(D250*(E250-(E250*K250)))*L250</f>
        <v>0</v>
      </c>
    </row>
    <row r="251" spans="1:13" s="15" customFormat="1" ht="15" customHeight="1" x14ac:dyDescent="0.25">
      <c r="A251" s="38"/>
      <c r="B251" s="64">
        <v>560021</v>
      </c>
      <c r="C251" s="65" t="s">
        <v>14788</v>
      </c>
      <c r="D251" s="2"/>
      <c r="E251" s="66">
        <v>3.3</v>
      </c>
      <c r="F251" s="66">
        <v>3.6500000000000004</v>
      </c>
      <c r="G251" s="226">
        <v>8435057018852</v>
      </c>
      <c r="H251" s="64" t="s">
        <v>41</v>
      </c>
      <c r="I251" s="64">
        <v>36</v>
      </c>
      <c r="J251" s="189">
        <f t="shared" si="38"/>
        <v>0</v>
      </c>
      <c r="K251" s="67">
        <f>'RESUMEN PEDIDO'!$C$29</f>
        <v>0</v>
      </c>
      <c r="L251" s="67">
        <f>'RESUMEN PEDIDO'!$C$30</f>
        <v>0</v>
      </c>
      <c r="M251" s="66">
        <f t="shared" si="39"/>
        <v>0</v>
      </c>
    </row>
    <row r="252" spans="1:13" s="15" customFormat="1" ht="15" customHeight="1" x14ac:dyDescent="0.25">
      <c r="A252" s="38"/>
      <c r="B252" s="60" t="s">
        <v>576</v>
      </c>
      <c r="C252" s="61"/>
      <c r="D252" s="62">
        <f>SUM(D253:D259)</f>
        <v>0</v>
      </c>
      <c r="E252" s="61"/>
      <c r="F252" s="61"/>
      <c r="G252" s="61"/>
      <c r="H252" s="61"/>
      <c r="I252" s="81">
        <v>6</v>
      </c>
      <c r="J252" s="94">
        <f>SUM(J253:J259)</f>
        <v>0</v>
      </c>
      <c r="K252" s="61"/>
      <c r="L252" s="61"/>
      <c r="M252" s="63"/>
    </row>
    <row r="253" spans="1:13" s="15" customFormat="1" ht="15" customHeight="1" x14ac:dyDescent="0.25">
      <c r="A253" s="38"/>
      <c r="B253" s="68">
        <v>540056</v>
      </c>
      <c r="C253" s="65" t="s">
        <v>28</v>
      </c>
      <c r="D253" s="2"/>
      <c r="E253" s="66">
        <v>31</v>
      </c>
      <c r="F253" s="66">
        <v>34.1</v>
      </c>
      <c r="G253" s="226" t="str">
        <f t="shared" ref="G253:G258" si="40">VLOOKUP(B253,EAN,3,0)</f>
        <v>8435057013871</v>
      </c>
      <c r="H253" s="64" t="s">
        <v>23</v>
      </c>
      <c r="I253" s="64">
        <v>6</v>
      </c>
      <c r="J253" s="189">
        <f t="shared" ref="J253:J259" si="41">D253/I253</f>
        <v>0</v>
      </c>
      <c r="K253" s="67">
        <f>'RESUMEN PEDIDO'!$C$29</f>
        <v>0</v>
      </c>
      <c r="L253" s="67">
        <f>'RESUMEN PEDIDO'!$C$30</f>
        <v>0</v>
      </c>
      <c r="M253" s="66">
        <f t="shared" ref="M253:M259" si="42">(D253*(E253-(E253*K253)))-(D253*(E253-(E253*K253)))*L253</f>
        <v>0</v>
      </c>
    </row>
    <row r="254" spans="1:13" s="15" customFormat="1" ht="15" customHeight="1" x14ac:dyDescent="0.25">
      <c r="A254" s="38"/>
      <c r="B254" s="68">
        <v>540111</v>
      </c>
      <c r="C254" s="65" t="s">
        <v>29</v>
      </c>
      <c r="D254" s="2"/>
      <c r="E254" s="66">
        <v>31</v>
      </c>
      <c r="F254" s="66">
        <v>34.1</v>
      </c>
      <c r="G254" s="226">
        <v>8435057020299</v>
      </c>
      <c r="H254" s="64" t="s">
        <v>23</v>
      </c>
      <c r="I254" s="64">
        <v>6</v>
      </c>
      <c r="J254" s="189">
        <f t="shared" si="41"/>
        <v>0</v>
      </c>
      <c r="K254" s="67">
        <f>'RESUMEN PEDIDO'!$C$29</f>
        <v>0</v>
      </c>
      <c r="L254" s="67">
        <f>'RESUMEN PEDIDO'!$C$30</f>
        <v>0</v>
      </c>
      <c r="M254" s="66">
        <f t="shared" si="42"/>
        <v>0</v>
      </c>
    </row>
    <row r="255" spans="1:13" s="15" customFormat="1" ht="15" customHeight="1" x14ac:dyDescent="0.25">
      <c r="A255" s="38"/>
      <c r="B255" s="68">
        <v>540090</v>
      </c>
      <c r="C255" s="65" t="s">
        <v>15193</v>
      </c>
      <c r="D255" s="2"/>
      <c r="E255" s="66">
        <v>12</v>
      </c>
      <c r="F255" s="66">
        <v>13.200000000000001</v>
      </c>
      <c r="G255" s="226">
        <v>8435057018951</v>
      </c>
      <c r="H255" s="64" t="s">
        <v>38</v>
      </c>
      <c r="I255" s="64">
        <v>6</v>
      </c>
      <c r="J255" s="189">
        <f t="shared" ref="J255" si="43">D255/I255</f>
        <v>0</v>
      </c>
      <c r="K255" s="67">
        <f>'RESUMEN PEDIDO'!$C$29</f>
        <v>0</v>
      </c>
      <c r="L255" s="67">
        <f>'RESUMEN PEDIDO'!$C$30</f>
        <v>0</v>
      </c>
      <c r="M255" s="66">
        <f>(D255*(E255-(E255*K255)))-(D255*(E255-(E255*K255)))*L255</f>
        <v>0</v>
      </c>
    </row>
    <row r="256" spans="1:13" s="15" customFormat="1" ht="15" customHeight="1" x14ac:dyDescent="0.25">
      <c r="A256" s="38"/>
      <c r="B256" s="68">
        <v>540064</v>
      </c>
      <c r="C256" s="65" t="s">
        <v>30</v>
      </c>
      <c r="D256" s="2"/>
      <c r="E256" s="66">
        <v>31</v>
      </c>
      <c r="F256" s="66">
        <v>34.1</v>
      </c>
      <c r="G256" s="226" t="str">
        <f t="shared" si="40"/>
        <v>8435057014243</v>
      </c>
      <c r="H256" s="64" t="s">
        <v>23</v>
      </c>
      <c r="I256" s="64">
        <v>6</v>
      </c>
      <c r="J256" s="189">
        <f t="shared" si="41"/>
        <v>0</v>
      </c>
      <c r="K256" s="67">
        <f>'RESUMEN PEDIDO'!$C$29</f>
        <v>0</v>
      </c>
      <c r="L256" s="67">
        <f>'RESUMEN PEDIDO'!$C$30</f>
        <v>0</v>
      </c>
      <c r="M256" s="66">
        <f t="shared" si="42"/>
        <v>0</v>
      </c>
    </row>
    <row r="257" spans="1:13" s="15" customFormat="1" ht="15" customHeight="1" x14ac:dyDescent="0.25">
      <c r="A257" s="38"/>
      <c r="B257" s="68">
        <v>540080</v>
      </c>
      <c r="C257" s="65" t="s">
        <v>732</v>
      </c>
      <c r="D257" s="2"/>
      <c r="E257" s="66">
        <v>31</v>
      </c>
      <c r="F257" s="66">
        <v>34.1</v>
      </c>
      <c r="G257" s="226" t="str">
        <f t="shared" si="40"/>
        <v>8435057015202</v>
      </c>
      <c r="H257" s="64" t="s">
        <v>23</v>
      </c>
      <c r="I257" s="64">
        <v>6</v>
      </c>
      <c r="J257" s="189">
        <f t="shared" si="41"/>
        <v>0</v>
      </c>
      <c r="K257" s="67">
        <f>'RESUMEN PEDIDO'!$C$29</f>
        <v>0</v>
      </c>
      <c r="L257" s="67">
        <f>'RESUMEN PEDIDO'!$C$30</f>
        <v>0</v>
      </c>
      <c r="M257" s="66">
        <f>(D257*(E257-(E257*K257)))-(D257*(E257-(E257*K257)))*L257</f>
        <v>0</v>
      </c>
    </row>
    <row r="258" spans="1:13" s="15" customFormat="1" ht="15" customHeight="1" x14ac:dyDescent="0.25">
      <c r="A258" s="38"/>
      <c r="B258" s="68">
        <v>540058</v>
      </c>
      <c r="C258" s="65" t="s">
        <v>33</v>
      </c>
      <c r="D258" s="2"/>
      <c r="E258" s="66">
        <v>9.1</v>
      </c>
      <c r="F258" s="66">
        <v>10</v>
      </c>
      <c r="G258" s="226" t="str">
        <f t="shared" si="40"/>
        <v>8435057013949</v>
      </c>
      <c r="H258" s="64" t="s">
        <v>31</v>
      </c>
      <c r="I258" s="64">
        <v>6</v>
      </c>
      <c r="J258" s="189">
        <f t="shared" si="41"/>
        <v>0</v>
      </c>
      <c r="K258" s="67">
        <f>'RESUMEN PEDIDO'!$C$29</f>
        <v>0</v>
      </c>
      <c r="L258" s="67">
        <f>'RESUMEN PEDIDO'!$C$30</f>
        <v>0</v>
      </c>
      <c r="M258" s="66">
        <f t="shared" si="42"/>
        <v>0</v>
      </c>
    </row>
    <row r="259" spans="1:13" s="15" customFormat="1" ht="15" customHeight="1" x14ac:dyDescent="0.25">
      <c r="A259" s="38"/>
      <c r="B259" s="68">
        <v>540099</v>
      </c>
      <c r="C259" s="65" t="s">
        <v>34</v>
      </c>
      <c r="D259" s="2"/>
      <c r="E259" s="66">
        <v>18</v>
      </c>
      <c r="F259" s="66">
        <v>19.8</v>
      </c>
      <c r="G259" s="226">
        <v>8435057019699</v>
      </c>
      <c r="H259" s="64" t="s">
        <v>32</v>
      </c>
      <c r="I259" s="64">
        <v>6</v>
      </c>
      <c r="J259" s="189">
        <f t="shared" si="41"/>
        <v>0</v>
      </c>
      <c r="K259" s="67">
        <f>'RESUMEN PEDIDO'!$C$29</f>
        <v>0</v>
      </c>
      <c r="L259" s="67">
        <f>'RESUMEN PEDIDO'!$C$30</f>
        <v>0</v>
      </c>
      <c r="M259" s="66">
        <f t="shared" si="42"/>
        <v>0</v>
      </c>
    </row>
    <row r="260" spans="1:13" s="15" customFormat="1" ht="15" customHeight="1" x14ac:dyDescent="0.25">
      <c r="A260" s="38"/>
      <c r="B260" s="60" t="s">
        <v>577</v>
      </c>
      <c r="C260" s="61"/>
      <c r="D260" s="62">
        <f>SUM(D261:D266)</f>
        <v>0</v>
      </c>
      <c r="E260" s="61"/>
      <c r="F260" s="61"/>
      <c r="G260" s="61"/>
      <c r="H260" s="61"/>
      <c r="I260" s="81">
        <v>6</v>
      </c>
      <c r="J260" s="94">
        <f>SUM(J261:J266)</f>
        <v>0</v>
      </c>
      <c r="K260" s="61"/>
      <c r="L260" s="61"/>
      <c r="M260" s="63"/>
    </row>
    <row r="261" spans="1:13" s="15" customFormat="1" ht="15" customHeight="1" x14ac:dyDescent="0.25">
      <c r="A261" s="38"/>
      <c r="B261" s="68">
        <v>501201</v>
      </c>
      <c r="C261" s="65" t="s">
        <v>15093</v>
      </c>
      <c r="D261" s="2"/>
      <c r="E261" s="66">
        <v>45.5</v>
      </c>
      <c r="F261" s="66">
        <v>50.050000000000004</v>
      </c>
      <c r="G261" s="227">
        <v>8435057020152</v>
      </c>
      <c r="H261" s="64" t="s">
        <v>24</v>
      </c>
      <c r="I261" s="64">
        <v>6</v>
      </c>
      <c r="J261" s="189">
        <f t="shared" ref="J261:J266" si="44">D261/I261</f>
        <v>0</v>
      </c>
      <c r="K261" s="67">
        <f>'RESUMEN PEDIDO'!$C$29</f>
        <v>0</v>
      </c>
      <c r="L261" s="67">
        <f>'RESUMEN PEDIDO'!$C$30</f>
        <v>0</v>
      </c>
      <c r="M261" s="66">
        <f t="shared" ref="M261:M264" si="45">(D261*(E261-(E261*K261)))-(D261*(E261-(E261*K261)))*L261</f>
        <v>0</v>
      </c>
    </row>
    <row r="262" spans="1:13" s="15" customFormat="1" ht="15" customHeight="1" x14ac:dyDescent="0.25">
      <c r="A262" s="38"/>
      <c r="B262" s="68">
        <v>501202</v>
      </c>
      <c r="C262" s="65" t="s">
        <v>15094</v>
      </c>
      <c r="D262" s="2"/>
      <c r="E262" s="66">
        <v>45.5</v>
      </c>
      <c r="F262" s="66">
        <v>50.050000000000004</v>
      </c>
      <c r="G262" s="227">
        <v>8435057020169</v>
      </c>
      <c r="H262" s="64" t="s">
        <v>24</v>
      </c>
      <c r="I262" s="64">
        <v>6</v>
      </c>
      <c r="J262" s="189">
        <f t="shared" si="44"/>
        <v>0</v>
      </c>
      <c r="K262" s="67">
        <f>'RESUMEN PEDIDO'!$C$29</f>
        <v>0</v>
      </c>
      <c r="L262" s="67">
        <f>'RESUMEN PEDIDO'!$C$30</f>
        <v>0</v>
      </c>
      <c r="M262" s="66">
        <f t="shared" si="45"/>
        <v>0</v>
      </c>
    </row>
    <row r="263" spans="1:13" s="15" customFormat="1" ht="15" customHeight="1" x14ac:dyDescent="0.25">
      <c r="A263" s="38"/>
      <c r="B263" s="68">
        <v>501204</v>
      </c>
      <c r="C263" s="65" t="s">
        <v>15095</v>
      </c>
      <c r="D263" s="2"/>
      <c r="E263" s="66">
        <v>12</v>
      </c>
      <c r="F263" s="66">
        <v>13.200000000000001</v>
      </c>
      <c r="G263" s="227">
        <v>8435057020183</v>
      </c>
      <c r="H263" s="64" t="s">
        <v>23</v>
      </c>
      <c r="I263" s="64">
        <v>6</v>
      </c>
      <c r="J263" s="189">
        <f t="shared" si="44"/>
        <v>0</v>
      </c>
      <c r="K263" s="67">
        <f>'RESUMEN PEDIDO'!$C$29</f>
        <v>0</v>
      </c>
      <c r="L263" s="67">
        <f>'RESUMEN PEDIDO'!$C$30</f>
        <v>0</v>
      </c>
      <c r="M263" s="66">
        <f t="shared" si="45"/>
        <v>0</v>
      </c>
    </row>
    <row r="264" spans="1:13" s="15" customFormat="1" ht="15" customHeight="1" x14ac:dyDescent="0.25">
      <c r="A264" s="38"/>
      <c r="B264" s="68">
        <v>501205</v>
      </c>
      <c r="C264" s="65" t="s">
        <v>15095</v>
      </c>
      <c r="D264" s="2"/>
      <c r="E264" s="66">
        <v>3.3</v>
      </c>
      <c r="F264" s="66">
        <v>3.6500000000000004</v>
      </c>
      <c r="G264" s="227">
        <v>8435057020190</v>
      </c>
      <c r="H264" s="64" t="s">
        <v>41</v>
      </c>
      <c r="I264" s="64">
        <v>36</v>
      </c>
      <c r="J264" s="189">
        <f t="shared" si="44"/>
        <v>0</v>
      </c>
      <c r="K264" s="67">
        <f>'RESUMEN PEDIDO'!$C$29</f>
        <v>0</v>
      </c>
      <c r="L264" s="67">
        <f>'RESUMEN PEDIDO'!$C$30</f>
        <v>0</v>
      </c>
      <c r="M264" s="66">
        <f t="shared" si="45"/>
        <v>0</v>
      </c>
    </row>
    <row r="265" spans="1:13" s="15" customFormat="1" ht="15" customHeight="1" x14ac:dyDescent="0.25">
      <c r="A265" s="38"/>
      <c r="B265" s="68">
        <v>501206</v>
      </c>
      <c r="C265" s="65" t="s">
        <v>15096</v>
      </c>
      <c r="D265" s="2"/>
      <c r="E265" s="66">
        <v>63</v>
      </c>
      <c r="F265" s="66">
        <v>69.3</v>
      </c>
      <c r="G265" s="227">
        <v>8435057020039</v>
      </c>
      <c r="H265" s="64" t="s">
        <v>15097</v>
      </c>
      <c r="I265" s="64">
        <v>1</v>
      </c>
      <c r="J265" s="189">
        <f t="shared" si="44"/>
        <v>0</v>
      </c>
      <c r="K265" s="67">
        <f>'RESUMEN PEDIDO'!$C$29</f>
        <v>0</v>
      </c>
      <c r="L265" s="67">
        <f>'RESUMEN PEDIDO'!$C$30</f>
        <v>0</v>
      </c>
      <c r="M265" s="66">
        <f t="shared" ref="M265:M266" si="46">(D265*(E265-(E265*K265)))-(D265*(E265-(E265*K265)))*L265</f>
        <v>0</v>
      </c>
    </row>
    <row r="266" spans="1:13" s="15" customFormat="1" ht="15" customHeight="1" x14ac:dyDescent="0.25">
      <c r="A266" s="38"/>
      <c r="B266" s="68">
        <v>501207</v>
      </c>
      <c r="C266" s="65" t="s">
        <v>15098</v>
      </c>
      <c r="D266" s="2"/>
      <c r="E266" s="66">
        <v>63</v>
      </c>
      <c r="F266" s="66">
        <v>69.3</v>
      </c>
      <c r="G266" s="227">
        <v>8435057020053</v>
      </c>
      <c r="H266" s="64" t="s">
        <v>15097</v>
      </c>
      <c r="I266" s="64">
        <v>1</v>
      </c>
      <c r="J266" s="189">
        <f t="shared" si="44"/>
        <v>0</v>
      </c>
      <c r="K266" s="67">
        <f>'RESUMEN PEDIDO'!$C$29</f>
        <v>0</v>
      </c>
      <c r="L266" s="67">
        <f>'RESUMEN PEDIDO'!$C$30</f>
        <v>0</v>
      </c>
      <c r="M266" s="66">
        <f t="shared" si="46"/>
        <v>0</v>
      </c>
    </row>
    <row r="267" spans="1:13" s="15" customFormat="1" ht="15" customHeight="1" x14ac:dyDescent="0.25">
      <c r="A267" s="38"/>
      <c r="B267" s="60" t="s">
        <v>14913</v>
      </c>
      <c r="C267" s="61"/>
      <c r="D267" s="62">
        <f>SUM(D268:D270)</f>
        <v>0</v>
      </c>
      <c r="E267" s="61"/>
      <c r="F267" s="61"/>
      <c r="G267" s="61"/>
      <c r="H267" s="61"/>
      <c r="I267" s="81"/>
      <c r="J267" s="94">
        <f>SUM(J268:J270)</f>
        <v>0</v>
      </c>
      <c r="K267" s="61"/>
      <c r="L267" s="61"/>
      <c r="M267" s="63"/>
    </row>
    <row r="268" spans="1:13" s="15" customFormat="1" ht="15" customHeight="1" x14ac:dyDescent="0.25">
      <c r="A268" s="38"/>
      <c r="B268" s="68">
        <v>540091</v>
      </c>
      <c r="C268" s="65" t="s">
        <v>14914</v>
      </c>
      <c r="D268" s="2"/>
      <c r="E268" s="66">
        <v>166</v>
      </c>
      <c r="F268" s="66">
        <v>182.60000000000002</v>
      </c>
      <c r="G268" s="226">
        <v>8435057019453</v>
      </c>
      <c r="H268" s="64" t="s">
        <v>14915</v>
      </c>
      <c r="I268" s="64">
        <v>4</v>
      </c>
      <c r="J268" s="189">
        <f t="shared" ref="J268:J269" si="47">D268/I268</f>
        <v>0</v>
      </c>
      <c r="K268" s="67">
        <f>'RESUMEN PEDIDO'!$C$29</f>
        <v>0</v>
      </c>
      <c r="L268" s="67">
        <f>'RESUMEN PEDIDO'!$C$30</f>
        <v>0</v>
      </c>
      <c r="M268" s="66">
        <f t="shared" ref="M268:M269" si="48">(D268*(E268-(E268*K268)))-(D268*(E268-(E268*K268)))*L268</f>
        <v>0</v>
      </c>
    </row>
    <row r="269" spans="1:13" s="15" customFormat="1" ht="15" customHeight="1" x14ac:dyDescent="0.25">
      <c r="A269" s="38"/>
      <c r="B269" s="68">
        <v>540093</v>
      </c>
      <c r="C269" s="65" t="s">
        <v>15204</v>
      </c>
      <c r="D269" s="2"/>
      <c r="E269" s="66">
        <v>26</v>
      </c>
      <c r="F269" s="66">
        <v>28.6</v>
      </c>
      <c r="G269" s="309">
        <v>8435057019477</v>
      </c>
      <c r="H269" s="64" t="s">
        <v>43</v>
      </c>
      <c r="I269" s="64">
        <v>6</v>
      </c>
      <c r="J269" s="189">
        <f t="shared" si="47"/>
        <v>0</v>
      </c>
      <c r="K269" s="67">
        <f>'RESUMEN PEDIDO'!$C$29</f>
        <v>0</v>
      </c>
      <c r="L269" s="67">
        <f>'RESUMEN PEDIDO'!$C$30</f>
        <v>0</v>
      </c>
      <c r="M269" s="66">
        <f t="shared" si="48"/>
        <v>0</v>
      </c>
    </row>
    <row r="270" spans="1:13" s="15" customFormat="1" ht="15" customHeight="1" x14ac:dyDescent="0.25">
      <c r="A270" s="38"/>
      <c r="B270" s="68">
        <v>540094</v>
      </c>
      <c r="C270" s="65" t="s">
        <v>14929</v>
      </c>
      <c r="D270" s="2"/>
      <c r="E270" s="66">
        <v>16</v>
      </c>
      <c r="F270" s="66">
        <v>17.600000000000001</v>
      </c>
      <c r="G270" s="226">
        <v>8435057019484</v>
      </c>
      <c r="H270" s="64" t="s">
        <v>43</v>
      </c>
      <c r="I270" s="64">
        <v>6</v>
      </c>
      <c r="J270" s="189">
        <f t="shared" ref="J270" si="49">D270/I270</f>
        <v>0</v>
      </c>
      <c r="K270" s="67">
        <f>'RESUMEN PEDIDO'!$C$29</f>
        <v>0</v>
      </c>
      <c r="L270" s="67">
        <f>'RESUMEN PEDIDO'!$C$30</f>
        <v>0</v>
      </c>
      <c r="M270" s="66">
        <f t="shared" ref="M270" si="50">(D270*(E270-(E270*K270)))-(D270*(E270-(E270*K270)))*L270</f>
        <v>0</v>
      </c>
    </row>
    <row r="271" spans="1:13" s="15" customFormat="1" ht="15" customHeight="1" x14ac:dyDescent="0.25">
      <c r="A271" s="38"/>
      <c r="B271" s="60" t="s">
        <v>847</v>
      </c>
      <c r="C271" s="61"/>
      <c r="D271" s="62">
        <f>SUM(D272:D276)</f>
        <v>0</v>
      </c>
      <c r="E271" s="61"/>
      <c r="F271" s="61"/>
      <c r="G271" s="61"/>
      <c r="H271" s="61"/>
      <c r="I271" s="81">
        <v>6</v>
      </c>
      <c r="J271" s="94">
        <f>SUM(J272:J276)</f>
        <v>0</v>
      </c>
      <c r="K271" s="61"/>
      <c r="L271" s="61"/>
      <c r="M271" s="63"/>
    </row>
    <row r="272" spans="1:13" s="15" customFormat="1" ht="15" customHeight="1" x14ac:dyDescent="0.25">
      <c r="A272" s="38"/>
      <c r="B272" s="68">
        <v>540083</v>
      </c>
      <c r="C272" s="65" t="s">
        <v>14734</v>
      </c>
      <c r="D272" s="2"/>
      <c r="E272" s="66">
        <v>12</v>
      </c>
      <c r="F272" s="66">
        <v>13.200000000000001</v>
      </c>
      <c r="G272" s="226" t="str">
        <f>VLOOKUP(B272,EAN,3,0)</f>
        <v>8435057016834</v>
      </c>
      <c r="H272" s="64" t="s">
        <v>724</v>
      </c>
      <c r="I272" s="64">
        <v>6</v>
      </c>
      <c r="J272" s="189">
        <f t="shared" ref="J272:J278" si="51">D272/I272</f>
        <v>0</v>
      </c>
      <c r="K272" s="67">
        <f>'RESUMEN PEDIDO'!$C$29</f>
        <v>0</v>
      </c>
      <c r="L272" s="67">
        <f>'RESUMEN PEDIDO'!$C$30</f>
        <v>0</v>
      </c>
      <c r="M272" s="66">
        <f>(D272*(E272-(E272*K272)))-(D272*(E272-(E272*K272)))*L272</f>
        <v>0</v>
      </c>
    </row>
    <row r="273" spans="1:13" s="15" customFormat="1" ht="15" customHeight="1" x14ac:dyDescent="0.25">
      <c r="A273" s="38"/>
      <c r="B273" s="68">
        <v>540084</v>
      </c>
      <c r="C273" s="65" t="s">
        <v>14735</v>
      </c>
      <c r="D273" s="2"/>
      <c r="E273" s="66">
        <v>12</v>
      </c>
      <c r="F273" s="66">
        <v>13.200000000000001</v>
      </c>
      <c r="G273" s="226" t="str">
        <f>VLOOKUP(B273,EAN,3,0)</f>
        <v>8435057016841</v>
      </c>
      <c r="H273" s="64" t="s">
        <v>724</v>
      </c>
      <c r="I273" s="64">
        <v>6</v>
      </c>
      <c r="J273" s="189">
        <f t="shared" si="51"/>
        <v>0</v>
      </c>
      <c r="K273" s="67">
        <f>'RESUMEN PEDIDO'!$C$29</f>
        <v>0</v>
      </c>
      <c r="L273" s="67">
        <f>'RESUMEN PEDIDO'!$C$30</f>
        <v>0</v>
      </c>
      <c r="M273" s="66">
        <f>(D273*(E273-(E273*K273)))-(D273*(E273-(E273*K273)))*L273</f>
        <v>0</v>
      </c>
    </row>
    <row r="274" spans="1:13" s="15" customFormat="1" ht="15" customHeight="1" x14ac:dyDescent="0.25">
      <c r="A274" s="38"/>
      <c r="B274" s="68">
        <v>540085</v>
      </c>
      <c r="C274" s="65" t="s">
        <v>739</v>
      </c>
      <c r="D274" s="2"/>
      <c r="E274" s="66">
        <v>12</v>
      </c>
      <c r="F274" s="66">
        <v>13.200000000000001</v>
      </c>
      <c r="G274" s="226" t="str">
        <f>VLOOKUP(B274,EAN,3,0)</f>
        <v>8435057016858</v>
      </c>
      <c r="H274" s="64" t="s">
        <v>724</v>
      </c>
      <c r="I274" s="64">
        <v>6</v>
      </c>
      <c r="J274" s="189">
        <f t="shared" si="51"/>
        <v>0</v>
      </c>
      <c r="K274" s="67">
        <f>'RESUMEN PEDIDO'!$C$29</f>
        <v>0</v>
      </c>
      <c r="L274" s="67">
        <f>'RESUMEN PEDIDO'!$C$30</f>
        <v>0</v>
      </c>
      <c r="M274" s="66">
        <f>(D274*(E274-(E274*K274)))-(D274*(E274-(E274*K274)))*L274</f>
        <v>0</v>
      </c>
    </row>
    <row r="275" spans="1:13" s="15" customFormat="1" ht="15" customHeight="1" x14ac:dyDescent="0.25">
      <c r="A275" s="38"/>
      <c r="B275" s="68">
        <v>540086</v>
      </c>
      <c r="C275" s="65" t="s">
        <v>740</v>
      </c>
      <c r="D275" s="2"/>
      <c r="E275" s="66">
        <v>12</v>
      </c>
      <c r="F275" s="66">
        <v>13.200000000000001</v>
      </c>
      <c r="G275" s="226" t="str">
        <f>VLOOKUP(B275,EAN,3,0)</f>
        <v>8435057016865</v>
      </c>
      <c r="H275" s="64" t="s">
        <v>724</v>
      </c>
      <c r="I275" s="64">
        <v>6</v>
      </c>
      <c r="J275" s="189">
        <f t="shared" si="51"/>
        <v>0</v>
      </c>
      <c r="K275" s="67">
        <f>'RESUMEN PEDIDO'!$C$29</f>
        <v>0</v>
      </c>
      <c r="L275" s="67">
        <f>'RESUMEN PEDIDO'!$C$30</f>
        <v>0</v>
      </c>
      <c r="M275" s="66">
        <f>(D275*(E275-(E275*K275)))-(D275*(E275-(E275*K275)))*L275</f>
        <v>0</v>
      </c>
    </row>
    <row r="276" spans="1:13" s="15" customFormat="1" ht="15" customHeight="1" x14ac:dyDescent="0.25">
      <c r="A276" s="38"/>
      <c r="B276" s="68">
        <v>540087</v>
      </c>
      <c r="C276" s="65" t="s">
        <v>741</v>
      </c>
      <c r="D276" s="2"/>
      <c r="E276" s="66">
        <v>14.8</v>
      </c>
      <c r="F276" s="66">
        <v>16.3</v>
      </c>
      <c r="G276" s="226" t="str">
        <f>VLOOKUP(B276,EAN,3,0)</f>
        <v>8435057016872</v>
      </c>
      <c r="H276" s="64" t="s">
        <v>23</v>
      </c>
      <c r="I276" s="64">
        <v>6</v>
      </c>
      <c r="J276" s="189">
        <f t="shared" si="51"/>
        <v>0</v>
      </c>
      <c r="K276" s="67">
        <f>'RESUMEN PEDIDO'!$C$29</f>
        <v>0</v>
      </c>
      <c r="L276" s="67">
        <f>'RESUMEN PEDIDO'!$C$30</f>
        <v>0</v>
      </c>
      <c r="M276" s="66">
        <f>(D276*(E276-(E276*K276)))-(D276*(E276-(E276*K276)))*L276</f>
        <v>0</v>
      </c>
    </row>
    <row r="277" spans="1:13" s="15" customFormat="1" ht="15" customHeight="1" x14ac:dyDescent="0.25">
      <c r="A277" s="38"/>
      <c r="B277" s="60" t="s">
        <v>578</v>
      </c>
      <c r="C277" s="61"/>
      <c r="D277" s="62">
        <f>SUM(D278)</f>
        <v>0</v>
      </c>
      <c r="E277" s="61"/>
      <c r="F277" s="61"/>
      <c r="G277" s="61"/>
      <c r="H277" s="61"/>
      <c r="I277" s="81">
        <v>12</v>
      </c>
      <c r="J277" s="94">
        <f>SUM(J278)</f>
        <v>0</v>
      </c>
      <c r="K277" s="61"/>
      <c r="L277" s="61"/>
      <c r="M277" s="63"/>
    </row>
    <row r="278" spans="1:13" s="15" customFormat="1" ht="15" customHeight="1" x14ac:dyDescent="0.25">
      <c r="A278" s="38"/>
      <c r="B278" s="68">
        <v>550037</v>
      </c>
      <c r="C278" s="65" t="s">
        <v>720</v>
      </c>
      <c r="D278" s="2"/>
      <c r="E278" s="66">
        <v>34</v>
      </c>
      <c r="F278" s="66">
        <v>37.4</v>
      </c>
      <c r="G278" s="226" t="str">
        <f>VLOOKUP(B278,EAN,3,0)</f>
        <v>8435057013505</v>
      </c>
      <c r="H278" s="64" t="s">
        <v>23</v>
      </c>
      <c r="I278" s="64">
        <v>12</v>
      </c>
      <c r="J278" s="189">
        <f t="shared" si="51"/>
        <v>0</v>
      </c>
      <c r="K278" s="67">
        <f>'RESUMEN PEDIDO'!$C$29</f>
        <v>0</v>
      </c>
      <c r="L278" s="67">
        <f>'RESUMEN PEDIDO'!$C$30</f>
        <v>0</v>
      </c>
      <c r="M278" s="66">
        <f>(D278*(E278-(E278*K278)))-(D278*(E278-(E278*K278)))*L278</f>
        <v>0</v>
      </c>
    </row>
    <row r="279" spans="1:13" s="15" customFormat="1" ht="15" customHeight="1" x14ac:dyDescent="0.25">
      <c r="A279" s="38"/>
      <c r="B279" s="60" t="s">
        <v>579</v>
      </c>
      <c r="C279" s="61"/>
      <c r="D279" s="62">
        <f>SUM(D280:D301)</f>
        <v>0</v>
      </c>
      <c r="E279" s="61"/>
      <c r="F279" s="61"/>
      <c r="G279" s="61"/>
      <c r="H279" s="61"/>
      <c r="I279" s="81">
        <v>6</v>
      </c>
      <c r="J279" s="94">
        <f>SUM(J280:J301)</f>
        <v>0</v>
      </c>
      <c r="K279" s="61"/>
      <c r="L279" s="61"/>
      <c r="M279" s="63"/>
    </row>
    <row r="280" spans="1:13" s="15" customFormat="1" ht="15" customHeight="1" x14ac:dyDescent="0.25">
      <c r="A280" s="38"/>
      <c r="B280" s="64">
        <v>511001</v>
      </c>
      <c r="C280" s="65" t="s">
        <v>14703</v>
      </c>
      <c r="D280" s="2"/>
      <c r="E280" s="66">
        <v>25</v>
      </c>
      <c r="F280" s="66">
        <v>27.5</v>
      </c>
      <c r="G280" s="226" t="s">
        <v>11386</v>
      </c>
      <c r="H280" s="64" t="s">
        <v>38</v>
      </c>
      <c r="I280" s="64">
        <v>6</v>
      </c>
      <c r="J280" s="189">
        <f t="shared" ref="J280:J290" si="52">D280/I280</f>
        <v>0</v>
      </c>
      <c r="K280" s="67">
        <f>'RESUMEN PEDIDO'!$C$29</f>
        <v>0</v>
      </c>
      <c r="L280" s="67">
        <f>'RESUMEN PEDIDO'!$C$30</f>
        <v>0</v>
      </c>
      <c r="M280" s="66">
        <f t="shared" ref="M280:M287" si="53">(D280*(E280-(E280*K280)))-(D280*(E280-(E280*K280)))*L280</f>
        <v>0</v>
      </c>
    </row>
    <row r="281" spans="1:13" s="15" customFormat="1" ht="15" customHeight="1" x14ac:dyDescent="0.25">
      <c r="A281" s="38"/>
      <c r="B281" s="64">
        <v>511003</v>
      </c>
      <c r="C281" s="65" t="s">
        <v>14704</v>
      </c>
      <c r="D281" s="2"/>
      <c r="E281" s="66">
        <v>36</v>
      </c>
      <c r="F281" s="66">
        <v>39.6</v>
      </c>
      <c r="G281" s="226" t="s">
        <v>11390</v>
      </c>
      <c r="H281" s="64" t="s">
        <v>23</v>
      </c>
      <c r="I281" s="64">
        <v>6</v>
      </c>
      <c r="J281" s="189">
        <f t="shared" si="52"/>
        <v>0</v>
      </c>
      <c r="K281" s="67">
        <f>'RESUMEN PEDIDO'!$C$29</f>
        <v>0</v>
      </c>
      <c r="L281" s="67">
        <f>'RESUMEN PEDIDO'!$C$30</f>
        <v>0</v>
      </c>
      <c r="M281" s="66">
        <f t="shared" si="53"/>
        <v>0</v>
      </c>
    </row>
    <row r="282" spans="1:13" s="15" customFormat="1" ht="15" customHeight="1" x14ac:dyDescent="0.25">
      <c r="A282" s="38"/>
      <c r="B282" s="64">
        <v>511005</v>
      </c>
      <c r="C282" s="65" t="s">
        <v>14705</v>
      </c>
      <c r="D282" s="2"/>
      <c r="E282" s="66">
        <v>36</v>
      </c>
      <c r="F282" s="66">
        <v>39.6</v>
      </c>
      <c r="G282" s="226" t="s">
        <v>11394</v>
      </c>
      <c r="H282" s="64" t="s">
        <v>23</v>
      </c>
      <c r="I282" s="64">
        <v>6</v>
      </c>
      <c r="J282" s="189">
        <f t="shared" si="52"/>
        <v>0</v>
      </c>
      <c r="K282" s="67">
        <f>'RESUMEN PEDIDO'!$C$29</f>
        <v>0</v>
      </c>
      <c r="L282" s="67">
        <f>'RESUMEN PEDIDO'!$C$30</f>
        <v>0</v>
      </c>
      <c r="M282" s="66">
        <f t="shared" si="53"/>
        <v>0</v>
      </c>
    </row>
    <row r="283" spans="1:13" s="15" customFormat="1" ht="15" customHeight="1" x14ac:dyDescent="0.25">
      <c r="A283" s="38"/>
      <c r="B283" s="64">
        <v>511007</v>
      </c>
      <c r="C283" s="65" t="s">
        <v>14706</v>
      </c>
      <c r="D283" s="2"/>
      <c r="E283" s="66">
        <v>44</v>
      </c>
      <c r="F283" s="66">
        <v>48.400000000000006</v>
      </c>
      <c r="G283" s="226" t="s">
        <v>11398</v>
      </c>
      <c r="H283" s="64" t="s">
        <v>35</v>
      </c>
      <c r="I283" s="64">
        <v>6</v>
      </c>
      <c r="J283" s="189">
        <f t="shared" si="52"/>
        <v>0</v>
      </c>
      <c r="K283" s="67">
        <f>'RESUMEN PEDIDO'!$C$29</f>
        <v>0</v>
      </c>
      <c r="L283" s="67">
        <f>'RESUMEN PEDIDO'!$C$30</f>
        <v>0</v>
      </c>
      <c r="M283" s="66">
        <f t="shared" si="53"/>
        <v>0</v>
      </c>
    </row>
    <row r="284" spans="1:13" s="15" customFormat="1" ht="15" customHeight="1" x14ac:dyDescent="0.25">
      <c r="A284" s="38"/>
      <c r="B284" s="64">
        <v>511008</v>
      </c>
      <c r="C284" s="65" t="s">
        <v>14707</v>
      </c>
      <c r="D284" s="2"/>
      <c r="E284" s="66">
        <v>14.5</v>
      </c>
      <c r="F284" s="66">
        <v>15.950000000000001</v>
      </c>
      <c r="G284" s="226" t="s">
        <v>11400</v>
      </c>
      <c r="H284" s="64" t="s">
        <v>41</v>
      </c>
      <c r="I284" s="64">
        <v>6</v>
      </c>
      <c r="J284" s="189">
        <f t="shared" si="52"/>
        <v>0</v>
      </c>
      <c r="K284" s="67">
        <f>'RESUMEN PEDIDO'!$C$29</f>
        <v>0</v>
      </c>
      <c r="L284" s="67">
        <f>'RESUMEN PEDIDO'!$C$30</f>
        <v>0</v>
      </c>
      <c r="M284" s="66">
        <f t="shared" si="53"/>
        <v>0</v>
      </c>
    </row>
    <row r="285" spans="1:13" s="15" customFormat="1" ht="15" customHeight="1" x14ac:dyDescent="0.25">
      <c r="A285" s="38"/>
      <c r="B285" s="64">
        <v>511012</v>
      </c>
      <c r="C285" s="65" t="s">
        <v>14708</v>
      </c>
      <c r="D285" s="2"/>
      <c r="E285" s="66">
        <v>36</v>
      </c>
      <c r="F285" s="66">
        <v>39.6</v>
      </c>
      <c r="G285" s="226" t="s">
        <v>11408</v>
      </c>
      <c r="H285" s="64" t="s">
        <v>23</v>
      </c>
      <c r="I285" s="64">
        <v>6</v>
      </c>
      <c r="J285" s="189">
        <f t="shared" si="52"/>
        <v>0</v>
      </c>
      <c r="K285" s="67">
        <f>'RESUMEN PEDIDO'!$C$29</f>
        <v>0</v>
      </c>
      <c r="L285" s="67">
        <f>'RESUMEN PEDIDO'!$C$30</f>
        <v>0</v>
      </c>
      <c r="M285" s="66">
        <f t="shared" si="53"/>
        <v>0</v>
      </c>
    </row>
    <row r="286" spans="1:13" s="15" customFormat="1" ht="15" customHeight="1" x14ac:dyDescent="0.25">
      <c r="A286" s="38"/>
      <c r="B286" s="64">
        <v>511014</v>
      </c>
      <c r="C286" s="65" t="s">
        <v>14709</v>
      </c>
      <c r="D286" s="2"/>
      <c r="E286" s="66">
        <v>44</v>
      </c>
      <c r="F286" s="66">
        <v>48.400000000000006</v>
      </c>
      <c r="G286" s="226" t="s">
        <v>11412</v>
      </c>
      <c r="H286" s="64" t="s">
        <v>35</v>
      </c>
      <c r="I286" s="64">
        <v>6</v>
      </c>
      <c r="J286" s="189">
        <f t="shared" si="52"/>
        <v>0</v>
      </c>
      <c r="K286" s="67">
        <f>'RESUMEN PEDIDO'!$C$29</f>
        <v>0</v>
      </c>
      <c r="L286" s="67">
        <f>'RESUMEN PEDIDO'!$C$30</f>
        <v>0</v>
      </c>
      <c r="M286" s="66">
        <f t="shared" si="53"/>
        <v>0</v>
      </c>
    </row>
    <row r="287" spans="1:13" s="15" customFormat="1" ht="15" customHeight="1" x14ac:dyDescent="0.25">
      <c r="A287" s="38"/>
      <c r="B287" s="64">
        <v>511015</v>
      </c>
      <c r="C287" s="65" t="s">
        <v>14710</v>
      </c>
      <c r="D287" s="2"/>
      <c r="E287" s="66">
        <v>14.5</v>
      </c>
      <c r="F287" s="66">
        <v>15.950000000000001</v>
      </c>
      <c r="G287" s="226" t="s">
        <v>11414</v>
      </c>
      <c r="H287" s="64" t="s">
        <v>41</v>
      </c>
      <c r="I287" s="64">
        <v>6</v>
      </c>
      <c r="J287" s="189">
        <f t="shared" si="52"/>
        <v>0</v>
      </c>
      <c r="K287" s="67">
        <f>'RESUMEN PEDIDO'!$C$29</f>
        <v>0</v>
      </c>
      <c r="L287" s="67">
        <f>'RESUMEN PEDIDO'!$C$30</f>
        <v>0</v>
      </c>
      <c r="M287" s="66">
        <f t="shared" si="53"/>
        <v>0</v>
      </c>
    </row>
    <row r="288" spans="1:13" s="15" customFormat="1" ht="15" customHeight="1" x14ac:dyDescent="0.25">
      <c r="A288" s="38"/>
      <c r="B288" s="64">
        <v>511018</v>
      </c>
      <c r="C288" s="65" t="s">
        <v>14711</v>
      </c>
      <c r="D288" s="2"/>
      <c r="E288" s="66">
        <v>36</v>
      </c>
      <c r="F288" s="66">
        <v>39.6</v>
      </c>
      <c r="G288" s="226" t="s">
        <v>11420</v>
      </c>
      <c r="H288" s="64" t="s">
        <v>23</v>
      </c>
      <c r="I288" s="64">
        <v>6</v>
      </c>
      <c r="J288" s="189">
        <f t="shared" si="52"/>
        <v>0</v>
      </c>
      <c r="K288" s="67">
        <f>'RESUMEN PEDIDO'!$C$29</f>
        <v>0</v>
      </c>
      <c r="L288" s="67">
        <f>'RESUMEN PEDIDO'!$C$30</f>
        <v>0</v>
      </c>
      <c r="M288" s="66">
        <f t="shared" ref="M288" si="54">(D288*(E288-(E288*K288)))-(D288*(E288-(E288*K288)))*L288</f>
        <v>0</v>
      </c>
    </row>
    <row r="289" spans="1:13" s="15" customFormat="1" ht="15" customHeight="1" x14ac:dyDescent="0.25">
      <c r="A289" s="38"/>
      <c r="B289" s="64">
        <v>511048</v>
      </c>
      <c r="C289" s="65" t="s">
        <v>14889</v>
      </c>
      <c r="D289" s="2"/>
      <c r="E289" s="66">
        <v>36</v>
      </c>
      <c r="F289" s="66">
        <v>39.6</v>
      </c>
      <c r="G289" s="226">
        <v>8435057019026</v>
      </c>
      <c r="H289" s="64" t="s">
        <v>23</v>
      </c>
      <c r="I289" s="64">
        <v>6</v>
      </c>
      <c r="J289" s="189">
        <f t="shared" si="52"/>
        <v>0</v>
      </c>
      <c r="K289" s="67">
        <f>'RESUMEN PEDIDO'!$C$29</f>
        <v>0</v>
      </c>
      <c r="L289" s="67">
        <f>'RESUMEN PEDIDO'!$C$30</f>
        <v>0</v>
      </c>
      <c r="M289" s="66">
        <f t="shared" ref="M289:M290" si="55">(D289*(E289-(E289*K289)))-(D289*(E289-(E289*K289)))*L289</f>
        <v>0</v>
      </c>
    </row>
    <row r="290" spans="1:13" s="15" customFormat="1" ht="15" customHeight="1" x14ac:dyDescent="0.25">
      <c r="A290" s="38"/>
      <c r="B290" s="64">
        <v>511052</v>
      </c>
      <c r="C290" s="65" t="s">
        <v>14890</v>
      </c>
      <c r="D290" s="2"/>
      <c r="E290" s="66">
        <v>44</v>
      </c>
      <c r="F290" s="66">
        <v>48.400000000000006</v>
      </c>
      <c r="G290" s="226">
        <v>8435057019064</v>
      </c>
      <c r="H290" s="64" t="s">
        <v>35</v>
      </c>
      <c r="I290" s="64">
        <v>6</v>
      </c>
      <c r="J290" s="189">
        <f t="shared" si="52"/>
        <v>0</v>
      </c>
      <c r="K290" s="67">
        <f>'RESUMEN PEDIDO'!$C$29</f>
        <v>0</v>
      </c>
      <c r="L290" s="67">
        <f>'RESUMEN PEDIDO'!$C$30</f>
        <v>0</v>
      </c>
      <c r="M290" s="66">
        <f t="shared" si="55"/>
        <v>0</v>
      </c>
    </row>
    <row r="291" spans="1:13" s="15" customFormat="1" ht="15" customHeight="1" x14ac:dyDescent="0.25">
      <c r="A291" s="38"/>
      <c r="B291" s="64">
        <v>511050</v>
      </c>
      <c r="C291" s="65" t="s">
        <v>14792</v>
      </c>
      <c r="D291" s="2"/>
      <c r="E291" s="66">
        <v>36</v>
      </c>
      <c r="F291" s="66">
        <v>39.6</v>
      </c>
      <c r="G291" s="226">
        <v>8435057019040</v>
      </c>
      <c r="H291" s="64" t="s">
        <v>23</v>
      </c>
      <c r="I291" s="64">
        <v>6</v>
      </c>
      <c r="J291" s="189">
        <f t="shared" ref="J291" si="56">D291/I291</f>
        <v>0</v>
      </c>
      <c r="K291" s="67">
        <f>'RESUMEN PEDIDO'!$C$29</f>
        <v>0</v>
      </c>
      <c r="L291" s="67">
        <f>'RESUMEN PEDIDO'!$C$30</f>
        <v>0</v>
      </c>
      <c r="M291" s="66">
        <f t="shared" ref="M291:M292" si="57">(D291*(E291-(E291*K291)))-(D291*(E291-(E291*K291)))*L291</f>
        <v>0</v>
      </c>
    </row>
    <row r="292" spans="1:13" s="15" customFormat="1" ht="15" customHeight="1" x14ac:dyDescent="0.25">
      <c r="A292" s="38"/>
      <c r="B292" s="64">
        <v>511054</v>
      </c>
      <c r="C292" s="65" t="s">
        <v>14793</v>
      </c>
      <c r="D292" s="2"/>
      <c r="E292" s="66">
        <v>44</v>
      </c>
      <c r="F292" s="66">
        <v>48.400000000000006</v>
      </c>
      <c r="G292" s="226">
        <v>8435057019088</v>
      </c>
      <c r="H292" s="64" t="s">
        <v>35</v>
      </c>
      <c r="I292" s="64">
        <v>6</v>
      </c>
      <c r="J292" s="189">
        <v>0</v>
      </c>
      <c r="K292" s="67">
        <f>'RESUMEN PEDIDO'!$C$29</f>
        <v>0</v>
      </c>
      <c r="L292" s="67">
        <f>'RESUMEN PEDIDO'!$C$30</f>
        <v>0</v>
      </c>
      <c r="M292" s="66">
        <f t="shared" si="57"/>
        <v>0</v>
      </c>
    </row>
    <row r="293" spans="1:13" s="15" customFormat="1" ht="15" customHeight="1" x14ac:dyDescent="0.25">
      <c r="A293" s="38"/>
      <c r="B293" s="64">
        <v>511082</v>
      </c>
      <c r="C293" s="65" t="s">
        <v>14917</v>
      </c>
      <c r="D293" s="2"/>
      <c r="E293" s="66">
        <v>36</v>
      </c>
      <c r="F293" s="66">
        <v>39.6</v>
      </c>
      <c r="G293" s="226">
        <v>8435057019521</v>
      </c>
      <c r="H293" s="64" t="s">
        <v>23</v>
      </c>
      <c r="I293" s="64">
        <v>6</v>
      </c>
      <c r="J293" s="189">
        <f t="shared" ref="J293" si="58">D293/I293</f>
        <v>0</v>
      </c>
      <c r="K293" s="67">
        <f>'RESUMEN PEDIDO'!$C$29</f>
        <v>0</v>
      </c>
      <c r="L293" s="67">
        <f>'RESUMEN PEDIDO'!$C$30</f>
        <v>0</v>
      </c>
      <c r="M293" s="66">
        <f t="shared" ref="M293:M297" si="59">(D293*(E293-(E293*K293)))-(D293*(E293-(E293*K293)))*L293</f>
        <v>0</v>
      </c>
    </row>
    <row r="294" spans="1:13" s="15" customFormat="1" ht="15" customHeight="1" x14ac:dyDescent="0.25">
      <c r="A294" s="38"/>
      <c r="B294" s="64">
        <v>511087</v>
      </c>
      <c r="C294" s="65" t="s">
        <v>14918</v>
      </c>
      <c r="D294" s="2"/>
      <c r="E294" s="66">
        <v>44</v>
      </c>
      <c r="F294" s="66">
        <v>48.400000000000006</v>
      </c>
      <c r="G294" s="226">
        <v>8435057019576</v>
      </c>
      <c r="H294" s="64" t="s">
        <v>35</v>
      </c>
      <c r="I294" s="64">
        <v>6</v>
      </c>
      <c r="J294" s="189">
        <v>0</v>
      </c>
      <c r="K294" s="67">
        <f>'RESUMEN PEDIDO'!$C$29</f>
        <v>0</v>
      </c>
      <c r="L294" s="67">
        <f>'RESUMEN PEDIDO'!$C$30</f>
        <v>0</v>
      </c>
      <c r="M294" s="66">
        <f t="shared" ref="M294:M295" si="60">(D294*(E294-(E294*K294)))-(D294*(E294-(E294*K294)))*L294</f>
        <v>0</v>
      </c>
    </row>
    <row r="295" spans="1:13" s="15" customFormat="1" ht="15" customHeight="1" x14ac:dyDescent="0.25">
      <c r="A295" s="38"/>
      <c r="B295" s="64">
        <v>511084</v>
      </c>
      <c r="C295" s="65" t="s">
        <v>14923</v>
      </c>
      <c r="D295" s="2"/>
      <c r="E295" s="66">
        <v>36</v>
      </c>
      <c r="F295" s="66">
        <v>39.6</v>
      </c>
      <c r="G295" s="226">
        <v>8435057019545</v>
      </c>
      <c r="H295" s="64" t="s">
        <v>23</v>
      </c>
      <c r="I295" s="64">
        <v>6</v>
      </c>
      <c r="J295" s="189">
        <f t="shared" ref="J295:J297" si="61">D295/I295</f>
        <v>0</v>
      </c>
      <c r="K295" s="67">
        <f>'RESUMEN PEDIDO'!$C$29</f>
        <v>0</v>
      </c>
      <c r="L295" s="67">
        <f>'RESUMEN PEDIDO'!$C$30</f>
        <v>0</v>
      </c>
      <c r="M295" s="66">
        <f t="shared" si="60"/>
        <v>0</v>
      </c>
    </row>
    <row r="296" spans="1:13" s="15" customFormat="1" ht="15" customHeight="1" x14ac:dyDescent="0.25">
      <c r="A296" s="38"/>
      <c r="B296" s="274">
        <v>511089</v>
      </c>
      <c r="C296" s="275" t="s">
        <v>14924</v>
      </c>
      <c r="D296" s="301"/>
      <c r="E296" s="302">
        <v>44</v>
      </c>
      <c r="F296" s="302">
        <v>48.400000000000006</v>
      </c>
      <c r="G296" s="277">
        <v>8435057019590</v>
      </c>
      <c r="H296" s="274" t="s">
        <v>35</v>
      </c>
      <c r="I296" s="274">
        <v>6</v>
      </c>
      <c r="J296" s="189">
        <f t="shared" si="61"/>
        <v>0</v>
      </c>
      <c r="K296" s="67">
        <f>'RESUMEN PEDIDO'!$C$29</f>
        <v>0</v>
      </c>
      <c r="L296" s="67">
        <f>'RESUMEN PEDIDO'!$C$30</f>
        <v>0</v>
      </c>
      <c r="M296" s="66">
        <f t="shared" ref="M296" si="62">(D296*(E296-(E296*K296)))-(D296*(E296-(E296*K296)))*L296</f>
        <v>0</v>
      </c>
    </row>
    <row r="297" spans="1:13" s="15" customFormat="1" ht="15" customHeight="1" x14ac:dyDescent="0.25">
      <c r="A297" s="38"/>
      <c r="B297" s="274">
        <v>511092</v>
      </c>
      <c r="C297" s="275" t="s">
        <v>14926</v>
      </c>
      <c r="D297" s="301"/>
      <c r="E297" s="302">
        <v>14.5</v>
      </c>
      <c r="F297" s="302">
        <v>15.950000000000001</v>
      </c>
      <c r="G297" s="277">
        <v>8435057019620</v>
      </c>
      <c r="H297" s="274" t="s">
        <v>41</v>
      </c>
      <c r="I297" s="274">
        <v>6</v>
      </c>
      <c r="J297" s="189">
        <f t="shared" si="61"/>
        <v>0</v>
      </c>
      <c r="K297" s="67">
        <f>'RESUMEN PEDIDO'!$C$29</f>
        <v>0</v>
      </c>
      <c r="L297" s="303">
        <f>'RESUMEN PEDIDO'!$C$30</f>
        <v>0</v>
      </c>
      <c r="M297" s="302">
        <f t="shared" si="59"/>
        <v>0</v>
      </c>
    </row>
    <row r="298" spans="1:13" s="15" customFormat="1" ht="15" customHeight="1" x14ac:dyDescent="0.25">
      <c r="A298" s="38"/>
      <c r="B298" s="274">
        <v>511111</v>
      </c>
      <c r="C298" s="275" t="s">
        <v>14939</v>
      </c>
      <c r="D298" s="301"/>
      <c r="E298" s="302">
        <v>39</v>
      </c>
      <c r="F298" s="302">
        <v>42.900000000000006</v>
      </c>
      <c r="G298" s="277">
        <v>8435057019859</v>
      </c>
      <c r="H298" s="274" t="s">
        <v>23</v>
      </c>
      <c r="I298" s="274">
        <v>6</v>
      </c>
      <c r="J298" s="189">
        <f t="shared" ref="J298" si="63">D298/I298</f>
        <v>0</v>
      </c>
      <c r="K298" s="67">
        <f>'RESUMEN PEDIDO'!$C$29</f>
        <v>0</v>
      </c>
      <c r="L298" s="303">
        <f>'RESUMEN PEDIDO'!$C$30</f>
        <v>0</v>
      </c>
      <c r="M298" s="302">
        <f t="shared" ref="M298" si="64">(D298*(E298-(E298*K298)))-(D298*(E298-(E298*K298)))*L298</f>
        <v>0</v>
      </c>
    </row>
    <row r="299" spans="1:13" s="15" customFormat="1" ht="15" customHeight="1" x14ac:dyDescent="0.25">
      <c r="A299" s="38"/>
      <c r="B299" s="274">
        <v>511136</v>
      </c>
      <c r="C299" s="275" t="s">
        <v>15109</v>
      </c>
      <c r="D299" s="301"/>
      <c r="E299" s="302">
        <v>39</v>
      </c>
      <c r="F299" s="302">
        <v>42.900000000000006</v>
      </c>
      <c r="G299" s="277">
        <v>8435057020077</v>
      </c>
      <c r="H299" s="274" t="s">
        <v>23</v>
      </c>
      <c r="I299" s="274">
        <v>6</v>
      </c>
      <c r="J299" s="189">
        <f t="shared" ref="J299:J301" si="65">D299/I299</f>
        <v>0</v>
      </c>
      <c r="K299" s="67">
        <f>'RESUMEN PEDIDO'!$C$29</f>
        <v>0</v>
      </c>
      <c r="L299" s="303">
        <f>'RESUMEN PEDIDO'!$C$30</f>
        <v>0</v>
      </c>
      <c r="M299" s="302">
        <f t="shared" ref="M299:M301" si="66">(D299*(E299-(E299*K299)))-(D299*(E299-(E299*K299)))*L299</f>
        <v>0</v>
      </c>
    </row>
    <row r="300" spans="1:13" s="15" customFormat="1" ht="15" customHeight="1" x14ac:dyDescent="0.25">
      <c r="A300" s="38"/>
      <c r="B300" s="274">
        <v>511139</v>
      </c>
      <c r="C300" s="275" t="s">
        <v>15110</v>
      </c>
      <c r="D300" s="301"/>
      <c r="E300" s="302">
        <v>39</v>
      </c>
      <c r="F300" s="302">
        <v>42.9</v>
      </c>
      <c r="G300" s="277">
        <v>8435057020107</v>
      </c>
      <c r="H300" s="274" t="s">
        <v>23</v>
      </c>
      <c r="I300" s="274">
        <v>6</v>
      </c>
      <c r="J300" s="189">
        <f t="shared" si="65"/>
        <v>0</v>
      </c>
      <c r="K300" s="67">
        <f>'RESUMEN PEDIDO'!$C$29</f>
        <v>0</v>
      </c>
      <c r="L300" s="303">
        <f>'RESUMEN PEDIDO'!$C$30</f>
        <v>0</v>
      </c>
      <c r="M300" s="302">
        <f t="shared" si="66"/>
        <v>0</v>
      </c>
    </row>
    <row r="301" spans="1:13" s="15" customFormat="1" ht="15" customHeight="1" x14ac:dyDescent="0.25">
      <c r="A301" s="38"/>
      <c r="B301" s="274">
        <v>511142</v>
      </c>
      <c r="C301" s="275" t="s">
        <v>15111</v>
      </c>
      <c r="D301" s="301"/>
      <c r="E301" s="302">
        <v>39</v>
      </c>
      <c r="F301" s="302">
        <v>42.900000000000006</v>
      </c>
      <c r="G301" s="277">
        <v>8435057020138</v>
      </c>
      <c r="H301" s="274" t="s">
        <v>23</v>
      </c>
      <c r="I301" s="274">
        <v>6</v>
      </c>
      <c r="J301" s="189">
        <f t="shared" si="65"/>
        <v>0</v>
      </c>
      <c r="K301" s="67">
        <f>'RESUMEN PEDIDO'!$C$29</f>
        <v>0</v>
      </c>
      <c r="L301" s="303">
        <f>'RESUMEN PEDIDO'!$C$30</f>
        <v>0</v>
      </c>
      <c r="M301" s="302">
        <f t="shared" si="66"/>
        <v>0</v>
      </c>
    </row>
    <row r="302" spans="1:13" s="15" customFormat="1" ht="15" customHeight="1" x14ac:dyDescent="0.25">
      <c r="A302" s="38"/>
      <c r="B302" s="60" t="s">
        <v>14702</v>
      </c>
      <c r="C302" s="61"/>
      <c r="D302" s="62">
        <f>SUM(D303:D309)</f>
        <v>0</v>
      </c>
      <c r="E302" s="61"/>
      <c r="F302" s="61"/>
      <c r="G302" s="61"/>
      <c r="H302" s="61"/>
      <c r="I302" s="81">
        <v>6</v>
      </c>
      <c r="J302" s="94">
        <f>SUM(J303:J309)</f>
        <v>0</v>
      </c>
      <c r="K302" s="61"/>
      <c r="L302" s="61"/>
      <c r="M302" s="63"/>
    </row>
    <row r="303" spans="1:13" s="15" customFormat="1" ht="15" customHeight="1" x14ac:dyDescent="0.25">
      <c r="A303" s="38"/>
      <c r="B303" s="68">
        <v>513002</v>
      </c>
      <c r="C303" s="65" t="s">
        <v>826</v>
      </c>
      <c r="D303" s="2"/>
      <c r="E303" s="66">
        <v>48</v>
      </c>
      <c r="F303" s="66">
        <v>52.800000000000004</v>
      </c>
      <c r="G303" s="226" t="str">
        <f t="shared" ref="G303:G309" si="67">VLOOKUP(B303,EAN,3,0)</f>
        <v>8435057017046</v>
      </c>
      <c r="H303" s="64" t="s">
        <v>23</v>
      </c>
      <c r="I303" s="64">
        <v>6</v>
      </c>
      <c r="J303" s="189">
        <f t="shared" ref="J303:J309" si="68">D303/I303</f>
        <v>0</v>
      </c>
      <c r="K303" s="67">
        <f>'RESUMEN PEDIDO'!$C$29</f>
        <v>0</v>
      </c>
      <c r="L303" s="67">
        <f>'RESUMEN PEDIDO'!$C$30</f>
        <v>0</v>
      </c>
      <c r="M303" s="66">
        <f t="shared" ref="M303:M309" si="69">(D303*(E303-(E303*K303)))-(D303*(E303-(E303*K303)))*L303</f>
        <v>0</v>
      </c>
    </row>
    <row r="304" spans="1:13" s="15" customFormat="1" ht="15" customHeight="1" x14ac:dyDescent="0.25">
      <c r="A304" s="38"/>
      <c r="B304" s="68">
        <v>513004</v>
      </c>
      <c r="C304" s="65" t="s">
        <v>827</v>
      </c>
      <c r="D304" s="2"/>
      <c r="E304" s="66">
        <v>49</v>
      </c>
      <c r="F304" s="66">
        <v>53.900000000000006</v>
      </c>
      <c r="G304" s="226" t="str">
        <f t="shared" si="67"/>
        <v>8435057017060</v>
      </c>
      <c r="H304" s="64" t="s">
        <v>35</v>
      </c>
      <c r="I304" s="64">
        <v>6</v>
      </c>
      <c r="J304" s="189">
        <f t="shared" si="68"/>
        <v>0</v>
      </c>
      <c r="K304" s="67">
        <f>'RESUMEN PEDIDO'!$C$29</f>
        <v>0</v>
      </c>
      <c r="L304" s="67">
        <f>'RESUMEN PEDIDO'!$C$30</f>
        <v>0</v>
      </c>
      <c r="M304" s="66">
        <f t="shared" si="69"/>
        <v>0</v>
      </c>
    </row>
    <row r="305" spans="1:13" s="15" customFormat="1" ht="15" customHeight="1" x14ac:dyDescent="0.25">
      <c r="A305" s="38"/>
      <c r="B305" s="68">
        <v>513008</v>
      </c>
      <c r="C305" s="65" t="s">
        <v>828</v>
      </c>
      <c r="D305" s="2"/>
      <c r="E305" s="66">
        <v>48</v>
      </c>
      <c r="F305" s="66">
        <v>52.800000000000004</v>
      </c>
      <c r="G305" s="226" t="str">
        <f t="shared" si="67"/>
        <v>8435057017107</v>
      </c>
      <c r="H305" s="64" t="s">
        <v>23</v>
      </c>
      <c r="I305" s="64">
        <v>6</v>
      </c>
      <c r="J305" s="189">
        <f t="shared" si="68"/>
        <v>0</v>
      </c>
      <c r="K305" s="67">
        <f>'RESUMEN PEDIDO'!$C$29</f>
        <v>0</v>
      </c>
      <c r="L305" s="67">
        <f>'RESUMEN PEDIDO'!$C$30</f>
        <v>0</v>
      </c>
      <c r="M305" s="66">
        <f t="shared" si="69"/>
        <v>0</v>
      </c>
    </row>
    <row r="306" spans="1:13" s="15" customFormat="1" ht="15" customHeight="1" x14ac:dyDescent="0.25">
      <c r="A306" s="38"/>
      <c r="B306" s="68">
        <v>513010</v>
      </c>
      <c r="C306" s="65" t="s">
        <v>829</v>
      </c>
      <c r="D306" s="2"/>
      <c r="E306" s="66">
        <v>49</v>
      </c>
      <c r="F306" s="66">
        <v>53.900000000000006</v>
      </c>
      <c r="G306" s="226" t="str">
        <f t="shared" si="67"/>
        <v>8435057017121</v>
      </c>
      <c r="H306" s="64" t="s">
        <v>35</v>
      </c>
      <c r="I306" s="64">
        <v>6</v>
      </c>
      <c r="J306" s="189">
        <f t="shared" si="68"/>
        <v>0</v>
      </c>
      <c r="K306" s="67">
        <f>'RESUMEN PEDIDO'!$C$29</f>
        <v>0</v>
      </c>
      <c r="L306" s="67">
        <f>'RESUMEN PEDIDO'!$C$30</f>
        <v>0</v>
      </c>
      <c r="M306" s="66">
        <f t="shared" si="69"/>
        <v>0</v>
      </c>
    </row>
    <row r="307" spans="1:13" s="15" customFormat="1" ht="15" customHeight="1" x14ac:dyDescent="0.25">
      <c r="A307" s="38"/>
      <c r="B307" s="68">
        <v>513014</v>
      </c>
      <c r="C307" s="65" t="s">
        <v>830</v>
      </c>
      <c r="D307" s="2"/>
      <c r="E307" s="66">
        <v>48</v>
      </c>
      <c r="F307" s="66">
        <v>52.800000000000004</v>
      </c>
      <c r="G307" s="226" t="str">
        <f t="shared" si="67"/>
        <v>8435057017169</v>
      </c>
      <c r="H307" s="64" t="s">
        <v>23</v>
      </c>
      <c r="I307" s="64">
        <v>6</v>
      </c>
      <c r="J307" s="189">
        <f t="shared" si="68"/>
        <v>0</v>
      </c>
      <c r="K307" s="67">
        <f>'RESUMEN PEDIDO'!$C$29</f>
        <v>0</v>
      </c>
      <c r="L307" s="67">
        <f>'RESUMEN PEDIDO'!$C$30</f>
        <v>0</v>
      </c>
      <c r="M307" s="66">
        <f t="shared" si="69"/>
        <v>0</v>
      </c>
    </row>
    <row r="308" spans="1:13" s="15" customFormat="1" ht="15" customHeight="1" x14ac:dyDescent="0.25">
      <c r="A308" s="38"/>
      <c r="B308" s="68">
        <v>513016</v>
      </c>
      <c r="C308" s="65" t="s">
        <v>831</v>
      </c>
      <c r="D308" s="2"/>
      <c r="E308" s="66">
        <v>49</v>
      </c>
      <c r="F308" s="66">
        <v>53.900000000000006</v>
      </c>
      <c r="G308" s="226" t="str">
        <f t="shared" si="67"/>
        <v>8435057017183</v>
      </c>
      <c r="H308" s="64" t="s">
        <v>35</v>
      </c>
      <c r="I308" s="64">
        <v>6</v>
      </c>
      <c r="J308" s="189">
        <f t="shared" si="68"/>
        <v>0</v>
      </c>
      <c r="K308" s="67">
        <f>'RESUMEN PEDIDO'!$C$29</f>
        <v>0</v>
      </c>
      <c r="L308" s="67">
        <f>'RESUMEN PEDIDO'!$C$30</f>
        <v>0</v>
      </c>
      <c r="M308" s="66">
        <f t="shared" si="69"/>
        <v>0</v>
      </c>
    </row>
    <row r="309" spans="1:13" s="15" customFormat="1" ht="15" customHeight="1" x14ac:dyDescent="0.25">
      <c r="A309" s="38"/>
      <c r="B309" s="68">
        <v>513018</v>
      </c>
      <c r="C309" s="65" t="s">
        <v>832</v>
      </c>
      <c r="D309" s="2"/>
      <c r="E309" s="66">
        <v>17</v>
      </c>
      <c r="F309" s="66">
        <v>18.7</v>
      </c>
      <c r="G309" s="226" t="str">
        <f t="shared" si="67"/>
        <v>8435057017206</v>
      </c>
      <c r="H309" s="64" t="s">
        <v>37</v>
      </c>
      <c r="I309" s="64">
        <v>6</v>
      </c>
      <c r="J309" s="189">
        <f t="shared" si="68"/>
        <v>0</v>
      </c>
      <c r="K309" s="67">
        <f>'RESUMEN PEDIDO'!$C$29</f>
        <v>0</v>
      </c>
      <c r="L309" s="67">
        <f>'RESUMEN PEDIDO'!$C$30</f>
        <v>0</v>
      </c>
      <c r="M309" s="66">
        <f t="shared" si="69"/>
        <v>0</v>
      </c>
    </row>
    <row r="310" spans="1:13" ht="17.25" x14ac:dyDescent="0.25">
      <c r="A310" s="29"/>
      <c r="B310" s="375" t="s">
        <v>591</v>
      </c>
      <c r="C310" s="375"/>
      <c r="D310" s="69"/>
      <c r="E310" s="92"/>
      <c r="F310" s="92"/>
      <c r="G310" s="228"/>
      <c r="H310" s="93"/>
      <c r="I310" s="45"/>
      <c r="J310" s="71"/>
      <c r="K310" s="72"/>
      <c r="L310" s="72"/>
      <c r="M310" s="73"/>
    </row>
    <row r="311" spans="1:13" ht="4.9000000000000004" customHeight="1" x14ac:dyDescent="0.25">
      <c r="A311" s="29"/>
      <c r="B311" s="36"/>
      <c r="C311" s="31"/>
      <c r="D311" s="44"/>
      <c r="E311" s="33"/>
      <c r="F311" s="33"/>
      <c r="G311" s="225"/>
      <c r="H311" s="37"/>
      <c r="I311" s="37"/>
      <c r="J311" s="74"/>
      <c r="K311" s="75"/>
      <c r="L311" s="75"/>
      <c r="M311" s="76"/>
    </row>
  </sheetData>
  <sheetProtection algorithmName="SHA-512" hashValue="wlnFaH1Q0vGlqP93UCYPQpvLRVGJjzmGFEPfpKQGo/CNQaEgyDANHpuHKJ3dpak7G2hJUk4QtC5Zlryt018veg==" saltValue="NVpwoFoHd9wvee723+NiKA==" spinCount="100000" sheet="1" formatCells="0" selectLockedCells="1" autoFilter="0"/>
  <autoFilter ref="A8:IO310" xr:uid="{00000000-0009-0000-0000-000001000000}"/>
  <mergeCells count="5">
    <mergeCell ref="B310:C310"/>
    <mergeCell ref="K7:L7"/>
    <mergeCell ref="B6:M6"/>
    <mergeCell ref="B1:C1"/>
    <mergeCell ref="E7:I7"/>
  </mergeCells>
  <phoneticPr fontId="7" type="noConversion"/>
  <conditionalFormatting sqref="B280:B301">
    <cfRule type="duplicateValues" dxfId="12" priority="25"/>
  </conditionalFormatting>
  <conditionalFormatting sqref="J7 J224:J230 J232:J239 J253:J259 J272:J276 J280:J301">
    <cfRule type="expression" dxfId="11" priority="22" stopIfTrue="1">
      <formula>RIGHT(J7,LEN(J7)-FIND(",",J7))&gt;0</formula>
    </cfRule>
  </conditionalFormatting>
  <conditionalFormatting sqref="J241:J248 J250:J251">
    <cfRule type="expression" dxfId="10" priority="18" stopIfTrue="1">
      <formula>RIGHT(J241,LEN(J241)-FIND(",",J241))&gt;0</formula>
    </cfRule>
  </conditionalFormatting>
  <conditionalFormatting sqref="J261:J266">
    <cfRule type="expression" dxfId="9" priority="1" stopIfTrue="1">
      <formula>RIGHT(J261,LEN(J261)-FIND(",",J261))&gt;0</formula>
    </cfRule>
  </conditionalFormatting>
  <conditionalFormatting sqref="J278">
    <cfRule type="expression" dxfId="8" priority="10" stopIfTrue="1">
      <formula>RIGHT(J278,LEN(J278)-FIND(",",J278))&gt;0</formula>
    </cfRule>
  </conditionalFormatting>
  <conditionalFormatting sqref="J303:J309">
    <cfRule type="expression" dxfId="7" priority="8" stopIfTrue="1">
      <formula>RIGHT(J303,LEN(J303)-FIND(",",J303))&gt;0</formula>
    </cfRule>
  </conditionalFormatting>
  <pageMargins left="0.23622047244094491" right="0.23622047244094491" top="0.74803149606299213" bottom="0.74803149606299213" header="0.31496062992125984" footer="0.31496062992125984"/>
  <pageSetup paperSize="9" scale="44" fitToHeight="5" orientation="portrait" horizontalDpi="1200" verticalDpi="1200" r:id="rId1"/>
  <headerFooter alignWithMargins="0"/>
  <ignoredErrors>
    <ignoredError sqref="G280:G28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IM102"/>
  <sheetViews>
    <sheetView showGridLines="0" zoomScale="80" zoomScaleNormal="80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N20" sqref="N20"/>
    </sheetView>
  </sheetViews>
  <sheetFormatPr baseColWidth="10" defaultColWidth="12" defaultRowHeight="19.5" customHeight="1" x14ac:dyDescent="0.25"/>
  <cols>
    <col min="1" max="1" width="3.140625" style="10" customWidth="1"/>
    <col min="2" max="2" width="11" style="18" customWidth="1"/>
    <col min="3" max="3" width="103.42578125" style="10" bestFit="1" customWidth="1"/>
    <col min="4" max="4" width="11.7109375" style="10" customWidth="1"/>
    <col min="5" max="6" width="11.7109375" style="7" customWidth="1"/>
    <col min="7" max="7" width="21" style="7" bestFit="1" customWidth="1"/>
    <col min="8" max="8" width="29.42578125" style="17" bestFit="1" customWidth="1"/>
    <col min="9" max="9" width="11.7109375" style="10" customWidth="1"/>
    <col min="10" max="10" width="11.7109375" style="8" customWidth="1"/>
    <col min="11" max="12" width="11.7109375" style="9" customWidth="1"/>
    <col min="13" max="13" width="13.5703125" style="19" customWidth="1"/>
    <col min="14" max="16384" width="12" style="10"/>
  </cols>
  <sheetData>
    <row r="1" spans="1:247" ht="15.75" customHeight="1" x14ac:dyDescent="0.3">
      <c r="A1" s="24"/>
      <c r="B1" s="381" t="s">
        <v>572</v>
      </c>
      <c r="C1" s="381"/>
      <c r="D1" s="29"/>
      <c r="E1" s="26"/>
      <c r="F1" s="26"/>
      <c r="G1" s="26"/>
      <c r="H1" s="45"/>
      <c r="I1" s="25"/>
      <c r="J1" s="27"/>
      <c r="K1" s="28"/>
      <c r="L1" s="28"/>
      <c r="M1" s="35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</row>
    <row r="2" spans="1:247" ht="15.75" customHeight="1" x14ac:dyDescent="0.3">
      <c r="A2" s="29"/>
      <c r="B2" s="237" t="s">
        <v>573</v>
      </c>
      <c r="C2" s="30"/>
      <c r="D2" s="77"/>
      <c r="E2" s="33"/>
      <c r="F2" s="33"/>
      <c r="G2" s="33"/>
      <c r="H2" s="37"/>
      <c r="I2" s="32"/>
      <c r="J2" s="34"/>
      <c r="K2" s="47"/>
      <c r="L2" s="47"/>
      <c r="M2" s="35"/>
    </row>
    <row r="3" spans="1:247" ht="15.75" customHeight="1" x14ac:dyDescent="0.3">
      <c r="A3" s="29"/>
      <c r="B3" s="36"/>
      <c r="C3" s="31"/>
      <c r="D3" s="77"/>
      <c r="E3" s="33"/>
      <c r="F3" s="33"/>
      <c r="G3" s="33"/>
      <c r="H3" s="37"/>
      <c r="I3" s="31"/>
      <c r="J3" s="34"/>
      <c r="K3" s="47"/>
      <c r="L3" s="47"/>
      <c r="M3" s="35"/>
    </row>
    <row r="4" spans="1:247" ht="15.75" customHeight="1" x14ac:dyDescent="0.3">
      <c r="A4" s="29"/>
      <c r="B4" s="36"/>
      <c r="C4" s="31"/>
      <c r="D4" s="77"/>
      <c r="E4" s="33"/>
      <c r="F4" s="33"/>
      <c r="G4" s="33"/>
      <c r="H4" s="37"/>
      <c r="I4" s="31"/>
      <c r="J4" s="34"/>
      <c r="K4" s="47"/>
      <c r="L4" s="47"/>
      <c r="M4" s="35"/>
    </row>
    <row r="5" spans="1:247" ht="15.75" customHeight="1" x14ac:dyDescent="0.3">
      <c r="A5" s="29"/>
      <c r="B5" s="36"/>
      <c r="C5" s="31"/>
      <c r="D5" s="77"/>
      <c r="E5" s="33"/>
      <c r="F5" s="33"/>
      <c r="G5" s="33"/>
      <c r="H5" s="37"/>
      <c r="I5" s="31"/>
      <c r="J5" s="34"/>
      <c r="K5" s="47"/>
      <c r="L5" s="47"/>
      <c r="M5" s="35"/>
    </row>
    <row r="6" spans="1:247" s="15" customFormat="1" ht="25.15" customHeight="1" x14ac:dyDescent="0.25">
      <c r="A6" s="38"/>
      <c r="B6" s="385" t="s">
        <v>81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7"/>
    </row>
    <row r="7" spans="1:247" s="16" customFormat="1" ht="18" customHeight="1" x14ac:dyDescent="0.25">
      <c r="A7" s="40"/>
      <c r="B7" s="239" t="s">
        <v>82</v>
      </c>
      <c r="C7" s="78"/>
      <c r="D7" s="79">
        <f>D9+D15+D20+D63+D81+D90+D99</f>
        <v>0</v>
      </c>
      <c r="E7" s="391"/>
      <c r="F7" s="392"/>
      <c r="G7" s="392"/>
      <c r="H7" s="392"/>
      <c r="I7" s="393"/>
      <c r="J7" s="80">
        <f>J9+J15+J20+J63+J81+J90+J99</f>
        <v>0</v>
      </c>
      <c r="K7" s="389"/>
      <c r="L7" s="390"/>
      <c r="M7" s="41">
        <f>SUBTOTAL(9,M9:M100)</f>
        <v>0</v>
      </c>
    </row>
    <row r="8" spans="1:247" s="15" customFormat="1" ht="40.5" customHeight="1" x14ac:dyDescent="0.25">
      <c r="A8" s="38"/>
      <c r="B8" s="52" t="s">
        <v>2</v>
      </c>
      <c r="C8" s="53" t="s">
        <v>3</v>
      </c>
      <c r="D8" s="54" t="s">
        <v>0</v>
      </c>
      <c r="E8" s="55" t="s">
        <v>5</v>
      </c>
      <c r="F8" s="55" t="s">
        <v>42</v>
      </c>
      <c r="G8" s="55" t="s">
        <v>891</v>
      </c>
      <c r="H8" s="56" t="s">
        <v>10</v>
      </c>
      <c r="I8" s="56" t="s">
        <v>4</v>
      </c>
      <c r="J8" s="57" t="s">
        <v>6</v>
      </c>
      <c r="K8" s="58" t="s">
        <v>7</v>
      </c>
      <c r="L8" s="58" t="s">
        <v>8</v>
      </c>
      <c r="M8" s="59" t="s">
        <v>9</v>
      </c>
    </row>
    <row r="9" spans="1:247" s="15" customFormat="1" ht="15" customHeight="1" x14ac:dyDescent="0.25">
      <c r="A9" s="38"/>
      <c r="B9" s="60" t="s">
        <v>580</v>
      </c>
      <c r="C9" s="61"/>
      <c r="D9" s="62">
        <f>SUM(D10:D14)</f>
        <v>0</v>
      </c>
      <c r="E9" s="61"/>
      <c r="F9" s="61"/>
      <c r="G9" s="271"/>
      <c r="H9" s="81"/>
      <c r="I9" s="61"/>
      <c r="J9" s="94">
        <f>SUM(J10:J14)</f>
        <v>0</v>
      </c>
      <c r="K9" s="61"/>
      <c r="L9" s="61"/>
      <c r="M9" s="63"/>
    </row>
    <row r="10" spans="1:247" s="15" customFormat="1" ht="15" customHeight="1" x14ac:dyDescent="0.25">
      <c r="A10" s="38"/>
      <c r="B10" s="68">
        <v>550077</v>
      </c>
      <c r="C10" s="65" t="s">
        <v>841</v>
      </c>
      <c r="D10" s="1"/>
      <c r="E10" s="66">
        <v>13</v>
      </c>
      <c r="F10" s="66">
        <v>14.3</v>
      </c>
      <c r="G10" s="66" t="str">
        <f t="shared" ref="G10:G13" si="0">VLOOKUP(B10,EAN,3,0)</f>
        <v>8435057016537</v>
      </c>
      <c r="H10" s="64" t="s">
        <v>47</v>
      </c>
      <c r="I10" s="64">
        <v>6</v>
      </c>
      <c r="J10" s="95">
        <f t="shared" ref="J10:J14" si="1">D10/I10</f>
        <v>0</v>
      </c>
      <c r="K10" s="67">
        <f>'RESUMEN PEDIDO'!$C$29</f>
        <v>0</v>
      </c>
      <c r="L10" s="67">
        <f>'RESUMEN PEDIDO'!$C$30</f>
        <v>0</v>
      </c>
      <c r="M10" s="66">
        <f>(D10*(E10-(E10*K10)))-(D10*(E10-(E10*K10)))*L10</f>
        <v>0</v>
      </c>
    </row>
    <row r="11" spans="1:247" s="15" customFormat="1" ht="15" customHeight="1" x14ac:dyDescent="0.25">
      <c r="A11" s="38"/>
      <c r="B11" s="68">
        <v>550076</v>
      </c>
      <c r="C11" s="65" t="s">
        <v>842</v>
      </c>
      <c r="D11" s="1"/>
      <c r="E11" s="66">
        <v>13</v>
      </c>
      <c r="F11" s="66">
        <v>14.3</v>
      </c>
      <c r="G11" s="66" t="str">
        <f t="shared" si="0"/>
        <v>8435057016520</v>
      </c>
      <c r="H11" s="64" t="s">
        <v>47</v>
      </c>
      <c r="I11" s="64">
        <v>6</v>
      </c>
      <c r="J11" s="95">
        <f t="shared" si="1"/>
        <v>0</v>
      </c>
      <c r="K11" s="67">
        <f>'RESUMEN PEDIDO'!$C$29</f>
        <v>0</v>
      </c>
      <c r="L11" s="67">
        <f>'RESUMEN PEDIDO'!$C$30</f>
        <v>0</v>
      </c>
      <c r="M11" s="66">
        <f t="shared" ref="M11:M14" si="2">(D11*(E11-(E11*K11)))-(D11*(E11-(E11*K11)))*L11</f>
        <v>0</v>
      </c>
    </row>
    <row r="12" spans="1:247" s="15" customFormat="1" ht="15" customHeight="1" x14ac:dyDescent="0.25">
      <c r="A12" s="38"/>
      <c r="B12" s="68">
        <v>550075</v>
      </c>
      <c r="C12" s="65" t="s">
        <v>843</v>
      </c>
      <c r="D12" s="1"/>
      <c r="E12" s="66">
        <v>13</v>
      </c>
      <c r="F12" s="66">
        <v>14.3</v>
      </c>
      <c r="G12" s="66" t="str">
        <f t="shared" si="0"/>
        <v>8435057016513</v>
      </c>
      <c r="H12" s="64" t="s">
        <v>47</v>
      </c>
      <c r="I12" s="64">
        <v>6</v>
      </c>
      <c r="J12" s="95">
        <f t="shared" si="1"/>
        <v>0</v>
      </c>
      <c r="K12" s="67">
        <f>'RESUMEN PEDIDO'!$C$29</f>
        <v>0</v>
      </c>
      <c r="L12" s="67">
        <f>'RESUMEN PEDIDO'!$C$30</f>
        <v>0</v>
      </c>
      <c r="M12" s="66">
        <f t="shared" si="2"/>
        <v>0</v>
      </c>
    </row>
    <row r="13" spans="1:247" s="15" customFormat="1" ht="15" customHeight="1" x14ac:dyDescent="0.25">
      <c r="A13" s="38"/>
      <c r="B13" s="68">
        <v>550040</v>
      </c>
      <c r="C13" s="65" t="s">
        <v>36</v>
      </c>
      <c r="D13" s="1"/>
      <c r="E13" s="66">
        <v>18</v>
      </c>
      <c r="F13" s="66">
        <v>19.8</v>
      </c>
      <c r="G13" s="66" t="str">
        <f t="shared" si="0"/>
        <v>8435057013536</v>
      </c>
      <c r="H13" s="64" t="s">
        <v>37</v>
      </c>
      <c r="I13" s="64">
        <v>6</v>
      </c>
      <c r="J13" s="95">
        <f t="shared" si="1"/>
        <v>0</v>
      </c>
      <c r="K13" s="67">
        <f>'RESUMEN PEDIDO'!$C$29</f>
        <v>0</v>
      </c>
      <c r="L13" s="67">
        <f>'RESUMEN PEDIDO'!$C$30</f>
        <v>0</v>
      </c>
      <c r="M13" s="66">
        <f t="shared" si="2"/>
        <v>0</v>
      </c>
    </row>
    <row r="14" spans="1:247" s="15" customFormat="1" ht="15" customHeight="1" x14ac:dyDescent="0.25">
      <c r="A14" s="38"/>
      <c r="B14" s="68">
        <v>550092</v>
      </c>
      <c r="C14" s="65" t="s">
        <v>39</v>
      </c>
      <c r="D14" s="1"/>
      <c r="E14" s="66">
        <v>9</v>
      </c>
      <c r="F14" s="66">
        <v>9.9</v>
      </c>
      <c r="G14" s="226">
        <v>8435057020572</v>
      </c>
      <c r="H14" s="64" t="s">
        <v>40</v>
      </c>
      <c r="I14" s="64">
        <v>12</v>
      </c>
      <c r="J14" s="95">
        <f t="shared" si="1"/>
        <v>0</v>
      </c>
      <c r="K14" s="67">
        <f>'RESUMEN PEDIDO'!$C$29</f>
        <v>0</v>
      </c>
      <c r="L14" s="67">
        <f>'RESUMEN PEDIDO'!$C$30</f>
        <v>0</v>
      </c>
      <c r="M14" s="66">
        <f t="shared" si="2"/>
        <v>0</v>
      </c>
    </row>
    <row r="15" spans="1:247" s="15" customFormat="1" ht="15" customHeight="1" x14ac:dyDescent="0.25">
      <c r="A15" s="38"/>
      <c r="B15" s="60" t="s">
        <v>581</v>
      </c>
      <c r="C15" s="61"/>
      <c r="D15" s="62">
        <f>SUM(D16:D19)</f>
        <v>0</v>
      </c>
      <c r="E15" s="61"/>
      <c r="F15" s="61"/>
      <c r="G15" s="271"/>
      <c r="H15" s="81"/>
      <c r="I15" s="61"/>
      <c r="J15" s="94">
        <f>SUM(J16:J19)</f>
        <v>0</v>
      </c>
      <c r="K15" s="61"/>
      <c r="L15" s="61"/>
      <c r="M15" s="63"/>
    </row>
    <row r="16" spans="1:247" s="15" customFormat="1" ht="15" customHeight="1" x14ac:dyDescent="0.25">
      <c r="A16" s="38"/>
      <c r="B16" s="68">
        <v>550078</v>
      </c>
      <c r="C16" s="65" t="s">
        <v>844</v>
      </c>
      <c r="D16" s="1"/>
      <c r="E16" s="66">
        <v>15.5</v>
      </c>
      <c r="F16" s="66">
        <v>17.05</v>
      </c>
      <c r="G16" s="66" t="str">
        <f>VLOOKUP(B16,EAN,3,0)</f>
        <v>8435057016544</v>
      </c>
      <c r="H16" s="64" t="s">
        <v>41</v>
      </c>
      <c r="I16" s="64">
        <v>6</v>
      </c>
      <c r="J16" s="95">
        <f>D16/I16</f>
        <v>0</v>
      </c>
      <c r="K16" s="67">
        <f>'RESUMEN PEDIDO'!$C$29</f>
        <v>0</v>
      </c>
      <c r="L16" s="67">
        <f>'RESUMEN PEDIDO'!$C$30</f>
        <v>0</v>
      </c>
      <c r="M16" s="66">
        <f>(D16*(E16-(E16*K16)))-(D16*(E16-(E16*K16)))*L16</f>
        <v>0</v>
      </c>
    </row>
    <row r="17" spans="1:13" s="15" customFormat="1" ht="15" customHeight="1" x14ac:dyDescent="0.25">
      <c r="A17" s="38"/>
      <c r="B17" s="68">
        <v>550079</v>
      </c>
      <c r="C17" s="65" t="s">
        <v>14750</v>
      </c>
      <c r="D17" s="1"/>
      <c r="E17" s="66">
        <v>15.5</v>
      </c>
      <c r="F17" s="66">
        <v>17.05</v>
      </c>
      <c r="G17" s="66" t="str">
        <f>VLOOKUP(B17,EAN,3,0)</f>
        <v>8435057016551</v>
      </c>
      <c r="H17" s="64" t="s">
        <v>41</v>
      </c>
      <c r="I17" s="64">
        <v>6</v>
      </c>
      <c r="J17" s="95">
        <f>D17/I17</f>
        <v>0</v>
      </c>
      <c r="K17" s="67">
        <f>'RESUMEN PEDIDO'!$C$29</f>
        <v>0</v>
      </c>
      <c r="L17" s="67">
        <f>'RESUMEN PEDIDO'!$C$30</f>
        <v>0</v>
      </c>
      <c r="M17" s="66">
        <f>(D17*(E17-(E17*K17)))-(D17*(E17-(E17*K17)))*L17</f>
        <v>0</v>
      </c>
    </row>
    <row r="18" spans="1:13" s="15" customFormat="1" ht="15" customHeight="1" x14ac:dyDescent="0.25">
      <c r="A18" s="38"/>
      <c r="B18" s="68">
        <v>550084</v>
      </c>
      <c r="C18" s="65" t="s">
        <v>845</v>
      </c>
      <c r="D18" s="1"/>
      <c r="E18" s="66">
        <v>12</v>
      </c>
      <c r="F18" s="66">
        <v>13.200000000000001</v>
      </c>
      <c r="G18" s="66" t="str">
        <f>VLOOKUP(B18,EAN,3,0)</f>
        <v>8435057016605</v>
      </c>
      <c r="H18" s="64" t="s">
        <v>43</v>
      </c>
      <c r="I18" s="64">
        <v>6</v>
      </c>
      <c r="J18" s="95">
        <f>D18/I18</f>
        <v>0</v>
      </c>
      <c r="K18" s="67">
        <f>'RESUMEN PEDIDO'!$C$29</f>
        <v>0</v>
      </c>
      <c r="L18" s="67">
        <f>'RESUMEN PEDIDO'!$C$30</f>
        <v>0</v>
      </c>
      <c r="M18" s="66">
        <f>(D18*(E18-(E18*K18)))-(D18*(E18-(E18*K18)))*L18</f>
        <v>0</v>
      </c>
    </row>
    <row r="19" spans="1:13" s="15" customFormat="1" ht="15" customHeight="1" x14ac:dyDescent="0.25">
      <c r="A19" s="38"/>
      <c r="B19" s="68">
        <v>550085</v>
      </c>
      <c r="C19" s="65" t="s">
        <v>846</v>
      </c>
      <c r="D19" s="1"/>
      <c r="E19" s="66">
        <v>16.5</v>
      </c>
      <c r="F19" s="66">
        <v>18.150000000000002</v>
      </c>
      <c r="G19" s="66" t="str">
        <f>VLOOKUP(B19,EAN,3,0)</f>
        <v>8435057016612</v>
      </c>
      <c r="H19" s="64" t="s">
        <v>43</v>
      </c>
      <c r="I19" s="64">
        <v>6</v>
      </c>
      <c r="J19" s="95">
        <f>D19/I19</f>
        <v>0</v>
      </c>
      <c r="K19" s="67">
        <f>'RESUMEN PEDIDO'!$C$29</f>
        <v>0</v>
      </c>
      <c r="L19" s="67">
        <f>'RESUMEN PEDIDO'!$C$30</f>
        <v>0</v>
      </c>
      <c r="M19" s="66">
        <f>(D19*(E19-(E19*K19)))-(D19*(E19-(E19*K19)))*L19</f>
        <v>0</v>
      </c>
    </row>
    <row r="20" spans="1:13" s="15" customFormat="1" ht="15" customHeight="1" x14ac:dyDescent="0.25">
      <c r="A20" s="38"/>
      <c r="B20" s="60" t="s">
        <v>582</v>
      </c>
      <c r="C20" s="61"/>
      <c r="D20" s="62">
        <f>SUM(D21:D62)</f>
        <v>0</v>
      </c>
      <c r="E20" s="61"/>
      <c r="F20" s="61"/>
      <c r="G20" s="271"/>
      <c r="H20" s="81"/>
      <c r="I20" s="61"/>
      <c r="J20" s="94">
        <f>SUM(J21:J62)</f>
        <v>0</v>
      </c>
      <c r="K20" s="61"/>
      <c r="L20" s="61"/>
      <c r="M20" s="63"/>
    </row>
    <row r="21" spans="1:13" s="15" customFormat="1" ht="15" customHeight="1" x14ac:dyDescent="0.25">
      <c r="A21" s="38"/>
      <c r="B21" s="64">
        <v>511002</v>
      </c>
      <c r="C21" s="65" t="s">
        <v>14704</v>
      </c>
      <c r="D21" s="1"/>
      <c r="E21" s="66">
        <v>14</v>
      </c>
      <c r="F21" s="66">
        <v>15.4</v>
      </c>
      <c r="G21" s="226" t="s">
        <v>11388</v>
      </c>
      <c r="H21" s="64" t="s">
        <v>47</v>
      </c>
      <c r="I21" s="64">
        <v>6</v>
      </c>
      <c r="J21" s="95">
        <f t="shared" ref="J21:J51" si="3">D21/I21</f>
        <v>0</v>
      </c>
      <c r="K21" s="67">
        <f>'RESUMEN PEDIDO'!$C$29</f>
        <v>0</v>
      </c>
      <c r="L21" s="67">
        <f>'RESUMEN PEDIDO'!$C$30</f>
        <v>0</v>
      </c>
      <c r="M21" s="66">
        <f t="shared" ref="M21:M34" si="4">(D21*(E21-(E21*K21)))-(D21*(E21-(E21*K21)))*L21</f>
        <v>0</v>
      </c>
    </row>
    <row r="22" spans="1:13" s="15" customFormat="1" ht="15" customHeight="1" x14ac:dyDescent="0.25">
      <c r="A22" s="38"/>
      <c r="B22" s="64">
        <v>511004</v>
      </c>
      <c r="C22" s="65" t="s">
        <v>14705</v>
      </c>
      <c r="D22" s="1"/>
      <c r="E22" s="66">
        <v>14</v>
      </c>
      <c r="F22" s="66">
        <v>15.4</v>
      </c>
      <c r="G22" s="226" t="s">
        <v>11392</v>
      </c>
      <c r="H22" s="64" t="s">
        <v>47</v>
      </c>
      <c r="I22" s="64">
        <v>6</v>
      </c>
      <c r="J22" s="95">
        <f t="shared" si="3"/>
        <v>0</v>
      </c>
      <c r="K22" s="67">
        <f>'RESUMEN PEDIDO'!$C$29</f>
        <v>0</v>
      </c>
      <c r="L22" s="67">
        <f>'RESUMEN PEDIDO'!$C$30</f>
        <v>0</v>
      </c>
      <c r="M22" s="66">
        <f t="shared" si="4"/>
        <v>0</v>
      </c>
    </row>
    <row r="23" spans="1:13" s="15" customFormat="1" ht="15" customHeight="1" x14ac:dyDescent="0.25">
      <c r="A23" s="38"/>
      <c r="B23" s="64">
        <v>511006</v>
      </c>
      <c r="C23" s="65" t="s">
        <v>14706</v>
      </c>
      <c r="D23" s="1"/>
      <c r="E23" s="66">
        <v>17.5</v>
      </c>
      <c r="F23" s="66">
        <v>19.25</v>
      </c>
      <c r="G23" s="226" t="s">
        <v>11396</v>
      </c>
      <c r="H23" s="64" t="s">
        <v>27</v>
      </c>
      <c r="I23" s="64">
        <v>6</v>
      </c>
      <c r="J23" s="95">
        <f t="shared" si="3"/>
        <v>0</v>
      </c>
      <c r="K23" s="67">
        <f>'RESUMEN PEDIDO'!$C$29</f>
        <v>0</v>
      </c>
      <c r="L23" s="67">
        <f>'RESUMEN PEDIDO'!$C$30</f>
        <v>0</v>
      </c>
      <c r="M23" s="66">
        <f t="shared" si="4"/>
        <v>0</v>
      </c>
    </row>
    <row r="24" spans="1:13" s="15" customFormat="1" ht="15" customHeight="1" x14ac:dyDescent="0.25">
      <c r="A24" s="38"/>
      <c r="B24" s="64">
        <v>511009</v>
      </c>
      <c r="C24" s="65" t="s">
        <v>14713</v>
      </c>
      <c r="D24" s="1"/>
      <c r="E24" s="66">
        <v>13.6</v>
      </c>
      <c r="F24" s="66">
        <v>14.950000000000001</v>
      </c>
      <c r="G24" s="226" t="s">
        <v>11402</v>
      </c>
      <c r="H24" s="64" t="s">
        <v>27</v>
      </c>
      <c r="I24" s="64">
        <v>6</v>
      </c>
      <c r="J24" s="95">
        <f t="shared" si="3"/>
        <v>0</v>
      </c>
      <c r="K24" s="67">
        <f>'RESUMEN PEDIDO'!$C$29</f>
        <v>0</v>
      </c>
      <c r="L24" s="67">
        <f>'RESUMEN PEDIDO'!$C$30</f>
        <v>0</v>
      </c>
      <c r="M24" s="66">
        <f t="shared" si="4"/>
        <v>0</v>
      </c>
    </row>
    <row r="25" spans="1:13" s="15" customFormat="1" ht="15" customHeight="1" x14ac:dyDescent="0.25">
      <c r="A25" s="38"/>
      <c r="B25" s="64">
        <v>511010</v>
      </c>
      <c r="C25" s="65" t="s">
        <v>14714</v>
      </c>
      <c r="D25" s="1"/>
      <c r="E25" s="66">
        <v>16.399999999999999</v>
      </c>
      <c r="F25" s="66">
        <v>18.05</v>
      </c>
      <c r="G25" s="226" t="s">
        <v>11404</v>
      </c>
      <c r="H25" s="64" t="s">
        <v>43</v>
      </c>
      <c r="I25" s="64">
        <v>6</v>
      </c>
      <c r="J25" s="95">
        <f t="shared" si="3"/>
        <v>0</v>
      </c>
      <c r="K25" s="67">
        <f>'RESUMEN PEDIDO'!$C$29</f>
        <v>0</v>
      </c>
      <c r="L25" s="67">
        <f>'RESUMEN PEDIDO'!$C$30</f>
        <v>0</v>
      </c>
      <c r="M25" s="66">
        <f t="shared" si="4"/>
        <v>0</v>
      </c>
    </row>
    <row r="26" spans="1:13" s="15" customFormat="1" ht="15" customHeight="1" x14ac:dyDescent="0.25">
      <c r="A26" s="38"/>
      <c r="B26" s="68">
        <v>511149</v>
      </c>
      <c r="C26" s="275" t="s">
        <v>15160</v>
      </c>
      <c r="D26" s="1"/>
      <c r="E26" s="66">
        <v>45.1</v>
      </c>
      <c r="F26" s="66">
        <v>49.6</v>
      </c>
      <c r="G26" s="226">
        <v>8435057020411</v>
      </c>
      <c r="H26" s="64" t="s">
        <v>15126</v>
      </c>
      <c r="I26" s="64">
        <v>6</v>
      </c>
      <c r="J26" s="95">
        <f t="shared" ref="J26:J27" si="5">D26/I26</f>
        <v>0</v>
      </c>
      <c r="K26" s="67">
        <f>'RESUMEN PEDIDO'!$C$29</f>
        <v>0</v>
      </c>
      <c r="L26" s="67">
        <f>'RESUMEN PEDIDO'!$C$30</f>
        <v>0</v>
      </c>
      <c r="M26" s="66">
        <f t="shared" ref="M26:M27" si="6">(D26*(E26-(E26*K26)))-(D26*(E26-(E26*K26)))*L26</f>
        <v>0</v>
      </c>
    </row>
    <row r="27" spans="1:13" s="15" customFormat="1" ht="15" customHeight="1" x14ac:dyDescent="0.25">
      <c r="A27" s="38"/>
      <c r="B27" s="68">
        <v>511150</v>
      </c>
      <c r="C27" s="275" t="s">
        <v>15161</v>
      </c>
      <c r="D27" s="1"/>
      <c r="E27" s="66">
        <v>47.9</v>
      </c>
      <c r="F27" s="66">
        <v>52.7</v>
      </c>
      <c r="G27" s="226">
        <v>8435057020428</v>
      </c>
      <c r="H27" s="64" t="s">
        <v>14761</v>
      </c>
      <c r="I27" s="64">
        <v>6</v>
      </c>
      <c r="J27" s="95">
        <f t="shared" si="5"/>
        <v>0</v>
      </c>
      <c r="K27" s="67">
        <f>'RESUMEN PEDIDO'!$C$29</f>
        <v>0</v>
      </c>
      <c r="L27" s="67">
        <f>'RESUMEN PEDIDO'!$C$30</f>
        <v>0</v>
      </c>
      <c r="M27" s="66">
        <f t="shared" si="6"/>
        <v>0</v>
      </c>
    </row>
    <row r="28" spans="1:13" s="15" customFormat="1" ht="15" customHeight="1" x14ac:dyDescent="0.25">
      <c r="A28" s="38"/>
      <c r="B28" s="64">
        <v>511011</v>
      </c>
      <c r="C28" s="65" t="s">
        <v>14708</v>
      </c>
      <c r="D28" s="1"/>
      <c r="E28" s="66">
        <v>14</v>
      </c>
      <c r="F28" s="66">
        <v>15.4</v>
      </c>
      <c r="G28" s="226" t="s">
        <v>11406</v>
      </c>
      <c r="H28" s="64" t="s">
        <v>47</v>
      </c>
      <c r="I28" s="64">
        <v>6</v>
      </c>
      <c r="J28" s="95">
        <f t="shared" ref="J28" si="7">D28/I28</f>
        <v>0</v>
      </c>
      <c r="K28" s="67">
        <f>'RESUMEN PEDIDO'!$C$29</f>
        <v>0</v>
      </c>
      <c r="L28" s="67">
        <f>'RESUMEN PEDIDO'!$C$30</f>
        <v>0</v>
      </c>
      <c r="M28" s="66">
        <f t="shared" ref="M28" si="8">(D28*(E28-(E28*K28)))-(D28*(E28-(E28*K28)))*L28</f>
        <v>0</v>
      </c>
    </row>
    <row r="29" spans="1:13" s="15" customFormat="1" ht="15" customHeight="1" x14ac:dyDescent="0.25">
      <c r="A29" s="38"/>
      <c r="B29" s="64">
        <v>511013</v>
      </c>
      <c r="C29" s="65" t="s">
        <v>14709</v>
      </c>
      <c r="D29" s="1"/>
      <c r="E29" s="66">
        <v>17.5</v>
      </c>
      <c r="F29" s="66">
        <v>19.25</v>
      </c>
      <c r="G29" s="226" t="s">
        <v>11410</v>
      </c>
      <c r="H29" s="64" t="s">
        <v>27</v>
      </c>
      <c r="I29" s="64">
        <v>6</v>
      </c>
      <c r="J29" s="95">
        <f t="shared" si="3"/>
        <v>0</v>
      </c>
      <c r="K29" s="67">
        <f>'RESUMEN PEDIDO'!$C$29</f>
        <v>0</v>
      </c>
      <c r="L29" s="67">
        <f>'RESUMEN PEDIDO'!$C$30</f>
        <v>0</v>
      </c>
      <c r="M29" s="66">
        <f t="shared" si="4"/>
        <v>0</v>
      </c>
    </row>
    <row r="30" spans="1:13" s="15" customFormat="1" ht="15" customHeight="1" x14ac:dyDescent="0.25">
      <c r="A30" s="38"/>
      <c r="B30" s="64">
        <v>511016</v>
      </c>
      <c r="C30" s="65" t="s">
        <v>14715</v>
      </c>
      <c r="D30" s="1"/>
      <c r="E30" s="66">
        <v>16.399999999999999</v>
      </c>
      <c r="F30" s="66">
        <v>18.05</v>
      </c>
      <c r="G30" s="226" t="s">
        <v>11416</v>
      </c>
      <c r="H30" s="64" t="s">
        <v>43</v>
      </c>
      <c r="I30" s="64">
        <v>6</v>
      </c>
      <c r="J30" s="95">
        <f t="shared" si="3"/>
        <v>0</v>
      </c>
      <c r="K30" s="67">
        <f>'RESUMEN PEDIDO'!$C$29</f>
        <v>0</v>
      </c>
      <c r="L30" s="67">
        <f>'RESUMEN PEDIDO'!$C$30</f>
        <v>0</v>
      </c>
      <c r="M30" s="66">
        <f t="shared" si="4"/>
        <v>0</v>
      </c>
    </row>
    <row r="31" spans="1:13" s="15" customFormat="1" ht="15" customHeight="1" x14ac:dyDescent="0.25">
      <c r="A31" s="38"/>
      <c r="B31" s="68">
        <v>511151</v>
      </c>
      <c r="C31" s="275" t="s">
        <v>15162</v>
      </c>
      <c r="D31" s="1"/>
      <c r="E31" s="66">
        <v>47.9</v>
      </c>
      <c r="F31" s="66">
        <v>52.7</v>
      </c>
      <c r="G31" s="226">
        <v>8435057020435</v>
      </c>
      <c r="H31" s="64" t="s">
        <v>14761</v>
      </c>
      <c r="I31" s="64">
        <v>6</v>
      </c>
      <c r="J31" s="95">
        <f t="shared" ref="J31" si="9">D31/I31</f>
        <v>0</v>
      </c>
      <c r="K31" s="67">
        <f>'RESUMEN PEDIDO'!$C$29</f>
        <v>0</v>
      </c>
      <c r="L31" s="67">
        <f>'RESUMEN PEDIDO'!$C$30</f>
        <v>0</v>
      </c>
      <c r="M31" s="66">
        <f t="shared" ref="M31" si="10">(D31*(E31-(E31*K31)))-(D31*(E31-(E31*K31)))*L31</f>
        <v>0</v>
      </c>
    </row>
    <row r="32" spans="1:13" s="15" customFormat="1" ht="15" customHeight="1" x14ac:dyDescent="0.25">
      <c r="A32" s="38"/>
      <c r="B32" s="64">
        <v>511017</v>
      </c>
      <c r="C32" s="65" t="s">
        <v>14711</v>
      </c>
      <c r="D32" s="1"/>
      <c r="E32" s="66">
        <v>14</v>
      </c>
      <c r="F32" s="66">
        <v>15.4</v>
      </c>
      <c r="G32" s="226" t="s">
        <v>11418</v>
      </c>
      <c r="H32" s="64" t="s">
        <v>47</v>
      </c>
      <c r="I32" s="64">
        <v>6</v>
      </c>
      <c r="J32" s="95">
        <f t="shared" si="3"/>
        <v>0</v>
      </c>
      <c r="K32" s="67">
        <f>'RESUMEN PEDIDO'!$C$29</f>
        <v>0</v>
      </c>
      <c r="L32" s="67">
        <f>'RESUMEN PEDIDO'!$C$30</f>
        <v>0</v>
      </c>
      <c r="M32" s="66">
        <f t="shared" si="4"/>
        <v>0</v>
      </c>
    </row>
    <row r="33" spans="1:13" s="15" customFormat="1" ht="15" customHeight="1" x14ac:dyDescent="0.25">
      <c r="A33" s="38"/>
      <c r="B33" s="64">
        <v>511019</v>
      </c>
      <c r="C33" s="65" t="s">
        <v>14716</v>
      </c>
      <c r="D33" s="1"/>
      <c r="E33" s="66">
        <v>17.5</v>
      </c>
      <c r="F33" s="66">
        <v>19.25</v>
      </c>
      <c r="G33" s="226" t="s">
        <v>11422</v>
      </c>
      <c r="H33" s="64" t="s">
        <v>27</v>
      </c>
      <c r="I33" s="64">
        <v>6</v>
      </c>
      <c r="J33" s="95">
        <f t="shared" si="3"/>
        <v>0</v>
      </c>
      <c r="K33" s="67">
        <f>'RESUMEN PEDIDO'!$C$29</f>
        <v>0</v>
      </c>
      <c r="L33" s="67">
        <f>'RESUMEN PEDIDO'!$C$30</f>
        <v>0</v>
      </c>
      <c r="M33" s="66">
        <f t="shared" si="4"/>
        <v>0</v>
      </c>
    </row>
    <row r="34" spans="1:13" s="15" customFormat="1" ht="15" customHeight="1" x14ac:dyDescent="0.25">
      <c r="A34" s="38"/>
      <c r="B34" s="64">
        <v>511020</v>
      </c>
      <c r="C34" s="65" t="s">
        <v>14717</v>
      </c>
      <c r="D34" s="1"/>
      <c r="E34" s="66">
        <v>15.3</v>
      </c>
      <c r="F34" s="66">
        <v>16.850000000000001</v>
      </c>
      <c r="G34" s="226" t="s">
        <v>11424</v>
      </c>
      <c r="H34" s="64" t="s">
        <v>43</v>
      </c>
      <c r="I34" s="64">
        <v>6</v>
      </c>
      <c r="J34" s="95">
        <f t="shared" si="3"/>
        <v>0</v>
      </c>
      <c r="K34" s="67">
        <f>'RESUMEN PEDIDO'!$C$29</f>
        <v>0</v>
      </c>
      <c r="L34" s="67">
        <f>'RESUMEN PEDIDO'!$C$30</f>
        <v>0</v>
      </c>
      <c r="M34" s="66">
        <f t="shared" si="4"/>
        <v>0</v>
      </c>
    </row>
    <row r="35" spans="1:13" s="15" customFormat="1" ht="15" customHeight="1" x14ac:dyDescent="0.25">
      <c r="A35" s="38"/>
      <c r="B35" s="305">
        <v>511152</v>
      </c>
      <c r="C35" s="275" t="s">
        <v>15165</v>
      </c>
      <c r="D35" s="276"/>
      <c r="E35" s="66">
        <v>46.8</v>
      </c>
      <c r="F35" s="66">
        <v>51.5</v>
      </c>
      <c r="G35" s="277">
        <v>8435057020442</v>
      </c>
      <c r="H35" s="64" t="s">
        <v>14761</v>
      </c>
      <c r="I35" s="64">
        <v>6</v>
      </c>
      <c r="J35" s="95">
        <f t="shared" ref="J35" si="11">D35/I35</f>
        <v>0</v>
      </c>
      <c r="K35" s="67">
        <f>'RESUMEN PEDIDO'!$C$29</f>
        <v>0</v>
      </c>
      <c r="L35" s="67">
        <f>'RESUMEN PEDIDO'!$C$30</f>
        <v>0</v>
      </c>
      <c r="M35" s="66">
        <f t="shared" ref="M35" si="12">(D35*(E35-(E35*K35)))-(D35*(E35-(E35*K35)))*L35</f>
        <v>0</v>
      </c>
    </row>
    <row r="36" spans="1:13" s="15" customFormat="1" ht="15" customHeight="1" x14ac:dyDescent="0.25">
      <c r="A36" s="38"/>
      <c r="B36" s="274">
        <v>511047</v>
      </c>
      <c r="C36" s="65" t="s">
        <v>14889</v>
      </c>
      <c r="D36" s="276"/>
      <c r="E36" s="66">
        <v>14</v>
      </c>
      <c r="F36" s="66">
        <v>15.4</v>
      </c>
      <c r="G36" s="277">
        <v>8435057019019</v>
      </c>
      <c r="H36" s="64" t="s">
        <v>47</v>
      </c>
      <c r="I36" s="64">
        <v>6</v>
      </c>
      <c r="J36" s="95">
        <f t="shared" si="3"/>
        <v>0</v>
      </c>
      <c r="K36" s="67">
        <f>'RESUMEN PEDIDO'!$C$29</f>
        <v>0</v>
      </c>
      <c r="L36" s="67">
        <f>'RESUMEN PEDIDO'!$C$30</f>
        <v>0</v>
      </c>
      <c r="M36" s="66">
        <f t="shared" ref="M36:M46" si="13">(D36*(E36-(E36*K36)))-(D36*(E36-(E36*K36)))*L36</f>
        <v>0</v>
      </c>
    </row>
    <row r="37" spans="1:13" s="15" customFormat="1" ht="15" customHeight="1" x14ac:dyDescent="0.25">
      <c r="A37" s="38"/>
      <c r="B37" s="274">
        <v>511051</v>
      </c>
      <c r="C37" s="65" t="s">
        <v>14890</v>
      </c>
      <c r="D37" s="276"/>
      <c r="E37" s="66">
        <v>17.5</v>
      </c>
      <c r="F37" s="66">
        <v>19.25</v>
      </c>
      <c r="G37" s="277">
        <v>8435057019057</v>
      </c>
      <c r="H37" s="64" t="s">
        <v>27</v>
      </c>
      <c r="I37" s="64">
        <v>6</v>
      </c>
      <c r="J37" s="95">
        <f t="shared" si="3"/>
        <v>0</v>
      </c>
      <c r="K37" s="67">
        <f>'RESUMEN PEDIDO'!$C$29</f>
        <v>0</v>
      </c>
      <c r="L37" s="67">
        <f>'RESUMEN PEDIDO'!$C$30</f>
        <v>0</v>
      </c>
      <c r="M37" s="66">
        <f t="shared" si="13"/>
        <v>0</v>
      </c>
    </row>
    <row r="38" spans="1:13" s="15" customFormat="1" ht="15" customHeight="1" x14ac:dyDescent="0.25">
      <c r="A38" s="38"/>
      <c r="B38" s="274">
        <v>511055</v>
      </c>
      <c r="C38" s="65" t="s">
        <v>14810</v>
      </c>
      <c r="D38" s="276"/>
      <c r="E38" s="66">
        <v>16.399999999999999</v>
      </c>
      <c r="F38" s="66">
        <v>18.05</v>
      </c>
      <c r="G38" s="277">
        <v>8435057019095</v>
      </c>
      <c r="H38" s="64" t="s">
        <v>43</v>
      </c>
      <c r="I38" s="64">
        <v>6</v>
      </c>
      <c r="J38" s="95">
        <f t="shared" si="3"/>
        <v>0</v>
      </c>
      <c r="K38" s="67">
        <f>'RESUMEN PEDIDO'!$C$29</f>
        <v>0</v>
      </c>
      <c r="L38" s="67">
        <f>'RESUMEN PEDIDO'!$C$30</f>
        <v>0</v>
      </c>
      <c r="M38" s="66">
        <f t="shared" si="13"/>
        <v>0</v>
      </c>
    </row>
    <row r="39" spans="1:13" s="15" customFormat="1" ht="15" customHeight="1" x14ac:dyDescent="0.25">
      <c r="A39" s="38"/>
      <c r="B39" s="305">
        <v>511153</v>
      </c>
      <c r="C39" s="275" t="s">
        <v>15166</v>
      </c>
      <c r="D39" s="276"/>
      <c r="E39" s="66">
        <v>47.9</v>
      </c>
      <c r="F39" s="66">
        <v>52.7</v>
      </c>
      <c r="G39" s="277">
        <v>8435057020459</v>
      </c>
      <c r="H39" s="64" t="s">
        <v>14761</v>
      </c>
      <c r="I39" s="64">
        <v>6</v>
      </c>
      <c r="J39" s="95">
        <f t="shared" ref="J39" si="14">D39/I39</f>
        <v>0</v>
      </c>
      <c r="K39" s="67">
        <f>'RESUMEN PEDIDO'!$C$29</f>
        <v>0</v>
      </c>
      <c r="L39" s="67">
        <f>'RESUMEN PEDIDO'!$C$30</f>
        <v>0</v>
      </c>
      <c r="M39" s="66">
        <f t="shared" si="13"/>
        <v>0</v>
      </c>
    </row>
    <row r="40" spans="1:13" s="15" customFormat="1" ht="15" customHeight="1" x14ac:dyDescent="0.25">
      <c r="A40" s="38"/>
      <c r="B40" s="274">
        <v>511049</v>
      </c>
      <c r="C40" s="275" t="s">
        <v>14792</v>
      </c>
      <c r="D40" s="276"/>
      <c r="E40" s="66">
        <v>14</v>
      </c>
      <c r="F40" s="66">
        <v>15.4</v>
      </c>
      <c r="G40" s="277">
        <v>8435057019033</v>
      </c>
      <c r="H40" s="64" t="s">
        <v>47</v>
      </c>
      <c r="I40" s="64">
        <v>6</v>
      </c>
      <c r="J40" s="95">
        <f t="shared" si="3"/>
        <v>0</v>
      </c>
      <c r="K40" s="67">
        <f>'RESUMEN PEDIDO'!$C$29</f>
        <v>0</v>
      </c>
      <c r="L40" s="67">
        <f>'RESUMEN PEDIDO'!$C$30</f>
        <v>0</v>
      </c>
      <c r="M40" s="66">
        <f t="shared" si="13"/>
        <v>0</v>
      </c>
    </row>
    <row r="41" spans="1:13" s="15" customFormat="1" ht="15" customHeight="1" x14ac:dyDescent="0.25">
      <c r="A41" s="38"/>
      <c r="B41" s="274">
        <v>511053</v>
      </c>
      <c r="C41" s="275" t="s">
        <v>14793</v>
      </c>
      <c r="D41" s="276"/>
      <c r="E41" s="66">
        <v>17.5</v>
      </c>
      <c r="F41" s="66">
        <v>19.25</v>
      </c>
      <c r="G41" s="277">
        <v>8435057019071</v>
      </c>
      <c r="H41" s="64" t="s">
        <v>27</v>
      </c>
      <c r="I41" s="64">
        <v>6</v>
      </c>
      <c r="J41" s="95">
        <f t="shared" si="3"/>
        <v>0</v>
      </c>
      <c r="K41" s="67">
        <f>'RESUMEN PEDIDO'!$C$29</f>
        <v>0</v>
      </c>
      <c r="L41" s="67">
        <f>'RESUMEN PEDIDO'!$C$30</f>
        <v>0</v>
      </c>
      <c r="M41" s="66">
        <f t="shared" si="13"/>
        <v>0</v>
      </c>
    </row>
    <row r="42" spans="1:13" s="15" customFormat="1" ht="15" customHeight="1" x14ac:dyDescent="0.25">
      <c r="A42" s="38"/>
      <c r="B42" s="274">
        <v>511021</v>
      </c>
      <c r="C42" s="275" t="s">
        <v>14794</v>
      </c>
      <c r="D42" s="276"/>
      <c r="E42" s="66">
        <v>14</v>
      </c>
      <c r="F42" s="66">
        <v>15.4</v>
      </c>
      <c r="G42" s="277">
        <v>8435057018203</v>
      </c>
      <c r="H42" s="64" t="s">
        <v>47</v>
      </c>
      <c r="I42" s="64">
        <v>6</v>
      </c>
      <c r="J42" s="95">
        <f t="shared" si="3"/>
        <v>0</v>
      </c>
      <c r="K42" s="67">
        <f>'RESUMEN PEDIDO'!$C$29</f>
        <v>0</v>
      </c>
      <c r="L42" s="67">
        <f>'RESUMEN PEDIDO'!$C$30</f>
        <v>0</v>
      </c>
      <c r="M42" s="66">
        <f t="shared" si="13"/>
        <v>0</v>
      </c>
    </row>
    <row r="43" spans="1:13" s="15" customFormat="1" ht="15" customHeight="1" x14ac:dyDescent="0.25">
      <c r="A43" s="38"/>
      <c r="B43" s="274">
        <v>511022</v>
      </c>
      <c r="C43" s="275" t="s">
        <v>14795</v>
      </c>
      <c r="D43" s="276"/>
      <c r="E43" s="66">
        <v>17</v>
      </c>
      <c r="F43" s="66">
        <v>18.7</v>
      </c>
      <c r="G43" s="277">
        <v>8435057018210</v>
      </c>
      <c r="H43" s="64" t="s">
        <v>27</v>
      </c>
      <c r="I43" s="64">
        <v>6</v>
      </c>
      <c r="J43" s="95">
        <f t="shared" si="3"/>
        <v>0</v>
      </c>
      <c r="K43" s="67">
        <f>'RESUMEN PEDIDO'!$C$29</f>
        <v>0</v>
      </c>
      <c r="L43" s="67">
        <f>'RESUMEN PEDIDO'!$C$30</f>
        <v>0</v>
      </c>
      <c r="M43" s="66">
        <f t="shared" si="13"/>
        <v>0</v>
      </c>
    </row>
    <row r="44" spans="1:13" s="15" customFormat="1" ht="15" customHeight="1" x14ac:dyDescent="0.25">
      <c r="A44" s="38"/>
      <c r="B44" s="64">
        <v>511023</v>
      </c>
      <c r="C44" s="65" t="s">
        <v>14796</v>
      </c>
      <c r="D44" s="1"/>
      <c r="E44" s="66">
        <v>18.5</v>
      </c>
      <c r="F44" s="66">
        <v>20.350000000000001</v>
      </c>
      <c r="G44" s="226">
        <v>8435057018227</v>
      </c>
      <c r="H44" s="64" t="s">
        <v>27</v>
      </c>
      <c r="I44" s="64">
        <v>6</v>
      </c>
      <c r="J44" s="95">
        <f t="shared" si="3"/>
        <v>0</v>
      </c>
      <c r="K44" s="67">
        <f>'RESUMEN PEDIDO'!$C$29</f>
        <v>0</v>
      </c>
      <c r="L44" s="67">
        <f>'RESUMEN PEDIDO'!$C$30</f>
        <v>0</v>
      </c>
      <c r="M44" s="66">
        <f t="shared" si="13"/>
        <v>0</v>
      </c>
    </row>
    <row r="45" spans="1:13" s="15" customFormat="1" ht="15" customHeight="1" x14ac:dyDescent="0.25">
      <c r="A45" s="38"/>
      <c r="B45" s="298">
        <v>511081</v>
      </c>
      <c r="C45" s="295" t="s">
        <v>14917</v>
      </c>
      <c r="D45" s="299"/>
      <c r="E45" s="66">
        <v>14</v>
      </c>
      <c r="F45" s="66">
        <v>15.4</v>
      </c>
      <c r="G45" s="300">
        <v>8435057019514</v>
      </c>
      <c r="H45" s="296" t="s">
        <v>47</v>
      </c>
      <c r="I45" s="296">
        <v>6</v>
      </c>
      <c r="J45" s="95">
        <f t="shared" si="3"/>
        <v>0</v>
      </c>
      <c r="K45" s="297">
        <f>'RESUMEN PEDIDO'!$C$29</f>
        <v>0</v>
      </c>
      <c r="L45" s="297">
        <f>'RESUMEN PEDIDO'!$C$30</f>
        <v>0</v>
      </c>
      <c r="M45" s="66">
        <f t="shared" si="13"/>
        <v>0</v>
      </c>
    </row>
    <row r="46" spans="1:13" s="15" customFormat="1" ht="15" customHeight="1" x14ac:dyDescent="0.25">
      <c r="A46" s="38"/>
      <c r="B46" s="274">
        <v>511086</v>
      </c>
      <c r="C46" s="65" t="s">
        <v>14918</v>
      </c>
      <c r="D46" s="276"/>
      <c r="E46" s="66">
        <v>17.5</v>
      </c>
      <c r="F46" s="66">
        <v>19.25</v>
      </c>
      <c r="G46" s="294">
        <v>8435057019569</v>
      </c>
      <c r="H46" s="64" t="s">
        <v>27</v>
      </c>
      <c r="I46" s="64">
        <v>6</v>
      </c>
      <c r="J46" s="95">
        <f t="shared" si="3"/>
        <v>0</v>
      </c>
      <c r="K46" s="67">
        <f>'RESUMEN PEDIDO'!$C$29</f>
        <v>0</v>
      </c>
      <c r="L46" s="67">
        <f>'RESUMEN PEDIDO'!$C$30</f>
        <v>0</v>
      </c>
      <c r="M46" s="66">
        <f t="shared" si="13"/>
        <v>0</v>
      </c>
    </row>
    <row r="47" spans="1:13" s="15" customFormat="1" ht="15" customHeight="1" x14ac:dyDescent="0.25">
      <c r="A47" s="38"/>
      <c r="B47" s="274">
        <v>511090</v>
      </c>
      <c r="C47" s="275" t="s">
        <v>14936</v>
      </c>
      <c r="D47" s="276"/>
      <c r="E47" s="302">
        <v>16</v>
      </c>
      <c r="F47" s="302">
        <v>17.600000000000001</v>
      </c>
      <c r="G47" s="294">
        <v>8435057019606</v>
      </c>
      <c r="H47" s="274" t="s">
        <v>43</v>
      </c>
      <c r="I47" s="274">
        <v>6</v>
      </c>
      <c r="J47" s="95">
        <f t="shared" si="3"/>
        <v>0</v>
      </c>
      <c r="K47" s="67">
        <f>'RESUMEN PEDIDO'!$C$29</f>
        <v>0</v>
      </c>
      <c r="L47" s="67">
        <f>'RESUMEN PEDIDO'!$C$30</f>
        <v>0</v>
      </c>
      <c r="M47" s="66">
        <f t="shared" ref="M47:M54" si="15">(D47*(E47-(E47*K47)))-(D47*(E47-(E47*K47)))*L47</f>
        <v>0</v>
      </c>
    </row>
    <row r="48" spans="1:13" s="15" customFormat="1" ht="15" customHeight="1" x14ac:dyDescent="0.25">
      <c r="A48" s="38"/>
      <c r="B48" s="68">
        <v>511154</v>
      </c>
      <c r="C48" s="275" t="s">
        <v>15163</v>
      </c>
      <c r="D48" s="276"/>
      <c r="E48" s="66">
        <v>47.5</v>
      </c>
      <c r="F48" s="66">
        <v>52.25</v>
      </c>
      <c r="G48" s="306">
        <v>8435057020466</v>
      </c>
      <c r="H48" s="64" t="s">
        <v>14761</v>
      </c>
      <c r="I48" s="64">
        <v>6</v>
      </c>
      <c r="J48" s="95">
        <f t="shared" ref="J48" si="16">D48/I48</f>
        <v>0</v>
      </c>
      <c r="K48" s="67">
        <f>'RESUMEN PEDIDO'!$C$29</f>
        <v>0</v>
      </c>
      <c r="L48" s="67">
        <f>'RESUMEN PEDIDO'!$C$30</f>
        <v>0</v>
      </c>
      <c r="M48" s="66">
        <f t="shared" si="15"/>
        <v>0</v>
      </c>
    </row>
    <row r="49" spans="1:13" s="15" customFormat="1" ht="15" customHeight="1" x14ac:dyDescent="0.25">
      <c r="A49" s="38"/>
      <c r="B49" s="274">
        <v>511083</v>
      </c>
      <c r="C49" s="275" t="s">
        <v>14923</v>
      </c>
      <c r="D49" s="276"/>
      <c r="E49" s="66">
        <v>14</v>
      </c>
      <c r="F49" s="66">
        <v>15.4</v>
      </c>
      <c r="G49" s="294">
        <v>8435057019538</v>
      </c>
      <c r="H49" s="274" t="s">
        <v>47</v>
      </c>
      <c r="I49" s="274">
        <v>6</v>
      </c>
      <c r="J49" s="95">
        <f t="shared" si="3"/>
        <v>0</v>
      </c>
      <c r="K49" s="67">
        <f>'RESUMEN PEDIDO'!$C$29</f>
        <v>0</v>
      </c>
      <c r="L49" s="67">
        <f>'RESUMEN PEDIDO'!$C$30</f>
        <v>0</v>
      </c>
      <c r="M49" s="66">
        <f t="shared" si="15"/>
        <v>0</v>
      </c>
    </row>
    <row r="50" spans="1:13" s="15" customFormat="1" ht="15" customHeight="1" x14ac:dyDescent="0.25">
      <c r="A50" s="38"/>
      <c r="B50" s="274">
        <v>511088</v>
      </c>
      <c r="C50" s="275" t="s">
        <v>14924</v>
      </c>
      <c r="D50" s="276"/>
      <c r="E50" s="66">
        <v>17.5</v>
      </c>
      <c r="F50" s="66">
        <v>19.25</v>
      </c>
      <c r="G50" s="294">
        <v>8435057019583</v>
      </c>
      <c r="H50" s="274" t="s">
        <v>27</v>
      </c>
      <c r="I50" s="274">
        <v>6</v>
      </c>
      <c r="J50" s="95">
        <f t="shared" si="3"/>
        <v>0</v>
      </c>
      <c r="K50" s="67">
        <f>'RESUMEN PEDIDO'!$C$29</f>
        <v>0</v>
      </c>
      <c r="L50" s="67">
        <f>'RESUMEN PEDIDO'!$C$30</f>
        <v>0</v>
      </c>
      <c r="M50" s="66">
        <f t="shared" si="15"/>
        <v>0</v>
      </c>
    </row>
    <row r="51" spans="1:13" s="15" customFormat="1" ht="15" customHeight="1" x14ac:dyDescent="0.25">
      <c r="A51" s="38"/>
      <c r="B51" s="274">
        <v>511091</v>
      </c>
      <c r="C51" s="275" t="s">
        <v>14925</v>
      </c>
      <c r="D51" s="276"/>
      <c r="E51" s="302">
        <v>16.399999999999999</v>
      </c>
      <c r="F51" s="302">
        <v>18.05</v>
      </c>
      <c r="G51" s="294">
        <v>8435057019613</v>
      </c>
      <c r="H51" s="274" t="s">
        <v>43</v>
      </c>
      <c r="I51" s="274">
        <v>6</v>
      </c>
      <c r="J51" s="95">
        <f t="shared" si="3"/>
        <v>0</v>
      </c>
      <c r="K51" s="67">
        <f>'RESUMEN PEDIDO'!$C$29</f>
        <v>0</v>
      </c>
      <c r="L51" s="67">
        <f>'RESUMEN PEDIDO'!$C$30</f>
        <v>0</v>
      </c>
      <c r="M51" s="66">
        <f t="shared" si="15"/>
        <v>0</v>
      </c>
    </row>
    <row r="52" spans="1:13" s="15" customFormat="1" ht="15" customHeight="1" x14ac:dyDescent="0.25">
      <c r="A52" s="38"/>
      <c r="B52" s="305">
        <v>511155</v>
      </c>
      <c r="C52" s="275" t="s">
        <v>15164</v>
      </c>
      <c r="D52" s="276"/>
      <c r="E52" s="307">
        <v>47.9</v>
      </c>
      <c r="F52" s="307">
        <v>52.7</v>
      </c>
      <c r="G52" s="294">
        <v>8435057020473</v>
      </c>
      <c r="H52" s="64" t="s">
        <v>14761</v>
      </c>
      <c r="I52" s="64">
        <v>6</v>
      </c>
      <c r="J52" s="95">
        <f t="shared" ref="J52" si="17">D52/I52</f>
        <v>0</v>
      </c>
      <c r="K52" s="67">
        <f>'RESUMEN PEDIDO'!$C$29</f>
        <v>0</v>
      </c>
      <c r="L52" s="67">
        <f>'RESUMEN PEDIDO'!$C$30</f>
        <v>0</v>
      </c>
      <c r="M52" s="66">
        <f t="shared" si="15"/>
        <v>0</v>
      </c>
    </row>
    <row r="53" spans="1:13" s="15" customFormat="1" ht="15" customHeight="1" x14ac:dyDescent="0.25">
      <c r="A53" s="38"/>
      <c r="B53" s="274">
        <v>511110</v>
      </c>
      <c r="C53" s="275" t="s">
        <v>14939</v>
      </c>
      <c r="D53" s="276"/>
      <c r="E53" s="302">
        <v>15.4</v>
      </c>
      <c r="F53" s="302">
        <v>16.95</v>
      </c>
      <c r="G53" s="294">
        <v>8435057019842</v>
      </c>
      <c r="H53" s="274" t="s">
        <v>47</v>
      </c>
      <c r="I53" s="274">
        <v>6</v>
      </c>
      <c r="J53" s="95">
        <f t="shared" ref="J53" si="18">D53/I53</f>
        <v>0</v>
      </c>
      <c r="K53" s="67">
        <f>'RESUMEN PEDIDO'!$C$29</f>
        <v>0</v>
      </c>
      <c r="L53" s="67">
        <f>'RESUMEN PEDIDO'!$C$30</f>
        <v>0</v>
      </c>
      <c r="M53" s="66">
        <f t="shared" si="15"/>
        <v>0</v>
      </c>
    </row>
    <row r="54" spans="1:13" s="15" customFormat="1" ht="15" customHeight="1" x14ac:dyDescent="0.25">
      <c r="A54" s="38"/>
      <c r="B54" s="274">
        <v>511156</v>
      </c>
      <c r="C54" s="275" t="s">
        <v>14940</v>
      </c>
      <c r="D54" s="276"/>
      <c r="E54" s="302">
        <v>39</v>
      </c>
      <c r="F54" s="302">
        <v>42.900000000000006</v>
      </c>
      <c r="G54" s="294">
        <v>8435057020497</v>
      </c>
      <c r="H54" s="274" t="s">
        <v>14937</v>
      </c>
      <c r="I54" s="274">
        <v>6</v>
      </c>
      <c r="J54" s="95">
        <f t="shared" ref="J54" si="19">D54/I54</f>
        <v>0</v>
      </c>
      <c r="K54" s="67">
        <f>'RESUMEN PEDIDO'!$C$29</f>
        <v>0</v>
      </c>
      <c r="L54" s="67">
        <f>'RESUMEN PEDIDO'!$C$30</f>
        <v>0</v>
      </c>
      <c r="M54" s="66">
        <f t="shared" si="15"/>
        <v>0</v>
      </c>
    </row>
    <row r="55" spans="1:13" s="15" customFormat="1" ht="15" customHeight="1" x14ac:dyDescent="0.25">
      <c r="A55" s="38"/>
      <c r="B55" s="274">
        <v>511113</v>
      </c>
      <c r="C55" s="275" t="s">
        <v>14941</v>
      </c>
      <c r="D55" s="276"/>
      <c r="E55" s="302">
        <v>54.4</v>
      </c>
      <c r="F55" s="302">
        <v>59.850000000000009</v>
      </c>
      <c r="G55" s="294">
        <v>8435057019866</v>
      </c>
      <c r="H55" s="274" t="s">
        <v>14942</v>
      </c>
      <c r="I55" s="274">
        <v>6</v>
      </c>
      <c r="J55" s="95">
        <f t="shared" ref="J55" si="20">D55/I55</f>
        <v>0</v>
      </c>
      <c r="K55" s="67">
        <f>'RESUMEN PEDIDO'!$C$29</f>
        <v>0</v>
      </c>
      <c r="L55" s="67">
        <f>'RESUMEN PEDIDO'!$C$30</f>
        <v>0</v>
      </c>
      <c r="M55" s="66">
        <f>(D55*(E55-(E55*K55)))-(D55*(E55-(E55*K55)))*L55</f>
        <v>0</v>
      </c>
    </row>
    <row r="56" spans="1:13" s="15" customFormat="1" ht="15" customHeight="1" x14ac:dyDescent="0.25">
      <c r="A56" s="38"/>
      <c r="B56" s="274">
        <v>511135</v>
      </c>
      <c r="C56" s="275" t="s">
        <v>15109</v>
      </c>
      <c r="D56" s="276"/>
      <c r="E56" s="302">
        <v>15.4</v>
      </c>
      <c r="F56" s="302">
        <v>16.95</v>
      </c>
      <c r="G56" s="294">
        <v>8435057020060</v>
      </c>
      <c r="H56" s="274" t="s">
        <v>47</v>
      </c>
      <c r="I56" s="274">
        <v>6</v>
      </c>
      <c r="J56" s="95">
        <f t="shared" ref="J56:J57" si="21">D56/I56</f>
        <v>0</v>
      </c>
      <c r="K56" s="67">
        <f>'RESUMEN PEDIDO'!$C$29</f>
        <v>0</v>
      </c>
      <c r="L56" s="67">
        <f>'RESUMEN PEDIDO'!$C$30</f>
        <v>0</v>
      </c>
      <c r="M56" s="66">
        <f>(D56*(E56-(E56*K56)))-(D56*(E56-(E56*K56)))*L56</f>
        <v>0</v>
      </c>
    </row>
    <row r="57" spans="1:13" s="15" customFormat="1" ht="15" customHeight="1" x14ac:dyDescent="0.25">
      <c r="A57" s="38"/>
      <c r="B57" s="274">
        <v>511137</v>
      </c>
      <c r="C57" s="275" t="s">
        <v>15115</v>
      </c>
      <c r="D57" s="276"/>
      <c r="E57" s="302">
        <v>20</v>
      </c>
      <c r="F57" s="302">
        <v>22</v>
      </c>
      <c r="G57" s="294">
        <v>8435057020084</v>
      </c>
      <c r="H57" s="274" t="s">
        <v>27</v>
      </c>
      <c r="I57" s="274">
        <v>6</v>
      </c>
      <c r="J57" s="95">
        <f t="shared" si="21"/>
        <v>0</v>
      </c>
      <c r="K57" s="67">
        <f>'RESUMEN PEDIDO'!$C$29</f>
        <v>0</v>
      </c>
      <c r="L57" s="67">
        <f>'RESUMEN PEDIDO'!$C$30</f>
        <v>0</v>
      </c>
      <c r="M57" s="66">
        <f t="shared" ref="M57" si="22">(D57*(E57-(E57*K57)))-(D57*(E57-(E57*K57)))*L57</f>
        <v>0</v>
      </c>
    </row>
    <row r="58" spans="1:13" s="15" customFormat="1" ht="15" customHeight="1" x14ac:dyDescent="0.25">
      <c r="A58" s="38"/>
      <c r="B58" s="274">
        <v>511138</v>
      </c>
      <c r="C58" s="275" t="s">
        <v>15110</v>
      </c>
      <c r="D58" s="276"/>
      <c r="E58" s="302">
        <v>15.4</v>
      </c>
      <c r="F58" s="302">
        <v>16.95</v>
      </c>
      <c r="G58" s="294">
        <v>8435057020091</v>
      </c>
      <c r="H58" s="274" t="s">
        <v>47</v>
      </c>
      <c r="I58" s="274">
        <v>6</v>
      </c>
      <c r="J58" s="95">
        <f t="shared" ref="J58:J62" si="23">D58/I58</f>
        <v>0</v>
      </c>
      <c r="K58" s="67">
        <f>'RESUMEN PEDIDO'!$C$29</f>
        <v>0</v>
      </c>
      <c r="L58" s="67">
        <f>'RESUMEN PEDIDO'!$C$30</f>
        <v>0</v>
      </c>
      <c r="M58" s="66">
        <f t="shared" ref="M58:M62" si="24">(D58*(E58-(E58*K58)))-(D58*(E58-(E58*K58)))*L58</f>
        <v>0</v>
      </c>
    </row>
    <row r="59" spans="1:13" s="15" customFormat="1" ht="15" customHeight="1" x14ac:dyDescent="0.25">
      <c r="A59" s="38"/>
      <c r="B59" s="274">
        <v>511140</v>
      </c>
      <c r="C59" s="275" t="s">
        <v>15112</v>
      </c>
      <c r="D59" s="276"/>
      <c r="E59" s="302">
        <v>31</v>
      </c>
      <c r="F59" s="302">
        <v>34.1</v>
      </c>
      <c r="G59" s="294">
        <v>8435057020114</v>
      </c>
      <c r="H59" s="274" t="s">
        <v>15120</v>
      </c>
      <c r="I59" s="274">
        <v>6</v>
      </c>
      <c r="J59" s="95">
        <f t="shared" si="23"/>
        <v>0</v>
      </c>
      <c r="K59" s="67">
        <f>'RESUMEN PEDIDO'!$C$29</f>
        <v>0</v>
      </c>
      <c r="L59" s="67">
        <f>'RESUMEN PEDIDO'!$C$30</f>
        <v>0</v>
      </c>
      <c r="M59" s="66">
        <f t="shared" si="24"/>
        <v>0</v>
      </c>
    </row>
    <row r="60" spans="1:13" s="15" customFormat="1" ht="15" customHeight="1" x14ac:dyDescent="0.25">
      <c r="A60" s="38"/>
      <c r="B60" s="274">
        <v>511141</v>
      </c>
      <c r="C60" s="275" t="s">
        <v>15111</v>
      </c>
      <c r="D60" s="276"/>
      <c r="E60" s="302">
        <v>15.4</v>
      </c>
      <c r="F60" s="302">
        <v>16.95</v>
      </c>
      <c r="G60" s="294">
        <v>8435057020121</v>
      </c>
      <c r="H60" s="274" t="s">
        <v>47</v>
      </c>
      <c r="I60" s="274">
        <v>6</v>
      </c>
      <c r="J60" s="95">
        <f t="shared" si="23"/>
        <v>0</v>
      </c>
      <c r="K60" s="67">
        <f>'RESUMEN PEDIDO'!$C$29</f>
        <v>0</v>
      </c>
      <c r="L60" s="67">
        <f>'RESUMEN PEDIDO'!$C$30</f>
        <v>0</v>
      </c>
      <c r="M60" s="66">
        <f t="shared" si="24"/>
        <v>0</v>
      </c>
    </row>
    <row r="61" spans="1:13" s="15" customFormat="1" ht="15" customHeight="1" x14ac:dyDescent="0.25">
      <c r="A61" s="38"/>
      <c r="B61" s="274">
        <v>511143</v>
      </c>
      <c r="C61" s="275" t="s">
        <v>15113</v>
      </c>
      <c r="D61" s="276"/>
      <c r="E61" s="302">
        <v>19</v>
      </c>
      <c r="F61" s="302">
        <v>20.9</v>
      </c>
      <c r="G61" s="294">
        <v>8435057020145</v>
      </c>
      <c r="H61" s="274" t="s">
        <v>48</v>
      </c>
      <c r="I61" s="274">
        <v>6</v>
      </c>
      <c r="J61" s="95">
        <f t="shared" si="23"/>
        <v>0</v>
      </c>
      <c r="K61" s="67">
        <f>'RESUMEN PEDIDO'!$C$29</f>
        <v>0</v>
      </c>
      <c r="L61" s="67">
        <f>'RESUMEN PEDIDO'!$C$30</f>
        <v>0</v>
      </c>
      <c r="M61" s="66">
        <f t="shared" si="24"/>
        <v>0</v>
      </c>
    </row>
    <row r="62" spans="1:13" s="15" customFormat="1" ht="15" customHeight="1" x14ac:dyDescent="0.25">
      <c r="A62" s="38"/>
      <c r="B62" s="274">
        <v>511144</v>
      </c>
      <c r="C62" s="275" t="s">
        <v>15114</v>
      </c>
      <c r="D62" s="276"/>
      <c r="E62" s="302">
        <v>17.5</v>
      </c>
      <c r="F62" s="302">
        <v>19.25</v>
      </c>
      <c r="G62" s="294">
        <v>8435057020275</v>
      </c>
      <c r="H62" s="274" t="s">
        <v>31</v>
      </c>
      <c r="I62" s="274">
        <v>6</v>
      </c>
      <c r="J62" s="95">
        <f t="shared" si="23"/>
        <v>0</v>
      </c>
      <c r="K62" s="67">
        <f>'RESUMEN PEDIDO'!$C$29</f>
        <v>0</v>
      </c>
      <c r="L62" s="67">
        <f>'RESUMEN PEDIDO'!$C$30</f>
        <v>0</v>
      </c>
      <c r="M62" s="66">
        <f t="shared" si="24"/>
        <v>0</v>
      </c>
    </row>
    <row r="63" spans="1:13" s="15" customFormat="1" ht="15" customHeight="1" x14ac:dyDescent="0.25">
      <c r="A63" s="38"/>
      <c r="B63" s="60" t="s">
        <v>14718</v>
      </c>
      <c r="C63" s="61"/>
      <c r="D63" s="62">
        <f>SUM(D64:D80)</f>
        <v>0</v>
      </c>
      <c r="E63" s="61"/>
      <c r="F63" s="61"/>
      <c r="G63" s="272"/>
      <c r="H63" s="81"/>
      <c r="I63" s="61"/>
      <c r="J63" s="94">
        <f>SUM(J64:J80)</f>
        <v>0</v>
      </c>
      <c r="K63" s="61"/>
      <c r="L63" s="61"/>
      <c r="M63" s="63"/>
    </row>
    <row r="64" spans="1:13" s="15" customFormat="1" ht="15" customHeight="1" x14ac:dyDescent="0.25">
      <c r="A64" s="38"/>
      <c r="B64" s="68">
        <v>513001</v>
      </c>
      <c r="C64" s="65" t="s">
        <v>833</v>
      </c>
      <c r="D64" s="1"/>
      <c r="E64" s="66">
        <v>17</v>
      </c>
      <c r="F64" s="66">
        <v>18.7</v>
      </c>
      <c r="G64" s="66" t="str">
        <f t="shared" ref="G64:G74" si="25">VLOOKUP(B64,EAN,3,0)</f>
        <v>8435057017039</v>
      </c>
      <c r="H64" s="64" t="s">
        <v>47</v>
      </c>
      <c r="I64" s="64">
        <v>6</v>
      </c>
      <c r="J64" s="95">
        <f t="shared" ref="J64:J78" si="26">D64/I64</f>
        <v>0</v>
      </c>
      <c r="K64" s="67">
        <f>'RESUMEN PEDIDO'!$C$29</f>
        <v>0</v>
      </c>
      <c r="L64" s="67">
        <f>'RESUMEN PEDIDO'!$C$30</f>
        <v>0</v>
      </c>
      <c r="M64" s="66">
        <f t="shared" ref="M64:M78" si="27">(D64*(E64-(E64*K64)))-(D64*(E64-(E64*K64)))*L64</f>
        <v>0</v>
      </c>
    </row>
    <row r="65" spans="1:13" s="15" customFormat="1" ht="15" customHeight="1" x14ac:dyDescent="0.25">
      <c r="A65" s="38"/>
      <c r="B65" s="68">
        <v>513003</v>
      </c>
      <c r="C65" s="65" t="s">
        <v>834</v>
      </c>
      <c r="D65" s="1"/>
      <c r="E65" s="66">
        <v>17.5</v>
      </c>
      <c r="F65" s="66">
        <v>19.25</v>
      </c>
      <c r="G65" s="66" t="str">
        <f t="shared" si="25"/>
        <v>8435057017053</v>
      </c>
      <c r="H65" s="64" t="s">
        <v>27</v>
      </c>
      <c r="I65" s="64">
        <v>6</v>
      </c>
      <c r="J65" s="95">
        <f t="shared" si="26"/>
        <v>0</v>
      </c>
      <c r="K65" s="67">
        <f>'RESUMEN PEDIDO'!$C$29</f>
        <v>0</v>
      </c>
      <c r="L65" s="67">
        <f>'RESUMEN PEDIDO'!$C$30</f>
        <v>0</v>
      </c>
      <c r="M65" s="66">
        <f t="shared" si="27"/>
        <v>0</v>
      </c>
    </row>
    <row r="66" spans="1:13" s="15" customFormat="1" ht="15" customHeight="1" x14ac:dyDescent="0.25">
      <c r="A66" s="38"/>
      <c r="B66" s="68">
        <v>513005</v>
      </c>
      <c r="C66" s="65" t="s">
        <v>835</v>
      </c>
      <c r="D66" s="1"/>
      <c r="E66" s="66">
        <v>8.9</v>
      </c>
      <c r="F66" s="66">
        <v>9.8000000000000007</v>
      </c>
      <c r="G66" s="66" t="str">
        <f t="shared" si="25"/>
        <v>8435057017077</v>
      </c>
      <c r="H66" s="64" t="s">
        <v>48</v>
      </c>
      <c r="I66" s="64">
        <v>12</v>
      </c>
      <c r="J66" s="95">
        <f t="shared" si="26"/>
        <v>0</v>
      </c>
      <c r="K66" s="67">
        <f>'RESUMEN PEDIDO'!$C$29</f>
        <v>0</v>
      </c>
      <c r="L66" s="67">
        <f>'RESUMEN PEDIDO'!$C$30</f>
        <v>0</v>
      </c>
      <c r="M66" s="66">
        <f t="shared" si="27"/>
        <v>0</v>
      </c>
    </row>
    <row r="67" spans="1:13" s="15" customFormat="1" ht="15" customHeight="1" x14ac:dyDescent="0.25">
      <c r="A67" s="38"/>
      <c r="B67" s="68">
        <v>513006</v>
      </c>
      <c r="C67" s="65" t="s">
        <v>836</v>
      </c>
      <c r="D67" s="1"/>
      <c r="E67" s="66">
        <v>9.9</v>
      </c>
      <c r="F67" s="66">
        <v>10.9</v>
      </c>
      <c r="G67" s="66" t="str">
        <f t="shared" si="25"/>
        <v>8435057017084</v>
      </c>
      <c r="H67" s="64" t="s">
        <v>40</v>
      </c>
      <c r="I67" s="64">
        <v>12</v>
      </c>
      <c r="J67" s="95">
        <f t="shared" si="26"/>
        <v>0</v>
      </c>
      <c r="K67" s="67">
        <f>'RESUMEN PEDIDO'!$C$29</f>
        <v>0</v>
      </c>
      <c r="L67" s="67">
        <f>'RESUMEN PEDIDO'!$C$30</f>
        <v>0</v>
      </c>
      <c r="M67" s="66">
        <f t="shared" si="27"/>
        <v>0</v>
      </c>
    </row>
    <row r="68" spans="1:13" s="15" customFormat="1" ht="15" customHeight="1" x14ac:dyDescent="0.25">
      <c r="A68" s="38"/>
      <c r="B68" s="68">
        <v>513007</v>
      </c>
      <c r="C68" s="65" t="s">
        <v>828</v>
      </c>
      <c r="D68" s="1"/>
      <c r="E68" s="66">
        <v>17</v>
      </c>
      <c r="F68" s="66">
        <v>18.7</v>
      </c>
      <c r="G68" s="66" t="str">
        <f t="shared" si="25"/>
        <v>8435057017091</v>
      </c>
      <c r="H68" s="64" t="s">
        <v>47</v>
      </c>
      <c r="I68" s="64">
        <v>6</v>
      </c>
      <c r="J68" s="95">
        <f t="shared" si="26"/>
        <v>0</v>
      </c>
      <c r="K68" s="67">
        <f>'RESUMEN PEDIDO'!$C$29</f>
        <v>0</v>
      </c>
      <c r="L68" s="67">
        <f>'RESUMEN PEDIDO'!$C$30</f>
        <v>0</v>
      </c>
      <c r="M68" s="66">
        <f t="shared" si="27"/>
        <v>0</v>
      </c>
    </row>
    <row r="69" spans="1:13" s="15" customFormat="1" ht="15" customHeight="1" x14ac:dyDescent="0.25">
      <c r="A69" s="38"/>
      <c r="B69" s="68">
        <v>513009</v>
      </c>
      <c r="C69" s="65" t="s">
        <v>837</v>
      </c>
      <c r="D69" s="1"/>
      <c r="E69" s="66">
        <v>17.5</v>
      </c>
      <c r="F69" s="66">
        <v>19.25</v>
      </c>
      <c r="G69" s="66" t="str">
        <f t="shared" si="25"/>
        <v>8435057017114</v>
      </c>
      <c r="H69" s="64" t="s">
        <v>27</v>
      </c>
      <c r="I69" s="64">
        <v>6</v>
      </c>
      <c r="J69" s="95">
        <f t="shared" si="26"/>
        <v>0</v>
      </c>
      <c r="K69" s="67">
        <f>'RESUMEN PEDIDO'!$C$29</f>
        <v>0</v>
      </c>
      <c r="L69" s="67">
        <f>'RESUMEN PEDIDO'!$C$30</f>
        <v>0</v>
      </c>
      <c r="M69" s="66">
        <f t="shared" si="27"/>
        <v>0</v>
      </c>
    </row>
    <row r="70" spans="1:13" s="15" customFormat="1" ht="15" customHeight="1" x14ac:dyDescent="0.25">
      <c r="A70" s="38"/>
      <c r="B70" s="68">
        <v>513011</v>
      </c>
      <c r="C70" s="65" t="s">
        <v>838</v>
      </c>
      <c r="D70" s="1"/>
      <c r="E70" s="66">
        <v>9.9</v>
      </c>
      <c r="F70" s="66">
        <v>10.9</v>
      </c>
      <c r="G70" s="66" t="str">
        <f t="shared" si="25"/>
        <v>8435057017138</v>
      </c>
      <c r="H70" s="64" t="s">
        <v>40</v>
      </c>
      <c r="I70" s="64">
        <v>6</v>
      </c>
      <c r="J70" s="95">
        <f t="shared" si="26"/>
        <v>0</v>
      </c>
      <c r="K70" s="67">
        <f>'RESUMEN PEDIDO'!$C$29</f>
        <v>0</v>
      </c>
      <c r="L70" s="67">
        <f>'RESUMEN PEDIDO'!$C$30</f>
        <v>0</v>
      </c>
      <c r="M70" s="66">
        <f t="shared" si="27"/>
        <v>0</v>
      </c>
    </row>
    <row r="71" spans="1:13" s="15" customFormat="1" ht="15" customHeight="1" x14ac:dyDescent="0.25">
      <c r="A71" s="38"/>
      <c r="B71" s="68">
        <v>513012</v>
      </c>
      <c r="C71" s="65" t="s">
        <v>839</v>
      </c>
      <c r="D71" s="1"/>
      <c r="E71" s="66">
        <v>18</v>
      </c>
      <c r="F71" s="66">
        <v>19.8</v>
      </c>
      <c r="G71" s="66" t="str">
        <f t="shared" si="25"/>
        <v>8435057017145</v>
      </c>
      <c r="H71" s="64" t="s">
        <v>43</v>
      </c>
      <c r="I71" s="64">
        <v>6</v>
      </c>
      <c r="J71" s="95">
        <f t="shared" si="26"/>
        <v>0</v>
      </c>
      <c r="K71" s="67">
        <f>'RESUMEN PEDIDO'!$C$29</f>
        <v>0</v>
      </c>
      <c r="L71" s="67">
        <f>'RESUMEN PEDIDO'!$C$30</f>
        <v>0</v>
      </c>
      <c r="M71" s="66">
        <f t="shared" si="27"/>
        <v>0</v>
      </c>
    </row>
    <row r="72" spans="1:13" s="15" customFormat="1" ht="15" customHeight="1" x14ac:dyDescent="0.25">
      <c r="A72" s="38"/>
      <c r="B72" s="68">
        <v>513013</v>
      </c>
      <c r="C72" s="65" t="s">
        <v>840</v>
      </c>
      <c r="D72" s="1"/>
      <c r="E72" s="66">
        <v>17</v>
      </c>
      <c r="F72" s="66">
        <v>18.7</v>
      </c>
      <c r="G72" s="66" t="str">
        <f t="shared" si="25"/>
        <v>8435057017152</v>
      </c>
      <c r="H72" s="64" t="s">
        <v>47</v>
      </c>
      <c r="I72" s="64">
        <v>6</v>
      </c>
      <c r="J72" s="95">
        <f t="shared" si="26"/>
        <v>0</v>
      </c>
      <c r="K72" s="67">
        <f>'RESUMEN PEDIDO'!$C$29</f>
        <v>0</v>
      </c>
      <c r="L72" s="67">
        <f>'RESUMEN PEDIDO'!$C$30</f>
        <v>0</v>
      </c>
      <c r="M72" s="66">
        <f t="shared" si="27"/>
        <v>0</v>
      </c>
    </row>
    <row r="73" spans="1:13" s="15" customFormat="1" ht="15" customHeight="1" x14ac:dyDescent="0.25">
      <c r="A73" s="38"/>
      <c r="B73" s="68">
        <v>513015</v>
      </c>
      <c r="C73" s="65" t="s">
        <v>831</v>
      </c>
      <c r="D73" s="1"/>
      <c r="E73" s="66">
        <v>17.5</v>
      </c>
      <c r="F73" s="66">
        <v>19.25</v>
      </c>
      <c r="G73" s="66" t="str">
        <f t="shared" si="25"/>
        <v>8435057017176</v>
      </c>
      <c r="H73" s="64" t="s">
        <v>27</v>
      </c>
      <c r="I73" s="64">
        <v>6</v>
      </c>
      <c r="J73" s="95">
        <f t="shared" si="26"/>
        <v>0</v>
      </c>
      <c r="K73" s="67">
        <f>'RESUMEN PEDIDO'!$C$29</f>
        <v>0</v>
      </c>
      <c r="L73" s="67">
        <f>'RESUMEN PEDIDO'!$C$30</f>
        <v>0</v>
      </c>
      <c r="M73" s="66">
        <f t="shared" si="27"/>
        <v>0</v>
      </c>
    </row>
    <row r="74" spans="1:13" s="15" customFormat="1" ht="15" customHeight="1" x14ac:dyDescent="0.25">
      <c r="A74" s="38"/>
      <c r="B74" s="68">
        <v>513017</v>
      </c>
      <c r="C74" s="65" t="s">
        <v>49</v>
      </c>
      <c r="D74" s="1"/>
      <c r="E74" s="66">
        <v>16</v>
      </c>
      <c r="F74" s="66">
        <v>17.600000000000001</v>
      </c>
      <c r="G74" s="66" t="str">
        <f t="shared" si="25"/>
        <v>8435057017190</v>
      </c>
      <c r="H74" s="64" t="s">
        <v>43</v>
      </c>
      <c r="I74" s="64">
        <v>6</v>
      </c>
      <c r="J74" s="95">
        <f t="shared" si="26"/>
        <v>0</v>
      </c>
      <c r="K74" s="67">
        <f>'RESUMEN PEDIDO'!$C$29</f>
        <v>0</v>
      </c>
      <c r="L74" s="67">
        <f>'RESUMEN PEDIDO'!$C$30</f>
        <v>0</v>
      </c>
      <c r="M74" s="66">
        <f t="shared" si="27"/>
        <v>0</v>
      </c>
    </row>
    <row r="75" spans="1:13" s="15" customFormat="1" ht="15" customHeight="1" x14ac:dyDescent="0.25">
      <c r="A75" s="38"/>
      <c r="B75" s="68">
        <v>513054</v>
      </c>
      <c r="C75" s="65" t="s">
        <v>14720</v>
      </c>
      <c r="D75" s="1"/>
      <c r="E75" s="66">
        <v>5.8</v>
      </c>
      <c r="F75" s="66">
        <v>6.4</v>
      </c>
      <c r="G75" s="226">
        <v>8435057018968</v>
      </c>
      <c r="H75" s="64" t="s">
        <v>40</v>
      </c>
      <c r="I75" s="64">
        <v>12</v>
      </c>
      <c r="J75" s="95">
        <f t="shared" si="26"/>
        <v>0</v>
      </c>
      <c r="K75" s="67">
        <f>'RESUMEN PEDIDO'!$C$29</f>
        <v>0</v>
      </c>
      <c r="L75" s="67">
        <f>'RESUMEN PEDIDO'!$C$30</f>
        <v>0</v>
      </c>
      <c r="M75" s="66">
        <f t="shared" si="27"/>
        <v>0</v>
      </c>
    </row>
    <row r="76" spans="1:13" s="15" customFormat="1" ht="15" customHeight="1" x14ac:dyDescent="0.25">
      <c r="A76" s="38"/>
      <c r="B76" s="68">
        <v>513042</v>
      </c>
      <c r="C76" s="65" t="s">
        <v>14894</v>
      </c>
      <c r="D76" s="1"/>
      <c r="E76" s="66">
        <v>43.4</v>
      </c>
      <c r="F76" s="66">
        <v>47.75</v>
      </c>
      <c r="G76" s="226">
        <v>8435057018906</v>
      </c>
      <c r="H76" s="64" t="s">
        <v>14759</v>
      </c>
      <c r="I76" s="64">
        <v>6</v>
      </c>
      <c r="J76" s="95">
        <f t="shared" ref="J76:J77" si="28">D76/I76</f>
        <v>0</v>
      </c>
      <c r="K76" s="67">
        <f>'RESUMEN PEDIDO'!$C$29</f>
        <v>0</v>
      </c>
      <c r="L76" s="67">
        <f>'RESUMEN PEDIDO'!$C$30</f>
        <v>0</v>
      </c>
      <c r="M76" s="66">
        <f t="shared" ref="M76:M77" si="29">(D76*(E76-(E76*K76)))-(D76*(E76-(E76*K76)))*L76</f>
        <v>0</v>
      </c>
    </row>
    <row r="77" spans="1:13" s="15" customFormat="1" ht="15" customHeight="1" x14ac:dyDescent="0.25">
      <c r="A77" s="38"/>
      <c r="B77" s="68">
        <v>513043</v>
      </c>
      <c r="C77" s="65" t="s">
        <v>14895</v>
      </c>
      <c r="D77" s="1"/>
      <c r="E77" s="66">
        <v>44.4</v>
      </c>
      <c r="F77" s="66">
        <v>48.85</v>
      </c>
      <c r="G77" s="226">
        <v>8435057018913</v>
      </c>
      <c r="H77" s="64" t="s">
        <v>14760</v>
      </c>
      <c r="I77" s="64">
        <v>6</v>
      </c>
      <c r="J77" s="95">
        <f t="shared" si="28"/>
        <v>0</v>
      </c>
      <c r="K77" s="67">
        <f>'RESUMEN PEDIDO'!$C$29</f>
        <v>0</v>
      </c>
      <c r="L77" s="67">
        <f>'RESUMEN PEDIDO'!$C$30</f>
        <v>0</v>
      </c>
      <c r="M77" s="66">
        <f t="shared" si="29"/>
        <v>0</v>
      </c>
    </row>
    <row r="78" spans="1:13" s="15" customFormat="1" ht="15" customHeight="1" x14ac:dyDescent="0.25">
      <c r="A78" s="38"/>
      <c r="B78" s="68">
        <v>513040</v>
      </c>
      <c r="C78" s="65" t="s">
        <v>14896</v>
      </c>
      <c r="D78" s="1"/>
      <c r="E78" s="66">
        <v>52.5</v>
      </c>
      <c r="F78" s="66">
        <v>57.75</v>
      </c>
      <c r="G78" s="226">
        <v>8435057018883</v>
      </c>
      <c r="H78" s="64" t="s">
        <v>14761</v>
      </c>
      <c r="I78" s="64">
        <v>6</v>
      </c>
      <c r="J78" s="95">
        <f t="shared" si="26"/>
        <v>0</v>
      </c>
      <c r="K78" s="67">
        <f>'RESUMEN PEDIDO'!$C$29</f>
        <v>0</v>
      </c>
      <c r="L78" s="67">
        <f>'RESUMEN PEDIDO'!$C$30</f>
        <v>0</v>
      </c>
      <c r="M78" s="66">
        <f t="shared" si="27"/>
        <v>0</v>
      </c>
    </row>
    <row r="79" spans="1:13" s="15" customFormat="1" ht="15" customHeight="1" x14ac:dyDescent="0.25">
      <c r="A79" s="38"/>
      <c r="B79" s="68">
        <v>513041</v>
      </c>
      <c r="C79" s="65" t="s">
        <v>14897</v>
      </c>
      <c r="D79" s="1"/>
      <c r="E79" s="66">
        <v>44.4</v>
      </c>
      <c r="F79" s="66">
        <v>48.85</v>
      </c>
      <c r="G79" s="226">
        <v>8435057018890</v>
      </c>
      <c r="H79" s="64" t="s">
        <v>14760</v>
      </c>
      <c r="I79" s="64">
        <v>6</v>
      </c>
      <c r="J79" s="95">
        <f t="shared" ref="J79:J80" si="30">D79/I79</f>
        <v>0</v>
      </c>
      <c r="K79" s="67">
        <f>'RESUMEN PEDIDO'!$C$29</f>
        <v>0</v>
      </c>
      <c r="L79" s="67">
        <f>'RESUMEN PEDIDO'!$C$30</f>
        <v>0</v>
      </c>
      <c r="M79" s="66">
        <f t="shared" ref="M79:M80" si="31">(D79*(E79-(E79*K79)))-(D79*(E79-(E79*K79)))*L79</f>
        <v>0</v>
      </c>
    </row>
    <row r="80" spans="1:13" s="15" customFormat="1" ht="15" customHeight="1" x14ac:dyDescent="0.25">
      <c r="A80" s="38"/>
      <c r="B80" s="68">
        <v>513044</v>
      </c>
      <c r="C80" s="65" t="s">
        <v>14898</v>
      </c>
      <c r="D80" s="1"/>
      <c r="E80" s="66">
        <v>50.5</v>
      </c>
      <c r="F80" s="66">
        <v>55.550000000000004</v>
      </c>
      <c r="G80" s="226">
        <v>8435057018920</v>
      </c>
      <c r="H80" s="64" t="s">
        <v>14761</v>
      </c>
      <c r="I80" s="64">
        <v>6</v>
      </c>
      <c r="J80" s="95">
        <f t="shared" si="30"/>
        <v>0</v>
      </c>
      <c r="K80" s="67">
        <f>'RESUMEN PEDIDO'!$C$29</f>
        <v>0</v>
      </c>
      <c r="L80" s="67">
        <f>'RESUMEN PEDIDO'!$C$30</f>
        <v>0</v>
      </c>
      <c r="M80" s="66">
        <f t="shared" si="31"/>
        <v>0</v>
      </c>
    </row>
    <row r="81" spans="1:13" s="15" customFormat="1" ht="15" customHeight="1" x14ac:dyDescent="0.25">
      <c r="A81" s="38"/>
      <c r="B81" s="60" t="s">
        <v>583</v>
      </c>
      <c r="C81" s="61"/>
      <c r="D81" s="62">
        <f>SUM(D82:D89)</f>
        <v>0</v>
      </c>
      <c r="E81" s="61"/>
      <c r="F81" s="61"/>
      <c r="G81" s="272"/>
      <c r="H81" s="81"/>
      <c r="I81" s="61"/>
      <c r="J81" s="94">
        <f>SUM(J82:J89)</f>
        <v>0</v>
      </c>
      <c r="K81" s="61"/>
      <c r="L81" s="61"/>
      <c r="M81" s="63"/>
    </row>
    <row r="82" spans="1:13" s="15" customFormat="1" ht="15" customHeight="1" x14ac:dyDescent="0.25">
      <c r="A82" s="38"/>
      <c r="B82" s="68">
        <v>520039</v>
      </c>
      <c r="C82" s="65" t="s">
        <v>57</v>
      </c>
      <c r="D82" s="1"/>
      <c r="E82" s="66">
        <v>14.8</v>
      </c>
      <c r="F82" s="66">
        <v>16.3</v>
      </c>
      <c r="G82" s="66" t="str">
        <f t="shared" ref="G82" si="32">VLOOKUP(B82,EAN,3,0)</f>
        <v>8435057009256</v>
      </c>
      <c r="H82" s="64" t="s">
        <v>38</v>
      </c>
      <c r="I82" s="64">
        <v>6</v>
      </c>
      <c r="J82" s="95">
        <f t="shared" ref="J82" si="33">D82/I82</f>
        <v>0</v>
      </c>
      <c r="K82" s="67">
        <f>'RESUMEN PEDIDO'!$C$29</f>
        <v>0</v>
      </c>
      <c r="L82" s="67">
        <f>'RESUMEN PEDIDO'!$C$30</f>
        <v>0</v>
      </c>
      <c r="M82" s="66">
        <f t="shared" ref="M82" si="34">(D82*(E82-(E82*K82)))-(D82*(E82-(E82*K82)))*L82</f>
        <v>0</v>
      </c>
    </row>
    <row r="83" spans="1:13" s="15" customFormat="1" ht="15" customHeight="1" x14ac:dyDescent="0.25">
      <c r="A83" s="38"/>
      <c r="B83" s="68">
        <v>520040</v>
      </c>
      <c r="C83" s="65" t="s">
        <v>58</v>
      </c>
      <c r="D83" s="1"/>
      <c r="E83" s="66">
        <v>15</v>
      </c>
      <c r="F83" s="66">
        <v>16.5</v>
      </c>
      <c r="G83" s="66" t="str">
        <f t="shared" ref="G83:G89" si="35">VLOOKUP(B83,EAN,3,0)</f>
        <v>8435057009263</v>
      </c>
      <c r="H83" s="64" t="s">
        <v>41</v>
      </c>
      <c r="I83" s="64">
        <v>6</v>
      </c>
      <c r="J83" s="95">
        <f t="shared" ref="J83:J89" si="36">D83/I83</f>
        <v>0</v>
      </c>
      <c r="K83" s="67">
        <f>'RESUMEN PEDIDO'!$C$29</f>
        <v>0</v>
      </c>
      <c r="L83" s="67">
        <f>'RESUMEN PEDIDO'!$C$30</f>
        <v>0</v>
      </c>
      <c r="M83" s="66">
        <f t="shared" ref="M83:M89" si="37">(D83*(E83-(E83*K83)))-(D83*(E83-(E83*K83)))*L83</f>
        <v>0</v>
      </c>
    </row>
    <row r="84" spans="1:13" s="15" customFormat="1" ht="15" customHeight="1" x14ac:dyDescent="0.25">
      <c r="A84" s="38"/>
      <c r="B84" s="68">
        <v>520041</v>
      </c>
      <c r="C84" s="65" t="s">
        <v>60</v>
      </c>
      <c r="D84" s="1"/>
      <c r="E84" s="66">
        <v>14.5</v>
      </c>
      <c r="F84" s="66">
        <v>15.950000000000001</v>
      </c>
      <c r="G84" s="66" t="str">
        <f t="shared" si="35"/>
        <v>8435057009270</v>
      </c>
      <c r="H84" s="64" t="s">
        <v>43</v>
      </c>
      <c r="I84" s="64">
        <v>6</v>
      </c>
      <c r="J84" s="95">
        <f t="shared" si="36"/>
        <v>0</v>
      </c>
      <c r="K84" s="67">
        <f>'RESUMEN PEDIDO'!$C$29</f>
        <v>0</v>
      </c>
      <c r="L84" s="67">
        <f>'RESUMEN PEDIDO'!$C$30</f>
        <v>0</v>
      </c>
      <c r="M84" s="66">
        <f t="shared" si="37"/>
        <v>0</v>
      </c>
    </row>
    <row r="85" spans="1:13" s="15" customFormat="1" ht="15" customHeight="1" x14ac:dyDescent="0.25">
      <c r="A85" s="38"/>
      <c r="B85" s="68">
        <v>520042</v>
      </c>
      <c r="C85" s="65" t="s">
        <v>59</v>
      </c>
      <c r="D85" s="1"/>
      <c r="E85" s="66">
        <v>14.4</v>
      </c>
      <c r="F85" s="66">
        <v>15.850000000000001</v>
      </c>
      <c r="G85" s="66" t="str">
        <f t="shared" si="35"/>
        <v>8435057009287</v>
      </c>
      <c r="H85" s="64" t="s">
        <v>27</v>
      </c>
      <c r="I85" s="64">
        <v>6</v>
      </c>
      <c r="J85" s="95">
        <f t="shared" si="36"/>
        <v>0</v>
      </c>
      <c r="K85" s="67">
        <f>'RESUMEN PEDIDO'!$C$29</f>
        <v>0</v>
      </c>
      <c r="L85" s="67">
        <f>'RESUMEN PEDIDO'!$C$30</f>
        <v>0</v>
      </c>
      <c r="M85" s="66">
        <f t="shared" si="37"/>
        <v>0</v>
      </c>
    </row>
    <row r="86" spans="1:13" s="15" customFormat="1" ht="15" customHeight="1" x14ac:dyDescent="0.25">
      <c r="A86" s="38"/>
      <c r="B86" s="68">
        <v>520056</v>
      </c>
      <c r="C86" s="65" t="s">
        <v>15099</v>
      </c>
      <c r="D86" s="1"/>
      <c r="E86" s="66">
        <v>16</v>
      </c>
      <c r="F86" s="66">
        <v>17.600000000000001</v>
      </c>
      <c r="G86" s="66" t="str">
        <f t="shared" si="35"/>
        <v>8435057009751</v>
      </c>
      <c r="H86" s="64" t="s">
        <v>27</v>
      </c>
      <c r="I86" s="64">
        <v>6</v>
      </c>
      <c r="J86" s="95">
        <f t="shared" si="36"/>
        <v>0</v>
      </c>
      <c r="K86" s="67">
        <f>'RESUMEN PEDIDO'!$C$29</f>
        <v>0</v>
      </c>
      <c r="L86" s="67">
        <f>'RESUMEN PEDIDO'!$C$30</f>
        <v>0</v>
      </c>
      <c r="M86" s="66">
        <f t="shared" si="37"/>
        <v>0</v>
      </c>
    </row>
    <row r="87" spans="1:13" s="15" customFormat="1" ht="15" customHeight="1" x14ac:dyDescent="0.25">
      <c r="A87" s="38"/>
      <c r="B87" s="68">
        <v>520060</v>
      </c>
      <c r="C87" s="65" t="s">
        <v>14751</v>
      </c>
      <c r="D87" s="1"/>
      <c r="E87" s="66">
        <v>12</v>
      </c>
      <c r="F87" s="66">
        <v>13.200000000000001</v>
      </c>
      <c r="G87" s="66" t="str">
        <f t="shared" si="35"/>
        <v>8435057010214</v>
      </c>
      <c r="H87" s="64" t="s">
        <v>41</v>
      </c>
      <c r="I87" s="64">
        <v>6</v>
      </c>
      <c r="J87" s="95">
        <f t="shared" si="36"/>
        <v>0</v>
      </c>
      <c r="K87" s="67">
        <f>'RESUMEN PEDIDO'!$C$29</f>
        <v>0</v>
      </c>
      <c r="L87" s="67">
        <f>'RESUMEN PEDIDO'!$C$30</f>
        <v>0</v>
      </c>
      <c r="M87" s="66">
        <f t="shared" si="37"/>
        <v>0</v>
      </c>
    </row>
    <row r="88" spans="1:13" s="15" customFormat="1" ht="15" customHeight="1" x14ac:dyDescent="0.25">
      <c r="A88" s="38"/>
      <c r="B88" s="68">
        <v>520064</v>
      </c>
      <c r="C88" s="65" t="s">
        <v>61</v>
      </c>
      <c r="D88" s="1"/>
      <c r="E88" s="66">
        <v>15</v>
      </c>
      <c r="F88" s="66">
        <v>16.5</v>
      </c>
      <c r="G88" s="66" t="str">
        <f t="shared" si="35"/>
        <v>8435057010375</v>
      </c>
      <c r="H88" s="64" t="s">
        <v>43</v>
      </c>
      <c r="I88" s="64">
        <v>6</v>
      </c>
      <c r="J88" s="95">
        <f t="shared" si="36"/>
        <v>0</v>
      </c>
      <c r="K88" s="67">
        <f>'RESUMEN PEDIDO'!$C$29</f>
        <v>0</v>
      </c>
      <c r="L88" s="67">
        <f>'RESUMEN PEDIDO'!$C$30</f>
        <v>0</v>
      </c>
      <c r="M88" s="66">
        <f t="shared" si="37"/>
        <v>0</v>
      </c>
    </row>
    <row r="89" spans="1:13" s="15" customFormat="1" ht="15" customHeight="1" x14ac:dyDescent="0.25">
      <c r="A89" s="38"/>
      <c r="B89" s="68">
        <v>520074</v>
      </c>
      <c r="C89" s="65" t="s">
        <v>51</v>
      </c>
      <c r="D89" s="1"/>
      <c r="E89" s="66">
        <v>16</v>
      </c>
      <c r="F89" s="66">
        <v>17.600000000000001</v>
      </c>
      <c r="G89" s="66" t="str">
        <f t="shared" si="35"/>
        <v>8435057012034</v>
      </c>
      <c r="H89" s="64" t="s">
        <v>43</v>
      </c>
      <c r="I89" s="64">
        <v>6</v>
      </c>
      <c r="J89" s="95">
        <f t="shared" si="36"/>
        <v>0</v>
      </c>
      <c r="K89" s="67">
        <f>'RESUMEN PEDIDO'!$C$29</f>
        <v>0</v>
      </c>
      <c r="L89" s="67">
        <f>'RESUMEN PEDIDO'!$C$30</f>
        <v>0</v>
      </c>
      <c r="M89" s="66">
        <f t="shared" si="37"/>
        <v>0</v>
      </c>
    </row>
    <row r="90" spans="1:13" s="15" customFormat="1" ht="15" customHeight="1" x14ac:dyDescent="0.25">
      <c r="A90" s="38"/>
      <c r="B90" s="60" t="s">
        <v>584</v>
      </c>
      <c r="C90" s="61"/>
      <c r="D90" s="62">
        <f>SUM(D91:D98)</f>
        <v>0</v>
      </c>
      <c r="E90" s="61"/>
      <c r="F90" s="61"/>
      <c r="G90" s="272"/>
      <c r="H90" s="81"/>
      <c r="I90" s="61"/>
      <c r="J90" s="94">
        <f>SUM(J91:J98)</f>
        <v>0</v>
      </c>
      <c r="K90" s="61"/>
      <c r="L90" s="61"/>
      <c r="M90" s="63"/>
    </row>
    <row r="91" spans="1:13" s="15" customFormat="1" ht="15" customHeight="1" x14ac:dyDescent="0.25">
      <c r="A91" s="38"/>
      <c r="B91" s="68">
        <v>520123</v>
      </c>
      <c r="C91" s="65" t="s">
        <v>15131</v>
      </c>
      <c r="D91" s="1"/>
      <c r="E91" s="66">
        <v>13</v>
      </c>
      <c r="F91" s="66">
        <v>14.3</v>
      </c>
      <c r="G91" s="226">
        <v>8435057020282</v>
      </c>
      <c r="H91" s="64" t="s">
        <v>27</v>
      </c>
      <c r="I91" s="64">
        <v>6</v>
      </c>
      <c r="J91" s="95">
        <f t="shared" ref="J91" si="38">D91/I91</f>
        <v>0</v>
      </c>
      <c r="K91" s="67">
        <f>'RESUMEN PEDIDO'!$C$29</f>
        <v>0</v>
      </c>
      <c r="L91" s="67">
        <f>'RESUMEN PEDIDO'!$C$30</f>
        <v>0</v>
      </c>
      <c r="M91" s="66">
        <f t="shared" ref="M91" si="39">(D91*(E91-(E91*K91)))-(D91*(E91-(E91*K91)))*L91</f>
        <v>0</v>
      </c>
    </row>
    <row r="92" spans="1:13" s="15" customFormat="1" ht="15" customHeight="1" x14ac:dyDescent="0.25">
      <c r="A92" s="38"/>
      <c r="B92" s="68">
        <v>520124</v>
      </c>
      <c r="C92" s="65" t="s">
        <v>15127</v>
      </c>
      <c r="D92" s="1"/>
      <c r="E92" s="66">
        <v>20</v>
      </c>
      <c r="F92" s="66">
        <v>22</v>
      </c>
      <c r="G92" s="226">
        <v>8435057020305</v>
      </c>
      <c r="H92" s="64" t="s">
        <v>47</v>
      </c>
      <c r="I92" s="64">
        <v>6</v>
      </c>
      <c r="J92" s="95">
        <f t="shared" ref="J92:J96" si="40">D92/I92</f>
        <v>0</v>
      </c>
      <c r="K92" s="67">
        <f>'RESUMEN PEDIDO'!$C$29</f>
        <v>0</v>
      </c>
      <c r="L92" s="67">
        <f>'RESUMEN PEDIDO'!$C$30</f>
        <v>0</v>
      </c>
      <c r="M92" s="66">
        <f t="shared" ref="M92:M96" si="41">(D92*(E92-(E92*K92)))-(D92*(E92-(E92*K92)))*L92</f>
        <v>0</v>
      </c>
    </row>
    <row r="93" spans="1:13" s="15" customFormat="1" ht="15" customHeight="1" x14ac:dyDescent="0.25">
      <c r="A93" s="38"/>
      <c r="B93" s="68">
        <v>520125</v>
      </c>
      <c r="C93" s="65" t="s">
        <v>15128</v>
      </c>
      <c r="D93" s="1"/>
      <c r="E93" s="66">
        <v>20</v>
      </c>
      <c r="F93" s="66">
        <v>22</v>
      </c>
      <c r="G93" s="226">
        <v>8435057020312</v>
      </c>
      <c r="H93" s="64" t="s">
        <v>47</v>
      </c>
      <c r="I93" s="64">
        <v>6</v>
      </c>
      <c r="J93" s="95">
        <f t="shared" si="40"/>
        <v>0</v>
      </c>
      <c r="K93" s="67">
        <f>'RESUMEN PEDIDO'!$C$29</f>
        <v>0</v>
      </c>
      <c r="L93" s="67">
        <f>'RESUMEN PEDIDO'!$C$30</f>
        <v>0</v>
      </c>
      <c r="M93" s="66">
        <f t="shared" si="41"/>
        <v>0</v>
      </c>
    </row>
    <row r="94" spans="1:13" s="15" customFormat="1" ht="15" customHeight="1" x14ac:dyDescent="0.25">
      <c r="A94" s="38"/>
      <c r="B94" s="68">
        <v>520126</v>
      </c>
      <c r="C94" s="65" t="s">
        <v>15201</v>
      </c>
      <c r="D94" s="1"/>
      <c r="E94" s="66">
        <v>20.5</v>
      </c>
      <c r="F94" s="66">
        <v>22.55</v>
      </c>
      <c r="G94" s="226">
        <v>8435057020329</v>
      </c>
      <c r="H94" s="64" t="s">
        <v>47</v>
      </c>
      <c r="I94" s="64">
        <v>6</v>
      </c>
      <c r="J94" s="95">
        <f t="shared" si="40"/>
        <v>0</v>
      </c>
      <c r="K94" s="67">
        <f>'RESUMEN PEDIDO'!$C$29</f>
        <v>0</v>
      </c>
      <c r="L94" s="67">
        <f>'RESUMEN PEDIDO'!$C$30</f>
        <v>0</v>
      </c>
      <c r="M94" s="66">
        <f t="shared" si="41"/>
        <v>0</v>
      </c>
    </row>
    <row r="95" spans="1:13" s="15" customFormat="1" ht="15" customHeight="1" x14ac:dyDescent="0.25">
      <c r="A95" s="38"/>
      <c r="B95" s="68">
        <v>520127</v>
      </c>
      <c r="C95" s="65" t="s">
        <v>15129</v>
      </c>
      <c r="D95" s="1"/>
      <c r="E95" s="66">
        <v>20.5</v>
      </c>
      <c r="F95" s="66">
        <v>22.55</v>
      </c>
      <c r="G95" s="226">
        <v>8435057020336</v>
      </c>
      <c r="H95" s="64" t="s">
        <v>47</v>
      </c>
      <c r="I95" s="64">
        <v>6</v>
      </c>
      <c r="J95" s="95">
        <f t="shared" ref="J95" si="42">D95/I95</f>
        <v>0</v>
      </c>
      <c r="K95" s="67">
        <f>'RESUMEN PEDIDO'!$C$29</f>
        <v>0</v>
      </c>
      <c r="L95" s="67">
        <f>'RESUMEN PEDIDO'!$C$30</f>
        <v>0</v>
      </c>
      <c r="M95" s="66">
        <f t="shared" ref="M95" si="43">(D95*(E95-(E95*K95)))-(D95*(E95-(E95*K95)))*L95</f>
        <v>0</v>
      </c>
    </row>
    <row r="96" spans="1:13" s="15" customFormat="1" ht="15" customHeight="1" x14ac:dyDescent="0.25">
      <c r="A96" s="38"/>
      <c r="B96" s="68">
        <v>520128</v>
      </c>
      <c r="C96" s="65" t="s">
        <v>15130</v>
      </c>
      <c r="D96" s="1"/>
      <c r="E96" s="66">
        <v>21.5</v>
      </c>
      <c r="F96" s="66">
        <v>23.65</v>
      </c>
      <c r="G96" s="226">
        <v>8435057020343</v>
      </c>
      <c r="H96" s="64" t="s">
        <v>47</v>
      </c>
      <c r="I96" s="64">
        <v>6</v>
      </c>
      <c r="J96" s="95">
        <f t="shared" si="40"/>
        <v>0</v>
      </c>
      <c r="K96" s="67">
        <f>'RESUMEN PEDIDO'!$C$29</f>
        <v>0</v>
      </c>
      <c r="L96" s="67">
        <f>'RESUMEN PEDIDO'!$C$30</f>
        <v>0</v>
      </c>
      <c r="M96" s="66">
        <f t="shared" si="41"/>
        <v>0</v>
      </c>
    </row>
    <row r="97" spans="1:13" s="15" customFormat="1" ht="15" customHeight="1" x14ac:dyDescent="0.25">
      <c r="A97" s="38"/>
      <c r="B97" s="68">
        <v>520087</v>
      </c>
      <c r="C97" s="65" t="s">
        <v>733</v>
      </c>
      <c r="D97" s="1"/>
      <c r="E97" s="66">
        <v>14.8</v>
      </c>
      <c r="F97" s="66">
        <v>16.3</v>
      </c>
      <c r="G97" s="66" t="str">
        <f>VLOOKUP(B97,EAN,3,0)</f>
        <v>8435057014762</v>
      </c>
      <c r="H97" s="64" t="s">
        <v>43</v>
      </c>
      <c r="I97" s="64">
        <v>6</v>
      </c>
      <c r="J97" s="95">
        <f t="shared" ref="J97:J98" si="44">D97/I97</f>
        <v>0</v>
      </c>
      <c r="K97" s="67">
        <f>'RESUMEN PEDIDO'!$C$29</f>
        <v>0</v>
      </c>
      <c r="L97" s="67">
        <f>'RESUMEN PEDIDO'!$C$30</f>
        <v>0</v>
      </c>
      <c r="M97" s="66">
        <f t="shared" ref="M97:M98" si="45">(D97*(E97-(E97*K97)))-(D97*(E97-(E97*K97)))*L97</f>
        <v>0</v>
      </c>
    </row>
    <row r="98" spans="1:13" s="15" customFormat="1" ht="15" customHeight="1" x14ac:dyDescent="0.25">
      <c r="A98" s="38"/>
      <c r="B98" s="68">
        <v>520088</v>
      </c>
      <c r="C98" s="65" t="s">
        <v>15134</v>
      </c>
      <c r="D98" s="1"/>
      <c r="E98" s="66">
        <v>21.5</v>
      </c>
      <c r="F98" s="66">
        <v>23.650000000000002</v>
      </c>
      <c r="G98" s="234">
        <v>8435057014779</v>
      </c>
      <c r="H98" s="64" t="s">
        <v>47</v>
      </c>
      <c r="I98" s="64">
        <v>6</v>
      </c>
      <c r="J98" s="95">
        <f t="shared" si="44"/>
        <v>0</v>
      </c>
      <c r="K98" s="67">
        <f>'RESUMEN PEDIDO'!$C$29</f>
        <v>0</v>
      </c>
      <c r="L98" s="67">
        <f>'RESUMEN PEDIDO'!$C$30</f>
        <v>0</v>
      </c>
      <c r="M98" s="66">
        <f t="shared" si="45"/>
        <v>0</v>
      </c>
    </row>
    <row r="99" spans="1:13" s="15" customFormat="1" ht="15" customHeight="1" x14ac:dyDescent="0.25">
      <c r="A99" s="38"/>
      <c r="B99" s="60" t="s">
        <v>585</v>
      </c>
      <c r="C99" s="61"/>
      <c r="D99" s="62">
        <f>SUM(D100:D100)</f>
        <v>0</v>
      </c>
      <c r="E99" s="61"/>
      <c r="F99" s="61"/>
      <c r="G99" s="272"/>
      <c r="H99" s="81"/>
      <c r="I99" s="61"/>
      <c r="J99" s="94">
        <f>SUM(J100:J100)</f>
        <v>0</v>
      </c>
      <c r="K99" s="61"/>
      <c r="L99" s="61"/>
      <c r="M99" s="63"/>
    </row>
    <row r="100" spans="1:13" s="15" customFormat="1" ht="15" customHeight="1" x14ac:dyDescent="0.25">
      <c r="A100" s="38"/>
      <c r="B100" s="68">
        <v>530037</v>
      </c>
      <c r="C100" s="65" t="s">
        <v>14721</v>
      </c>
      <c r="D100" s="1"/>
      <c r="E100" s="66">
        <v>15</v>
      </c>
      <c r="F100" s="66">
        <v>16.5</v>
      </c>
      <c r="G100" s="66" t="str">
        <f>VLOOKUP(B100,EAN,3,0)</f>
        <v>8435057016971</v>
      </c>
      <c r="H100" s="64" t="s">
        <v>50</v>
      </c>
      <c r="I100" s="64">
        <v>6</v>
      </c>
      <c r="J100" s="95">
        <f>D100/I100</f>
        <v>0</v>
      </c>
      <c r="K100" s="67">
        <f>'RESUMEN PEDIDO'!$C$29</f>
        <v>0</v>
      </c>
      <c r="L100" s="67">
        <f>'RESUMEN PEDIDO'!$C$30</f>
        <v>0</v>
      </c>
      <c r="M100" s="66">
        <f>(D100*(E100-(E100*K100)))-(D100*(E100-(E100*K100)))*L100</f>
        <v>0</v>
      </c>
    </row>
    <row r="101" spans="1:13" ht="17.25" x14ac:dyDescent="0.25">
      <c r="A101" s="29"/>
      <c r="B101" s="388" t="s">
        <v>591</v>
      </c>
      <c r="C101" s="388"/>
      <c r="D101" s="44"/>
      <c r="E101" s="26"/>
      <c r="F101" s="26"/>
      <c r="G101" s="273"/>
      <c r="H101" s="43"/>
      <c r="I101" s="43"/>
      <c r="J101" s="74"/>
      <c r="K101" s="75"/>
      <c r="L101" s="75"/>
      <c r="M101" s="82"/>
    </row>
    <row r="102" spans="1:13" ht="4.9000000000000004" customHeight="1" x14ac:dyDescent="0.25">
      <c r="A102" s="29"/>
      <c r="B102" s="36"/>
      <c r="C102" s="31"/>
      <c r="D102" s="44"/>
      <c r="E102" s="33"/>
      <c r="F102" s="33"/>
      <c r="G102" s="33"/>
      <c r="H102" s="37"/>
      <c r="I102" s="37"/>
      <c r="J102" s="74"/>
      <c r="K102" s="75"/>
      <c r="L102" s="75"/>
      <c r="M102" s="76"/>
    </row>
  </sheetData>
  <sheetProtection algorithmName="SHA-512" hashValue="Qsfh/gg5ffXY68ZAqGJP7E0KliZ5hEeyHmygpmYOLqTGeHwqm68T3Y/HD9I5cXA3SXlW8JLjd8WwFjGymvGjrQ==" saltValue="2qENegf0lKf932TAXkSeeA==" spinCount="100000" sheet="1" formatCells="0" selectLockedCells="1" autoFilter="0"/>
  <autoFilter ref="A8:IM101" xr:uid="{00000000-0009-0000-0000-000002000000}"/>
  <sortState xmlns:xlrd2="http://schemas.microsoft.com/office/spreadsheetml/2017/richdata2" ref="B82:M89">
    <sortCondition ref="B82:B89"/>
  </sortState>
  <mergeCells count="5">
    <mergeCell ref="B6:M6"/>
    <mergeCell ref="B101:C101"/>
    <mergeCell ref="K7:L7"/>
    <mergeCell ref="B1:C1"/>
    <mergeCell ref="E7:I7"/>
  </mergeCells>
  <phoneticPr fontId="7" type="noConversion"/>
  <conditionalFormatting sqref="J7 J10:J14 J16:J19 J21:J62 J64:J80 J82:J89 J91:J98">
    <cfRule type="expression" dxfId="6" priority="14" stopIfTrue="1">
      <formula>RIGHT(J7,LEN(J7)-FIND(",",J7))&gt;0</formula>
    </cfRule>
  </conditionalFormatting>
  <conditionalFormatting sqref="J100">
    <cfRule type="expression" dxfId="5" priority="5" stopIfTrue="1">
      <formula>RIGHT(J100,LEN(J100)-FIND(",",J100))&gt;0</formula>
    </cfRule>
  </conditionalFormatting>
  <pageMargins left="0.23622047244094491" right="0.23622047244094491" top="0.74803149606299213" bottom="0.74803149606299213" header="0.31496062992125984" footer="0.31496062992125984"/>
  <pageSetup paperSize="9" scale="38" fitToHeight="2" orientation="portrait" horizontalDpi="1200" verticalDpi="1200" r:id="rId1"/>
  <headerFooter alignWithMargins="0"/>
  <ignoredErrors>
    <ignoredError sqref="G32:G34 G21:G25 G28:G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5813-1E80-47E7-84B8-CFC717CCADCA}">
  <sheetPr>
    <tabColor theme="0" tint="-0.34998626667073579"/>
  </sheetPr>
  <dimension ref="A1:IM151"/>
  <sheetViews>
    <sheetView showGridLines="0" tabSelected="1"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33" sqref="J33"/>
    </sheetView>
  </sheetViews>
  <sheetFormatPr baseColWidth="10" defaultColWidth="12" defaultRowHeight="19.5" customHeight="1" x14ac:dyDescent="0.25"/>
  <cols>
    <col min="1" max="1" width="3.140625" style="10" customWidth="1"/>
    <col min="2" max="2" width="11" style="18" customWidth="1"/>
    <col min="3" max="3" width="103.7109375" style="10" bestFit="1" customWidth="1"/>
    <col min="4" max="4" width="11.7109375" style="10" customWidth="1"/>
    <col min="5" max="5" width="11.7109375" style="7" customWidth="1"/>
    <col min="6" max="6" width="23.42578125" style="17" bestFit="1" customWidth="1"/>
    <col min="7" max="7" width="11.7109375" style="7" customWidth="1"/>
    <col min="8" max="8" width="14.28515625" style="17" customWidth="1"/>
    <col min="9" max="9" width="13.5703125" style="19" bestFit="1" customWidth="1"/>
    <col min="10" max="16384" width="12" style="10"/>
  </cols>
  <sheetData>
    <row r="1" spans="1:247" ht="15.75" customHeight="1" x14ac:dyDescent="0.3">
      <c r="A1" s="24"/>
      <c r="B1" s="381" t="s">
        <v>572</v>
      </c>
      <c r="C1" s="381"/>
      <c r="D1" s="29"/>
      <c r="E1" s="26"/>
      <c r="F1" s="45"/>
      <c r="G1" s="26"/>
      <c r="H1" s="45"/>
      <c r="I1" s="35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</row>
    <row r="2" spans="1:247" s="15" customFormat="1" ht="15.75" customHeight="1" x14ac:dyDescent="0.25">
      <c r="A2" s="38"/>
      <c r="B2" s="83" t="s">
        <v>573</v>
      </c>
      <c r="C2" s="83"/>
      <c r="D2" s="84"/>
      <c r="E2" s="85"/>
      <c r="F2" s="394" t="s">
        <v>588</v>
      </c>
      <c r="G2" s="394"/>
      <c r="H2" s="87">
        <f>'[1]RESUMEN PEDIDO'!H41</f>
        <v>0</v>
      </c>
    </row>
    <row r="3" spans="1:247" s="15" customFormat="1" ht="15.75" customHeight="1" x14ac:dyDescent="0.25">
      <c r="A3" s="38"/>
      <c r="B3" s="88"/>
      <c r="C3" s="89"/>
      <c r="D3" s="84"/>
      <c r="E3" s="85"/>
      <c r="F3" s="394" t="s">
        <v>589</v>
      </c>
      <c r="G3" s="394"/>
      <c r="H3" s="87">
        <f>'RESUMEN PEDIDO'!H45</f>
        <v>0</v>
      </c>
    </row>
    <row r="4" spans="1:247" ht="15.75" customHeight="1" x14ac:dyDescent="0.3">
      <c r="A4" s="29"/>
      <c r="B4" s="36"/>
      <c r="C4" s="31"/>
      <c r="D4" s="77"/>
      <c r="E4" s="33"/>
      <c r="F4" s="37"/>
      <c r="G4" s="33"/>
      <c r="H4" s="37"/>
      <c r="I4" s="35"/>
    </row>
    <row r="5" spans="1:247" ht="15.75" customHeight="1" x14ac:dyDescent="0.3">
      <c r="A5" s="29"/>
      <c r="B5" s="36"/>
      <c r="C5" s="31"/>
      <c r="D5" s="77"/>
      <c r="E5" s="33"/>
      <c r="F5" s="37"/>
      <c r="G5" s="33"/>
      <c r="H5" s="37"/>
      <c r="I5" s="35"/>
    </row>
    <row r="6" spans="1:247" s="15" customFormat="1" ht="25.15" customHeight="1" x14ac:dyDescent="0.25">
      <c r="A6" s="38"/>
      <c r="B6" s="395" t="s">
        <v>113</v>
      </c>
      <c r="C6" s="395"/>
      <c r="D6" s="395"/>
      <c r="E6" s="395"/>
      <c r="F6" s="395"/>
      <c r="G6" s="395"/>
      <c r="H6" s="395"/>
      <c r="I6" s="38"/>
    </row>
    <row r="7" spans="1:247" s="16" customFormat="1" ht="19.899999999999999" customHeight="1" x14ac:dyDescent="0.25">
      <c r="A7" s="40"/>
      <c r="B7" s="240" t="s">
        <v>116</v>
      </c>
      <c r="C7" s="241"/>
      <c r="D7" s="242">
        <f>SUBTOTAL(9,D9:D147)</f>
        <v>0</v>
      </c>
      <c r="E7" s="396"/>
      <c r="F7" s="397"/>
      <c r="G7" s="288"/>
      <c r="H7" s="243">
        <f>SUBTOTAL(9,H9:H147)</f>
        <v>0</v>
      </c>
      <c r="I7" s="40"/>
    </row>
    <row r="8" spans="1:247" s="15" customFormat="1" ht="40.5" customHeight="1" x14ac:dyDescent="0.25">
      <c r="A8" s="38"/>
      <c r="B8" s="52" t="s">
        <v>2</v>
      </c>
      <c r="C8" s="53" t="s">
        <v>3</v>
      </c>
      <c r="D8" s="54" t="s">
        <v>0</v>
      </c>
      <c r="E8" s="55" t="s">
        <v>5</v>
      </c>
      <c r="F8" s="56" t="s">
        <v>10</v>
      </c>
      <c r="G8" s="55" t="s">
        <v>14887</v>
      </c>
      <c r="H8" s="59" t="s">
        <v>9</v>
      </c>
      <c r="I8" s="38"/>
    </row>
    <row r="9" spans="1:247" s="15" customFormat="1" ht="15" customHeight="1" x14ac:dyDescent="0.25">
      <c r="A9" s="38"/>
      <c r="B9" s="60" t="s">
        <v>107</v>
      </c>
      <c r="C9" s="61"/>
      <c r="D9" s="61"/>
      <c r="E9" s="61"/>
      <c r="F9" s="61"/>
      <c r="G9" s="61"/>
      <c r="H9" s="63"/>
      <c r="I9" s="38"/>
    </row>
    <row r="10" spans="1:247" s="15" customFormat="1" ht="15" customHeight="1" x14ac:dyDescent="0.25">
      <c r="A10" s="38"/>
      <c r="B10" s="68">
        <v>310255</v>
      </c>
      <c r="C10" s="65" t="s">
        <v>14803</v>
      </c>
      <c r="D10" s="3"/>
      <c r="E10" s="66">
        <v>17.076190476190479</v>
      </c>
      <c r="F10" s="64" t="s">
        <v>117</v>
      </c>
      <c r="G10" s="67">
        <f>'[1]RESUMEN PEDIDO'!$C$31</f>
        <v>0.7</v>
      </c>
      <c r="H10" s="66">
        <f>(D10*(E10-(E10*G10)))</f>
        <v>0</v>
      </c>
      <c r="I10" s="38"/>
      <c r="J10" s="308"/>
    </row>
    <row r="11" spans="1:247" s="15" customFormat="1" ht="15" customHeight="1" x14ac:dyDescent="0.25">
      <c r="A11" s="38"/>
      <c r="B11" s="68">
        <v>310280</v>
      </c>
      <c r="C11" s="65" t="s">
        <v>592</v>
      </c>
      <c r="D11" s="3"/>
      <c r="E11" s="66">
        <v>6.9840047619047638</v>
      </c>
      <c r="F11" s="64" t="s">
        <v>118</v>
      </c>
      <c r="G11" s="67">
        <f>'[1]RESUMEN PEDIDO'!$C$31</f>
        <v>0.7</v>
      </c>
      <c r="H11" s="66">
        <f>(D11*(E11-(E11*G11)))</f>
        <v>0</v>
      </c>
      <c r="I11" s="38"/>
      <c r="J11" s="308"/>
    </row>
    <row r="12" spans="1:247" s="15" customFormat="1" ht="15" customHeight="1" x14ac:dyDescent="0.25">
      <c r="A12" s="38"/>
      <c r="B12" s="60" t="s">
        <v>14802</v>
      </c>
      <c r="C12" s="61"/>
      <c r="D12" s="61"/>
      <c r="E12" s="90"/>
      <c r="F12" s="61"/>
      <c r="G12" s="289"/>
      <c r="H12" s="63"/>
      <c r="I12" s="38"/>
      <c r="J12" s="308"/>
    </row>
    <row r="13" spans="1:247" s="15" customFormat="1" ht="15" customHeight="1" x14ac:dyDescent="0.25">
      <c r="A13" s="38"/>
      <c r="B13" s="68">
        <v>310388</v>
      </c>
      <c r="C13" s="65" t="s">
        <v>15175</v>
      </c>
      <c r="D13" s="3"/>
      <c r="E13" s="66">
        <v>96.904761904761926</v>
      </c>
      <c r="F13" s="64" t="s">
        <v>119</v>
      </c>
      <c r="G13" s="67">
        <f>'[1]RESUMEN PEDIDO'!$C$31</f>
        <v>0.7</v>
      </c>
      <c r="H13" s="66">
        <f>(D13*(E13-(E13*G13)))</f>
        <v>0</v>
      </c>
      <c r="I13" s="38"/>
      <c r="J13" s="308"/>
    </row>
    <row r="14" spans="1:247" s="15" customFormat="1" ht="15" customHeight="1" x14ac:dyDescent="0.25">
      <c r="A14" s="38"/>
      <c r="B14" s="60" t="s">
        <v>108</v>
      </c>
      <c r="C14" s="61"/>
      <c r="D14" s="61"/>
      <c r="E14" s="90"/>
      <c r="F14" s="61"/>
      <c r="G14" s="289"/>
      <c r="H14" s="63"/>
      <c r="I14" s="38"/>
      <c r="J14" s="308"/>
    </row>
    <row r="15" spans="1:247" s="15" customFormat="1" ht="15" customHeight="1" x14ac:dyDescent="0.25">
      <c r="A15" s="38"/>
      <c r="B15" s="68">
        <v>310148</v>
      </c>
      <c r="C15" s="65" t="s">
        <v>15169</v>
      </c>
      <c r="D15" s="3"/>
      <c r="E15" s="66">
        <v>1.7652380952380957</v>
      </c>
      <c r="F15" s="64" t="s">
        <v>119</v>
      </c>
      <c r="G15" s="67">
        <f>'[1]RESUMEN PEDIDO'!$C$31</f>
        <v>0.7</v>
      </c>
      <c r="H15" s="66">
        <f t="shared" ref="H15:H31" si="0">(D15*(E15-(E15*G15)))</f>
        <v>0</v>
      </c>
      <c r="I15" s="38"/>
      <c r="J15" s="308"/>
    </row>
    <row r="16" spans="1:247" s="15" customFormat="1" ht="15" customHeight="1" x14ac:dyDescent="0.25">
      <c r="A16" s="38"/>
      <c r="B16" s="64">
        <v>310326</v>
      </c>
      <c r="C16" s="65" t="s">
        <v>15170</v>
      </c>
      <c r="D16" s="3"/>
      <c r="E16" s="66">
        <v>1.8333333333333335</v>
      </c>
      <c r="F16" s="64" t="s">
        <v>119</v>
      </c>
      <c r="G16" s="67">
        <f>'[1]RESUMEN PEDIDO'!$C$31</f>
        <v>0.7</v>
      </c>
      <c r="H16" s="66">
        <f t="shared" si="0"/>
        <v>0</v>
      </c>
      <c r="I16" s="38"/>
      <c r="J16" s="308"/>
    </row>
    <row r="17" spans="1:10" s="15" customFormat="1" ht="15" customHeight="1" x14ac:dyDescent="0.25">
      <c r="A17" s="38"/>
      <c r="B17" s="64">
        <v>310327</v>
      </c>
      <c r="C17" s="65" t="s">
        <v>15202</v>
      </c>
      <c r="D17" s="3"/>
      <c r="E17" s="66">
        <v>1.8333333333333335</v>
      </c>
      <c r="F17" s="64" t="s">
        <v>119</v>
      </c>
      <c r="G17" s="67">
        <f>'[1]RESUMEN PEDIDO'!$C$31</f>
        <v>0.7</v>
      </c>
      <c r="H17" s="66">
        <f t="shared" si="0"/>
        <v>0</v>
      </c>
      <c r="I17" s="38"/>
      <c r="J17" s="308"/>
    </row>
    <row r="18" spans="1:10" s="15" customFormat="1" ht="15" customHeight="1" x14ac:dyDescent="0.25">
      <c r="A18" s="38"/>
      <c r="B18" s="64">
        <v>310362</v>
      </c>
      <c r="C18" s="65" t="s">
        <v>14789</v>
      </c>
      <c r="D18" s="3"/>
      <c r="E18" s="66">
        <v>4.3140952380952386</v>
      </c>
      <c r="F18" s="64" t="s">
        <v>119</v>
      </c>
      <c r="G18" s="67">
        <f>'[1]RESUMEN PEDIDO'!$C$31</f>
        <v>0.7</v>
      </c>
      <c r="H18" s="66">
        <f t="shared" si="0"/>
        <v>0</v>
      </c>
      <c r="I18" s="38"/>
      <c r="J18" s="308"/>
    </row>
    <row r="19" spans="1:10" s="15" customFormat="1" ht="15" customHeight="1" x14ac:dyDescent="0.25">
      <c r="A19" s="38"/>
      <c r="B19" s="64">
        <v>310352</v>
      </c>
      <c r="C19" s="65" t="s">
        <v>15171</v>
      </c>
      <c r="D19" s="3"/>
      <c r="E19" s="66">
        <v>6.2857142857142856</v>
      </c>
      <c r="F19" s="64" t="s">
        <v>119</v>
      </c>
      <c r="G19" s="67">
        <f>'[1]RESUMEN PEDIDO'!$C$31</f>
        <v>0.7</v>
      </c>
      <c r="H19" s="66">
        <f t="shared" si="0"/>
        <v>0</v>
      </c>
      <c r="I19" s="38"/>
      <c r="J19" s="308"/>
    </row>
    <row r="20" spans="1:10" s="15" customFormat="1" ht="15" customHeight="1" x14ac:dyDescent="0.25">
      <c r="A20" s="38"/>
      <c r="B20" s="64">
        <v>310353</v>
      </c>
      <c r="C20" s="65" t="s">
        <v>15172</v>
      </c>
      <c r="D20" s="3"/>
      <c r="E20" s="66">
        <v>1.3095238095238098</v>
      </c>
      <c r="F20" s="64" t="s">
        <v>119</v>
      </c>
      <c r="G20" s="67">
        <f>'[1]RESUMEN PEDIDO'!$C$31</f>
        <v>0.7</v>
      </c>
      <c r="H20" s="66">
        <f t="shared" si="0"/>
        <v>0</v>
      </c>
      <c r="I20" s="38"/>
      <c r="J20" s="308"/>
    </row>
    <row r="21" spans="1:10" s="15" customFormat="1" ht="15" customHeight="1" x14ac:dyDescent="0.25">
      <c r="A21" s="38"/>
      <c r="B21" s="64">
        <v>310400</v>
      </c>
      <c r="C21" s="65" t="s">
        <v>15116</v>
      </c>
      <c r="D21" s="3"/>
      <c r="E21" s="66">
        <v>0.62857142857142867</v>
      </c>
      <c r="F21" s="64" t="s">
        <v>119</v>
      </c>
      <c r="G21" s="67">
        <f>'[1]RESUMEN PEDIDO'!$C$31</f>
        <v>0.7</v>
      </c>
      <c r="H21" s="66">
        <f t="shared" ref="H21:H22" si="1">(D21*(E21-(E21*G21)))</f>
        <v>0</v>
      </c>
      <c r="I21" s="38"/>
      <c r="J21" s="308"/>
    </row>
    <row r="22" spans="1:10" s="15" customFormat="1" ht="15" customHeight="1" x14ac:dyDescent="0.25">
      <c r="A22" s="38"/>
      <c r="B22" s="64">
        <v>310393</v>
      </c>
      <c r="C22" s="65" t="s">
        <v>15117</v>
      </c>
      <c r="D22" s="3"/>
      <c r="E22" s="66">
        <v>3.3523809523809529</v>
      </c>
      <c r="F22" s="64" t="s">
        <v>119</v>
      </c>
      <c r="G22" s="67">
        <f>'[1]RESUMEN PEDIDO'!$C$31</f>
        <v>0.7</v>
      </c>
      <c r="H22" s="66">
        <f t="shared" si="1"/>
        <v>0</v>
      </c>
      <c r="I22" s="38"/>
      <c r="J22" s="308"/>
    </row>
    <row r="23" spans="1:10" s="15" customFormat="1" ht="15" customHeight="1" x14ac:dyDescent="0.25">
      <c r="A23" s="38"/>
      <c r="B23" s="68">
        <v>310392</v>
      </c>
      <c r="C23" s="65" t="s">
        <v>15104</v>
      </c>
      <c r="D23" s="3"/>
      <c r="E23" s="66">
        <v>2.7238095238095248</v>
      </c>
      <c r="F23" s="64" t="s">
        <v>119</v>
      </c>
      <c r="G23" s="67">
        <f>'[1]RESUMEN PEDIDO'!$C$31</f>
        <v>0.7</v>
      </c>
      <c r="H23" s="66">
        <f t="shared" ref="H23" si="2">(D23*(E23-(E23*G23)))</f>
        <v>0</v>
      </c>
      <c r="I23" s="38"/>
      <c r="J23" s="308"/>
    </row>
    <row r="24" spans="1:10" s="15" customFormat="1" ht="15" customHeight="1" x14ac:dyDescent="0.25">
      <c r="A24" s="38"/>
      <c r="B24" s="68">
        <v>310355</v>
      </c>
      <c r="C24" s="65" t="s">
        <v>14749</v>
      </c>
      <c r="D24" s="3"/>
      <c r="E24" s="66">
        <v>25.195238095238096</v>
      </c>
      <c r="F24" s="64" t="s">
        <v>119</v>
      </c>
      <c r="G24" s="67">
        <f>'[1]RESUMEN PEDIDO'!$C$31</f>
        <v>0.7</v>
      </c>
      <c r="H24" s="66">
        <f t="shared" si="0"/>
        <v>0</v>
      </c>
      <c r="I24" s="38"/>
      <c r="J24" s="308"/>
    </row>
    <row r="25" spans="1:10" s="15" customFormat="1" ht="15" customHeight="1" x14ac:dyDescent="0.25">
      <c r="A25" s="38"/>
      <c r="B25" s="68">
        <v>310244</v>
      </c>
      <c r="C25" s="65" t="s">
        <v>721</v>
      </c>
      <c r="D25" s="3"/>
      <c r="E25" s="66">
        <v>13.357142857142858</v>
      </c>
      <c r="F25" s="64" t="s">
        <v>119</v>
      </c>
      <c r="G25" s="67">
        <f>'[1]RESUMEN PEDIDO'!$C$31</f>
        <v>0.7</v>
      </c>
      <c r="H25" s="66">
        <f t="shared" si="0"/>
        <v>0</v>
      </c>
      <c r="I25" s="38"/>
      <c r="J25" s="308"/>
    </row>
    <row r="26" spans="1:10" s="15" customFormat="1" ht="15" customHeight="1" x14ac:dyDescent="0.25">
      <c r="A26" s="38"/>
      <c r="B26" s="68">
        <v>310328</v>
      </c>
      <c r="C26" s="65" t="s">
        <v>15168</v>
      </c>
      <c r="D26" s="3"/>
      <c r="E26" s="66">
        <v>1.1561000000000001</v>
      </c>
      <c r="F26" s="64" t="s">
        <v>119</v>
      </c>
      <c r="G26" s="67">
        <f>'[1]RESUMEN PEDIDO'!$C$31</f>
        <v>0.7</v>
      </c>
      <c r="H26" s="66">
        <f t="shared" si="0"/>
        <v>0</v>
      </c>
      <c r="I26" s="38"/>
      <c r="J26" s="308"/>
    </row>
    <row r="27" spans="1:10" s="15" customFormat="1" ht="15" customHeight="1" x14ac:dyDescent="0.25">
      <c r="A27" s="38"/>
      <c r="B27" s="68">
        <v>310425</v>
      </c>
      <c r="C27" s="65" t="s">
        <v>15167</v>
      </c>
      <c r="D27" s="3"/>
      <c r="E27" s="66">
        <v>1.1561000000000001</v>
      </c>
      <c r="F27" s="64" t="s">
        <v>119</v>
      </c>
      <c r="G27" s="67">
        <f>'[1]RESUMEN PEDIDO'!$C$31</f>
        <v>0.7</v>
      </c>
      <c r="H27" s="66">
        <f t="shared" ref="H27" si="3">(D27*(E27-(E27*G27)))</f>
        <v>0</v>
      </c>
      <c r="I27" s="38"/>
      <c r="J27" s="308"/>
    </row>
    <row r="28" spans="1:10" s="15" customFormat="1" ht="15" customHeight="1" x14ac:dyDescent="0.25">
      <c r="A28" s="38"/>
      <c r="B28" s="68">
        <v>230139</v>
      </c>
      <c r="C28" s="65" t="s">
        <v>15090</v>
      </c>
      <c r="D28" s="3"/>
      <c r="E28" s="66">
        <v>1.1555761904761908</v>
      </c>
      <c r="F28" s="64" t="s">
        <v>119</v>
      </c>
      <c r="G28" s="67">
        <f>'[1]RESUMEN PEDIDO'!$C$31</f>
        <v>0.7</v>
      </c>
      <c r="H28" s="66">
        <f t="shared" si="0"/>
        <v>0</v>
      </c>
      <c r="I28" s="38"/>
      <c r="J28" s="308"/>
    </row>
    <row r="29" spans="1:10" s="15" customFormat="1" ht="15" customHeight="1" x14ac:dyDescent="0.25">
      <c r="A29" s="38"/>
      <c r="B29" s="68">
        <v>230146</v>
      </c>
      <c r="C29" s="65" t="s">
        <v>15091</v>
      </c>
      <c r="D29" s="3"/>
      <c r="E29" s="66">
        <v>1.5923809523809525</v>
      </c>
      <c r="F29" s="64" t="s">
        <v>119</v>
      </c>
      <c r="G29" s="67">
        <f>'[1]RESUMEN PEDIDO'!$C$31</f>
        <v>0.7</v>
      </c>
      <c r="H29" s="66">
        <f t="shared" ref="H29" si="4">(D29*(E29-(E29*G29)))</f>
        <v>0</v>
      </c>
      <c r="I29" s="38"/>
      <c r="J29" s="308"/>
    </row>
    <row r="30" spans="1:10" s="15" customFormat="1" ht="15" customHeight="1" x14ac:dyDescent="0.25">
      <c r="A30" s="38"/>
      <c r="B30" s="68">
        <v>230189</v>
      </c>
      <c r="C30" s="65" t="s">
        <v>14668</v>
      </c>
      <c r="D30" s="3"/>
      <c r="E30" s="66">
        <v>1.377619047619048</v>
      </c>
      <c r="F30" s="64" t="s">
        <v>119</v>
      </c>
      <c r="G30" s="67">
        <f>'[1]RESUMEN PEDIDO'!$C$31</f>
        <v>0.7</v>
      </c>
      <c r="H30" s="66">
        <f t="shared" si="0"/>
        <v>0</v>
      </c>
      <c r="I30" s="38"/>
      <c r="J30" s="308"/>
    </row>
    <row r="31" spans="1:10" s="15" customFormat="1" ht="15" customHeight="1" x14ac:dyDescent="0.25">
      <c r="A31" s="38"/>
      <c r="B31" s="68">
        <v>310332</v>
      </c>
      <c r="C31" s="65" t="s">
        <v>15103</v>
      </c>
      <c r="D31" s="3"/>
      <c r="E31" s="66">
        <v>0.25698095238095242</v>
      </c>
      <c r="F31" s="64" t="s">
        <v>119</v>
      </c>
      <c r="G31" s="67">
        <f>'[1]RESUMEN PEDIDO'!$C$31</f>
        <v>0.7</v>
      </c>
      <c r="H31" s="66">
        <f t="shared" si="0"/>
        <v>0</v>
      </c>
      <c r="I31" s="38"/>
      <c r="J31" s="308"/>
    </row>
    <row r="32" spans="1:10" s="15" customFormat="1" ht="15" customHeight="1" x14ac:dyDescent="0.25">
      <c r="A32" s="38"/>
      <c r="B32" s="60" t="s">
        <v>109</v>
      </c>
      <c r="C32" s="61"/>
      <c r="D32" s="61"/>
      <c r="E32" s="90"/>
      <c r="F32" s="61"/>
      <c r="G32" s="289"/>
      <c r="H32" s="63"/>
      <c r="I32" s="38"/>
      <c r="J32" s="308"/>
    </row>
    <row r="33" spans="1:10" s="15" customFormat="1" ht="15" customHeight="1" x14ac:dyDescent="0.25">
      <c r="A33" s="38"/>
      <c r="B33" s="68">
        <v>300865</v>
      </c>
      <c r="C33" s="65" t="s">
        <v>15105</v>
      </c>
      <c r="D33" s="3"/>
      <c r="E33" s="66">
        <v>4.5204761904761916</v>
      </c>
      <c r="F33" s="64" t="s">
        <v>120</v>
      </c>
      <c r="G33" s="67">
        <f>'[1]RESUMEN PEDIDO'!$C$31</f>
        <v>0.7</v>
      </c>
      <c r="H33" s="66">
        <f t="shared" ref="H33" si="5">(D33*(E33-(E33*G33)))</f>
        <v>0</v>
      </c>
      <c r="I33" s="38"/>
      <c r="J33" s="308"/>
    </row>
    <row r="34" spans="1:10" s="15" customFormat="1" ht="15" customHeight="1" x14ac:dyDescent="0.25">
      <c r="A34" s="38"/>
      <c r="B34" s="68">
        <v>300909</v>
      </c>
      <c r="C34" s="65" t="s">
        <v>15207</v>
      </c>
      <c r="D34" s="3"/>
      <c r="E34" s="66">
        <v>1.87</v>
      </c>
      <c r="F34" s="64" t="s">
        <v>15208</v>
      </c>
      <c r="G34" s="67">
        <f>'[1]RESUMEN PEDIDO'!$C$31</f>
        <v>0.7</v>
      </c>
      <c r="H34" s="66">
        <f t="shared" ref="H34" si="6">(D34*(E34-(E34*G34)))</f>
        <v>0</v>
      </c>
      <c r="I34" s="38"/>
      <c r="J34" s="308"/>
    </row>
    <row r="35" spans="1:10" s="15" customFormat="1" ht="15" customHeight="1" x14ac:dyDescent="0.25">
      <c r="A35" s="38"/>
      <c r="B35" s="68">
        <v>300904</v>
      </c>
      <c r="C35" s="65" t="s">
        <v>15190</v>
      </c>
      <c r="D35" s="3"/>
      <c r="E35" s="66">
        <v>5.222380952380953</v>
      </c>
      <c r="F35" s="64" t="s">
        <v>14661</v>
      </c>
      <c r="G35" s="67">
        <f>'[1]RESUMEN PEDIDO'!$C$31</f>
        <v>0.7</v>
      </c>
      <c r="H35" s="66">
        <f t="shared" ref="H35" si="7">(D35*(E35-(E35*G35)))</f>
        <v>0</v>
      </c>
      <c r="I35" s="38"/>
      <c r="J35" s="308"/>
    </row>
    <row r="36" spans="1:10" s="15" customFormat="1" ht="15" customHeight="1" x14ac:dyDescent="0.25">
      <c r="A36" s="38"/>
      <c r="B36" s="68">
        <v>300710</v>
      </c>
      <c r="C36" s="65" t="s">
        <v>14899</v>
      </c>
      <c r="D36" s="3"/>
      <c r="E36" s="66">
        <v>71.395238095238113</v>
      </c>
      <c r="F36" s="64" t="s">
        <v>723</v>
      </c>
      <c r="G36" s="67">
        <f>'[1]RESUMEN PEDIDO'!$C$31</f>
        <v>0.7</v>
      </c>
      <c r="H36" s="66">
        <f t="shared" ref="H36:H79" si="8">(D36*(E36-(E36*G36)))</f>
        <v>0</v>
      </c>
      <c r="I36" s="38"/>
      <c r="J36" s="308"/>
    </row>
    <row r="37" spans="1:10" s="15" customFormat="1" ht="15" customHeight="1" x14ac:dyDescent="0.25">
      <c r="A37" s="38"/>
      <c r="B37" s="68">
        <v>300714</v>
      </c>
      <c r="C37" s="65" t="s">
        <v>15135</v>
      </c>
      <c r="D37" s="3"/>
      <c r="E37" s="66">
        <v>2.5525238095238101</v>
      </c>
      <c r="F37" s="64" t="s">
        <v>120</v>
      </c>
      <c r="G37" s="67">
        <f>'[1]RESUMEN PEDIDO'!$C$31</f>
        <v>0.7</v>
      </c>
      <c r="H37" s="66">
        <f t="shared" si="8"/>
        <v>0</v>
      </c>
      <c r="I37" s="38"/>
      <c r="J37" s="308"/>
    </row>
    <row r="38" spans="1:10" s="15" customFormat="1" ht="15" customHeight="1" x14ac:dyDescent="0.25">
      <c r="A38" s="38"/>
      <c r="B38" s="68">
        <v>300716</v>
      </c>
      <c r="C38" s="65" t="s">
        <v>735</v>
      </c>
      <c r="D38" s="3"/>
      <c r="E38" s="66">
        <v>4.3144095238095241</v>
      </c>
      <c r="F38" s="64" t="s">
        <v>120</v>
      </c>
      <c r="G38" s="67">
        <f>'[1]RESUMEN PEDIDO'!$C$31</f>
        <v>0.7</v>
      </c>
      <c r="H38" s="66">
        <f t="shared" si="8"/>
        <v>0</v>
      </c>
      <c r="I38" s="38"/>
      <c r="J38" s="308"/>
    </row>
    <row r="39" spans="1:10" s="15" customFormat="1" ht="15" customHeight="1" x14ac:dyDescent="0.25">
      <c r="A39" s="38"/>
      <c r="B39" s="68">
        <v>300732</v>
      </c>
      <c r="C39" s="65" t="s">
        <v>14653</v>
      </c>
      <c r="D39" s="3"/>
      <c r="E39" s="66">
        <v>40.912823809523815</v>
      </c>
      <c r="F39" s="64" t="s">
        <v>722</v>
      </c>
      <c r="G39" s="67">
        <f>'[1]RESUMEN PEDIDO'!$C$31</f>
        <v>0.7</v>
      </c>
      <c r="H39" s="66">
        <f t="shared" si="8"/>
        <v>0</v>
      </c>
      <c r="I39" s="38"/>
      <c r="J39" s="308"/>
    </row>
    <row r="40" spans="1:10" s="15" customFormat="1" ht="15" customHeight="1" x14ac:dyDescent="0.25">
      <c r="A40" s="38"/>
      <c r="B40" s="68">
        <v>300883</v>
      </c>
      <c r="C40" s="65" t="s">
        <v>15136</v>
      </c>
      <c r="D40" s="3"/>
      <c r="E40" s="66">
        <v>3.6142857142857143</v>
      </c>
      <c r="F40" s="64" t="s">
        <v>120</v>
      </c>
      <c r="G40" s="67">
        <f>'[1]RESUMEN PEDIDO'!$C$31</f>
        <v>0.7</v>
      </c>
      <c r="H40" s="66">
        <f t="shared" ref="H40" si="9">(D40*(E40-(E40*G40)))</f>
        <v>0</v>
      </c>
      <c r="I40" s="38"/>
      <c r="J40" s="308"/>
    </row>
    <row r="41" spans="1:10" s="15" customFormat="1" ht="15" customHeight="1" x14ac:dyDescent="0.25">
      <c r="A41" s="38"/>
      <c r="B41" s="68">
        <v>300829</v>
      </c>
      <c r="C41" s="65" t="s">
        <v>14882</v>
      </c>
      <c r="D41" s="3"/>
      <c r="E41" s="66">
        <v>68.042857142857159</v>
      </c>
      <c r="F41" s="64" t="s">
        <v>121</v>
      </c>
      <c r="G41" s="67">
        <f>'[1]RESUMEN PEDIDO'!$C$31</f>
        <v>0.7</v>
      </c>
      <c r="H41" s="66">
        <f t="shared" si="8"/>
        <v>0</v>
      </c>
      <c r="I41" s="38"/>
      <c r="J41" s="308"/>
    </row>
    <row r="42" spans="1:10" s="15" customFormat="1" ht="15" customHeight="1" x14ac:dyDescent="0.25">
      <c r="A42" s="38"/>
      <c r="B42" s="68">
        <v>300761</v>
      </c>
      <c r="C42" s="65" t="s">
        <v>14900</v>
      </c>
      <c r="D42" s="3"/>
      <c r="E42" s="66">
        <v>2.9333333333333345</v>
      </c>
      <c r="F42" s="64" t="s">
        <v>120</v>
      </c>
      <c r="G42" s="67">
        <f>'[1]RESUMEN PEDIDO'!$C$31</f>
        <v>0.7</v>
      </c>
      <c r="H42" s="66">
        <f t="shared" si="8"/>
        <v>0</v>
      </c>
      <c r="I42" s="38"/>
      <c r="J42" s="308"/>
    </row>
    <row r="43" spans="1:10" s="15" customFormat="1" ht="15" customHeight="1" x14ac:dyDescent="0.25">
      <c r="A43" s="38"/>
      <c r="B43" s="68">
        <v>300762</v>
      </c>
      <c r="C43" s="65" t="s">
        <v>14654</v>
      </c>
      <c r="D43" s="3"/>
      <c r="E43" s="66">
        <v>3.5457714285714288</v>
      </c>
      <c r="F43" s="64">
        <v>1</v>
      </c>
      <c r="G43" s="67">
        <f>'[1]RESUMEN PEDIDO'!$C$31</f>
        <v>0.7</v>
      </c>
      <c r="H43" s="66">
        <f t="shared" si="8"/>
        <v>0</v>
      </c>
      <c r="I43" s="38"/>
      <c r="J43" s="308"/>
    </row>
    <row r="44" spans="1:10" s="15" customFormat="1" ht="15" customHeight="1" x14ac:dyDescent="0.25">
      <c r="A44" s="38"/>
      <c r="B44" s="68">
        <v>300759</v>
      </c>
      <c r="C44" s="65" t="s">
        <v>14655</v>
      </c>
      <c r="D44" s="3"/>
      <c r="E44" s="66">
        <v>20.577333333333335</v>
      </c>
      <c r="F44" s="64" t="s">
        <v>14661</v>
      </c>
      <c r="G44" s="67">
        <f>'[1]RESUMEN PEDIDO'!$C$31</f>
        <v>0.7</v>
      </c>
      <c r="H44" s="66">
        <f t="shared" si="8"/>
        <v>0</v>
      </c>
      <c r="I44" s="38"/>
      <c r="J44" s="308"/>
    </row>
    <row r="45" spans="1:10" s="15" customFormat="1" ht="15" customHeight="1" x14ac:dyDescent="0.25">
      <c r="A45" s="38"/>
      <c r="B45" s="68">
        <v>300783</v>
      </c>
      <c r="C45" s="65" t="s">
        <v>15137</v>
      </c>
      <c r="D45" s="3"/>
      <c r="E45" s="66">
        <v>28.432380952380957</v>
      </c>
      <c r="F45" s="64" t="s">
        <v>825</v>
      </c>
      <c r="G45" s="67">
        <f>'[1]RESUMEN PEDIDO'!$C$31</f>
        <v>0.7</v>
      </c>
      <c r="H45" s="66">
        <f t="shared" ref="H45" si="10">(D45*(E45-(E45*G45)))</f>
        <v>0</v>
      </c>
      <c r="I45" s="38"/>
      <c r="J45" s="308"/>
    </row>
    <row r="46" spans="1:10" s="15" customFormat="1" ht="15" customHeight="1" x14ac:dyDescent="0.25">
      <c r="A46" s="38"/>
      <c r="B46" s="64">
        <v>300832</v>
      </c>
      <c r="C46" s="65" t="s">
        <v>14764</v>
      </c>
      <c r="D46" s="3"/>
      <c r="E46" s="66">
        <v>54.476190476190489</v>
      </c>
      <c r="F46" s="64" t="s">
        <v>14768</v>
      </c>
      <c r="G46" s="67">
        <f>'[1]RESUMEN PEDIDO'!$C$31</f>
        <v>0.7</v>
      </c>
      <c r="H46" s="66">
        <f t="shared" si="8"/>
        <v>0</v>
      </c>
      <c r="I46" s="38"/>
      <c r="J46" s="308"/>
    </row>
    <row r="47" spans="1:10" s="15" customFormat="1" ht="15" customHeight="1" x14ac:dyDescent="0.25">
      <c r="A47" s="38"/>
      <c r="B47" s="64">
        <v>300806</v>
      </c>
      <c r="C47" s="65" t="s">
        <v>15189</v>
      </c>
      <c r="D47" s="3"/>
      <c r="E47" s="66">
        <v>3.8658714285714288</v>
      </c>
      <c r="F47" s="64" t="s">
        <v>120</v>
      </c>
      <c r="G47" s="67">
        <f>'[1]RESUMEN PEDIDO'!$C$31</f>
        <v>0.7</v>
      </c>
      <c r="H47" s="66">
        <f t="shared" si="8"/>
        <v>0</v>
      </c>
      <c r="I47" s="38"/>
      <c r="J47" s="308"/>
    </row>
    <row r="48" spans="1:10" s="15" customFormat="1" ht="15" customHeight="1" x14ac:dyDescent="0.25">
      <c r="A48" s="38"/>
      <c r="B48" s="64">
        <v>300812</v>
      </c>
      <c r="C48" s="65" t="s">
        <v>14904</v>
      </c>
      <c r="D48" s="3"/>
      <c r="E48" s="66">
        <v>2.2943380952380954</v>
      </c>
      <c r="F48" s="64" t="s">
        <v>14766</v>
      </c>
      <c r="G48" s="67">
        <f>'[1]RESUMEN PEDIDO'!$C$31</f>
        <v>0.7</v>
      </c>
      <c r="H48" s="66">
        <f>(D48*(E48-(E48*G48)))</f>
        <v>0</v>
      </c>
      <c r="I48" s="38"/>
      <c r="J48" s="308"/>
    </row>
    <row r="49" spans="1:10" s="15" customFormat="1" ht="15" customHeight="1" x14ac:dyDescent="0.25">
      <c r="A49" s="38"/>
      <c r="B49" s="64">
        <v>300808</v>
      </c>
      <c r="C49" s="65" t="s">
        <v>14902</v>
      </c>
      <c r="D49" s="3"/>
      <c r="E49" s="66">
        <v>19.833261904761908</v>
      </c>
      <c r="F49" s="64" t="s">
        <v>14765</v>
      </c>
      <c r="G49" s="67">
        <f>'[1]RESUMEN PEDIDO'!$C$31</f>
        <v>0.7</v>
      </c>
      <c r="H49" s="66">
        <f>(D49*(E49-(E49*G49)))</f>
        <v>0</v>
      </c>
      <c r="I49" s="38"/>
      <c r="J49" s="308"/>
    </row>
    <row r="50" spans="1:10" s="15" customFormat="1" ht="15" customHeight="1" x14ac:dyDescent="0.25">
      <c r="A50" s="38"/>
      <c r="B50" s="64">
        <v>300807</v>
      </c>
      <c r="C50" s="65" t="s">
        <v>14901</v>
      </c>
      <c r="D50" s="3"/>
      <c r="E50" s="66">
        <v>12.623809523809527</v>
      </c>
      <c r="F50" s="64" t="s">
        <v>14661</v>
      </c>
      <c r="G50" s="67">
        <f>'[1]RESUMEN PEDIDO'!$C$31</f>
        <v>0.7</v>
      </c>
      <c r="H50" s="66">
        <f t="shared" si="8"/>
        <v>0</v>
      </c>
      <c r="I50" s="38"/>
      <c r="J50" s="308"/>
    </row>
    <row r="51" spans="1:10" s="15" customFormat="1" ht="15" customHeight="1" x14ac:dyDescent="0.25">
      <c r="A51" s="38"/>
      <c r="B51" s="64">
        <v>300795</v>
      </c>
      <c r="C51" s="65" t="s">
        <v>15138</v>
      </c>
      <c r="D51" s="3"/>
      <c r="E51" s="66">
        <v>4.3947095238095253</v>
      </c>
      <c r="F51" s="64" t="s">
        <v>120</v>
      </c>
      <c r="G51" s="67">
        <f>'[1]RESUMEN PEDIDO'!$C$31</f>
        <v>0.7</v>
      </c>
      <c r="H51" s="66">
        <f t="shared" ref="H51" si="11">(D51*(E51-(E51*G51)))</f>
        <v>0</v>
      </c>
      <c r="I51" s="38"/>
      <c r="J51" s="308"/>
    </row>
    <row r="52" spans="1:10" s="15" customFormat="1" ht="15" customHeight="1" x14ac:dyDescent="0.25">
      <c r="A52" s="38"/>
      <c r="B52" s="68">
        <v>300731</v>
      </c>
      <c r="C52" s="65" t="s">
        <v>753</v>
      </c>
      <c r="D52" s="3"/>
      <c r="E52" s="66">
        <v>2.0252571428571433</v>
      </c>
      <c r="F52" s="64" t="s">
        <v>120</v>
      </c>
      <c r="G52" s="67">
        <f>'[1]RESUMEN PEDIDO'!$C$31</f>
        <v>0.7</v>
      </c>
      <c r="H52" s="66">
        <f>(D52*(E52-(E52*G52)))</f>
        <v>0</v>
      </c>
      <c r="I52" s="38"/>
      <c r="J52" s="308"/>
    </row>
    <row r="53" spans="1:10" s="15" customFormat="1" ht="15" customHeight="1" x14ac:dyDescent="0.25">
      <c r="A53" s="38"/>
      <c r="B53" s="68">
        <v>300827</v>
      </c>
      <c r="C53" s="65" t="s">
        <v>15173</v>
      </c>
      <c r="D53" s="3"/>
      <c r="E53" s="66">
        <v>3.8761904761904766</v>
      </c>
      <c r="F53" s="64" t="s">
        <v>120</v>
      </c>
      <c r="G53" s="67">
        <f>'[1]RESUMEN PEDIDO'!$C$31</f>
        <v>0.7</v>
      </c>
      <c r="H53" s="66">
        <f t="shared" si="8"/>
        <v>0</v>
      </c>
      <c r="I53" s="38"/>
      <c r="J53" s="308"/>
    </row>
    <row r="54" spans="1:10" s="15" customFormat="1" ht="15" customHeight="1" x14ac:dyDescent="0.25">
      <c r="A54" s="38"/>
      <c r="B54" s="68">
        <v>300837</v>
      </c>
      <c r="C54" s="65" t="s">
        <v>15139</v>
      </c>
      <c r="D54" s="3"/>
      <c r="E54" s="66">
        <v>26.452380952380956</v>
      </c>
      <c r="F54" s="64" t="s">
        <v>14916</v>
      </c>
      <c r="G54" s="67">
        <f>'[1]RESUMEN PEDIDO'!$C$31</f>
        <v>0.7</v>
      </c>
      <c r="H54" s="66">
        <f t="shared" si="8"/>
        <v>0</v>
      </c>
      <c r="I54" s="38"/>
      <c r="J54" s="308"/>
    </row>
    <row r="55" spans="1:10" s="15" customFormat="1" ht="15" customHeight="1" x14ac:dyDescent="0.25">
      <c r="A55" s="38"/>
      <c r="B55" s="68">
        <v>300852</v>
      </c>
      <c r="C55" s="65" t="s">
        <v>15101</v>
      </c>
      <c r="D55" s="3"/>
      <c r="E55" s="66">
        <v>3.2895238095238097</v>
      </c>
      <c r="F55" s="64" t="s">
        <v>120</v>
      </c>
      <c r="G55" s="67">
        <f>'[1]RESUMEN PEDIDO'!$C$31</f>
        <v>0.7</v>
      </c>
      <c r="H55" s="66">
        <f t="shared" ref="H55:H56" si="12">(D55*(E55-(E55*G55)))</f>
        <v>0</v>
      </c>
      <c r="I55" s="38"/>
      <c r="J55" s="308"/>
    </row>
    <row r="56" spans="1:10" s="15" customFormat="1" ht="15" customHeight="1" x14ac:dyDescent="0.25">
      <c r="A56" s="38"/>
      <c r="B56" s="68">
        <v>300853</v>
      </c>
      <c r="C56" s="65" t="s">
        <v>15102</v>
      </c>
      <c r="D56" s="3"/>
      <c r="E56" s="66">
        <v>1.6369047619047621</v>
      </c>
      <c r="F56" s="64" t="s">
        <v>14766</v>
      </c>
      <c r="G56" s="67">
        <f>'[1]RESUMEN PEDIDO'!$C$31</f>
        <v>0.7</v>
      </c>
      <c r="H56" s="66">
        <f t="shared" si="12"/>
        <v>0</v>
      </c>
      <c r="I56" s="38"/>
      <c r="J56" s="308"/>
    </row>
    <row r="57" spans="1:10" s="15" customFormat="1" ht="15" customHeight="1" x14ac:dyDescent="0.25">
      <c r="A57" s="38"/>
      <c r="B57" s="68">
        <v>300867</v>
      </c>
      <c r="C57" s="65" t="s">
        <v>15140</v>
      </c>
      <c r="D57" s="3"/>
      <c r="E57" s="66">
        <v>53.428571428571431</v>
      </c>
      <c r="F57" s="64" t="s">
        <v>722</v>
      </c>
      <c r="G57" s="67">
        <f>'[1]RESUMEN PEDIDO'!$C$31</f>
        <v>0.7</v>
      </c>
      <c r="H57" s="66">
        <f t="shared" ref="H57" si="13">(D57*(E57-(E57*G57)))</f>
        <v>0</v>
      </c>
      <c r="I57" s="38"/>
      <c r="J57" s="308"/>
    </row>
    <row r="58" spans="1:10" s="15" customFormat="1" ht="15" customHeight="1" x14ac:dyDescent="0.25">
      <c r="A58" s="38"/>
      <c r="B58" s="68">
        <v>300770</v>
      </c>
      <c r="C58" s="65" t="s">
        <v>15133</v>
      </c>
      <c r="D58" s="3"/>
      <c r="E58" s="66">
        <v>3.7363333333333344</v>
      </c>
      <c r="F58" s="64" t="s">
        <v>120</v>
      </c>
      <c r="G58" s="67">
        <f>'[1]RESUMEN PEDIDO'!$C$31</f>
        <v>0.7</v>
      </c>
      <c r="H58" s="66">
        <f t="shared" si="8"/>
        <v>0</v>
      </c>
      <c r="I58" s="38"/>
      <c r="J58" s="308"/>
    </row>
    <row r="59" spans="1:10" s="15" customFormat="1" ht="15" customHeight="1" x14ac:dyDescent="0.25">
      <c r="A59" s="38"/>
      <c r="B59" s="68">
        <v>300772</v>
      </c>
      <c r="C59" s="65" t="s">
        <v>14656</v>
      </c>
      <c r="D59" s="3"/>
      <c r="E59" s="66">
        <v>0.35503809523809537</v>
      </c>
      <c r="F59" s="64" t="s">
        <v>587</v>
      </c>
      <c r="G59" s="67">
        <f>'[1]RESUMEN PEDIDO'!$C$31</f>
        <v>0.7</v>
      </c>
      <c r="H59" s="66">
        <f t="shared" si="8"/>
        <v>0</v>
      </c>
      <c r="I59" s="38"/>
      <c r="J59" s="308"/>
    </row>
    <row r="60" spans="1:10" s="15" customFormat="1" ht="15" customHeight="1" x14ac:dyDescent="0.25">
      <c r="A60" s="38"/>
      <c r="B60" s="68">
        <v>300773</v>
      </c>
      <c r="C60" s="65" t="s">
        <v>14657</v>
      </c>
      <c r="D60" s="3"/>
      <c r="E60" s="66">
        <v>0.35503809523809537</v>
      </c>
      <c r="F60" s="64" t="s">
        <v>587</v>
      </c>
      <c r="G60" s="67">
        <f>'[1]RESUMEN PEDIDO'!$C$31</f>
        <v>0.7</v>
      </c>
      <c r="H60" s="66">
        <f t="shared" si="8"/>
        <v>0</v>
      </c>
      <c r="I60" s="38"/>
      <c r="J60" s="308"/>
    </row>
    <row r="61" spans="1:10" s="15" customFormat="1" ht="15" customHeight="1" x14ac:dyDescent="0.25">
      <c r="A61" s="38"/>
      <c r="B61" s="68">
        <v>300774</v>
      </c>
      <c r="C61" s="65" t="s">
        <v>14658</v>
      </c>
      <c r="D61" s="3"/>
      <c r="E61" s="66">
        <v>0.35503809523809537</v>
      </c>
      <c r="F61" s="64" t="s">
        <v>587</v>
      </c>
      <c r="G61" s="67">
        <f>'[1]RESUMEN PEDIDO'!$C$31</f>
        <v>0.7</v>
      </c>
      <c r="H61" s="66">
        <f t="shared" si="8"/>
        <v>0</v>
      </c>
      <c r="I61" s="38"/>
      <c r="J61" s="308"/>
    </row>
    <row r="62" spans="1:10" s="15" customFormat="1" ht="15" customHeight="1" x14ac:dyDescent="0.25">
      <c r="A62" s="38"/>
      <c r="B62" s="68">
        <v>300890</v>
      </c>
      <c r="C62" s="65" t="s">
        <v>15118</v>
      </c>
      <c r="D62" s="3"/>
      <c r="E62" s="66">
        <v>9.6404000000000032</v>
      </c>
      <c r="F62" s="64" t="s">
        <v>120</v>
      </c>
      <c r="G62" s="67">
        <f>'[1]RESUMEN PEDIDO'!$C$31</f>
        <v>0.7</v>
      </c>
      <c r="H62" s="66">
        <f t="shared" ref="H62" si="14">(D62*(E62-(E62*G62)))</f>
        <v>0</v>
      </c>
      <c r="I62" s="38"/>
      <c r="J62" s="308"/>
    </row>
    <row r="63" spans="1:10" s="15" customFormat="1" ht="15" customHeight="1" x14ac:dyDescent="0.25">
      <c r="A63" s="38"/>
      <c r="B63" s="68">
        <v>300787</v>
      </c>
      <c r="C63" s="65" t="s">
        <v>15158</v>
      </c>
      <c r="D63" s="3"/>
      <c r="E63" s="66">
        <v>4.5204761904761916</v>
      </c>
      <c r="F63" s="64" t="s">
        <v>14659</v>
      </c>
      <c r="G63" s="67">
        <f>'[1]RESUMEN PEDIDO'!$C$31</f>
        <v>0.7</v>
      </c>
      <c r="H63" s="66">
        <f>(D63*(E63-(E63*G63)))</f>
        <v>0</v>
      </c>
      <c r="I63" s="38"/>
      <c r="J63" s="308"/>
    </row>
    <row r="64" spans="1:10" s="15" customFormat="1" ht="15" customHeight="1" x14ac:dyDescent="0.25">
      <c r="A64" s="38"/>
      <c r="B64" s="68">
        <v>300891</v>
      </c>
      <c r="C64" s="65" t="s">
        <v>15119</v>
      </c>
      <c r="D64" s="3"/>
      <c r="E64" s="66">
        <v>2.8625666666666674</v>
      </c>
      <c r="F64" s="64" t="s">
        <v>14766</v>
      </c>
      <c r="G64" s="67">
        <f>'[1]RESUMEN PEDIDO'!$C$31</f>
        <v>0.7</v>
      </c>
      <c r="H64" s="66">
        <f>(D64*(E64-(E64*G64)))</f>
        <v>0</v>
      </c>
      <c r="I64" s="38"/>
      <c r="J64" s="308"/>
    </row>
    <row r="65" spans="1:10" s="15" customFormat="1" ht="15" customHeight="1" x14ac:dyDescent="0.25">
      <c r="A65" s="38"/>
      <c r="B65" s="68">
        <v>300847</v>
      </c>
      <c r="C65" s="65" t="s">
        <v>15121</v>
      </c>
      <c r="D65" s="3"/>
      <c r="E65" s="66">
        <v>1.1235714285714287</v>
      </c>
      <c r="F65" s="64" t="s">
        <v>120</v>
      </c>
      <c r="G65" s="67">
        <f>'[1]RESUMEN PEDIDO'!$C$31</f>
        <v>0.7</v>
      </c>
      <c r="H65" s="66">
        <f>(D65*(E65-(E65*G65)))</f>
        <v>0</v>
      </c>
      <c r="I65" s="38"/>
      <c r="J65" s="308"/>
    </row>
    <row r="66" spans="1:10" s="15" customFormat="1" ht="15" customHeight="1" x14ac:dyDescent="0.25">
      <c r="A66" s="38"/>
      <c r="B66" s="68">
        <v>300862</v>
      </c>
      <c r="C66" s="65" t="s">
        <v>15122</v>
      </c>
      <c r="D66" s="3"/>
      <c r="E66" s="66">
        <v>1.1235714285714287</v>
      </c>
      <c r="F66" s="64" t="s">
        <v>120</v>
      </c>
      <c r="G66" s="67">
        <f>'[1]RESUMEN PEDIDO'!$C$31</f>
        <v>0.7</v>
      </c>
      <c r="H66" s="66">
        <f t="shared" ref="H66:H68" si="15">(D66*(E66-(E66*G66)))</f>
        <v>0</v>
      </c>
      <c r="I66" s="38"/>
      <c r="J66" s="308"/>
    </row>
    <row r="67" spans="1:10" s="15" customFormat="1" ht="15" customHeight="1" x14ac:dyDescent="0.25">
      <c r="A67" s="38"/>
      <c r="B67" s="68">
        <v>300863</v>
      </c>
      <c r="C67" s="65" t="s">
        <v>15123</v>
      </c>
      <c r="D67" s="3"/>
      <c r="E67" s="66">
        <v>1.1235714285714287</v>
      </c>
      <c r="F67" s="64" t="s">
        <v>120</v>
      </c>
      <c r="G67" s="67">
        <f>'[1]RESUMEN PEDIDO'!$C$31</f>
        <v>0.7</v>
      </c>
      <c r="H67" s="66">
        <f t="shared" si="15"/>
        <v>0</v>
      </c>
      <c r="I67" s="38"/>
      <c r="J67" s="308"/>
    </row>
    <row r="68" spans="1:10" s="15" customFormat="1" ht="15" customHeight="1" x14ac:dyDescent="0.25">
      <c r="A68" s="38"/>
      <c r="B68" s="68">
        <v>300864</v>
      </c>
      <c r="C68" s="65" t="s">
        <v>15124</v>
      </c>
      <c r="D68" s="3"/>
      <c r="E68" s="66">
        <v>1.1235714285714287</v>
      </c>
      <c r="F68" s="64" t="s">
        <v>120</v>
      </c>
      <c r="G68" s="67">
        <f>'[1]RESUMEN PEDIDO'!$C$31</f>
        <v>0.7</v>
      </c>
      <c r="H68" s="66">
        <f t="shared" si="15"/>
        <v>0</v>
      </c>
      <c r="I68" s="38"/>
      <c r="J68" s="308"/>
    </row>
    <row r="69" spans="1:10" s="15" customFormat="1" ht="15" customHeight="1" x14ac:dyDescent="0.25">
      <c r="A69" s="38"/>
      <c r="B69" s="68">
        <v>300779</v>
      </c>
      <c r="C69" s="65" t="s">
        <v>14905</v>
      </c>
      <c r="D69" s="3"/>
      <c r="E69" s="66">
        <v>18.333333333333336</v>
      </c>
      <c r="F69" s="64" t="s">
        <v>825</v>
      </c>
      <c r="G69" s="67">
        <f>'[1]RESUMEN PEDIDO'!$C$31</f>
        <v>0.7</v>
      </c>
      <c r="H69" s="66">
        <f t="shared" si="8"/>
        <v>0</v>
      </c>
      <c r="I69" s="38"/>
      <c r="J69" s="308"/>
    </row>
    <row r="70" spans="1:10" s="15" customFormat="1" ht="15" customHeight="1" x14ac:dyDescent="0.25">
      <c r="A70" s="38"/>
      <c r="B70" s="68">
        <v>300776</v>
      </c>
      <c r="C70" s="65" t="s">
        <v>14921</v>
      </c>
      <c r="D70" s="3"/>
      <c r="E70" s="66">
        <v>0.41642857142857148</v>
      </c>
      <c r="F70" s="64" t="s">
        <v>587</v>
      </c>
      <c r="G70" s="67">
        <f>'[1]RESUMEN PEDIDO'!$C$31</f>
        <v>0.7</v>
      </c>
      <c r="H70" s="66">
        <f t="shared" si="8"/>
        <v>0</v>
      </c>
      <c r="I70" s="38"/>
      <c r="J70" s="308"/>
    </row>
    <row r="71" spans="1:10" s="15" customFormat="1" ht="15" customHeight="1" x14ac:dyDescent="0.25">
      <c r="A71" s="38"/>
      <c r="B71" s="68">
        <v>300777</v>
      </c>
      <c r="C71" s="65" t="s">
        <v>14797</v>
      </c>
      <c r="D71" s="3"/>
      <c r="E71" s="66">
        <v>0.41642857142857148</v>
      </c>
      <c r="F71" s="64" t="s">
        <v>587</v>
      </c>
      <c r="G71" s="67">
        <f>'[1]RESUMEN PEDIDO'!$C$31</f>
        <v>0.7</v>
      </c>
      <c r="H71" s="66">
        <f t="shared" si="8"/>
        <v>0</v>
      </c>
      <c r="I71" s="38"/>
      <c r="J71" s="308"/>
    </row>
    <row r="72" spans="1:10" s="15" customFormat="1" ht="15" customHeight="1" x14ac:dyDescent="0.25">
      <c r="A72" s="38"/>
      <c r="B72" s="68">
        <v>300778</v>
      </c>
      <c r="C72" s="65" t="s">
        <v>14798</v>
      </c>
      <c r="D72" s="3"/>
      <c r="E72" s="66">
        <v>0.41642857142857148</v>
      </c>
      <c r="F72" s="64" t="s">
        <v>587</v>
      </c>
      <c r="G72" s="67">
        <f>'[1]RESUMEN PEDIDO'!$C$31</f>
        <v>0.7</v>
      </c>
      <c r="H72" s="66">
        <f t="shared" si="8"/>
        <v>0</v>
      </c>
      <c r="I72" s="38"/>
      <c r="J72" s="308"/>
    </row>
    <row r="73" spans="1:10" s="15" customFormat="1" ht="15" customHeight="1" x14ac:dyDescent="0.25">
      <c r="A73" s="38"/>
      <c r="B73" s="68">
        <v>300830</v>
      </c>
      <c r="C73" s="65" t="s">
        <v>14886</v>
      </c>
      <c r="D73" s="3"/>
      <c r="E73" s="66">
        <v>0.41642857142857148</v>
      </c>
      <c r="F73" s="64" t="s">
        <v>587</v>
      </c>
      <c r="G73" s="67">
        <f>'[1]RESUMEN PEDIDO'!$C$31</f>
        <v>0.7</v>
      </c>
      <c r="H73" s="66">
        <f t="shared" si="8"/>
        <v>0</v>
      </c>
      <c r="I73" s="38"/>
      <c r="J73" s="308"/>
    </row>
    <row r="74" spans="1:10" s="15" customFormat="1" ht="15" customHeight="1" x14ac:dyDescent="0.25">
      <c r="A74" s="38"/>
      <c r="B74" s="68">
        <v>300820</v>
      </c>
      <c r="C74" s="65" t="s">
        <v>14799</v>
      </c>
      <c r="D74" s="3"/>
      <c r="E74" s="66">
        <v>0.41642857142857148</v>
      </c>
      <c r="F74" s="64" t="s">
        <v>587</v>
      </c>
      <c r="G74" s="67">
        <f>'[1]RESUMEN PEDIDO'!$C$31</f>
        <v>0.7</v>
      </c>
      <c r="H74" s="66">
        <f t="shared" si="8"/>
        <v>0</v>
      </c>
      <c r="I74" s="38"/>
      <c r="J74" s="308"/>
    </row>
    <row r="75" spans="1:10" s="15" customFormat="1" ht="15" customHeight="1" x14ac:dyDescent="0.25">
      <c r="A75" s="38"/>
      <c r="B75" s="68">
        <v>300814</v>
      </c>
      <c r="C75" s="65" t="s">
        <v>14800</v>
      </c>
      <c r="D75" s="3"/>
      <c r="E75" s="66">
        <v>0.41642857142857148</v>
      </c>
      <c r="F75" s="64" t="s">
        <v>587</v>
      </c>
      <c r="G75" s="67">
        <f>'[1]RESUMEN PEDIDO'!$C$31</f>
        <v>0.7</v>
      </c>
      <c r="H75" s="66">
        <f t="shared" si="8"/>
        <v>0</v>
      </c>
      <c r="I75" s="38"/>
      <c r="J75" s="308"/>
    </row>
    <row r="76" spans="1:10" s="15" customFormat="1" ht="15" customHeight="1" x14ac:dyDescent="0.25">
      <c r="A76" s="38"/>
      <c r="B76" s="68">
        <v>300844</v>
      </c>
      <c r="C76" s="65" t="s">
        <v>14919</v>
      </c>
      <c r="D76" s="3"/>
      <c r="E76" s="66">
        <v>0.41642857142857148</v>
      </c>
      <c r="F76" s="64" t="s">
        <v>587</v>
      </c>
      <c r="G76" s="67">
        <f>'[1]RESUMEN PEDIDO'!$C$31</f>
        <v>0.7</v>
      </c>
      <c r="H76" s="66">
        <f t="shared" si="8"/>
        <v>0</v>
      </c>
      <c r="I76" s="38"/>
      <c r="J76" s="308"/>
    </row>
    <row r="77" spans="1:10" s="15" customFormat="1" ht="15" customHeight="1" x14ac:dyDescent="0.25">
      <c r="A77" s="38"/>
      <c r="B77" s="68">
        <v>300843</v>
      </c>
      <c r="C77" s="65" t="s">
        <v>14927</v>
      </c>
      <c r="D77" s="3"/>
      <c r="E77" s="66">
        <v>0.41642857142857148</v>
      </c>
      <c r="F77" s="64" t="s">
        <v>587</v>
      </c>
      <c r="G77" s="67">
        <f>'[1]RESUMEN PEDIDO'!$C$31</f>
        <v>0.7</v>
      </c>
      <c r="H77" s="66">
        <f t="shared" si="8"/>
        <v>0</v>
      </c>
      <c r="I77" s="38"/>
      <c r="J77" s="308"/>
    </row>
    <row r="78" spans="1:10" s="15" customFormat="1" ht="15" customHeight="1" x14ac:dyDescent="0.25">
      <c r="A78" s="38"/>
      <c r="B78" s="68">
        <v>300728</v>
      </c>
      <c r="C78" s="65" t="s">
        <v>15182</v>
      </c>
      <c r="D78" s="3"/>
      <c r="E78" s="66">
        <v>6.3639714285714293</v>
      </c>
      <c r="F78" s="64" t="s">
        <v>120</v>
      </c>
      <c r="G78" s="67">
        <f>'[1]RESUMEN PEDIDO'!$C$31</f>
        <v>0.7</v>
      </c>
      <c r="H78" s="66">
        <f t="shared" si="8"/>
        <v>0</v>
      </c>
      <c r="I78" s="38"/>
      <c r="J78" s="308"/>
    </row>
    <row r="79" spans="1:10" s="15" customFormat="1" ht="15" customHeight="1" x14ac:dyDescent="0.25">
      <c r="A79" s="38"/>
      <c r="B79" s="68">
        <v>300729</v>
      </c>
      <c r="C79" s="65" t="s">
        <v>15183</v>
      </c>
      <c r="D79" s="3"/>
      <c r="E79" s="66">
        <v>0.64690476190476198</v>
      </c>
      <c r="F79" s="64" t="s">
        <v>124</v>
      </c>
      <c r="G79" s="67">
        <f>'[1]RESUMEN PEDIDO'!$C$31</f>
        <v>0.7</v>
      </c>
      <c r="H79" s="66">
        <f t="shared" si="8"/>
        <v>0</v>
      </c>
      <c r="I79" s="38"/>
      <c r="J79" s="308"/>
    </row>
    <row r="80" spans="1:10" s="15" customFormat="1" ht="15" customHeight="1" x14ac:dyDescent="0.25">
      <c r="A80" s="38"/>
      <c r="B80" s="60" t="s">
        <v>110</v>
      </c>
      <c r="C80" s="61"/>
      <c r="D80" s="61"/>
      <c r="E80" s="90"/>
      <c r="F80" s="61"/>
      <c r="G80" s="289"/>
      <c r="H80" s="63"/>
      <c r="I80" s="38"/>
      <c r="J80" s="308"/>
    </row>
    <row r="81" spans="1:10" s="15" customFormat="1" ht="15" customHeight="1" x14ac:dyDescent="0.25">
      <c r="A81" s="38"/>
      <c r="B81" s="68">
        <v>300856</v>
      </c>
      <c r="C81" s="65" t="s">
        <v>15181</v>
      </c>
      <c r="D81" s="3"/>
      <c r="E81" s="66">
        <v>33.000000000000007</v>
      </c>
      <c r="F81" s="64" t="s">
        <v>15100</v>
      </c>
      <c r="G81" s="67">
        <f>'[1]RESUMEN PEDIDO'!$C$31</f>
        <v>0.7</v>
      </c>
      <c r="H81" s="66">
        <f t="shared" ref="H81:H83" si="16">(D81*(E81-(E81*G81)))</f>
        <v>0</v>
      </c>
      <c r="I81" s="38"/>
      <c r="J81" s="308"/>
    </row>
    <row r="82" spans="1:10" s="15" customFormat="1" ht="15" customHeight="1" x14ac:dyDescent="0.25">
      <c r="A82" s="38"/>
      <c r="B82" s="68">
        <v>300859</v>
      </c>
      <c r="C82" s="65" t="s">
        <v>15141</v>
      </c>
      <c r="D82" s="3"/>
      <c r="E82" s="66">
        <v>0.88000000000000023</v>
      </c>
      <c r="F82" s="64" t="s">
        <v>120</v>
      </c>
      <c r="G82" s="67">
        <f>'[1]RESUMEN PEDIDO'!$C$31</f>
        <v>0.7</v>
      </c>
      <c r="H82" s="66">
        <f t="shared" si="16"/>
        <v>0</v>
      </c>
      <c r="I82" s="38"/>
      <c r="J82" s="308"/>
    </row>
    <row r="83" spans="1:10" s="15" customFormat="1" ht="15" customHeight="1" x14ac:dyDescent="0.25">
      <c r="A83" s="38"/>
      <c r="B83" s="68">
        <v>300866</v>
      </c>
      <c r="C83" s="65" t="s">
        <v>15143</v>
      </c>
      <c r="D83" s="3"/>
      <c r="E83" s="66">
        <v>0.88000000000000023</v>
      </c>
      <c r="F83" s="64" t="s">
        <v>120</v>
      </c>
      <c r="G83" s="67">
        <f>'[1]RESUMEN PEDIDO'!$C$31</f>
        <v>0.7</v>
      </c>
      <c r="H83" s="66">
        <f t="shared" si="16"/>
        <v>0</v>
      </c>
      <c r="I83" s="38"/>
      <c r="J83" s="308"/>
    </row>
    <row r="84" spans="1:10" s="15" customFormat="1" ht="15" customHeight="1" x14ac:dyDescent="0.25">
      <c r="A84" s="38"/>
      <c r="B84" s="68">
        <v>300858</v>
      </c>
      <c r="C84" s="65" t="s">
        <v>15142</v>
      </c>
      <c r="D84" s="3"/>
      <c r="E84" s="66">
        <v>0.88000000000000023</v>
      </c>
      <c r="F84" s="64" t="s">
        <v>120</v>
      </c>
      <c r="G84" s="67">
        <f>'[1]RESUMEN PEDIDO'!$C$31</f>
        <v>0.7</v>
      </c>
      <c r="H84" s="66">
        <f t="shared" ref="H84" si="17">(D84*(E84-(E84*G84)))</f>
        <v>0</v>
      </c>
      <c r="I84" s="38"/>
      <c r="J84" s="308"/>
    </row>
    <row r="85" spans="1:10" s="15" customFormat="1" ht="15" customHeight="1" x14ac:dyDescent="0.25">
      <c r="A85" s="38"/>
      <c r="B85" s="68">
        <v>300781</v>
      </c>
      <c r="C85" s="65" t="s">
        <v>15203</v>
      </c>
      <c r="D85" s="3"/>
      <c r="E85" s="66">
        <v>967.37</v>
      </c>
      <c r="F85" s="64" t="s">
        <v>14660</v>
      </c>
      <c r="G85" s="67">
        <f>'[1]RESUMEN PEDIDO'!$C$31</f>
        <v>0.7</v>
      </c>
      <c r="H85" s="66">
        <f t="shared" ref="H85:H91" si="18">(D85*(E85-(E85*G85)))</f>
        <v>0</v>
      </c>
      <c r="I85" s="38"/>
      <c r="J85" s="308"/>
    </row>
    <row r="86" spans="1:10" s="15" customFormat="1" ht="15" customHeight="1" x14ac:dyDescent="0.25">
      <c r="A86" s="38"/>
      <c r="B86" s="68">
        <v>300780</v>
      </c>
      <c r="C86" s="65" t="s">
        <v>15159</v>
      </c>
      <c r="D86" s="3"/>
      <c r="E86" s="66">
        <v>28.495238095238101</v>
      </c>
      <c r="F86" s="64" t="s">
        <v>14665</v>
      </c>
      <c r="G86" s="67">
        <f>'[1]RESUMEN PEDIDO'!$C$31</f>
        <v>0.7</v>
      </c>
      <c r="H86" s="66">
        <f>(D86*(E86-(E86*G86)))</f>
        <v>0</v>
      </c>
      <c r="I86" s="38"/>
      <c r="J86" s="308"/>
    </row>
    <row r="87" spans="1:10" s="15" customFormat="1" ht="15" customHeight="1" x14ac:dyDescent="0.25">
      <c r="A87" s="38"/>
      <c r="B87" s="68">
        <v>300804</v>
      </c>
      <c r="C87" s="65" t="s">
        <v>15144</v>
      </c>
      <c r="D87" s="3"/>
      <c r="E87" s="66">
        <v>26.871428571428574</v>
      </c>
      <c r="F87" s="64" t="s">
        <v>736</v>
      </c>
      <c r="G87" s="67">
        <f>'[1]RESUMEN PEDIDO'!$C$31</f>
        <v>0.7</v>
      </c>
      <c r="H87" s="66">
        <f t="shared" si="18"/>
        <v>0</v>
      </c>
      <c r="I87" s="38"/>
      <c r="J87" s="308"/>
    </row>
    <row r="88" spans="1:10" s="15" customFormat="1" ht="15" customHeight="1" x14ac:dyDescent="0.25">
      <c r="A88" s="38"/>
      <c r="B88" s="68">
        <v>300763</v>
      </c>
      <c r="C88" s="65" t="s">
        <v>15145</v>
      </c>
      <c r="D88" s="3"/>
      <c r="E88" s="66">
        <v>201.47809523809528</v>
      </c>
      <c r="F88" s="64" t="s">
        <v>848</v>
      </c>
      <c r="G88" s="67">
        <f>'[1]RESUMEN PEDIDO'!$C$31</f>
        <v>0.7</v>
      </c>
      <c r="H88" s="66">
        <f t="shared" si="18"/>
        <v>0</v>
      </c>
      <c r="I88" s="38"/>
      <c r="J88" s="308"/>
    </row>
    <row r="89" spans="1:10" s="15" customFormat="1" ht="15" customHeight="1" x14ac:dyDescent="0.25">
      <c r="A89" s="38"/>
      <c r="B89" s="68">
        <v>300764</v>
      </c>
      <c r="C89" s="65" t="s">
        <v>15146</v>
      </c>
      <c r="D89" s="3"/>
      <c r="E89" s="66">
        <v>201.47809523809528</v>
      </c>
      <c r="F89" s="64" t="s">
        <v>848</v>
      </c>
      <c r="G89" s="67">
        <f>'[1]RESUMEN PEDIDO'!$C$31</f>
        <v>0.7</v>
      </c>
      <c r="H89" s="66">
        <f t="shared" si="18"/>
        <v>0</v>
      </c>
      <c r="I89" s="38"/>
      <c r="J89" s="308"/>
    </row>
    <row r="90" spans="1:10" s="15" customFormat="1" ht="15" customHeight="1" x14ac:dyDescent="0.25">
      <c r="A90" s="38"/>
      <c r="B90" s="64">
        <v>300815</v>
      </c>
      <c r="C90" s="65" t="s">
        <v>14903</v>
      </c>
      <c r="D90" s="3"/>
      <c r="E90" s="66">
        <v>27.604761904761908</v>
      </c>
      <c r="F90" s="64" t="s">
        <v>14767</v>
      </c>
      <c r="G90" s="67">
        <f>'[1]RESUMEN PEDIDO'!$C$31</f>
        <v>0.7</v>
      </c>
      <c r="H90" s="66">
        <f>(D90*(E90-(E90*G90)))</f>
        <v>0</v>
      </c>
      <c r="I90" s="38"/>
      <c r="J90" s="308"/>
    </row>
    <row r="91" spans="1:10" s="15" customFormat="1" ht="15" customHeight="1" x14ac:dyDescent="0.25">
      <c r="A91" s="38"/>
      <c r="B91" s="68">
        <v>300727</v>
      </c>
      <c r="C91" s="65" t="s">
        <v>15147</v>
      </c>
      <c r="D91" s="3"/>
      <c r="E91" s="66">
        <v>23.303657142857144</v>
      </c>
      <c r="F91" s="64" t="s">
        <v>736</v>
      </c>
      <c r="G91" s="67">
        <f>'[1]RESUMEN PEDIDO'!$C$31</f>
        <v>0.7</v>
      </c>
      <c r="H91" s="66">
        <f t="shared" si="18"/>
        <v>0</v>
      </c>
      <c r="I91" s="38"/>
      <c r="J91" s="308"/>
    </row>
    <row r="92" spans="1:10" s="15" customFormat="1" ht="15" customHeight="1" x14ac:dyDescent="0.25">
      <c r="A92" s="38"/>
      <c r="B92" s="60" t="s">
        <v>112</v>
      </c>
      <c r="C92" s="61"/>
      <c r="D92" s="61"/>
      <c r="E92" s="90"/>
      <c r="F92" s="61"/>
      <c r="G92" s="289"/>
      <c r="H92" s="63"/>
      <c r="I92" s="38"/>
      <c r="J92" s="308"/>
    </row>
    <row r="93" spans="1:10" s="15" customFormat="1" ht="15" customHeight="1" x14ac:dyDescent="0.25">
      <c r="A93" s="38"/>
      <c r="B93" s="68">
        <v>300887</v>
      </c>
      <c r="C93" s="65" t="s">
        <v>15178</v>
      </c>
      <c r="D93" s="3"/>
      <c r="E93" s="66">
        <v>2.6930619047619051</v>
      </c>
      <c r="F93" s="64" t="s">
        <v>15180</v>
      </c>
      <c r="G93" s="67">
        <f>'[1]RESUMEN PEDIDO'!$C$31</f>
        <v>0.7</v>
      </c>
      <c r="H93" s="66">
        <f t="shared" ref="H93:H94" si="19">(D93*(E93-(E93*G93)))</f>
        <v>0</v>
      </c>
      <c r="I93" s="38"/>
      <c r="J93" s="308"/>
    </row>
    <row r="94" spans="1:10" s="15" customFormat="1" ht="15" customHeight="1" x14ac:dyDescent="0.25">
      <c r="A94" s="38"/>
      <c r="B94" s="68">
        <v>300888</v>
      </c>
      <c r="C94" s="65" t="s">
        <v>15179</v>
      </c>
      <c r="D94" s="3"/>
      <c r="E94" s="66">
        <v>2.6930619047619051</v>
      </c>
      <c r="F94" s="64" t="s">
        <v>15180</v>
      </c>
      <c r="G94" s="67">
        <f>'[1]RESUMEN PEDIDO'!$C$31</f>
        <v>0.7</v>
      </c>
      <c r="H94" s="66">
        <f t="shared" si="19"/>
        <v>0</v>
      </c>
      <c r="I94" s="38"/>
      <c r="J94" s="308"/>
    </row>
    <row r="95" spans="1:10" s="15" customFormat="1" ht="15" customHeight="1" x14ac:dyDescent="0.25">
      <c r="A95" s="38"/>
      <c r="B95" s="68">
        <v>310422</v>
      </c>
      <c r="C95" s="65" t="s">
        <v>15148</v>
      </c>
      <c r="D95" s="3"/>
      <c r="E95" s="66">
        <v>20.732380952380957</v>
      </c>
      <c r="F95" s="64" t="s">
        <v>15149</v>
      </c>
      <c r="G95" s="67">
        <f>'[1]RESUMEN PEDIDO'!$C$31</f>
        <v>0.7</v>
      </c>
      <c r="H95" s="66">
        <f t="shared" ref="H95" si="20">(D95*(E95-(E95*G95)))</f>
        <v>0</v>
      </c>
      <c r="I95" s="38"/>
      <c r="J95" s="308"/>
    </row>
    <row r="96" spans="1:10" s="15" customFormat="1" ht="15" customHeight="1" x14ac:dyDescent="0.25">
      <c r="A96" s="38"/>
      <c r="B96" s="68">
        <v>310345</v>
      </c>
      <c r="C96" s="65" t="s">
        <v>14746</v>
      </c>
      <c r="D96" s="3"/>
      <c r="E96" s="66">
        <v>3.682380952380953</v>
      </c>
      <c r="F96" s="64" t="s">
        <v>119</v>
      </c>
      <c r="G96" s="67">
        <f>'[1]RESUMEN PEDIDO'!$C$31</f>
        <v>0.7</v>
      </c>
      <c r="H96" s="66">
        <f t="shared" ref="H96:H98" si="21">(D96*(E96-(E96*G96)))</f>
        <v>0</v>
      </c>
      <c r="I96" s="38"/>
      <c r="J96" s="308"/>
    </row>
    <row r="97" spans="1:10" s="15" customFormat="1" ht="15" customHeight="1" x14ac:dyDescent="0.25">
      <c r="A97" s="38"/>
      <c r="B97" s="68">
        <v>310346</v>
      </c>
      <c r="C97" s="65" t="s">
        <v>14747</v>
      </c>
      <c r="D97" s="3"/>
      <c r="E97" s="66">
        <v>3.682380952380953</v>
      </c>
      <c r="F97" s="64" t="s">
        <v>119</v>
      </c>
      <c r="G97" s="67">
        <f>'[1]RESUMEN PEDIDO'!$C$31</f>
        <v>0.7</v>
      </c>
      <c r="H97" s="66">
        <f t="shared" si="21"/>
        <v>0</v>
      </c>
      <c r="I97" s="38"/>
      <c r="J97" s="308"/>
    </row>
    <row r="98" spans="1:10" s="15" customFormat="1" ht="15" customHeight="1" x14ac:dyDescent="0.25">
      <c r="A98" s="38"/>
      <c r="B98" s="68">
        <v>310347</v>
      </c>
      <c r="C98" s="65" t="s">
        <v>14748</v>
      </c>
      <c r="D98" s="3"/>
      <c r="E98" s="66">
        <v>3.682380952380953</v>
      </c>
      <c r="F98" s="64" t="s">
        <v>119</v>
      </c>
      <c r="G98" s="67">
        <f>'[1]RESUMEN PEDIDO'!$C$31</f>
        <v>0.7</v>
      </c>
      <c r="H98" s="66">
        <f t="shared" si="21"/>
        <v>0</v>
      </c>
      <c r="I98" s="38"/>
      <c r="J98" s="308"/>
    </row>
    <row r="99" spans="1:10" s="15" customFormat="1" ht="15" customHeight="1" x14ac:dyDescent="0.25">
      <c r="A99" s="38"/>
      <c r="B99" s="60" t="s">
        <v>111</v>
      </c>
      <c r="C99" s="61"/>
      <c r="D99" s="61"/>
      <c r="E99" s="90"/>
      <c r="F99" s="61"/>
      <c r="G99" s="289"/>
      <c r="H99" s="63"/>
      <c r="I99" s="38"/>
      <c r="J99" s="308"/>
    </row>
    <row r="100" spans="1:10" s="15" customFormat="1" ht="15" customHeight="1" x14ac:dyDescent="0.25">
      <c r="A100" s="38"/>
      <c r="B100" s="68">
        <v>511129</v>
      </c>
      <c r="C100" s="65" t="s">
        <v>15206</v>
      </c>
      <c r="D100" s="3"/>
      <c r="E100" s="66">
        <v>3.0584057993748979</v>
      </c>
      <c r="F100" s="64" t="s">
        <v>40</v>
      </c>
      <c r="G100" s="67">
        <f>'[1]RESUMEN PEDIDO'!$C$31</f>
        <v>0.7</v>
      </c>
      <c r="H100" s="66">
        <f t="shared" ref="H100" si="22">(D100*(E100-(E100*G100)))</f>
        <v>0</v>
      </c>
      <c r="I100" s="38"/>
      <c r="J100" s="308"/>
    </row>
    <row r="101" spans="1:10" s="15" customFormat="1" ht="15" customHeight="1" x14ac:dyDescent="0.25">
      <c r="A101" s="38"/>
      <c r="B101" s="68">
        <v>511033</v>
      </c>
      <c r="C101" s="65" t="s">
        <v>14805</v>
      </c>
      <c r="D101" s="3"/>
      <c r="E101" s="66">
        <v>2.6817014797834986</v>
      </c>
      <c r="F101" s="64" t="s">
        <v>40</v>
      </c>
      <c r="G101" s="67">
        <f>'[1]RESUMEN PEDIDO'!$C$31</f>
        <v>0.7</v>
      </c>
      <c r="H101" s="66">
        <f t="shared" ref="H101:H147" si="23">(D101*(E101-(E101*G101)))</f>
        <v>0</v>
      </c>
      <c r="I101" s="38"/>
      <c r="J101" s="308"/>
    </row>
    <row r="102" spans="1:10" s="15" customFormat="1" ht="15" customHeight="1" x14ac:dyDescent="0.25">
      <c r="A102" s="38"/>
      <c r="B102" s="68">
        <v>511057</v>
      </c>
      <c r="C102" s="65" t="s">
        <v>14809</v>
      </c>
      <c r="D102" s="3"/>
      <c r="E102" s="66">
        <v>2.6817014797834986</v>
      </c>
      <c r="F102" s="64" t="s">
        <v>40</v>
      </c>
      <c r="G102" s="67">
        <f>'[1]RESUMEN PEDIDO'!$C$31</f>
        <v>0.7</v>
      </c>
      <c r="H102" s="66">
        <f t="shared" si="23"/>
        <v>0</v>
      </c>
      <c r="I102" s="38"/>
      <c r="J102" s="308"/>
    </row>
    <row r="103" spans="1:10" s="15" customFormat="1" ht="15" customHeight="1" x14ac:dyDescent="0.25">
      <c r="A103" s="38"/>
      <c r="B103" s="68">
        <v>511042</v>
      </c>
      <c r="C103" s="65" t="s">
        <v>15132</v>
      </c>
      <c r="D103" s="3"/>
      <c r="E103" s="66">
        <v>2.6817014797834986</v>
      </c>
      <c r="F103" s="64" t="s">
        <v>40</v>
      </c>
      <c r="G103" s="67">
        <f>'[1]RESUMEN PEDIDO'!$C$31</f>
        <v>0.7</v>
      </c>
      <c r="H103" s="66">
        <f t="shared" si="23"/>
        <v>0</v>
      </c>
      <c r="I103" s="38"/>
      <c r="J103" s="308"/>
    </row>
    <row r="104" spans="1:10" s="15" customFormat="1" ht="15" customHeight="1" x14ac:dyDescent="0.25">
      <c r="A104" s="38"/>
      <c r="B104" s="68">
        <v>511131</v>
      </c>
      <c r="C104" s="65" t="s">
        <v>15153</v>
      </c>
      <c r="D104" s="3"/>
      <c r="E104" s="66">
        <v>3.2551603371499445</v>
      </c>
      <c r="F104" s="64" t="s">
        <v>40</v>
      </c>
      <c r="G104" s="67">
        <f>'[1]RESUMEN PEDIDO'!$C$31</f>
        <v>0.7</v>
      </c>
      <c r="H104" s="66">
        <f t="shared" si="23"/>
        <v>0</v>
      </c>
      <c r="I104" s="38"/>
      <c r="J104" s="308"/>
    </row>
    <row r="105" spans="1:10" s="15" customFormat="1" ht="15" customHeight="1" x14ac:dyDescent="0.25">
      <c r="A105" s="38"/>
      <c r="B105" s="68">
        <v>511043</v>
      </c>
      <c r="C105" s="65" t="s">
        <v>14922</v>
      </c>
      <c r="D105" s="3"/>
      <c r="E105" s="66">
        <v>2.6817014797834986</v>
      </c>
      <c r="F105" s="64" t="s">
        <v>40</v>
      </c>
      <c r="G105" s="67">
        <f>'[1]RESUMEN PEDIDO'!$C$31</f>
        <v>0.7</v>
      </c>
      <c r="H105" s="66">
        <f t="shared" si="23"/>
        <v>0</v>
      </c>
      <c r="I105" s="38"/>
      <c r="J105" s="308"/>
    </row>
    <row r="106" spans="1:10" s="15" customFormat="1" ht="15" customHeight="1" x14ac:dyDescent="0.25">
      <c r="A106" s="38"/>
      <c r="B106" s="68">
        <v>511069</v>
      </c>
      <c r="C106" s="65" t="s">
        <v>14885</v>
      </c>
      <c r="D106" s="3"/>
      <c r="E106" s="66">
        <v>2.6817014797834986</v>
      </c>
      <c r="F106" s="64" t="s">
        <v>40</v>
      </c>
      <c r="G106" s="67">
        <f>'[1]RESUMEN PEDIDO'!$C$31</f>
        <v>0.7</v>
      </c>
      <c r="H106" s="66">
        <f t="shared" si="23"/>
        <v>0</v>
      </c>
      <c r="I106" s="38"/>
      <c r="J106" s="308"/>
    </row>
    <row r="107" spans="1:10" s="15" customFormat="1" ht="15" customHeight="1" x14ac:dyDescent="0.25">
      <c r="A107" s="38"/>
      <c r="B107" s="64">
        <v>511056</v>
      </c>
      <c r="C107" s="65" t="s">
        <v>14801</v>
      </c>
      <c r="D107" s="3"/>
      <c r="E107" s="66">
        <v>2.6817014797834986</v>
      </c>
      <c r="F107" s="64" t="s">
        <v>40</v>
      </c>
      <c r="G107" s="67">
        <f>'[1]RESUMEN PEDIDO'!$C$31</f>
        <v>0.7</v>
      </c>
      <c r="H107" s="66">
        <f t="shared" si="23"/>
        <v>0</v>
      </c>
      <c r="I107" s="38"/>
      <c r="J107" s="308"/>
    </row>
    <row r="108" spans="1:10" s="15" customFormat="1" ht="15" customHeight="1" x14ac:dyDescent="0.25">
      <c r="A108" s="38"/>
      <c r="B108" s="64">
        <v>511093</v>
      </c>
      <c r="C108" s="65" t="s">
        <v>14920</v>
      </c>
      <c r="D108" s="3"/>
      <c r="E108" s="66">
        <v>2.6817014797834986</v>
      </c>
      <c r="F108" s="64" t="s">
        <v>40</v>
      </c>
      <c r="G108" s="67">
        <f>'[1]RESUMEN PEDIDO'!$C$31</f>
        <v>0.7</v>
      </c>
      <c r="H108" s="66">
        <f t="shared" si="23"/>
        <v>0</v>
      </c>
      <c r="I108" s="38"/>
      <c r="J108" s="308"/>
    </row>
    <row r="109" spans="1:10" s="15" customFormat="1" ht="15" customHeight="1" x14ac:dyDescent="0.25">
      <c r="A109" s="38"/>
      <c r="B109" s="64">
        <v>511094</v>
      </c>
      <c r="C109" s="65" t="s">
        <v>14928</v>
      </c>
      <c r="D109" s="3"/>
      <c r="E109" s="66">
        <v>2.6817014797834986</v>
      </c>
      <c r="F109" s="64" t="s">
        <v>40</v>
      </c>
      <c r="G109" s="67">
        <f>'[1]RESUMEN PEDIDO'!$C$31</f>
        <v>0.7</v>
      </c>
      <c r="H109" s="66">
        <f t="shared" si="23"/>
        <v>0</v>
      </c>
      <c r="I109" s="38"/>
      <c r="J109" s="308"/>
    </row>
    <row r="110" spans="1:10" s="15" customFormat="1" ht="15" customHeight="1" x14ac:dyDescent="0.25">
      <c r="A110" s="38"/>
      <c r="B110" s="64">
        <v>511132</v>
      </c>
      <c r="C110" s="65" t="s">
        <v>15150</v>
      </c>
      <c r="D110" s="3"/>
      <c r="E110" s="66">
        <v>2.6817014797834986</v>
      </c>
      <c r="F110" s="64" t="s">
        <v>40</v>
      </c>
      <c r="G110" s="67">
        <f>'[1]RESUMEN PEDIDO'!$C$31</f>
        <v>0.7</v>
      </c>
      <c r="H110" s="66">
        <f t="shared" ref="H110:H112" si="24">(D110*(E110-(E110*G110)))</f>
        <v>0</v>
      </c>
      <c r="I110" s="38"/>
      <c r="J110" s="308"/>
    </row>
    <row r="111" spans="1:10" s="15" customFormat="1" ht="15" customHeight="1" x14ac:dyDescent="0.25">
      <c r="A111" s="38"/>
      <c r="B111" s="68">
        <v>511133</v>
      </c>
      <c r="C111" s="65" t="s">
        <v>15151</v>
      </c>
      <c r="D111" s="3"/>
      <c r="E111" s="66">
        <v>3.2551603371499445</v>
      </c>
      <c r="F111" s="64" t="s">
        <v>40</v>
      </c>
      <c r="G111" s="67">
        <f>'[1]RESUMEN PEDIDO'!$C$31</f>
        <v>0.7</v>
      </c>
      <c r="H111" s="66">
        <f t="shared" si="24"/>
        <v>0</v>
      </c>
      <c r="I111" s="38"/>
      <c r="J111" s="308"/>
    </row>
    <row r="112" spans="1:10" s="15" customFormat="1" ht="15" customHeight="1" x14ac:dyDescent="0.25">
      <c r="A112" s="38"/>
      <c r="B112" s="64">
        <v>511077</v>
      </c>
      <c r="C112" s="65" t="s">
        <v>15152</v>
      </c>
      <c r="D112" s="3"/>
      <c r="E112" s="66">
        <v>4.4000000000000004</v>
      </c>
      <c r="F112" s="64" t="s">
        <v>48</v>
      </c>
      <c r="G112" s="67">
        <f>'[1]RESUMEN PEDIDO'!$C$31</f>
        <v>0.7</v>
      </c>
      <c r="H112" s="66">
        <f t="shared" si="24"/>
        <v>0</v>
      </c>
      <c r="I112" s="38"/>
      <c r="J112" s="308"/>
    </row>
    <row r="113" spans="1:10" s="15" customFormat="1" ht="15" customHeight="1" x14ac:dyDescent="0.25">
      <c r="A113" s="38"/>
      <c r="B113" s="64">
        <v>511105</v>
      </c>
      <c r="C113" s="65" t="s">
        <v>15184</v>
      </c>
      <c r="D113" s="3"/>
      <c r="E113" s="66">
        <v>3.0323333333333338</v>
      </c>
      <c r="F113" s="64" t="s">
        <v>48</v>
      </c>
      <c r="G113" s="67">
        <f>'[1]RESUMEN PEDIDO'!$C$31</f>
        <v>0.7</v>
      </c>
      <c r="H113" s="66">
        <f t="shared" ref="H113:H117" si="25">(D113*(E113-(E113*G113)))</f>
        <v>0</v>
      </c>
      <c r="I113" s="38"/>
      <c r="J113" s="308"/>
    </row>
    <row r="114" spans="1:10" s="15" customFormat="1" ht="15" customHeight="1" x14ac:dyDescent="0.25">
      <c r="A114" s="38"/>
      <c r="B114" s="64">
        <v>511106</v>
      </c>
      <c r="C114" s="65" t="s">
        <v>15185</v>
      </c>
      <c r="D114" s="3"/>
      <c r="E114" s="66">
        <v>3.0323333333333338</v>
      </c>
      <c r="F114" s="64" t="s">
        <v>48</v>
      </c>
      <c r="G114" s="67">
        <f>'[1]RESUMEN PEDIDO'!$C$31</f>
        <v>0.7</v>
      </c>
      <c r="H114" s="66">
        <f t="shared" si="25"/>
        <v>0</v>
      </c>
      <c r="I114" s="38"/>
      <c r="J114" s="308"/>
    </row>
    <row r="115" spans="1:10" s="15" customFormat="1" ht="15" customHeight="1" x14ac:dyDescent="0.25">
      <c r="A115" s="38"/>
      <c r="B115" s="64">
        <v>511107</v>
      </c>
      <c r="C115" s="65" t="s">
        <v>15186</v>
      </c>
      <c r="D115" s="3"/>
      <c r="E115" s="66">
        <v>3.0323333333333338</v>
      </c>
      <c r="F115" s="64" t="s">
        <v>48</v>
      </c>
      <c r="G115" s="67">
        <f>'[1]RESUMEN PEDIDO'!$C$31</f>
        <v>0.7</v>
      </c>
      <c r="H115" s="66">
        <f t="shared" si="25"/>
        <v>0</v>
      </c>
      <c r="I115" s="38"/>
      <c r="J115" s="308"/>
    </row>
    <row r="116" spans="1:10" s="15" customFormat="1" ht="15" customHeight="1" x14ac:dyDescent="0.25">
      <c r="A116" s="38"/>
      <c r="B116" s="64">
        <v>511108</v>
      </c>
      <c r="C116" s="65" t="s">
        <v>15187</v>
      </c>
      <c r="D116" s="3"/>
      <c r="E116" s="66">
        <v>3.0323333333333338</v>
      </c>
      <c r="F116" s="64" t="s">
        <v>48</v>
      </c>
      <c r="G116" s="67">
        <f>'[1]RESUMEN PEDIDO'!$C$31</f>
        <v>0.7</v>
      </c>
      <c r="H116" s="66">
        <f t="shared" si="25"/>
        <v>0</v>
      </c>
      <c r="I116" s="38"/>
      <c r="J116" s="308"/>
    </row>
    <row r="117" spans="1:10" s="15" customFormat="1" ht="15" customHeight="1" x14ac:dyDescent="0.25">
      <c r="A117" s="38"/>
      <c r="B117" s="64">
        <v>511109</v>
      </c>
      <c r="C117" s="65" t="s">
        <v>15188</v>
      </c>
      <c r="D117" s="3"/>
      <c r="E117" s="66">
        <v>3.0323333333333338</v>
      </c>
      <c r="F117" s="64" t="s">
        <v>48</v>
      </c>
      <c r="G117" s="67">
        <f>'[1]RESUMEN PEDIDO'!$C$31</f>
        <v>0.7</v>
      </c>
      <c r="H117" s="66">
        <f t="shared" si="25"/>
        <v>0</v>
      </c>
      <c r="I117" s="38"/>
      <c r="J117" s="308"/>
    </row>
    <row r="118" spans="1:10" s="15" customFormat="1" ht="15" customHeight="1" x14ac:dyDescent="0.25">
      <c r="A118" s="38"/>
      <c r="B118" s="68">
        <v>513019</v>
      </c>
      <c r="C118" s="65" t="s">
        <v>14934</v>
      </c>
      <c r="D118" s="3"/>
      <c r="E118" s="66">
        <v>16.059384810804872</v>
      </c>
      <c r="F118" s="64" t="s">
        <v>737</v>
      </c>
      <c r="G118" s="67">
        <f>'[1]RESUMEN PEDIDO'!$C$31</f>
        <v>0.7</v>
      </c>
      <c r="H118" s="66">
        <f t="shared" ref="H118:H126" si="26">(D118*(E118-(E118*G118)))</f>
        <v>0</v>
      </c>
      <c r="I118" s="38"/>
      <c r="J118" s="308"/>
    </row>
    <row r="119" spans="1:10" s="15" customFormat="1" ht="15" customHeight="1" x14ac:dyDescent="0.25">
      <c r="A119" s="38"/>
      <c r="B119" s="68">
        <v>513020</v>
      </c>
      <c r="C119" s="65" t="s">
        <v>14892</v>
      </c>
      <c r="D119" s="3"/>
      <c r="E119" s="66">
        <v>16.059384810804872</v>
      </c>
      <c r="F119" s="64" t="s">
        <v>737</v>
      </c>
      <c r="G119" s="67">
        <f>'[1]RESUMEN PEDIDO'!$C$31</f>
        <v>0.7</v>
      </c>
      <c r="H119" s="66">
        <f t="shared" si="26"/>
        <v>0</v>
      </c>
      <c r="I119" s="38"/>
      <c r="J119" s="308"/>
    </row>
    <row r="120" spans="1:10" s="15" customFormat="1" ht="15" customHeight="1" x14ac:dyDescent="0.25">
      <c r="A120" s="38"/>
      <c r="B120" s="68">
        <v>513021</v>
      </c>
      <c r="C120" s="65" t="s">
        <v>15125</v>
      </c>
      <c r="D120" s="3"/>
      <c r="E120" s="66">
        <v>16.059384810804872</v>
      </c>
      <c r="F120" s="64" t="s">
        <v>737</v>
      </c>
      <c r="G120" s="67">
        <f>'[1]RESUMEN PEDIDO'!$C$31</f>
        <v>0.7</v>
      </c>
      <c r="H120" s="66">
        <f t="shared" si="26"/>
        <v>0</v>
      </c>
      <c r="I120" s="38"/>
      <c r="J120" s="308"/>
    </row>
    <row r="121" spans="1:10" s="15" customFormat="1" ht="15" customHeight="1" x14ac:dyDescent="0.25">
      <c r="A121" s="38"/>
      <c r="B121" s="68">
        <v>513022</v>
      </c>
      <c r="C121" s="65" t="s">
        <v>14806</v>
      </c>
      <c r="D121" s="3"/>
      <c r="E121" s="66">
        <v>16.059384810804872</v>
      </c>
      <c r="F121" s="64" t="s">
        <v>737</v>
      </c>
      <c r="G121" s="67">
        <f>'[1]RESUMEN PEDIDO'!$C$31</f>
        <v>0.7</v>
      </c>
      <c r="H121" s="66">
        <f t="shared" si="26"/>
        <v>0</v>
      </c>
      <c r="I121" s="38"/>
      <c r="J121" s="308"/>
    </row>
    <row r="122" spans="1:10" s="15" customFormat="1" ht="15" customHeight="1" x14ac:dyDescent="0.25">
      <c r="A122" s="38"/>
      <c r="B122" s="68">
        <v>513023</v>
      </c>
      <c r="C122" s="65" t="s">
        <v>14808</v>
      </c>
      <c r="D122" s="3"/>
      <c r="E122" s="66">
        <v>16.059384810804872</v>
      </c>
      <c r="F122" s="64" t="s">
        <v>737</v>
      </c>
      <c r="G122" s="67">
        <f>'[1]RESUMEN PEDIDO'!$C$31</f>
        <v>0.7</v>
      </c>
      <c r="H122" s="66">
        <f t="shared" si="26"/>
        <v>0</v>
      </c>
      <c r="I122" s="38"/>
      <c r="J122" s="308"/>
    </row>
    <row r="123" spans="1:10" s="15" customFormat="1" ht="15" customHeight="1" x14ac:dyDescent="0.25">
      <c r="A123" s="38"/>
      <c r="B123" s="68">
        <v>513024</v>
      </c>
      <c r="C123" s="65" t="s">
        <v>14893</v>
      </c>
      <c r="D123" s="3"/>
      <c r="E123" s="66">
        <v>16.059384810804872</v>
      </c>
      <c r="F123" s="64" t="s">
        <v>737</v>
      </c>
      <c r="G123" s="67">
        <f>'[1]RESUMEN PEDIDO'!$C$31</f>
        <v>0.7</v>
      </c>
      <c r="H123" s="66">
        <f t="shared" si="26"/>
        <v>0</v>
      </c>
      <c r="I123" s="38"/>
      <c r="J123" s="308"/>
    </row>
    <row r="124" spans="1:10" s="15" customFormat="1" ht="15" customHeight="1" x14ac:dyDescent="0.25">
      <c r="A124" s="38"/>
      <c r="B124" s="68">
        <v>513025</v>
      </c>
      <c r="C124" s="65" t="s">
        <v>14807</v>
      </c>
      <c r="D124" s="3"/>
      <c r="E124" s="66">
        <v>16.059384810804872</v>
      </c>
      <c r="F124" s="64" t="s">
        <v>737</v>
      </c>
      <c r="G124" s="67">
        <f>'[1]RESUMEN PEDIDO'!$C$31</f>
        <v>0.7</v>
      </c>
      <c r="H124" s="66">
        <f t="shared" si="26"/>
        <v>0</v>
      </c>
      <c r="I124" s="38"/>
      <c r="J124" s="308"/>
    </row>
    <row r="125" spans="1:10" s="15" customFormat="1" ht="15" customHeight="1" x14ac:dyDescent="0.25">
      <c r="A125" s="38"/>
      <c r="B125" s="68">
        <v>513026</v>
      </c>
      <c r="C125" s="65" t="s">
        <v>14883</v>
      </c>
      <c r="D125" s="3"/>
      <c r="E125" s="66">
        <v>16.059384810804872</v>
      </c>
      <c r="F125" s="64" t="s">
        <v>737</v>
      </c>
      <c r="G125" s="67">
        <f>'[1]RESUMEN PEDIDO'!$C$31</f>
        <v>0.7</v>
      </c>
      <c r="H125" s="66">
        <f t="shared" si="26"/>
        <v>0</v>
      </c>
      <c r="I125" s="38"/>
      <c r="J125" s="308"/>
    </row>
    <row r="126" spans="1:10" s="15" customFormat="1" ht="15" customHeight="1" x14ac:dyDescent="0.25">
      <c r="A126" s="38"/>
      <c r="B126" s="68">
        <v>513027</v>
      </c>
      <c r="C126" s="65" t="s">
        <v>14884</v>
      </c>
      <c r="D126" s="3"/>
      <c r="E126" s="66">
        <v>16.059384810804872</v>
      </c>
      <c r="F126" s="64" t="s">
        <v>737</v>
      </c>
      <c r="G126" s="67">
        <f>'[1]RESUMEN PEDIDO'!$C$31</f>
        <v>0.7</v>
      </c>
      <c r="H126" s="66">
        <f t="shared" si="26"/>
        <v>0</v>
      </c>
      <c r="I126" s="38"/>
      <c r="J126" s="308"/>
    </row>
    <row r="127" spans="1:10" s="15" customFormat="1" ht="15" customHeight="1" x14ac:dyDescent="0.25">
      <c r="A127" s="38"/>
      <c r="B127" s="68">
        <v>511024</v>
      </c>
      <c r="C127" s="65" t="s">
        <v>11431</v>
      </c>
      <c r="D127" s="3"/>
      <c r="E127" s="66">
        <v>16.059384810804872</v>
      </c>
      <c r="F127" s="64" t="s">
        <v>737</v>
      </c>
      <c r="G127" s="67">
        <f>'[1]RESUMEN PEDIDO'!$C$31</f>
        <v>0.7</v>
      </c>
      <c r="H127" s="66">
        <f t="shared" si="23"/>
        <v>0</v>
      </c>
      <c r="I127" s="38"/>
      <c r="J127" s="308"/>
    </row>
    <row r="128" spans="1:10" s="15" customFormat="1" ht="15" customHeight="1" x14ac:dyDescent="0.25">
      <c r="A128" s="38"/>
      <c r="B128" s="68">
        <v>511025</v>
      </c>
      <c r="C128" s="65" t="s">
        <v>11433</v>
      </c>
      <c r="D128" s="3"/>
      <c r="E128" s="66">
        <v>16.059384810804872</v>
      </c>
      <c r="F128" s="64" t="s">
        <v>737</v>
      </c>
      <c r="G128" s="67">
        <f>'[1]RESUMEN PEDIDO'!$C$31</f>
        <v>0.7</v>
      </c>
      <c r="H128" s="66">
        <f t="shared" si="23"/>
        <v>0</v>
      </c>
      <c r="I128" s="38"/>
      <c r="J128" s="308"/>
    </row>
    <row r="129" spans="1:10" s="15" customFormat="1" ht="15" customHeight="1" x14ac:dyDescent="0.25">
      <c r="A129" s="38"/>
      <c r="B129" s="64">
        <v>511026</v>
      </c>
      <c r="C129" s="65" t="s">
        <v>11435</v>
      </c>
      <c r="D129" s="3"/>
      <c r="E129" s="66">
        <v>16.059384810804872</v>
      </c>
      <c r="F129" s="64" t="s">
        <v>737</v>
      </c>
      <c r="G129" s="67">
        <f>'[1]RESUMEN PEDIDO'!$C$31</f>
        <v>0.7</v>
      </c>
      <c r="H129" s="66">
        <f t="shared" si="23"/>
        <v>0</v>
      </c>
      <c r="I129" s="38"/>
      <c r="J129" s="308"/>
    </row>
    <row r="130" spans="1:10" s="15" customFormat="1" ht="15" customHeight="1" x14ac:dyDescent="0.25">
      <c r="A130" s="38"/>
      <c r="B130" s="64">
        <v>511027</v>
      </c>
      <c r="C130" s="65" t="s">
        <v>15177</v>
      </c>
      <c r="D130" s="3"/>
      <c r="E130" s="66">
        <v>16.059384810804872</v>
      </c>
      <c r="F130" s="64" t="s">
        <v>737</v>
      </c>
      <c r="G130" s="67">
        <f>'[1]RESUMEN PEDIDO'!$C$31</f>
        <v>0.7</v>
      </c>
      <c r="H130" s="66">
        <f t="shared" si="23"/>
        <v>0</v>
      </c>
      <c r="I130" s="38"/>
      <c r="J130" s="308"/>
    </row>
    <row r="131" spans="1:10" s="15" customFormat="1" ht="15" customHeight="1" x14ac:dyDescent="0.25">
      <c r="A131" s="38"/>
      <c r="B131" s="68">
        <v>511028</v>
      </c>
      <c r="C131" s="65" t="s">
        <v>11439</v>
      </c>
      <c r="D131" s="3"/>
      <c r="E131" s="66">
        <v>16.059384810804872</v>
      </c>
      <c r="F131" s="64" t="s">
        <v>737</v>
      </c>
      <c r="G131" s="67">
        <f>'[1]RESUMEN PEDIDO'!$C$31</f>
        <v>0.7</v>
      </c>
      <c r="H131" s="66">
        <f t="shared" si="23"/>
        <v>0</v>
      </c>
      <c r="I131" s="38"/>
      <c r="J131" s="308"/>
    </row>
    <row r="132" spans="1:10" s="15" customFormat="1" ht="15" customHeight="1" x14ac:dyDescent="0.25">
      <c r="A132" s="38"/>
      <c r="B132" s="64">
        <v>511029</v>
      </c>
      <c r="C132" s="65" t="s">
        <v>11441</v>
      </c>
      <c r="D132" s="3"/>
      <c r="E132" s="66">
        <v>16.059384810804872</v>
      </c>
      <c r="F132" s="64" t="s">
        <v>737</v>
      </c>
      <c r="G132" s="67">
        <f>'[1]RESUMEN PEDIDO'!$C$31</f>
        <v>0.7</v>
      </c>
      <c r="H132" s="66">
        <f t="shared" si="23"/>
        <v>0</v>
      </c>
      <c r="I132" s="38"/>
      <c r="J132" s="308"/>
    </row>
    <row r="133" spans="1:10" s="15" customFormat="1" ht="15" customHeight="1" x14ac:dyDescent="0.25">
      <c r="A133" s="38"/>
      <c r="B133" s="64">
        <v>511030</v>
      </c>
      <c r="C133" s="65" t="s">
        <v>15176</v>
      </c>
      <c r="D133" s="3"/>
      <c r="E133" s="66">
        <v>16.059384810804872</v>
      </c>
      <c r="F133" s="64" t="s">
        <v>737</v>
      </c>
      <c r="G133" s="67">
        <f>'[1]RESUMEN PEDIDO'!$C$31</f>
        <v>0.7</v>
      </c>
      <c r="H133" s="66">
        <f t="shared" si="23"/>
        <v>0</v>
      </c>
      <c r="I133" s="38"/>
      <c r="J133" s="308"/>
    </row>
    <row r="134" spans="1:10" s="15" customFormat="1" ht="15" customHeight="1" x14ac:dyDescent="0.25">
      <c r="A134" s="38"/>
      <c r="B134" s="64">
        <v>511031</v>
      </c>
      <c r="C134" s="65" t="s">
        <v>11445</v>
      </c>
      <c r="D134" s="3"/>
      <c r="E134" s="66">
        <v>16.059384810804872</v>
      </c>
      <c r="F134" s="64" t="s">
        <v>737</v>
      </c>
      <c r="G134" s="67">
        <f>'[1]RESUMEN PEDIDO'!$C$31</f>
        <v>0.7</v>
      </c>
      <c r="H134" s="66">
        <f t="shared" si="23"/>
        <v>0</v>
      </c>
      <c r="I134" s="38"/>
      <c r="J134" s="308"/>
    </row>
    <row r="135" spans="1:10" s="15" customFormat="1" ht="15" customHeight="1" x14ac:dyDescent="0.25">
      <c r="A135" s="38"/>
      <c r="B135" s="64">
        <v>511032</v>
      </c>
      <c r="C135" s="65" t="s">
        <v>11447</v>
      </c>
      <c r="D135" s="3"/>
      <c r="E135" s="66">
        <v>16.059384810804872</v>
      </c>
      <c r="F135" s="64" t="s">
        <v>737</v>
      </c>
      <c r="G135" s="67">
        <f>'[1]RESUMEN PEDIDO'!$C$31</f>
        <v>0.7</v>
      </c>
      <c r="H135" s="66">
        <f t="shared" si="23"/>
        <v>0</v>
      </c>
      <c r="I135" s="38"/>
      <c r="J135" s="308"/>
    </row>
    <row r="136" spans="1:10" s="15" customFormat="1" ht="15" customHeight="1" x14ac:dyDescent="0.25">
      <c r="A136" s="38"/>
      <c r="B136" s="68">
        <v>511075</v>
      </c>
      <c r="C136" s="65" t="s">
        <v>14930</v>
      </c>
      <c r="D136" s="3"/>
      <c r="E136" s="66">
        <v>16.059384810804872</v>
      </c>
      <c r="F136" s="64" t="s">
        <v>737</v>
      </c>
      <c r="G136" s="67">
        <f>'[1]RESUMEN PEDIDO'!$C$31</f>
        <v>0.7</v>
      </c>
      <c r="H136" s="66">
        <f t="shared" si="23"/>
        <v>0</v>
      </c>
      <c r="I136" s="38"/>
      <c r="J136" s="308"/>
    </row>
    <row r="137" spans="1:10" s="15" customFormat="1" ht="15" customHeight="1" x14ac:dyDescent="0.25">
      <c r="A137" s="38"/>
      <c r="B137" s="68">
        <v>511076</v>
      </c>
      <c r="C137" s="65" t="s">
        <v>14931</v>
      </c>
      <c r="D137" s="3"/>
      <c r="E137" s="66">
        <v>16.059384810804872</v>
      </c>
      <c r="F137" s="64" t="s">
        <v>737</v>
      </c>
      <c r="G137" s="67">
        <f>'[1]RESUMEN PEDIDO'!$C$31</f>
        <v>0.7</v>
      </c>
      <c r="H137" s="66">
        <f t="shared" si="23"/>
        <v>0</v>
      </c>
      <c r="I137" s="38"/>
      <c r="J137" s="308"/>
    </row>
    <row r="138" spans="1:10" s="15" customFormat="1" ht="15" customHeight="1" x14ac:dyDescent="0.25">
      <c r="A138" s="38"/>
      <c r="B138" s="68">
        <v>511065</v>
      </c>
      <c r="C138" s="65" t="s">
        <v>14932</v>
      </c>
      <c r="D138" s="3"/>
      <c r="E138" s="66">
        <v>16.059384810804872</v>
      </c>
      <c r="F138" s="64" t="s">
        <v>737</v>
      </c>
      <c r="G138" s="67">
        <f>'[1]RESUMEN PEDIDO'!$C$31</f>
        <v>0.7</v>
      </c>
      <c r="H138" s="66">
        <f t="shared" si="23"/>
        <v>0</v>
      </c>
      <c r="I138" s="38"/>
      <c r="J138" s="308"/>
    </row>
    <row r="139" spans="1:10" s="15" customFormat="1" ht="15" customHeight="1" x14ac:dyDescent="0.25">
      <c r="A139" s="38"/>
      <c r="B139" s="68">
        <v>511066</v>
      </c>
      <c r="C139" s="65" t="s">
        <v>14933</v>
      </c>
      <c r="D139" s="3"/>
      <c r="E139" s="66">
        <v>16.059384810804872</v>
      </c>
      <c r="F139" s="64" t="s">
        <v>737</v>
      </c>
      <c r="G139" s="67">
        <f>'[1]RESUMEN PEDIDO'!$C$31</f>
        <v>0.7</v>
      </c>
      <c r="H139" s="66">
        <f t="shared" si="23"/>
        <v>0</v>
      </c>
      <c r="I139" s="38"/>
      <c r="J139" s="308"/>
    </row>
    <row r="140" spans="1:10" s="15" customFormat="1" ht="15" customHeight="1" x14ac:dyDescent="0.25">
      <c r="A140" s="38"/>
      <c r="B140" s="68">
        <v>511098</v>
      </c>
      <c r="C140" s="65" t="s">
        <v>14935</v>
      </c>
      <c r="D140" s="3"/>
      <c r="E140" s="66">
        <v>16.059384810804872</v>
      </c>
      <c r="F140" s="64" t="s">
        <v>737</v>
      </c>
      <c r="G140" s="67">
        <f>'[1]RESUMEN PEDIDO'!$C$31</f>
        <v>0.7</v>
      </c>
      <c r="H140" s="66">
        <f t="shared" si="23"/>
        <v>0</v>
      </c>
      <c r="I140" s="38"/>
      <c r="J140" s="308"/>
    </row>
    <row r="141" spans="1:10" s="15" customFormat="1" ht="15" customHeight="1" x14ac:dyDescent="0.25">
      <c r="A141" s="38"/>
      <c r="B141" s="68">
        <v>520115</v>
      </c>
      <c r="C141" s="65" t="s">
        <v>12077</v>
      </c>
      <c r="D141" s="3"/>
      <c r="E141" s="66">
        <v>16.059384810804872</v>
      </c>
      <c r="F141" s="64" t="s">
        <v>737</v>
      </c>
      <c r="G141" s="67">
        <f>'[1]RESUMEN PEDIDO'!$C$31</f>
        <v>0.7</v>
      </c>
      <c r="H141" s="66">
        <f t="shared" si="23"/>
        <v>0</v>
      </c>
      <c r="I141" s="38"/>
      <c r="J141" s="308"/>
    </row>
    <row r="142" spans="1:10" s="15" customFormat="1" ht="15" customHeight="1" x14ac:dyDescent="0.25">
      <c r="A142" s="38"/>
      <c r="B142" s="68">
        <v>520116</v>
      </c>
      <c r="C142" s="65" t="s">
        <v>12079</v>
      </c>
      <c r="D142" s="3"/>
      <c r="E142" s="66">
        <v>16.059384810804872</v>
      </c>
      <c r="F142" s="64" t="s">
        <v>737</v>
      </c>
      <c r="G142" s="67">
        <f>'[1]RESUMEN PEDIDO'!$C$31</f>
        <v>0.7</v>
      </c>
      <c r="H142" s="66">
        <f t="shared" si="23"/>
        <v>0</v>
      </c>
      <c r="I142" s="38"/>
      <c r="J142" s="308"/>
    </row>
    <row r="143" spans="1:10" s="15" customFormat="1" ht="15" customHeight="1" x14ac:dyDescent="0.25">
      <c r="A143" s="38"/>
      <c r="B143" s="68">
        <v>550081</v>
      </c>
      <c r="C143" s="65" t="s">
        <v>14906</v>
      </c>
      <c r="D143" s="3"/>
      <c r="E143" s="66">
        <v>24.718571428571433</v>
      </c>
      <c r="F143" s="64" t="s">
        <v>125</v>
      </c>
      <c r="G143" s="67">
        <f>'[1]RESUMEN PEDIDO'!$C$31</f>
        <v>0.7</v>
      </c>
      <c r="H143" s="66">
        <f t="shared" si="23"/>
        <v>0</v>
      </c>
      <c r="I143" s="38"/>
      <c r="J143" s="308"/>
    </row>
    <row r="144" spans="1:10" s="15" customFormat="1" ht="15" customHeight="1" x14ac:dyDescent="0.25">
      <c r="A144" s="38"/>
      <c r="B144" s="68">
        <v>300868</v>
      </c>
      <c r="C144" s="65" t="s">
        <v>15154</v>
      </c>
      <c r="D144" s="3"/>
      <c r="E144" s="66">
        <v>1.6761904761904765</v>
      </c>
      <c r="F144" s="64" t="s">
        <v>15155</v>
      </c>
      <c r="G144" s="67">
        <f>'[1]RESUMEN PEDIDO'!$C$31</f>
        <v>0.7</v>
      </c>
      <c r="H144" s="66">
        <f t="shared" ref="H144:H145" si="27">(D144*(E144-(E144*G144)))</f>
        <v>0</v>
      </c>
      <c r="I144" s="38"/>
      <c r="J144" s="308"/>
    </row>
    <row r="145" spans="1:10" s="15" customFormat="1" ht="15" customHeight="1" x14ac:dyDescent="0.25">
      <c r="A145" s="38"/>
      <c r="B145" s="68">
        <v>300809</v>
      </c>
      <c r="C145" s="65" t="s">
        <v>15156</v>
      </c>
      <c r="D145" s="3"/>
      <c r="E145" s="66">
        <v>4.5008705238095246</v>
      </c>
      <c r="F145" s="64" t="s">
        <v>15157</v>
      </c>
      <c r="G145" s="67">
        <f>'[1]RESUMEN PEDIDO'!$C$31</f>
        <v>0.7</v>
      </c>
      <c r="H145" s="66">
        <f t="shared" si="27"/>
        <v>0</v>
      </c>
      <c r="I145" s="38"/>
      <c r="J145" s="308"/>
    </row>
    <row r="146" spans="1:10" s="15" customFormat="1" ht="15" customHeight="1" x14ac:dyDescent="0.25">
      <c r="A146" s="38"/>
      <c r="B146" s="64">
        <v>310391</v>
      </c>
      <c r="C146" s="65" t="s">
        <v>15092</v>
      </c>
      <c r="D146" s="3"/>
      <c r="E146" s="66">
        <v>0.90619047619047632</v>
      </c>
      <c r="F146" s="91" t="s">
        <v>14791</v>
      </c>
      <c r="G146" s="67">
        <f>'[1]RESUMEN PEDIDO'!$C$31</f>
        <v>0.7</v>
      </c>
      <c r="H146" s="66">
        <f>(D146*(E146-(E146*G146)))</f>
        <v>0</v>
      </c>
      <c r="I146" s="38"/>
      <c r="J146" s="308"/>
    </row>
    <row r="147" spans="1:10" s="15" customFormat="1" ht="15" customHeight="1" x14ac:dyDescent="0.25">
      <c r="A147" s="38"/>
      <c r="B147" s="68">
        <v>300799</v>
      </c>
      <c r="C147" s="65" t="s">
        <v>15174</v>
      </c>
      <c r="D147" s="3"/>
      <c r="E147" s="66">
        <v>4.6290619047619055</v>
      </c>
      <c r="F147" s="64" t="s">
        <v>14790</v>
      </c>
      <c r="G147" s="67">
        <f>'[1]RESUMEN PEDIDO'!$C$31</f>
        <v>0.7</v>
      </c>
      <c r="H147" s="66">
        <f t="shared" si="23"/>
        <v>0</v>
      </c>
      <c r="I147" s="38"/>
      <c r="J147" s="308"/>
    </row>
    <row r="148" spans="1:10" ht="17.25" x14ac:dyDescent="0.25">
      <c r="A148" s="29"/>
      <c r="B148" s="375" t="s">
        <v>591</v>
      </c>
      <c r="C148" s="375"/>
      <c r="D148" s="69"/>
      <c r="E148" s="70"/>
      <c r="F148" s="45"/>
      <c r="G148" s="70"/>
      <c r="H148" s="45"/>
      <c r="I148" s="73"/>
    </row>
    <row r="149" spans="1:10" ht="4.9000000000000004" customHeight="1" x14ac:dyDescent="0.25">
      <c r="A149" s="29"/>
      <c r="B149" s="36"/>
      <c r="C149" s="31"/>
      <c r="D149" s="44"/>
      <c r="E149" s="33"/>
      <c r="F149" s="37"/>
      <c r="G149" s="33"/>
      <c r="H149" s="37"/>
      <c r="I149" s="76"/>
    </row>
    <row r="150" spans="1:10" s="15" customFormat="1" ht="17.25" x14ac:dyDescent="0.25">
      <c r="B150" s="13"/>
      <c r="C150" s="11"/>
      <c r="D150" s="18"/>
      <c r="E150" s="12"/>
      <c r="F150" s="14"/>
      <c r="G150" s="12"/>
      <c r="H150" s="14"/>
      <c r="I150" s="20"/>
    </row>
    <row r="151" spans="1:10" ht="17.25" x14ac:dyDescent="0.2">
      <c r="B151" s="21"/>
      <c r="C151" s="22"/>
      <c r="F151" s="23"/>
      <c r="H151" s="23"/>
    </row>
  </sheetData>
  <sheetProtection algorithmName="SHA-512" hashValue="eJVSBt42nz9p4eeZ20ilvP3p5+I3U1e3rSYXtS6alzN3KMpKHSqXRC4okXlUD1CMXoeIEpPqClYLurGcpCj8Ag==" saltValue="yZ28/cOH5Vt++O7PkbhHcQ==" spinCount="100000" sheet="1" formatCells="0" selectLockedCells="1" autoFilter="0"/>
  <autoFilter ref="A8:IM148" xr:uid="{00000000-0009-0000-0000-000003000000}"/>
  <mergeCells count="6">
    <mergeCell ref="B148:C148"/>
    <mergeCell ref="B1:C1"/>
    <mergeCell ref="F2:G2"/>
    <mergeCell ref="F3:G3"/>
    <mergeCell ref="B6:H6"/>
    <mergeCell ref="E7:F7"/>
  </mergeCells>
  <conditionalFormatting sqref="H3">
    <cfRule type="cellIs" dxfId="4" priority="1" stopIfTrue="1" operator="greaterThan">
      <formula>0</formula>
    </cfRule>
    <cfRule type="cellIs" dxfId="3" priority="2" stopIfTrue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2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8E3E-7A89-4DBB-A6A0-390C10D02A05}">
  <sheetPr>
    <tabColor theme="9" tint="0.59999389629810485"/>
    <pageSetUpPr fitToPage="1"/>
  </sheetPr>
  <dimension ref="A1:IP524"/>
  <sheetViews>
    <sheetView zoomScale="80" zoomScaleNormal="80" zoomScaleSheetLayoutView="80" workbookViewId="0">
      <selection activeCell="K21" sqref="K21"/>
    </sheetView>
  </sheetViews>
  <sheetFormatPr baseColWidth="10" defaultColWidth="12" defaultRowHeight="17.25" x14ac:dyDescent="0.25"/>
  <cols>
    <col min="1" max="1" width="3.140625" style="10" customWidth="1"/>
    <col min="2" max="2" width="11" style="18" customWidth="1"/>
    <col min="3" max="3" width="85.140625" style="10" customWidth="1"/>
    <col min="4" max="4" width="11.7109375" style="17" customWidth="1"/>
    <col min="5" max="5" width="14.140625" style="7" bestFit="1" customWidth="1"/>
    <col min="6" max="6" width="22" style="229" customWidth="1"/>
    <col min="7" max="7" width="24.140625" style="17" customWidth="1"/>
    <col min="8" max="8" width="11.7109375" style="10" customWidth="1"/>
    <col min="9" max="9" width="11.7109375" style="8" customWidth="1"/>
    <col min="10" max="10" width="13.7109375" style="19" customWidth="1"/>
    <col min="11" max="86" width="12" style="151"/>
    <col min="87" max="255" width="12" style="10"/>
    <col min="256" max="256" width="3.140625" style="10" customWidth="1"/>
    <col min="257" max="257" width="10.28515625" style="10" customWidth="1"/>
    <col min="258" max="258" width="66.85546875" style="10" bestFit="1" customWidth="1"/>
    <col min="259" max="260" width="11.7109375" style="10" customWidth="1"/>
    <col min="261" max="261" width="15.7109375" style="10" customWidth="1"/>
    <col min="262" max="265" width="11.7109375" style="10" customWidth="1"/>
    <col min="266" max="266" width="13.5703125" style="10" bestFit="1" customWidth="1"/>
    <col min="267" max="511" width="12" style="10"/>
    <col min="512" max="512" width="3.140625" style="10" customWidth="1"/>
    <col min="513" max="513" width="10.28515625" style="10" customWidth="1"/>
    <col min="514" max="514" width="66.85546875" style="10" bestFit="1" customWidth="1"/>
    <col min="515" max="516" width="11.7109375" style="10" customWidth="1"/>
    <col min="517" max="517" width="15.7109375" style="10" customWidth="1"/>
    <col min="518" max="521" width="11.7109375" style="10" customWidth="1"/>
    <col min="522" max="522" width="13.5703125" style="10" bestFit="1" customWidth="1"/>
    <col min="523" max="767" width="12" style="10"/>
    <col min="768" max="768" width="3.140625" style="10" customWidth="1"/>
    <col min="769" max="769" width="10.28515625" style="10" customWidth="1"/>
    <col min="770" max="770" width="66.85546875" style="10" bestFit="1" customWidth="1"/>
    <col min="771" max="772" width="11.7109375" style="10" customWidth="1"/>
    <col min="773" max="773" width="15.7109375" style="10" customWidth="1"/>
    <col min="774" max="777" width="11.7109375" style="10" customWidth="1"/>
    <col min="778" max="778" width="13.5703125" style="10" bestFit="1" customWidth="1"/>
    <col min="779" max="1023" width="12" style="10"/>
    <col min="1024" max="1024" width="3.140625" style="10" customWidth="1"/>
    <col min="1025" max="1025" width="10.28515625" style="10" customWidth="1"/>
    <col min="1026" max="1026" width="66.85546875" style="10" bestFit="1" customWidth="1"/>
    <col min="1027" max="1028" width="11.7109375" style="10" customWidth="1"/>
    <col min="1029" max="1029" width="15.7109375" style="10" customWidth="1"/>
    <col min="1030" max="1033" width="11.7109375" style="10" customWidth="1"/>
    <col min="1034" max="1034" width="13.5703125" style="10" bestFit="1" customWidth="1"/>
    <col min="1035" max="1279" width="12" style="10"/>
    <col min="1280" max="1280" width="3.140625" style="10" customWidth="1"/>
    <col min="1281" max="1281" width="10.28515625" style="10" customWidth="1"/>
    <col min="1282" max="1282" width="66.85546875" style="10" bestFit="1" customWidth="1"/>
    <col min="1283" max="1284" width="11.7109375" style="10" customWidth="1"/>
    <col min="1285" max="1285" width="15.7109375" style="10" customWidth="1"/>
    <col min="1286" max="1289" width="11.7109375" style="10" customWidth="1"/>
    <col min="1290" max="1290" width="13.5703125" style="10" bestFit="1" customWidth="1"/>
    <col min="1291" max="1535" width="12" style="10"/>
    <col min="1536" max="1536" width="3.140625" style="10" customWidth="1"/>
    <col min="1537" max="1537" width="10.28515625" style="10" customWidth="1"/>
    <col min="1538" max="1538" width="66.85546875" style="10" bestFit="1" customWidth="1"/>
    <col min="1539" max="1540" width="11.7109375" style="10" customWidth="1"/>
    <col min="1541" max="1541" width="15.7109375" style="10" customWidth="1"/>
    <col min="1542" max="1545" width="11.7109375" style="10" customWidth="1"/>
    <col min="1546" max="1546" width="13.5703125" style="10" bestFit="1" customWidth="1"/>
    <col min="1547" max="1791" width="12" style="10"/>
    <col min="1792" max="1792" width="3.140625" style="10" customWidth="1"/>
    <col min="1793" max="1793" width="10.28515625" style="10" customWidth="1"/>
    <col min="1794" max="1794" width="66.85546875" style="10" bestFit="1" customWidth="1"/>
    <col min="1795" max="1796" width="11.7109375" style="10" customWidth="1"/>
    <col min="1797" max="1797" width="15.7109375" style="10" customWidth="1"/>
    <col min="1798" max="1801" width="11.7109375" style="10" customWidth="1"/>
    <col min="1802" max="1802" width="13.5703125" style="10" bestFit="1" customWidth="1"/>
    <col min="1803" max="2047" width="12" style="10"/>
    <col min="2048" max="2048" width="3.140625" style="10" customWidth="1"/>
    <col min="2049" max="2049" width="10.28515625" style="10" customWidth="1"/>
    <col min="2050" max="2050" width="66.85546875" style="10" bestFit="1" customWidth="1"/>
    <col min="2051" max="2052" width="11.7109375" style="10" customWidth="1"/>
    <col min="2053" max="2053" width="15.7109375" style="10" customWidth="1"/>
    <col min="2054" max="2057" width="11.7109375" style="10" customWidth="1"/>
    <col min="2058" max="2058" width="13.5703125" style="10" bestFit="1" customWidth="1"/>
    <col min="2059" max="2303" width="12" style="10"/>
    <col min="2304" max="2304" width="3.140625" style="10" customWidth="1"/>
    <col min="2305" max="2305" width="10.28515625" style="10" customWidth="1"/>
    <col min="2306" max="2306" width="66.85546875" style="10" bestFit="1" customWidth="1"/>
    <col min="2307" max="2308" width="11.7109375" style="10" customWidth="1"/>
    <col min="2309" max="2309" width="15.7109375" style="10" customWidth="1"/>
    <col min="2310" max="2313" width="11.7109375" style="10" customWidth="1"/>
    <col min="2314" max="2314" width="13.5703125" style="10" bestFit="1" customWidth="1"/>
    <col min="2315" max="2559" width="12" style="10"/>
    <col min="2560" max="2560" width="3.140625" style="10" customWidth="1"/>
    <col min="2561" max="2561" width="10.28515625" style="10" customWidth="1"/>
    <col min="2562" max="2562" width="66.85546875" style="10" bestFit="1" customWidth="1"/>
    <col min="2563" max="2564" width="11.7109375" style="10" customWidth="1"/>
    <col min="2565" max="2565" width="15.7109375" style="10" customWidth="1"/>
    <col min="2566" max="2569" width="11.7109375" style="10" customWidth="1"/>
    <col min="2570" max="2570" width="13.5703125" style="10" bestFit="1" customWidth="1"/>
    <col min="2571" max="2815" width="12" style="10"/>
    <col min="2816" max="2816" width="3.140625" style="10" customWidth="1"/>
    <col min="2817" max="2817" width="10.28515625" style="10" customWidth="1"/>
    <col min="2818" max="2818" width="66.85546875" style="10" bestFit="1" customWidth="1"/>
    <col min="2819" max="2820" width="11.7109375" style="10" customWidth="1"/>
    <col min="2821" max="2821" width="15.7109375" style="10" customWidth="1"/>
    <col min="2822" max="2825" width="11.7109375" style="10" customWidth="1"/>
    <col min="2826" max="2826" width="13.5703125" style="10" bestFit="1" customWidth="1"/>
    <col min="2827" max="3071" width="12" style="10"/>
    <col min="3072" max="3072" width="3.140625" style="10" customWidth="1"/>
    <col min="3073" max="3073" width="10.28515625" style="10" customWidth="1"/>
    <col min="3074" max="3074" width="66.85546875" style="10" bestFit="1" customWidth="1"/>
    <col min="3075" max="3076" width="11.7109375" style="10" customWidth="1"/>
    <col min="3077" max="3077" width="15.7109375" style="10" customWidth="1"/>
    <col min="3078" max="3081" width="11.7109375" style="10" customWidth="1"/>
    <col min="3082" max="3082" width="13.5703125" style="10" bestFit="1" customWidth="1"/>
    <col min="3083" max="3327" width="12" style="10"/>
    <col min="3328" max="3328" width="3.140625" style="10" customWidth="1"/>
    <col min="3329" max="3329" width="10.28515625" style="10" customWidth="1"/>
    <col min="3330" max="3330" width="66.85546875" style="10" bestFit="1" customWidth="1"/>
    <col min="3331" max="3332" width="11.7109375" style="10" customWidth="1"/>
    <col min="3333" max="3333" width="15.7109375" style="10" customWidth="1"/>
    <col min="3334" max="3337" width="11.7109375" style="10" customWidth="1"/>
    <col min="3338" max="3338" width="13.5703125" style="10" bestFit="1" customWidth="1"/>
    <col min="3339" max="3583" width="12" style="10"/>
    <col min="3584" max="3584" width="3.140625" style="10" customWidth="1"/>
    <col min="3585" max="3585" width="10.28515625" style="10" customWidth="1"/>
    <col min="3586" max="3586" width="66.85546875" style="10" bestFit="1" customWidth="1"/>
    <col min="3587" max="3588" width="11.7109375" style="10" customWidth="1"/>
    <col min="3589" max="3589" width="15.7109375" style="10" customWidth="1"/>
    <col min="3590" max="3593" width="11.7109375" style="10" customWidth="1"/>
    <col min="3594" max="3594" width="13.5703125" style="10" bestFit="1" customWidth="1"/>
    <col min="3595" max="3839" width="12" style="10"/>
    <col min="3840" max="3840" width="3.140625" style="10" customWidth="1"/>
    <col min="3841" max="3841" width="10.28515625" style="10" customWidth="1"/>
    <col min="3842" max="3842" width="66.85546875" style="10" bestFit="1" customWidth="1"/>
    <col min="3843" max="3844" width="11.7109375" style="10" customWidth="1"/>
    <col min="3845" max="3845" width="15.7109375" style="10" customWidth="1"/>
    <col min="3846" max="3849" width="11.7109375" style="10" customWidth="1"/>
    <col min="3850" max="3850" width="13.5703125" style="10" bestFit="1" customWidth="1"/>
    <col min="3851" max="4095" width="12" style="10"/>
    <col min="4096" max="4096" width="3.140625" style="10" customWidth="1"/>
    <col min="4097" max="4097" width="10.28515625" style="10" customWidth="1"/>
    <col min="4098" max="4098" width="66.85546875" style="10" bestFit="1" customWidth="1"/>
    <col min="4099" max="4100" width="11.7109375" style="10" customWidth="1"/>
    <col min="4101" max="4101" width="15.7109375" style="10" customWidth="1"/>
    <col min="4102" max="4105" width="11.7109375" style="10" customWidth="1"/>
    <col min="4106" max="4106" width="13.5703125" style="10" bestFit="1" customWidth="1"/>
    <col min="4107" max="4351" width="12" style="10"/>
    <col min="4352" max="4352" width="3.140625" style="10" customWidth="1"/>
    <col min="4353" max="4353" width="10.28515625" style="10" customWidth="1"/>
    <col min="4354" max="4354" width="66.85546875" style="10" bestFit="1" customWidth="1"/>
    <col min="4355" max="4356" width="11.7109375" style="10" customWidth="1"/>
    <col min="4357" max="4357" width="15.7109375" style="10" customWidth="1"/>
    <col min="4358" max="4361" width="11.7109375" style="10" customWidth="1"/>
    <col min="4362" max="4362" width="13.5703125" style="10" bestFit="1" customWidth="1"/>
    <col min="4363" max="4607" width="12" style="10"/>
    <col min="4608" max="4608" width="3.140625" style="10" customWidth="1"/>
    <col min="4609" max="4609" width="10.28515625" style="10" customWidth="1"/>
    <col min="4610" max="4610" width="66.85546875" style="10" bestFit="1" customWidth="1"/>
    <col min="4611" max="4612" width="11.7109375" style="10" customWidth="1"/>
    <col min="4613" max="4613" width="15.7109375" style="10" customWidth="1"/>
    <col min="4614" max="4617" width="11.7109375" style="10" customWidth="1"/>
    <col min="4618" max="4618" width="13.5703125" style="10" bestFit="1" customWidth="1"/>
    <col min="4619" max="4863" width="12" style="10"/>
    <col min="4864" max="4864" width="3.140625" style="10" customWidth="1"/>
    <col min="4865" max="4865" width="10.28515625" style="10" customWidth="1"/>
    <col min="4866" max="4866" width="66.85546875" style="10" bestFit="1" customWidth="1"/>
    <col min="4867" max="4868" width="11.7109375" style="10" customWidth="1"/>
    <col min="4869" max="4869" width="15.7109375" style="10" customWidth="1"/>
    <col min="4870" max="4873" width="11.7109375" style="10" customWidth="1"/>
    <col min="4874" max="4874" width="13.5703125" style="10" bestFit="1" customWidth="1"/>
    <col min="4875" max="5119" width="12" style="10"/>
    <col min="5120" max="5120" width="3.140625" style="10" customWidth="1"/>
    <col min="5121" max="5121" width="10.28515625" style="10" customWidth="1"/>
    <col min="5122" max="5122" width="66.85546875" style="10" bestFit="1" customWidth="1"/>
    <col min="5123" max="5124" width="11.7109375" style="10" customWidth="1"/>
    <col min="5125" max="5125" width="15.7109375" style="10" customWidth="1"/>
    <col min="5126" max="5129" width="11.7109375" style="10" customWidth="1"/>
    <col min="5130" max="5130" width="13.5703125" style="10" bestFit="1" customWidth="1"/>
    <col min="5131" max="5375" width="12" style="10"/>
    <col min="5376" max="5376" width="3.140625" style="10" customWidth="1"/>
    <col min="5377" max="5377" width="10.28515625" style="10" customWidth="1"/>
    <col min="5378" max="5378" width="66.85546875" style="10" bestFit="1" customWidth="1"/>
    <col min="5379" max="5380" width="11.7109375" style="10" customWidth="1"/>
    <col min="5381" max="5381" width="15.7109375" style="10" customWidth="1"/>
    <col min="5382" max="5385" width="11.7109375" style="10" customWidth="1"/>
    <col min="5386" max="5386" width="13.5703125" style="10" bestFit="1" customWidth="1"/>
    <col min="5387" max="5631" width="12" style="10"/>
    <col min="5632" max="5632" width="3.140625" style="10" customWidth="1"/>
    <col min="5633" max="5633" width="10.28515625" style="10" customWidth="1"/>
    <col min="5634" max="5634" width="66.85546875" style="10" bestFit="1" customWidth="1"/>
    <col min="5635" max="5636" width="11.7109375" style="10" customWidth="1"/>
    <col min="5637" max="5637" width="15.7109375" style="10" customWidth="1"/>
    <col min="5638" max="5641" width="11.7109375" style="10" customWidth="1"/>
    <col min="5642" max="5642" width="13.5703125" style="10" bestFit="1" customWidth="1"/>
    <col min="5643" max="5887" width="12" style="10"/>
    <col min="5888" max="5888" width="3.140625" style="10" customWidth="1"/>
    <col min="5889" max="5889" width="10.28515625" style="10" customWidth="1"/>
    <col min="5890" max="5890" width="66.85546875" style="10" bestFit="1" customWidth="1"/>
    <col min="5891" max="5892" width="11.7109375" style="10" customWidth="1"/>
    <col min="5893" max="5893" width="15.7109375" style="10" customWidth="1"/>
    <col min="5894" max="5897" width="11.7109375" style="10" customWidth="1"/>
    <col min="5898" max="5898" width="13.5703125" style="10" bestFit="1" customWidth="1"/>
    <col min="5899" max="6143" width="12" style="10"/>
    <col min="6144" max="6144" width="3.140625" style="10" customWidth="1"/>
    <col min="6145" max="6145" width="10.28515625" style="10" customWidth="1"/>
    <col min="6146" max="6146" width="66.85546875" style="10" bestFit="1" customWidth="1"/>
    <col min="6147" max="6148" width="11.7109375" style="10" customWidth="1"/>
    <col min="6149" max="6149" width="15.7109375" style="10" customWidth="1"/>
    <col min="6150" max="6153" width="11.7109375" style="10" customWidth="1"/>
    <col min="6154" max="6154" width="13.5703125" style="10" bestFit="1" customWidth="1"/>
    <col min="6155" max="6399" width="12" style="10"/>
    <col min="6400" max="6400" width="3.140625" style="10" customWidth="1"/>
    <col min="6401" max="6401" width="10.28515625" style="10" customWidth="1"/>
    <col min="6402" max="6402" width="66.85546875" style="10" bestFit="1" customWidth="1"/>
    <col min="6403" max="6404" width="11.7109375" style="10" customWidth="1"/>
    <col min="6405" max="6405" width="15.7109375" style="10" customWidth="1"/>
    <col min="6406" max="6409" width="11.7109375" style="10" customWidth="1"/>
    <col min="6410" max="6410" width="13.5703125" style="10" bestFit="1" customWidth="1"/>
    <col min="6411" max="6655" width="12" style="10"/>
    <col min="6656" max="6656" width="3.140625" style="10" customWidth="1"/>
    <col min="6657" max="6657" width="10.28515625" style="10" customWidth="1"/>
    <col min="6658" max="6658" width="66.85546875" style="10" bestFit="1" customWidth="1"/>
    <col min="6659" max="6660" width="11.7109375" style="10" customWidth="1"/>
    <col min="6661" max="6661" width="15.7109375" style="10" customWidth="1"/>
    <col min="6662" max="6665" width="11.7109375" style="10" customWidth="1"/>
    <col min="6666" max="6666" width="13.5703125" style="10" bestFit="1" customWidth="1"/>
    <col min="6667" max="6911" width="12" style="10"/>
    <col min="6912" max="6912" width="3.140625" style="10" customWidth="1"/>
    <col min="6913" max="6913" width="10.28515625" style="10" customWidth="1"/>
    <col min="6914" max="6914" width="66.85546875" style="10" bestFit="1" customWidth="1"/>
    <col min="6915" max="6916" width="11.7109375" style="10" customWidth="1"/>
    <col min="6917" max="6917" width="15.7109375" style="10" customWidth="1"/>
    <col min="6918" max="6921" width="11.7109375" style="10" customWidth="1"/>
    <col min="6922" max="6922" width="13.5703125" style="10" bestFit="1" customWidth="1"/>
    <col min="6923" max="7167" width="12" style="10"/>
    <col min="7168" max="7168" width="3.140625" style="10" customWidth="1"/>
    <col min="7169" max="7169" width="10.28515625" style="10" customWidth="1"/>
    <col min="7170" max="7170" width="66.85546875" style="10" bestFit="1" customWidth="1"/>
    <col min="7171" max="7172" width="11.7109375" style="10" customWidth="1"/>
    <col min="7173" max="7173" width="15.7109375" style="10" customWidth="1"/>
    <col min="7174" max="7177" width="11.7109375" style="10" customWidth="1"/>
    <col min="7178" max="7178" width="13.5703125" style="10" bestFit="1" customWidth="1"/>
    <col min="7179" max="7423" width="12" style="10"/>
    <col min="7424" max="7424" width="3.140625" style="10" customWidth="1"/>
    <col min="7425" max="7425" width="10.28515625" style="10" customWidth="1"/>
    <col min="7426" max="7426" width="66.85546875" style="10" bestFit="1" customWidth="1"/>
    <col min="7427" max="7428" width="11.7109375" style="10" customWidth="1"/>
    <col min="7429" max="7429" width="15.7109375" style="10" customWidth="1"/>
    <col min="7430" max="7433" width="11.7109375" style="10" customWidth="1"/>
    <col min="7434" max="7434" width="13.5703125" style="10" bestFit="1" customWidth="1"/>
    <col min="7435" max="7679" width="12" style="10"/>
    <col min="7680" max="7680" width="3.140625" style="10" customWidth="1"/>
    <col min="7681" max="7681" width="10.28515625" style="10" customWidth="1"/>
    <col min="7682" max="7682" width="66.85546875" style="10" bestFit="1" customWidth="1"/>
    <col min="7683" max="7684" width="11.7109375" style="10" customWidth="1"/>
    <col min="7685" max="7685" width="15.7109375" style="10" customWidth="1"/>
    <col min="7686" max="7689" width="11.7109375" style="10" customWidth="1"/>
    <col min="7690" max="7690" width="13.5703125" style="10" bestFit="1" customWidth="1"/>
    <col min="7691" max="7935" width="12" style="10"/>
    <col min="7936" max="7936" width="3.140625" style="10" customWidth="1"/>
    <col min="7937" max="7937" width="10.28515625" style="10" customWidth="1"/>
    <col min="7938" max="7938" width="66.85546875" style="10" bestFit="1" customWidth="1"/>
    <col min="7939" max="7940" width="11.7109375" style="10" customWidth="1"/>
    <col min="7941" max="7941" width="15.7109375" style="10" customWidth="1"/>
    <col min="7942" max="7945" width="11.7109375" style="10" customWidth="1"/>
    <col min="7946" max="7946" width="13.5703125" style="10" bestFit="1" customWidth="1"/>
    <col min="7947" max="8191" width="12" style="10"/>
    <col min="8192" max="8192" width="3.140625" style="10" customWidth="1"/>
    <col min="8193" max="8193" width="10.28515625" style="10" customWidth="1"/>
    <col min="8194" max="8194" width="66.85546875" style="10" bestFit="1" customWidth="1"/>
    <col min="8195" max="8196" width="11.7109375" style="10" customWidth="1"/>
    <col min="8197" max="8197" width="15.7109375" style="10" customWidth="1"/>
    <col min="8198" max="8201" width="11.7109375" style="10" customWidth="1"/>
    <col min="8202" max="8202" width="13.5703125" style="10" bestFit="1" customWidth="1"/>
    <col min="8203" max="8447" width="12" style="10"/>
    <col min="8448" max="8448" width="3.140625" style="10" customWidth="1"/>
    <col min="8449" max="8449" width="10.28515625" style="10" customWidth="1"/>
    <col min="8450" max="8450" width="66.85546875" style="10" bestFit="1" customWidth="1"/>
    <col min="8451" max="8452" width="11.7109375" style="10" customWidth="1"/>
    <col min="8453" max="8453" width="15.7109375" style="10" customWidth="1"/>
    <col min="8454" max="8457" width="11.7109375" style="10" customWidth="1"/>
    <col min="8458" max="8458" width="13.5703125" style="10" bestFit="1" customWidth="1"/>
    <col min="8459" max="8703" width="12" style="10"/>
    <col min="8704" max="8704" width="3.140625" style="10" customWidth="1"/>
    <col min="8705" max="8705" width="10.28515625" style="10" customWidth="1"/>
    <col min="8706" max="8706" width="66.85546875" style="10" bestFit="1" customWidth="1"/>
    <col min="8707" max="8708" width="11.7109375" style="10" customWidth="1"/>
    <col min="8709" max="8709" width="15.7109375" style="10" customWidth="1"/>
    <col min="8710" max="8713" width="11.7109375" style="10" customWidth="1"/>
    <col min="8714" max="8714" width="13.5703125" style="10" bestFit="1" customWidth="1"/>
    <col min="8715" max="8959" width="12" style="10"/>
    <col min="8960" max="8960" width="3.140625" style="10" customWidth="1"/>
    <col min="8961" max="8961" width="10.28515625" style="10" customWidth="1"/>
    <col min="8962" max="8962" width="66.85546875" style="10" bestFit="1" customWidth="1"/>
    <col min="8963" max="8964" width="11.7109375" style="10" customWidth="1"/>
    <col min="8965" max="8965" width="15.7109375" style="10" customWidth="1"/>
    <col min="8966" max="8969" width="11.7109375" style="10" customWidth="1"/>
    <col min="8970" max="8970" width="13.5703125" style="10" bestFit="1" customWidth="1"/>
    <col min="8971" max="9215" width="12" style="10"/>
    <col min="9216" max="9216" width="3.140625" style="10" customWidth="1"/>
    <col min="9217" max="9217" width="10.28515625" style="10" customWidth="1"/>
    <col min="9218" max="9218" width="66.85546875" style="10" bestFit="1" customWidth="1"/>
    <col min="9219" max="9220" width="11.7109375" style="10" customWidth="1"/>
    <col min="9221" max="9221" width="15.7109375" style="10" customWidth="1"/>
    <col min="9222" max="9225" width="11.7109375" style="10" customWidth="1"/>
    <col min="9226" max="9226" width="13.5703125" style="10" bestFit="1" customWidth="1"/>
    <col min="9227" max="9471" width="12" style="10"/>
    <col min="9472" max="9472" width="3.140625" style="10" customWidth="1"/>
    <col min="9473" max="9473" width="10.28515625" style="10" customWidth="1"/>
    <col min="9474" max="9474" width="66.85546875" style="10" bestFit="1" customWidth="1"/>
    <col min="9475" max="9476" width="11.7109375" style="10" customWidth="1"/>
    <col min="9477" max="9477" width="15.7109375" style="10" customWidth="1"/>
    <col min="9478" max="9481" width="11.7109375" style="10" customWidth="1"/>
    <col min="9482" max="9482" width="13.5703125" style="10" bestFit="1" customWidth="1"/>
    <col min="9483" max="9727" width="12" style="10"/>
    <col min="9728" max="9728" width="3.140625" style="10" customWidth="1"/>
    <col min="9729" max="9729" width="10.28515625" style="10" customWidth="1"/>
    <col min="9730" max="9730" width="66.85546875" style="10" bestFit="1" customWidth="1"/>
    <col min="9731" max="9732" width="11.7109375" style="10" customWidth="1"/>
    <col min="9733" max="9733" width="15.7109375" style="10" customWidth="1"/>
    <col min="9734" max="9737" width="11.7109375" style="10" customWidth="1"/>
    <col min="9738" max="9738" width="13.5703125" style="10" bestFit="1" customWidth="1"/>
    <col min="9739" max="9983" width="12" style="10"/>
    <col min="9984" max="9984" width="3.140625" style="10" customWidth="1"/>
    <col min="9985" max="9985" width="10.28515625" style="10" customWidth="1"/>
    <col min="9986" max="9986" width="66.85546875" style="10" bestFit="1" customWidth="1"/>
    <col min="9987" max="9988" width="11.7109375" style="10" customWidth="1"/>
    <col min="9989" max="9989" width="15.7109375" style="10" customWidth="1"/>
    <col min="9990" max="9993" width="11.7109375" style="10" customWidth="1"/>
    <col min="9994" max="9994" width="13.5703125" style="10" bestFit="1" customWidth="1"/>
    <col min="9995" max="10239" width="12" style="10"/>
    <col min="10240" max="10240" width="3.140625" style="10" customWidth="1"/>
    <col min="10241" max="10241" width="10.28515625" style="10" customWidth="1"/>
    <col min="10242" max="10242" width="66.85546875" style="10" bestFit="1" customWidth="1"/>
    <col min="10243" max="10244" width="11.7109375" style="10" customWidth="1"/>
    <col min="10245" max="10245" width="15.7109375" style="10" customWidth="1"/>
    <col min="10246" max="10249" width="11.7109375" style="10" customWidth="1"/>
    <col min="10250" max="10250" width="13.5703125" style="10" bestFit="1" customWidth="1"/>
    <col min="10251" max="10495" width="12" style="10"/>
    <col min="10496" max="10496" width="3.140625" style="10" customWidth="1"/>
    <col min="10497" max="10497" width="10.28515625" style="10" customWidth="1"/>
    <col min="10498" max="10498" width="66.85546875" style="10" bestFit="1" customWidth="1"/>
    <col min="10499" max="10500" width="11.7109375" style="10" customWidth="1"/>
    <col min="10501" max="10501" width="15.7109375" style="10" customWidth="1"/>
    <col min="10502" max="10505" width="11.7109375" style="10" customWidth="1"/>
    <col min="10506" max="10506" width="13.5703125" style="10" bestFit="1" customWidth="1"/>
    <col min="10507" max="10751" width="12" style="10"/>
    <col min="10752" max="10752" width="3.140625" style="10" customWidth="1"/>
    <col min="10753" max="10753" width="10.28515625" style="10" customWidth="1"/>
    <col min="10754" max="10754" width="66.85546875" style="10" bestFit="1" customWidth="1"/>
    <col min="10755" max="10756" width="11.7109375" style="10" customWidth="1"/>
    <col min="10757" max="10757" width="15.7109375" style="10" customWidth="1"/>
    <col min="10758" max="10761" width="11.7109375" style="10" customWidth="1"/>
    <col min="10762" max="10762" width="13.5703125" style="10" bestFit="1" customWidth="1"/>
    <col min="10763" max="11007" width="12" style="10"/>
    <col min="11008" max="11008" width="3.140625" style="10" customWidth="1"/>
    <col min="11009" max="11009" width="10.28515625" style="10" customWidth="1"/>
    <col min="11010" max="11010" width="66.85546875" style="10" bestFit="1" customWidth="1"/>
    <col min="11011" max="11012" width="11.7109375" style="10" customWidth="1"/>
    <col min="11013" max="11013" width="15.7109375" style="10" customWidth="1"/>
    <col min="11014" max="11017" width="11.7109375" style="10" customWidth="1"/>
    <col min="11018" max="11018" width="13.5703125" style="10" bestFit="1" customWidth="1"/>
    <col min="11019" max="11263" width="12" style="10"/>
    <col min="11264" max="11264" width="3.140625" style="10" customWidth="1"/>
    <col min="11265" max="11265" width="10.28515625" style="10" customWidth="1"/>
    <col min="11266" max="11266" width="66.85546875" style="10" bestFit="1" customWidth="1"/>
    <col min="11267" max="11268" width="11.7109375" style="10" customWidth="1"/>
    <col min="11269" max="11269" width="15.7109375" style="10" customWidth="1"/>
    <col min="11270" max="11273" width="11.7109375" style="10" customWidth="1"/>
    <col min="11274" max="11274" width="13.5703125" style="10" bestFit="1" customWidth="1"/>
    <col min="11275" max="11519" width="12" style="10"/>
    <col min="11520" max="11520" width="3.140625" style="10" customWidth="1"/>
    <col min="11521" max="11521" width="10.28515625" style="10" customWidth="1"/>
    <col min="11522" max="11522" width="66.85546875" style="10" bestFit="1" customWidth="1"/>
    <col min="11523" max="11524" width="11.7109375" style="10" customWidth="1"/>
    <col min="11525" max="11525" width="15.7109375" style="10" customWidth="1"/>
    <col min="11526" max="11529" width="11.7109375" style="10" customWidth="1"/>
    <col min="11530" max="11530" width="13.5703125" style="10" bestFit="1" customWidth="1"/>
    <col min="11531" max="11775" width="12" style="10"/>
    <col min="11776" max="11776" width="3.140625" style="10" customWidth="1"/>
    <col min="11777" max="11777" width="10.28515625" style="10" customWidth="1"/>
    <col min="11778" max="11778" width="66.85546875" style="10" bestFit="1" customWidth="1"/>
    <col min="11779" max="11780" width="11.7109375" style="10" customWidth="1"/>
    <col min="11781" max="11781" width="15.7109375" style="10" customWidth="1"/>
    <col min="11782" max="11785" width="11.7109375" style="10" customWidth="1"/>
    <col min="11786" max="11786" width="13.5703125" style="10" bestFit="1" customWidth="1"/>
    <col min="11787" max="12031" width="12" style="10"/>
    <col min="12032" max="12032" width="3.140625" style="10" customWidth="1"/>
    <col min="12033" max="12033" width="10.28515625" style="10" customWidth="1"/>
    <col min="12034" max="12034" width="66.85546875" style="10" bestFit="1" customWidth="1"/>
    <col min="12035" max="12036" width="11.7109375" style="10" customWidth="1"/>
    <col min="12037" max="12037" width="15.7109375" style="10" customWidth="1"/>
    <col min="12038" max="12041" width="11.7109375" style="10" customWidth="1"/>
    <col min="12042" max="12042" width="13.5703125" style="10" bestFit="1" customWidth="1"/>
    <col min="12043" max="12287" width="12" style="10"/>
    <col min="12288" max="12288" width="3.140625" style="10" customWidth="1"/>
    <col min="12289" max="12289" width="10.28515625" style="10" customWidth="1"/>
    <col min="12290" max="12290" width="66.85546875" style="10" bestFit="1" customWidth="1"/>
    <col min="12291" max="12292" width="11.7109375" style="10" customWidth="1"/>
    <col min="12293" max="12293" width="15.7109375" style="10" customWidth="1"/>
    <col min="12294" max="12297" width="11.7109375" style="10" customWidth="1"/>
    <col min="12298" max="12298" width="13.5703125" style="10" bestFit="1" customWidth="1"/>
    <col min="12299" max="12543" width="12" style="10"/>
    <col min="12544" max="12544" width="3.140625" style="10" customWidth="1"/>
    <col min="12545" max="12545" width="10.28515625" style="10" customWidth="1"/>
    <col min="12546" max="12546" width="66.85546875" style="10" bestFit="1" customWidth="1"/>
    <col min="12547" max="12548" width="11.7109375" style="10" customWidth="1"/>
    <col min="12549" max="12549" width="15.7109375" style="10" customWidth="1"/>
    <col min="12550" max="12553" width="11.7109375" style="10" customWidth="1"/>
    <col min="12554" max="12554" width="13.5703125" style="10" bestFit="1" customWidth="1"/>
    <col min="12555" max="12799" width="12" style="10"/>
    <col min="12800" max="12800" width="3.140625" style="10" customWidth="1"/>
    <col min="12801" max="12801" width="10.28515625" style="10" customWidth="1"/>
    <col min="12802" max="12802" width="66.85546875" style="10" bestFit="1" customWidth="1"/>
    <col min="12803" max="12804" width="11.7109375" style="10" customWidth="1"/>
    <col min="12805" max="12805" width="15.7109375" style="10" customWidth="1"/>
    <col min="12806" max="12809" width="11.7109375" style="10" customWidth="1"/>
    <col min="12810" max="12810" width="13.5703125" style="10" bestFit="1" customWidth="1"/>
    <col min="12811" max="13055" width="12" style="10"/>
    <col min="13056" max="13056" width="3.140625" style="10" customWidth="1"/>
    <col min="13057" max="13057" width="10.28515625" style="10" customWidth="1"/>
    <col min="13058" max="13058" width="66.85546875" style="10" bestFit="1" customWidth="1"/>
    <col min="13059" max="13060" width="11.7109375" style="10" customWidth="1"/>
    <col min="13061" max="13061" width="15.7109375" style="10" customWidth="1"/>
    <col min="13062" max="13065" width="11.7109375" style="10" customWidth="1"/>
    <col min="13066" max="13066" width="13.5703125" style="10" bestFit="1" customWidth="1"/>
    <col min="13067" max="13311" width="12" style="10"/>
    <col min="13312" max="13312" width="3.140625" style="10" customWidth="1"/>
    <col min="13313" max="13313" width="10.28515625" style="10" customWidth="1"/>
    <col min="13314" max="13314" width="66.85546875" style="10" bestFit="1" customWidth="1"/>
    <col min="13315" max="13316" width="11.7109375" style="10" customWidth="1"/>
    <col min="13317" max="13317" width="15.7109375" style="10" customWidth="1"/>
    <col min="13318" max="13321" width="11.7109375" style="10" customWidth="1"/>
    <col min="13322" max="13322" width="13.5703125" style="10" bestFit="1" customWidth="1"/>
    <col min="13323" max="13567" width="12" style="10"/>
    <col min="13568" max="13568" width="3.140625" style="10" customWidth="1"/>
    <col min="13569" max="13569" width="10.28515625" style="10" customWidth="1"/>
    <col min="13570" max="13570" width="66.85546875" style="10" bestFit="1" customWidth="1"/>
    <col min="13571" max="13572" width="11.7109375" style="10" customWidth="1"/>
    <col min="13573" max="13573" width="15.7109375" style="10" customWidth="1"/>
    <col min="13574" max="13577" width="11.7109375" style="10" customWidth="1"/>
    <col min="13578" max="13578" width="13.5703125" style="10" bestFit="1" customWidth="1"/>
    <col min="13579" max="13823" width="12" style="10"/>
    <col min="13824" max="13824" width="3.140625" style="10" customWidth="1"/>
    <col min="13825" max="13825" width="10.28515625" style="10" customWidth="1"/>
    <col min="13826" max="13826" width="66.85546875" style="10" bestFit="1" customWidth="1"/>
    <col min="13827" max="13828" width="11.7109375" style="10" customWidth="1"/>
    <col min="13829" max="13829" width="15.7109375" style="10" customWidth="1"/>
    <col min="13830" max="13833" width="11.7109375" style="10" customWidth="1"/>
    <col min="13834" max="13834" width="13.5703125" style="10" bestFit="1" customWidth="1"/>
    <col min="13835" max="14079" width="12" style="10"/>
    <col min="14080" max="14080" width="3.140625" style="10" customWidth="1"/>
    <col min="14081" max="14081" width="10.28515625" style="10" customWidth="1"/>
    <col min="14082" max="14082" width="66.85546875" style="10" bestFit="1" customWidth="1"/>
    <col min="14083" max="14084" width="11.7109375" style="10" customWidth="1"/>
    <col min="14085" max="14085" width="15.7109375" style="10" customWidth="1"/>
    <col min="14086" max="14089" width="11.7109375" style="10" customWidth="1"/>
    <col min="14090" max="14090" width="13.5703125" style="10" bestFit="1" customWidth="1"/>
    <col min="14091" max="14335" width="12" style="10"/>
    <col min="14336" max="14336" width="3.140625" style="10" customWidth="1"/>
    <col min="14337" max="14337" width="10.28515625" style="10" customWidth="1"/>
    <col min="14338" max="14338" width="66.85546875" style="10" bestFit="1" customWidth="1"/>
    <col min="14339" max="14340" width="11.7109375" style="10" customWidth="1"/>
    <col min="14341" max="14341" width="15.7109375" style="10" customWidth="1"/>
    <col min="14342" max="14345" width="11.7109375" style="10" customWidth="1"/>
    <col min="14346" max="14346" width="13.5703125" style="10" bestFit="1" customWidth="1"/>
    <col min="14347" max="14591" width="12" style="10"/>
    <col min="14592" max="14592" width="3.140625" style="10" customWidth="1"/>
    <col min="14593" max="14593" width="10.28515625" style="10" customWidth="1"/>
    <col min="14594" max="14594" width="66.85546875" style="10" bestFit="1" customWidth="1"/>
    <col min="14595" max="14596" width="11.7109375" style="10" customWidth="1"/>
    <col min="14597" max="14597" width="15.7109375" style="10" customWidth="1"/>
    <col min="14598" max="14601" width="11.7109375" style="10" customWidth="1"/>
    <col min="14602" max="14602" width="13.5703125" style="10" bestFit="1" customWidth="1"/>
    <col min="14603" max="14847" width="12" style="10"/>
    <col min="14848" max="14848" width="3.140625" style="10" customWidth="1"/>
    <col min="14849" max="14849" width="10.28515625" style="10" customWidth="1"/>
    <col min="14850" max="14850" width="66.85546875" style="10" bestFit="1" customWidth="1"/>
    <col min="14851" max="14852" width="11.7109375" style="10" customWidth="1"/>
    <col min="14853" max="14853" width="15.7109375" style="10" customWidth="1"/>
    <col min="14854" max="14857" width="11.7109375" style="10" customWidth="1"/>
    <col min="14858" max="14858" width="13.5703125" style="10" bestFit="1" customWidth="1"/>
    <col min="14859" max="15103" width="12" style="10"/>
    <col min="15104" max="15104" width="3.140625" style="10" customWidth="1"/>
    <col min="15105" max="15105" width="10.28515625" style="10" customWidth="1"/>
    <col min="15106" max="15106" width="66.85546875" style="10" bestFit="1" customWidth="1"/>
    <col min="15107" max="15108" width="11.7109375" style="10" customWidth="1"/>
    <col min="15109" max="15109" width="15.7109375" style="10" customWidth="1"/>
    <col min="15110" max="15113" width="11.7109375" style="10" customWidth="1"/>
    <col min="15114" max="15114" width="13.5703125" style="10" bestFit="1" customWidth="1"/>
    <col min="15115" max="15359" width="12" style="10"/>
    <col min="15360" max="15360" width="3.140625" style="10" customWidth="1"/>
    <col min="15361" max="15361" width="10.28515625" style="10" customWidth="1"/>
    <col min="15362" max="15362" width="66.85546875" style="10" bestFit="1" customWidth="1"/>
    <col min="15363" max="15364" width="11.7109375" style="10" customWidth="1"/>
    <col min="15365" max="15365" width="15.7109375" style="10" customWidth="1"/>
    <col min="15366" max="15369" width="11.7109375" style="10" customWidth="1"/>
    <col min="15370" max="15370" width="13.5703125" style="10" bestFit="1" customWidth="1"/>
    <col min="15371" max="15615" width="12" style="10"/>
    <col min="15616" max="15616" width="3.140625" style="10" customWidth="1"/>
    <col min="15617" max="15617" width="10.28515625" style="10" customWidth="1"/>
    <col min="15618" max="15618" width="66.85546875" style="10" bestFit="1" customWidth="1"/>
    <col min="15619" max="15620" width="11.7109375" style="10" customWidth="1"/>
    <col min="15621" max="15621" width="15.7109375" style="10" customWidth="1"/>
    <col min="15622" max="15625" width="11.7109375" style="10" customWidth="1"/>
    <col min="15626" max="15626" width="13.5703125" style="10" bestFit="1" customWidth="1"/>
    <col min="15627" max="15871" width="12" style="10"/>
    <col min="15872" max="15872" width="3.140625" style="10" customWidth="1"/>
    <col min="15873" max="15873" width="10.28515625" style="10" customWidth="1"/>
    <col min="15874" max="15874" width="66.85546875" style="10" bestFit="1" customWidth="1"/>
    <col min="15875" max="15876" width="11.7109375" style="10" customWidth="1"/>
    <col min="15877" max="15877" width="15.7109375" style="10" customWidth="1"/>
    <col min="15878" max="15881" width="11.7109375" style="10" customWidth="1"/>
    <col min="15882" max="15882" width="13.5703125" style="10" bestFit="1" customWidth="1"/>
    <col min="15883" max="16127" width="12" style="10"/>
    <col min="16128" max="16128" width="3.140625" style="10" customWidth="1"/>
    <col min="16129" max="16129" width="10.28515625" style="10" customWidth="1"/>
    <col min="16130" max="16130" width="66.85546875" style="10" bestFit="1" customWidth="1"/>
    <col min="16131" max="16132" width="11.7109375" style="10" customWidth="1"/>
    <col min="16133" max="16133" width="15.7109375" style="10" customWidth="1"/>
    <col min="16134" max="16137" width="11.7109375" style="10" customWidth="1"/>
    <col min="16138" max="16138" width="13.5703125" style="10" bestFit="1" customWidth="1"/>
    <col min="16139" max="16384" width="12" style="10"/>
  </cols>
  <sheetData>
    <row r="1" spans="1:250" x14ac:dyDescent="0.3">
      <c r="A1" s="137"/>
      <c r="B1" s="349" t="s">
        <v>572</v>
      </c>
      <c r="C1" s="349"/>
      <c r="D1" s="128"/>
      <c r="E1" s="129"/>
      <c r="F1" s="231"/>
      <c r="G1" s="202"/>
      <c r="H1" s="139"/>
      <c r="I1" s="130"/>
      <c r="J1" s="203"/>
      <c r="K1" s="108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</row>
    <row r="2" spans="1:250" x14ac:dyDescent="0.3">
      <c r="A2" s="108"/>
      <c r="B2" s="30" t="s">
        <v>573</v>
      </c>
      <c r="C2" s="30"/>
      <c r="D2" s="46"/>
      <c r="E2" s="33"/>
      <c r="F2" s="225"/>
      <c r="G2" s="37"/>
      <c r="H2" s="32"/>
      <c r="I2" s="34"/>
      <c r="J2" s="35"/>
      <c r="K2" s="108"/>
    </row>
    <row r="3" spans="1:250" x14ac:dyDescent="0.3">
      <c r="A3" s="108"/>
      <c r="B3" s="36"/>
      <c r="C3" s="31"/>
      <c r="D3" s="46"/>
      <c r="E3" s="33"/>
      <c r="F3" s="225"/>
      <c r="G3" s="37"/>
      <c r="H3" s="31"/>
      <c r="I3" s="34"/>
      <c r="J3" s="35"/>
      <c r="K3" s="108"/>
    </row>
    <row r="4" spans="1:250" x14ac:dyDescent="0.3">
      <c r="A4" s="108"/>
      <c r="B4" s="36"/>
      <c r="C4" s="31"/>
      <c r="D4" s="46"/>
      <c r="E4" s="33"/>
      <c r="F4" s="225"/>
      <c r="G4" s="37"/>
      <c r="H4" s="31"/>
      <c r="I4" s="34"/>
      <c r="J4" s="35"/>
      <c r="K4" s="108"/>
    </row>
    <row r="5" spans="1:250" x14ac:dyDescent="0.3">
      <c r="A5" s="108"/>
      <c r="B5" s="36"/>
      <c r="C5" s="31"/>
      <c r="D5" s="46"/>
      <c r="E5" s="33"/>
      <c r="F5" s="225"/>
      <c r="G5" s="37"/>
      <c r="H5" s="31"/>
      <c r="I5" s="34"/>
      <c r="J5" s="35"/>
      <c r="K5" s="108"/>
    </row>
    <row r="6" spans="1:250" s="15" customFormat="1" ht="25.9" customHeight="1" x14ac:dyDescent="0.25">
      <c r="A6" s="148"/>
      <c r="B6" s="398" t="s">
        <v>14754</v>
      </c>
      <c r="C6" s="399"/>
      <c r="D6" s="399"/>
      <c r="E6" s="399"/>
      <c r="F6" s="399"/>
      <c r="G6" s="399"/>
      <c r="H6" s="399"/>
      <c r="I6" s="399"/>
      <c r="J6" s="400"/>
      <c r="K6" s="148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</row>
    <row r="7" spans="1:250" s="16" customFormat="1" ht="18" customHeight="1" x14ac:dyDescent="0.25">
      <c r="A7" s="110"/>
      <c r="B7" s="197" t="s">
        <v>14758</v>
      </c>
      <c r="C7" s="198"/>
      <c r="D7" s="199">
        <f>D9+D13+D17</f>
        <v>0</v>
      </c>
      <c r="E7" s="401"/>
      <c r="F7" s="402"/>
      <c r="G7" s="402"/>
      <c r="H7" s="403"/>
      <c r="I7" s="200">
        <f>I9+I13+I17</f>
        <v>0</v>
      </c>
      <c r="J7" s="201">
        <f>SUBTOTAL(9,J9:J23)</f>
        <v>0</v>
      </c>
      <c r="K7" s="110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</row>
    <row r="8" spans="1:250" s="15" customFormat="1" x14ac:dyDescent="0.25">
      <c r="A8" s="148"/>
      <c r="B8" s="52" t="s">
        <v>2</v>
      </c>
      <c r="C8" s="53" t="s">
        <v>3</v>
      </c>
      <c r="D8" s="54" t="s">
        <v>0</v>
      </c>
      <c r="E8" s="55" t="s">
        <v>888</v>
      </c>
      <c r="F8" s="54" t="s">
        <v>891</v>
      </c>
      <c r="G8" s="56" t="s">
        <v>10</v>
      </c>
      <c r="H8" s="56" t="s">
        <v>4</v>
      </c>
      <c r="I8" s="57" t="s">
        <v>6</v>
      </c>
      <c r="J8" s="59" t="s">
        <v>9</v>
      </c>
      <c r="K8" s="148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  <c r="BJ8" s="213"/>
      <c r="BK8" s="213"/>
      <c r="BL8" s="213"/>
      <c r="BM8" s="213"/>
      <c r="BN8" s="213"/>
      <c r="BO8" s="213"/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13"/>
      <c r="CA8" s="213"/>
      <c r="CB8" s="213"/>
      <c r="CC8" s="213"/>
      <c r="CD8" s="213"/>
      <c r="CE8" s="213"/>
      <c r="CF8" s="213"/>
      <c r="CG8" s="213"/>
      <c r="CH8" s="213"/>
    </row>
    <row r="9" spans="1:250" s="15" customFormat="1" x14ac:dyDescent="0.25">
      <c r="A9" s="148"/>
      <c r="B9" s="60" t="s">
        <v>14756</v>
      </c>
      <c r="C9" s="61"/>
      <c r="D9" s="62">
        <f>SUM(D10:D12)</f>
        <v>0</v>
      </c>
      <c r="E9" s="61"/>
      <c r="F9" s="61"/>
      <c r="G9" s="61"/>
      <c r="H9" s="81">
        <v>36</v>
      </c>
      <c r="I9" s="94">
        <f>SUM(I10:I12)</f>
        <v>0</v>
      </c>
      <c r="J9" s="81"/>
      <c r="K9" s="148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213"/>
      <c r="BU9" s="213"/>
      <c r="BV9" s="213"/>
      <c r="BW9" s="213"/>
      <c r="BX9" s="213"/>
      <c r="BY9" s="213"/>
      <c r="BZ9" s="213"/>
      <c r="CA9" s="213"/>
      <c r="CB9" s="213"/>
      <c r="CC9" s="213"/>
      <c r="CD9" s="213"/>
      <c r="CE9" s="213"/>
      <c r="CF9" s="213"/>
      <c r="CG9" s="213"/>
      <c r="CH9" s="213"/>
    </row>
    <row r="10" spans="1:250" s="15" customFormat="1" x14ac:dyDescent="0.25">
      <c r="A10" s="148"/>
      <c r="B10" s="68">
        <v>501140</v>
      </c>
      <c r="C10" s="65" t="s">
        <v>14645</v>
      </c>
      <c r="D10" s="196"/>
      <c r="E10" s="66">
        <v>3.6</v>
      </c>
      <c r="F10" s="226" t="str">
        <f>VLOOKUP(B10,EAN,3,0)</f>
        <v>8435057014021</v>
      </c>
      <c r="G10" s="64" t="s">
        <v>11</v>
      </c>
      <c r="H10" s="64">
        <v>36</v>
      </c>
      <c r="I10" s="95">
        <f t="shared" ref="I10:I12" si="0">D10/H10</f>
        <v>0</v>
      </c>
      <c r="J10" s="66">
        <f t="shared" ref="J10:J12" si="1">D10*E10</f>
        <v>0</v>
      </c>
      <c r="K10" s="148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  <c r="CE10" s="213"/>
      <c r="CF10" s="213"/>
      <c r="CG10" s="213"/>
      <c r="CH10" s="213"/>
    </row>
    <row r="11" spans="1:250" s="15" customFormat="1" x14ac:dyDescent="0.25">
      <c r="A11" s="148"/>
      <c r="B11" s="68">
        <v>501141</v>
      </c>
      <c r="C11" s="65" t="s">
        <v>14646</v>
      </c>
      <c r="D11" s="196"/>
      <c r="E11" s="66">
        <v>3.6</v>
      </c>
      <c r="F11" s="226" t="str">
        <f>VLOOKUP(B11,EAN,3,0)</f>
        <v>8435057014038</v>
      </c>
      <c r="G11" s="64" t="s">
        <v>11</v>
      </c>
      <c r="H11" s="64">
        <v>36</v>
      </c>
      <c r="I11" s="95">
        <f t="shared" si="0"/>
        <v>0</v>
      </c>
      <c r="J11" s="66">
        <f t="shared" si="1"/>
        <v>0</v>
      </c>
      <c r="K11" s="148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</row>
    <row r="12" spans="1:250" s="15" customFormat="1" x14ac:dyDescent="0.25">
      <c r="A12" s="148"/>
      <c r="B12" s="68">
        <v>501142</v>
      </c>
      <c r="C12" s="65" t="s">
        <v>14647</v>
      </c>
      <c r="D12" s="196"/>
      <c r="E12" s="66">
        <v>3.6</v>
      </c>
      <c r="F12" s="226" t="str">
        <f>VLOOKUP(B12,EAN,3,0)</f>
        <v>8435057014045</v>
      </c>
      <c r="G12" s="64" t="s">
        <v>11</v>
      </c>
      <c r="H12" s="64">
        <v>36</v>
      </c>
      <c r="I12" s="95">
        <f t="shared" si="0"/>
        <v>0</v>
      </c>
      <c r="J12" s="66">
        <f t="shared" si="1"/>
        <v>0</v>
      </c>
      <c r="K12" s="148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3"/>
      <c r="CF12" s="213"/>
      <c r="CG12" s="213"/>
      <c r="CH12" s="213"/>
    </row>
    <row r="13" spans="1:250" x14ac:dyDescent="0.25">
      <c r="A13" s="151"/>
      <c r="B13" s="60" t="s">
        <v>574</v>
      </c>
      <c r="C13" s="61"/>
      <c r="D13" s="62">
        <f>SUM(D14:D16)</f>
        <v>0</v>
      </c>
      <c r="E13" s="61"/>
      <c r="F13" s="61"/>
      <c r="G13" s="61"/>
      <c r="H13" s="81">
        <v>36</v>
      </c>
      <c r="I13" s="94">
        <f>D13/H13</f>
        <v>0</v>
      </c>
      <c r="J13" s="236"/>
      <c r="L13" s="213"/>
    </row>
    <row r="14" spans="1:250" x14ac:dyDescent="0.25">
      <c r="A14" s="151"/>
      <c r="B14" s="68">
        <v>512183</v>
      </c>
      <c r="C14" s="235" t="s">
        <v>14671</v>
      </c>
      <c r="D14" s="196"/>
      <c r="E14" s="66">
        <v>3.5</v>
      </c>
      <c r="F14" s="226" t="str">
        <f>VLOOKUP(B14,EAN,3,0)</f>
        <v>8435057014694</v>
      </c>
      <c r="G14" s="64" t="s">
        <v>11</v>
      </c>
      <c r="H14" s="64">
        <v>36</v>
      </c>
      <c r="I14" s="189">
        <f t="shared" ref="I14" si="2">D14/H14</f>
        <v>0</v>
      </c>
      <c r="J14" s="66">
        <f t="shared" ref="J14" si="3">D14*E14</f>
        <v>0</v>
      </c>
      <c r="L14" s="213"/>
    </row>
    <row r="15" spans="1:250" x14ac:dyDescent="0.25">
      <c r="A15" s="151"/>
      <c r="B15" s="68">
        <v>512184</v>
      </c>
      <c r="C15" s="235" t="s">
        <v>14672</v>
      </c>
      <c r="D15" s="196"/>
      <c r="E15" s="66">
        <v>3.5</v>
      </c>
      <c r="F15" s="226" t="str">
        <f>VLOOKUP(B15,EAN,3,0)</f>
        <v>8435057014700</v>
      </c>
      <c r="G15" s="64" t="s">
        <v>11</v>
      </c>
      <c r="H15" s="64">
        <v>36</v>
      </c>
      <c r="I15" s="189">
        <f t="shared" ref="I15:I16" si="4">D15/H15</f>
        <v>0</v>
      </c>
      <c r="J15" s="66">
        <f t="shared" ref="J15:J16" si="5">D15*E15</f>
        <v>0</v>
      </c>
      <c r="L15" s="213"/>
    </row>
    <row r="16" spans="1:250" x14ac:dyDescent="0.25">
      <c r="A16" s="151"/>
      <c r="B16" s="68">
        <v>512185</v>
      </c>
      <c r="C16" s="235" t="s">
        <v>14673</v>
      </c>
      <c r="D16" s="196"/>
      <c r="E16" s="66">
        <v>3.5</v>
      </c>
      <c r="F16" s="226" t="str">
        <f>VLOOKUP(B16,EAN,3,0)</f>
        <v>8435057014717</v>
      </c>
      <c r="G16" s="64" t="s">
        <v>11</v>
      </c>
      <c r="H16" s="64">
        <v>36</v>
      </c>
      <c r="I16" s="189">
        <f t="shared" si="4"/>
        <v>0</v>
      </c>
      <c r="J16" s="66">
        <f t="shared" si="5"/>
        <v>0</v>
      </c>
      <c r="L16" s="213"/>
    </row>
    <row r="17" spans="1:12" x14ac:dyDescent="0.25">
      <c r="A17" s="151"/>
      <c r="B17" s="60" t="s">
        <v>582</v>
      </c>
      <c r="C17" s="61"/>
      <c r="D17" s="62">
        <f>SUM(D18:D23)</f>
        <v>0</v>
      </c>
      <c r="E17" s="61"/>
      <c r="F17" s="61"/>
      <c r="G17" s="61"/>
      <c r="H17" s="81"/>
      <c r="I17" s="94">
        <f>SUM(I18:I19)</f>
        <v>0</v>
      </c>
      <c r="J17" s="63"/>
      <c r="L17" s="213"/>
    </row>
    <row r="18" spans="1:12" x14ac:dyDescent="0.25">
      <c r="A18" s="151"/>
      <c r="B18" s="68">
        <v>510142</v>
      </c>
      <c r="C18" s="65" t="s">
        <v>14667</v>
      </c>
      <c r="D18" s="196"/>
      <c r="E18" s="66">
        <v>4</v>
      </c>
      <c r="F18" s="226" t="s">
        <v>11106</v>
      </c>
      <c r="G18" s="64" t="s">
        <v>43</v>
      </c>
      <c r="H18" s="64">
        <v>6</v>
      </c>
      <c r="I18" s="189">
        <f>D18/H18</f>
        <v>0</v>
      </c>
      <c r="J18" s="66">
        <f t="shared" ref="J18:J19" si="6">D18*E18</f>
        <v>0</v>
      </c>
      <c r="L18" s="213"/>
    </row>
    <row r="19" spans="1:12" x14ac:dyDescent="0.25">
      <c r="A19" s="151"/>
      <c r="B19" s="68">
        <v>510161</v>
      </c>
      <c r="C19" s="65" t="s">
        <v>14666</v>
      </c>
      <c r="D19" s="196"/>
      <c r="E19" s="66">
        <v>4.5</v>
      </c>
      <c r="F19" s="66" t="str">
        <f>VLOOKUP(B19,EAN,3,0)</f>
        <v>8435057006958</v>
      </c>
      <c r="G19" s="64" t="s">
        <v>40</v>
      </c>
      <c r="H19" s="64">
        <v>6</v>
      </c>
      <c r="I19" s="189">
        <f t="shared" ref="I19" si="7">D19/H19</f>
        <v>0</v>
      </c>
      <c r="J19" s="66">
        <f t="shared" si="6"/>
        <v>0</v>
      </c>
      <c r="L19" s="213"/>
    </row>
    <row r="20" spans="1:12" x14ac:dyDescent="0.25">
      <c r="A20" s="151"/>
      <c r="B20" s="68">
        <v>510170</v>
      </c>
      <c r="C20" s="65" t="s">
        <v>14943</v>
      </c>
      <c r="D20" s="196"/>
      <c r="E20" s="66">
        <v>14.7</v>
      </c>
      <c r="F20" s="66" t="s">
        <v>11162</v>
      </c>
      <c r="G20" s="64" t="s">
        <v>44</v>
      </c>
      <c r="H20" s="64">
        <v>6</v>
      </c>
      <c r="I20" s="189">
        <f t="shared" ref="I20:I23" si="8">D20/H20</f>
        <v>0</v>
      </c>
      <c r="J20" s="66">
        <f t="shared" ref="J20:J23" si="9">D20*E20</f>
        <v>0</v>
      </c>
      <c r="L20" s="213"/>
    </row>
    <row r="21" spans="1:12" x14ac:dyDescent="0.25">
      <c r="A21" s="151"/>
      <c r="B21" s="68">
        <v>510175</v>
      </c>
      <c r="C21" s="65" t="s">
        <v>45</v>
      </c>
      <c r="D21" s="196"/>
      <c r="E21" s="66">
        <v>4.5</v>
      </c>
      <c r="F21" s="66" t="s">
        <v>11172</v>
      </c>
      <c r="G21" s="64" t="s">
        <v>43</v>
      </c>
      <c r="H21" s="64">
        <v>6</v>
      </c>
      <c r="I21" s="189">
        <f t="shared" si="8"/>
        <v>0</v>
      </c>
      <c r="J21" s="66">
        <f t="shared" si="9"/>
        <v>0</v>
      </c>
      <c r="L21" s="213"/>
    </row>
    <row r="22" spans="1:12" x14ac:dyDescent="0.25">
      <c r="A22" s="151"/>
      <c r="B22" s="68">
        <v>510179</v>
      </c>
      <c r="C22" s="65" t="s">
        <v>46</v>
      </c>
      <c r="D22" s="196"/>
      <c r="E22" s="66">
        <v>4.5</v>
      </c>
      <c r="F22" s="66" t="s">
        <v>11180</v>
      </c>
      <c r="G22" s="64" t="s">
        <v>43</v>
      </c>
      <c r="H22" s="64">
        <v>6</v>
      </c>
      <c r="I22" s="189">
        <f t="shared" si="8"/>
        <v>0</v>
      </c>
      <c r="J22" s="66">
        <f t="shared" si="9"/>
        <v>0</v>
      </c>
      <c r="L22" s="213"/>
    </row>
    <row r="23" spans="1:12" x14ac:dyDescent="0.25">
      <c r="A23" s="151"/>
      <c r="B23" s="68">
        <v>510332</v>
      </c>
      <c r="C23" s="65" t="s">
        <v>14664</v>
      </c>
      <c r="D23" s="196"/>
      <c r="E23" s="66">
        <v>2.8</v>
      </c>
      <c r="F23" s="66" t="s">
        <v>11371</v>
      </c>
      <c r="G23" s="64" t="s">
        <v>47</v>
      </c>
      <c r="H23" s="64">
        <v>6</v>
      </c>
      <c r="I23" s="189">
        <f t="shared" si="8"/>
        <v>0</v>
      </c>
      <c r="J23" s="66">
        <f t="shared" si="9"/>
        <v>0</v>
      </c>
      <c r="L23" s="213"/>
    </row>
    <row r="24" spans="1:12" s="151" customFormat="1" x14ac:dyDescent="0.25">
      <c r="B24" s="278" t="s">
        <v>14755</v>
      </c>
      <c r="C24" s="278"/>
      <c r="D24" s="209"/>
      <c r="E24" s="210"/>
      <c r="F24" s="228"/>
      <c r="G24" s="230"/>
      <c r="I24" s="211"/>
      <c r="J24" s="212"/>
    </row>
    <row r="25" spans="1:12" s="151" customFormat="1" x14ac:dyDescent="0.25">
      <c r="B25" s="215"/>
      <c r="D25" s="209"/>
      <c r="E25" s="210"/>
      <c r="F25" s="232"/>
      <c r="G25" s="209"/>
      <c r="I25" s="211"/>
      <c r="J25" s="212"/>
    </row>
    <row r="26" spans="1:12" s="151" customFormat="1" x14ac:dyDescent="0.25">
      <c r="B26" s="215"/>
      <c r="D26" s="209"/>
      <c r="E26" s="210"/>
      <c r="F26" s="232"/>
      <c r="G26" s="209"/>
      <c r="I26" s="211"/>
      <c r="J26" s="212"/>
    </row>
    <row r="27" spans="1:12" s="151" customFormat="1" x14ac:dyDescent="0.25">
      <c r="B27" s="215"/>
      <c r="D27" s="209"/>
      <c r="E27" s="210"/>
      <c r="F27" s="232"/>
      <c r="G27" s="209"/>
      <c r="I27" s="211"/>
      <c r="J27" s="212"/>
    </row>
    <row r="28" spans="1:12" s="151" customFormat="1" x14ac:dyDescent="0.25">
      <c r="B28" s="215"/>
      <c r="D28" s="209"/>
      <c r="E28" s="210"/>
      <c r="F28" s="232"/>
      <c r="G28" s="209"/>
      <c r="I28" s="211"/>
      <c r="J28" s="212"/>
    </row>
    <row r="29" spans="1:12" s="151" customFormat="1" x14ac:dyDescent="0.25">
      <c r="B29" s="215"/>
      <c r="D29" s="209"/>
      <c r="E29" s="210"/>
      <c r="F29" s="232"/>
      <c r="G29" s="209"/>
      <c r="I29" s="211"/>
      <c r="J29" s="212"/>
    </row>
    <row r="30" spans="1:12" s="151" customFormat="1" x14ac:dyDescent="0.25">
      <c r="B30" s="215"/>
      <c r="D30" s="209"/>
      <c r="E30" s="210"/>
      <c r="F30" s="232"/>
      <c r="G30" s="209"/>
      <c r="I30" s="211"/>
      <c r="J30" s="212"/>
    </row>
    <row r="31" spans="1:12" s="151" customFormat="1" x14ac:dyDescent="0.25">
      <c r="B31" s="215"/>
      <c r="D31" s="209"/>
      <c r="E31" s="210"/>
      <c r="F31" s="232"/>
      <c r="G31" s="209"/>
      <c r="I31" s="211"/>
      <c r="J31" s="212"/>
    </row>
    <row r="32" spans="1:12" s="151" customFormat="1" x14ac:dyDescent="0.25">
      <c r="B32" s="215"/>
      <c r="D32" s="209"/>
      <c r="E32" s="210"/>
      <c r="F32" s="232"/>
      <c r="G32" s="209"/>
      <c r="I32" s="211"/>
      <c r="J32" s="212"/>
    </row>
    <row r="33" spans="2:10" s="151" customFormat="1" x14ac:dyDescent="0.25">
      <c r="B33" s="215"/>
      <c r="D33" s="209"/>
      <c r="E33" s="210"/>
      <c r="F33" s="232"/>
      <c r="G33" s="209"/>
      <c r="I33" s="211"/>
      <c r="J33" s="212"/>
    </row>
    <row r="34" spans="2:10" s="151" customFormat="1" x14ac:dyDescent="0.25">
      <c r="B34" s="215"/>
      <c r="D34" s="209"/>
      <c r="E34" s="210"/>
      <c r="F34" s="232"/>
      <c r="G34" s="209"/>
      <c r="I34" s="211"/>
      <c r="J34" s="212"/>
    </row>
    <row r="35" spans="2:10" s="151" customFormat="1" x14ac:dyDescent="0.25">
      <c r="B35" s="215"/>
      <c r="D35" s="209"/>
      <c r="E35" s="210"/>
      <c r="F35" s="232"/>
      <c r="G35" s="209"/>
      <c r="I35" s="211"/>
      <c r="J35" s="212"/>
    </row>
    <row r="36" spans="2:10" s="151" customFormat="1" x14ac:dyDescent="0.25">
      <c r="B36" s="215"/>
      <c r="D36" s="209"/>
      <c r="E36" s="210"/>
      <c r="F36" s="232"/>
      <c r="G36" s="209"/>
      <c r="I36" s="211"/>
      <c r="J36" s="212"/>
    </row>
    <row r="37" spans="2:10" s="151" customFormat="1" x14ac:dyDescent="0.25">
      <c r="B37" s="215"/>
      <c r="D37" s="209"/>
      <c r="E37" s="210"/>
      <c r="F37" s="232"/>
      <c r="G37" s="209"/>
      <c r="I37" s="211"/>
      <c r="J37" s="212"/>
    </row>
    <row r="38" spans="2:10" s="151" customFormat="1" x14ac:dyDescent="0.25">
      <c r="B38" s="215"/>
      <c r="D38" s="209"/>
      <c r="E38" s="210"/>
      <c r="F38" s="232"/>
      <c r="G38" s="209"/>
      <c r="I38" s="211"/>
      <c r="J38" s="212"/>
    </row>
    <row r="39" spans="2:10" s="151" customFormat="1" x14ac:dyDescent="0.25">
      <c r="B39" s="215"/>
      <c r="D39" s="209"/>
      <c r="E39" s="210"/>
      <c r="F39" s="232"/>
      <c r="G39" s="209"/>
      <c r="I39" s="211"/>
      <c r="J39" s="212"/>
    </row>
    <row r="40" spans="2:10" s="151" customFormat="1" x14ac:dyDescent="0.25">
      <c r="B40" s="215"/>
      <c r="D40" s="209"/>
      <c r="E40" s="210"/>
      <c r="F40" s="232"/>
      <c r="G40" s="209"/>
      <c r="I40" s="211"/>
      <c r="J40" s="212"/>
    </row>
    <row r="41" spans="2:10" s="151" customFormat="1" x14ac:dyDescent="0.25">
      <c r="B41" s="215"/>
      <c r="D41" s="209"/>
      <c r="E41" s="210"/>
      <c r="F41" s="232"/>
      <c r="G41" s="209"/>
      <c r="I41" s="211"/>
      <c r="J41" s="212"/>
    </row>
    <row r="42" spans="2:10" s="151" customFormat="1" x14ac:dyDescent="0.25">
      <c r="B42" s="215"/>
      <c r="D42" s="209"/>
      <c r="E42" s="210"/>
      <c r="F42" s="232"/>
      <c r="G42" s="209"/>
      <c r="I42" s="211"/>
      <c r="J42" s="212"/>
    </row>
    <row r="43" spans="2:10" s="151" customFormat="1" x14ac:dyDescent="0.25">
      <c r="B43" s="215"/>
      <c r="D43" s="209"/>
      <c r="E43" s="210"/>
      <c r="F43" s="232"/>
      <c r="G43" s="209"/>
      <c r="I43" s="211"/>
      <c r="J43" s="212"/>
    </row>
    <row r="44" spans="2:10" s="151" customFormat="1" x14ac:dyDescent="0.25">
      <c r="B44" s="215"/>
      <c r="D44" s="209"/>
      <c r="E44" s="210"/>
      <c r="F44" s="232"/>
      <c r="G44" s="209"/>
      <c r="I44" s="211"/>
      <c r="J44" s="212"/>
    </row>
    <row r="45" spans="2:10" s="151" customFormat="1" x14ac:dyDescent="0.25">
      <c r="B45" s="215"/>
      <c r="D45" s="209"/>
      <c r="E45" s="210"/>
      <c r="F45" s="232"/>
      <c r="G45" s="209"/>
      <c r="I45" s="211"/>
      <c r="J45" s="212"/>
    </row>
    <row r="46" spans="2:10" s="151" customFormat="1" x14ac:dyDescent="0.25">
      <c r="B46" s="215"/>
      <c r="D46" s="209"/>
      <c r="E46" s="210"/>
      <c r="F46" s="232"/>
      <c r="G46" s="209"/>
      <c r="I46" s="211"/>
      <c r="J46" s="212"/>
    </row>
    <row r="47" spans="2:10" s="151" customFormat="1" x14ac:dyDescent="0.25">
      <c r="B47" s="215"/>
      <c r="D47" s="209"/>
      <c r="E47" s="210"/>
      <c r="F47" s="232"/>
      <c r="G47" s="209"/>
      <c r="I47" s="211"/>
      <c r="J47" s="212"/>
    </row>
    <row r="48" spans="2:10" s="151" customFormat="1" x14ac:dyDescent="0.25">
      <c r="B48" s="215"/>
      <c r="D48" s="209"/>
      <c r="E48" s="210"/>
      <c r="F48" s="232"/>
      <c r="G48" s="209"/>
      <c r="I48" s="211"/>
      <c r="J48" s="212"/>
    </row>
    <row r="49" spans="2:10" s="151" customFormat="1" x14ac:dyDescent="0.25">
      <c r="B49" s="215"/>
      <c r="D49" s="209"/>
      <c r="E49" s="210"/>
      <c r="F49" s="232"/>
      <c r="G49" s="209"/>
      <c r="I49" s="211"/>
      <c r="J49" s="212"/>
    </row>
    <row r="50" spans="2:10" s="151" customFormat="1" x14ac:dyDescent="0.25">
      <c r="B50" s="215"/>
      <c r="D50" s="209"/>
      <c r="E50" s="210"/>
      <c r="F50" s="232"/>
      <c r="G50" s="209"/>
      <c r="I50" s="211"/>
      <c r="J50" s="212"/>
    </row>
    <row r="51" spans="2:10" s="151" customFormat="1" x14ac:dyDescent="0.25">
      <c r="B51" s="215"/>
      <c r="D51" s="209"/>
      <c r="E51" s="210"/>
      <c r="F51" s="232"/>
      <c r="G51" s="209"/>
      <c r="I51" s="211"/>
      <c r="J51" s="212"/>
    </row>
    <row r="52" spans="2:10" s="151" customFormat="1" x14ac:dyDescent="0.25">
      <c r="B52" s="215"/>
      <c r="D52" s="209"/>
      <c r="E52" s="210"/>
      <c r="F52" s="232"/>
      <c r="G52" s="209"/>
      <c r="I52" s="211"/>
      <c r="J52" s="212"/>
    </row>
    <row r="53" spans="2:10" s="151" customFormat="1" x14ac:dyDescent="0.25">
      <c r="B53" s="215"/>
      <c r="D53" s="209"/>
      <c r="E53" s="210"/>
      <c r="F53" s="232"/>
      <c r="G53" s="209"/>
      <c r="I53" s="211"/>
      <c r="J53" s="212"/>
    </row>
    <row r="54" spans="2:10" s="151" customFormat="1" x14ac:dyDescent="0.25">
      <c r="B54" s="215"/>
      <c r="D54" s="209"/>
      <c r="E54" s="210"/>
      <c r="F54" s="232"/>
      <c r="G54" s="209"/>
      <c r="I54" s="211"/>
      <c r="J54" s="212"/>
    </row>
    <row r="55" spans="2:10" s="151" customFormat="1" x14ac:dyDescent="0.25">
      <c r="B55" s="215"/>
      <c r="D55" s="209"/>
      <c r="E55" s="210"/>
      <c r="F55" s="232"/>
      <c r="G55" s="209"/>
      <c r="I55" s="211"/>
      <c r="J55" s="212"/>
    </row>
    <row r="56" spans="2:10" s="151" customFormat="1" x14ac:dyDescent="0.25">
      <c r="B56" s="215"/>
      <c r="D56" s="209"/>
      <c r="E56" s="210"/>
      <c r="F56" s="232"/>
      <c r="G56" s="209"/>
      <c r="I56" s="211"/>
      <c r="J56" s="212"/>
    </row>
    <row r="57" spans="2:10" s="151" customFormat="1" x14ac:dyDescent="0.25">
      <c r="B57" s="215"/>
      <c r="D57" s="209"/>
      <c r="E57" s="210"/>
      <c r="F57" s="232"/>
      <c r="G57" s="209"/>
      <c r="I57" s="211"/>
      <c r="J57" s="212"/>
    </row>
    <row r="58" spans="2:10" s="151" customFormat="1" x14ac:dyDescent="0.25">
      <c r="B58" s="215"/>
      <c r="D58" s="209"/>
      <c r="E58" s="210"/>
      <c r="F58" s="232"/>
      <c r="G58" s="209"/>
      <c r="I58" s="211"/>
      <c r="J58" s="212"/>
    </row>
    <row r="59" spans="2:10" s="151" customFormat="1" x14ac:dyDescent="0.25">
      <c r="B59" s="215"/>
      <c r="D59" s="209"/>
      <c r="E59" s="210"/>
      <c r="F59" s="232"/>
      <c r="G59" s="209"/>
      <c r="I59" s="211"/>
      <c r="J59" s="212"/>
    </row>
    <row r="60" spans="2:10" s="151" customFormat="1" x14ac:dyDescent="0.25">
      <c r="B60" s="215"/>
      <c r="D60" s="209"/>
      <c r="E60" s="210"/>
      <c r="F60" s="232"/>
      <c r="G60" s="209"/>
      <c r="I60" s="211"/>
      <c r="J60" s="212"/>
    </row>
    <row r="61" spans="2:10" s="151" customFormat="1" x14ac:dyDescent="0.25">
      <c r="B61" s="215"/>
      <c r="D61" s="209"/>
      <c r="E61" s="210"/>
      <c r="F61" s="232"/>
      <c r="G61" s="209"/>
      <c r="I61" s="211"/>
      <c r="J61" s="212"/>
    </row>
    <row r="62" spans="2:10" s="151" customFormat="1" x14ac:dyDescent="0.25">
      <c r="B62" s="215"/>
      <c r="D62" s="209"/>
      <c r="E62" s="210"/>
      <c r="F62" s="232"/>
      <c r="G62" s="209"/>
      <c r="I62" s="211"/>
      <c r="J62" s="212"/>
    </row>
    <row r="63" spans="2:10" s="151" customFormat="1" x14ac:dyDescent="0.25">
      <c r="B63" s="215"/>
      <c r="D63" s="209"/>
      <c r="E63" s="210"/>
      <c r="F63" s="232"/>
      <c r="G63" s="209"/>
      <c r="I63" s="211"/>
      <c r="J63" s="212"/>
    </row>
    <row r="64" spans="2:10" s="151" customFormat="1" x14ac:dyDescent="0.25">
      <c r="B64" s="215"/>
      <c r="D64" s="209"/>
      <c r="E64" s="210"/>
      <c r="F64" s="232"/>
      <c r="G64" s="209"/>
      <c r="I64" s="211"/>
      <c r="J64" s="212"/>
    </row>
    <row r="65" spans="2:10" s="151" customFormat="1" x14ac:dyDescent="0.25">
      <c r="B65" s="215"/>
      <c r="D65" s="209"/>
      <c r="E65" s="210"/>
      <c r="F65" s="232"/>
      <c r="G65" s="209"/>
      <c r="I65" s="211"/>
      <c r="J65" s="212"/>
    </row>
    <row r="66" spans="2:10" s="151" customFormat="1" x14ac:dyDescent="0.25">
      <c r="B66" s="215"/>
      <c r="D66" s="209"/>
      <c r="E66" s="210"/>
      <c r="F66" s="232"/>
      <c r="G66" s="209"/>
      <c r="I66" s="211"/>
      <c r="J66" s="212"/>
    </row>
    <row r="67" spans="2:10" s="151" customFormat="1" x14ac:dyDescent="0.25">
      <c r="B67" s="215"/>
      <c r="D67" s="209"/>
      <c r="E67" s="210"/>
      <c r="F67" s="232"/>
      <c r="G67" s="209"/>
      <c r="I67" s="211"/>
      <c r="J67" s="212"/>
    </row>
    <row r="68" spans="2:10" s="151" customFormat="1" x14ac:dyDescent="0.25">
      <c r="B68" s="215"/>
      <c r="D68" s="209"/>
      <c r="E68" s="210"/>
      <c r="F68" s="232"/>
      <c r="G68" s="209"/>
      <c r="I68" s="211"/>
      <c r="J68" s="212"/>
    </row>
    <row r="69" spans="2:10" s="151" customFormat="1" x14ac:dyDescent="0.25">
      <c r="B69" s="215"/>
      <c r="D69" s="209"/>
      <c r="E69" s="210"/>
      <c r="F69" s="232"/>
      <c r="G69" s="209"/>
      <c r="I69" s="211"/>
      <c r="J69" s="212"/>
    </row>
    <row r="70" spans="2:10" s="151" customFormat="1" x14ac:dyDescent="0.25">
      <c r="B70" s="215"/>
      <c r="D70" s="209"/>
      <c r="E70" s="210"/>
      <c r="F70" s="232"/>
      <c r="G70" s="209"/>
      <c r="I70" s="211"/>
      <c r="J70" s="212"/>
    </row>
    <row r="71" spans="2:10" s="151" customFormat="1" x14ac:dyDescent="0.25">
      <c r="B71" s="215"/>
      <c r="D71" s="209"/>
      <c r="E71" s="210"/>
      <c r="F71" s="232"/>
      <c r="G71" s="209"/>
      <c r="I71" s="211"/>
      <c r="J71" s="212"/>
    </row>
    <row r="72" spans="2:10" s="151" customFormat="1" x14ac:dyDescent="0.25">
      <c r="B72" s="215"/>
      <c r="D72" s="209"/>
      <c r="E72" s="210"/>
      <c r="F72" s="232"/>
      <c r="G72" s="209"/>
      <c r="I72" s="211"/>
      <c r="J72" s="212"/>
    </row>
    <row r="73" spans="2:10" s="151" customFormat="1" x14ac:dyDescent="0.25">
      <c r="B73" s="215"/>
      <c r="D73" s="209"/>
      <c r="E73" s="210"/>
      <c r="F73" s="232"/>
      <c r="G73" s="209"/>
      <c r="I73" s="211"/>
      <c r="J73" s="212"/>
    </row>
    <row r="74" spans="2:10" s="151" customFormat="1" x14ac:dyDescent="0.25">
      <c r="B74" s="215"/>
      <c r="D74" s="209"/>
      <c r="E74" s="210"/>
      <c r="F74" s="232"/>
      <c r="G74" s="209"/>
      <c r="I74" s="211"/>
      <c r="J74" s="212"/>
    </row>
    <row r="75" spans="2:10" s="151" customFormat="1" x14ac:dyDescent="0.25">
      <c r="B75" s="215"/>
      <c r="D75" s="209"/>
      <c r="E75" s="210"/>
      <c r="F75" s="232"/>
      <c r="G75" s="209"/>
      <c r="I75" s="211"/>
      <c r="J75" s="212"/>
    </row>
    <row r="76" spans="2:10" s="151" customFormat="1" x14ac:dyDescent="0.25">
      <c r="B76" s="215"/>
      <c r="D76" s="209"/>
      <c r="E76" s="210"/>
      <c r="F76" s="232"/>
      <c r="G76" s="209"/>
      <c r="I76" s="211"/>
      <c r="J76" s="212"/>
    </row>
    <row r="77" spans="2:10" s="151" customFormat="1" x14ac:dyDescent="0.25">
      <c r="B77" s="215"/>
      <c r="D77" s="209"/>
      <c r="E77" s="210"/>
      <c r="F77" s="232"/>
      <c r="G77" s="209"/>
      <c r="I77" s="211"/>
      <c r="J77" s="212"/>
    </row>
    <row r="78" spans="2:10" s="151" customFormat="1" x14ac:dyDescent="0.25">
      <c r="B78" s="215"/>
      <c r="D78" s="209"/>
      <c r="E78" s="210"/>
      <c r="F78" s="232"/>
      <c r="G78" s="209"/>
      <c r="I78" s="211"/>
      <c r="J78" s="212"/>
    </row>
    <row r="79" spans="2:10" s="151" customFormat="1" x14ac:dyDescent="0.25">
      <c r="B79" s="215"/>
      <c r="D79" s="209"/>
      <c r="E79" s="210"/>
      <c r="F79" s="232"/>
      <c r="G79" s="209"/>
      <c r="I79" s="211"/>
      <c r="J79" s="212"/>
    </row>
    <row r="80" spans="2:10" s="151" customFormat="1" x14ac:dyDescent="0.25">
      <c r="B80" s="215"/>
      <c r="D80" s="209"/>
      <c r="E80" s="210"/>
      <c r="F80" s="232"/>
      <c r="G80" s="209"/>
      <c r="I80" s="211"/>
      <c r="J80" s="212"/>
    </row>
    <row r="81" spans="2:10" s="151" customFormat="1" x14ac:dyDescent="0.25">
      <c r="B81" s="215"/>
      <c r="D81" s="209"/>
      <c r="E81" s="210"/>
      <c r="F81" s="232"/>
      <c r="G81" s="209"/>
      <c r="I81" s="211"/>
      <c r="J81" s="212"/>
    </row>
    <row r="82" spans="2:10" s="151" customFormat="1" x14ac:dyDescent="0.25">
      <c r="B82" s="215"/>
      <c r="D82" s="209"/>
      <c r="E82" s="210"/>
      <c r="F82" s="232"/>
      <c r="G82" s="209"/>
      <c r="I82" s="211"/>
      <c r="J82" s="212"/>
    </row>
    <row r="83" spans="2:10" s="151" customFormat="1" x14ac:dyDescent="0.25">
      <c r="B83" s="215"/>
      <c r="D83" s="209"/>
      <c r="E83" s="210"/>
      <c r="F83" s="232"/>
      <c r="G83" s="209"/>
      <c r="I83" s="211"/>
      <c r="J83" s="212"/>
    </row>
    <row r="84" spans="2:10" s="151" customFormat="1" x14ac:dyDescent="0.25">
      <c r="B84" s="215"/>
      <c r="D84" s="209"/>
      <c r="E84" s="210"/>
      <c r="F84" s="232"/>
      <c r="G84" s="209"/>
      <c r="I84" s="211"/>
      <c r="J84" s="212"/>
    </row>
    <row r="85" spans="2:10" s="151" customFormat="1" x14ac:dyDescent="0.25">
      <c r="B85" s="215"/>
      <c r="D85" s="209"/>
      <c r="E85" s="210"/>
      <c r="F85" s="232"/>
      <c r="G85" s="209"/>
      <c r="I85" s="211"/>
      <c r="J85" s="212"/>
    </row>
    <row r="86" spans="2:10" s="151" customFormat="1" x14ac:dyDescent="0.25">
      <c r="B86" s="215"/>
      <c r="D86" s="209"/>
      <c r="E86" s="210"/>
      <c r="F86" s="232"/>
      <c r="G86" s="209"/>
      <c r="I86" s="211"/>
      <c r="J86" s="212"/>
    </row>
    <row r="87" spans="2:10" s="151" customFormat="1" x14ac:dyDescent="0.25">
      <c r="B87" s="215"/>
      <c r="D87" s="209"/>
      <c r="E87" s="210"/>
      <c r="F87" s="232"/>
      <c r="G87" s="209"/>
      <c r="I87" s="211"/>
      <c r="J87" s="212"/>
    </row>
    <row r="88" spans="2:10" s="151" customFormat="1" x14ac:dyDescent="0.25">
      <c r="B88" s="215"/>
      <c r="D88" s="209"/>
      <c r="E88" s="210"/>
      <c r="F88" s="232"/>
      <c r="G88" s="209"/>
      <c r="I88" s="211"/>
      <c r="J88" s="212"/>
    </row>
    <row r="89" spans="2:10" s="151" customFormat="1" x14ac:dyDescent="0.25">
      <c r="B89" s="215"/>
      <c r="D89" s="209"/>
      <c r="E89" s="210"/>
      <c r="F89" s="232"/>
      <c r="G89" s="209"/>
      <c r="I89" s="211"/>
      <c r="J89" s="212"/>
    </row>
    <row r="90" spans="2:10" s="151" customFormat="1" x14ac:dyDescent="0.25">
      <c r="B90" s="215"/>
      <c r="D90" s="209"/>
      <c r="E90" s="210"/>
      <c r="F90" s="232"/>
      <c r="G90" s="209"/>
      <c r="I90" s="211"/>
      <c r="J90" s="212"/>
    </row>
    <row r="91" spans="2:10" s="151" customFormat="1" x14ac:dyDescent="0.25">
      <c r="B91" s="215"/>
      <c r="D91" s="209"/>
      <c r="E91" s="210"/>
      <c r="F91" s="232"/>
      <c r="G91" s="209"/>
      <c r="I91" s="211"/>
      <c r="J91" s="212"/>
    </row>
    <row r="92" spans="2:10" s="151" customFormat="1" x14ac:dyDescent="0.25">
      <c r="B92" s="215"/>
      <c r="D92" s="209"/>
      <c r="E92" s="210"/>
      <c r="F92" s="232"/>
      <c r="G92" s="209"/>
      <c r="I92" s="211"/>
      <c r="J92" s="212"/>
    </row>
    <row r="93" spans="2:10" s="151" customFormat="1" x14ac:dyDescent="0.25">
      <c r="B93" s="215"/>
      <c r="D93" s="209"/>
      <c r="E93" s="210"/>
      <c r="F93" s="232"/>
      <c r="G93" s="209"/>
      <c r="I93" s="211"/>
      <c r="J93" s="212"/>
    </row>
    <row r="94" spans="2:10" s="151" customFormat="1" x14ac:dyDescent="0.25">
      <c r="B94" s="215"/>
      <c r="D94" s="209"/>
      <c r="E94" s="210"/>
      <c r="F94" s="232"/>
      <c r="G94" s="209"/>
      <c r="I94" s="211"/>
      <c r="J94" s="212"/>
    </row>
    <row r="95" spans="2:10" s="151" customFormat="1" x14ac:dyDescent="0.25">
      <c r="B95" s="215"/>
      <c r="D95" s="209"/>
      <c r="E95" s="210"/>
      <c r="F95" s="232"/>
      <c r="G95" s="209"/>
      <c r="I95" s="211"/>
      <c r="J95" s="212"/>
    </row>
    <row r="96" spans="2:10" s="151" customFormat="1" x14ac:dyDescent="0.25">
      <c r="B96" s="215"/>
      <c r="D96" s="209"/>
      <c r="E96" s="210"/>
      <c r="F96" s="232"/>
      <c r="G96" s="209"/>
      <c r="I96" s="211"/>
      <c r="J96" s="212"/>
    </row>
    <row r="97" spans="2:10" s="151" customFormat="1" x14ac:dyDescent="0.25">
      <c r="B97" s="215"/>
      <c r="D97" s="209"/>
      <c r="E97" s="210"/>
      <c r="F97" s="232"/>
      <c r="G97" s="209"/>
      <c r="I97" s="211"/>
      <c r="J97" s="212"/>
    </row>
    <row r="98" spans="2:10" s="151" customFormat="1" x14ac:dyDescent="0.25">
      <c r="B98" s="215"/>
      <c r="D98" s="209"/>
      <c r="E98" s="210"/>
      <c r="F98" s="232"/>
      <c r="G98" s="209"/>
      <c r="I98" s="211"/>
      <c r="J98" s="212"/>
    </row>
    <row r="99" spans="2:10" s="151" customFormat="1" x14ac:dyDescent="0.25">
      <c r="B99" s="215"/>
      <c r="D99" s="209"/>
      <c r="E99" s="210"/>
      <c r="F99" s="232"/>
      <c r="G99" s="209"/>
      <c r="I99" s="211"/>
      <c r="J99" s="212"/>
    </row>
    <row r="100" spans="2:10" s="151" customFormat="1" x14ac:dyDescent="0.25">
      <c r="B100" s="215"/>
      <c r="D100" s="209"/>
      <c r="E100" s="210"/>
      <c r="F100" s="232"/>
      <c r="G100" s="209"/>
      <c r="I100" s="211"/>
      <c r="J100" s="212"/>
    </row>
    <row r="101" spans="2:10" s="151" customFormat="1" x14ac:dyDescent="0.25">
      <c r="B101" s="215"/>
      <c r="D101" s="209"/>
      <c r="E101" s="210"/>
      <c r="F101" s="232"/>
      <c r="G101" s="209"/>
      <c r="I101" s="211"/>
      <c r="J101" s="212"/>
    </row>
    <row r="102" spans="2:10" s="151" customFormat="1" x14ac:dyDescent="0.25">
      <c r="B102" s="215"/>
      <c r="D102" s="209"/>
      <c r="E102" s="210"/>
      <c r="F102" s="232"/>
      <c r="G102" s="209"/>
      <c r="I102" s="211"/>
      <c r="J102" s="212"/>
    </row>
    <row r="103" spans="2:10" s="151" customFormat="1" x14ac:dyDescent="0.25">
      <c r="B103" s="215"/>
      <c r="D103" s="209"/>
      <c r="E103" s="210"/>
      <c r="F103" s="232"/>
      <c r="G103" s="209"/>
      <c r="I103" s="211"/>
      <c r="J103" s="212"/>
    </row>
    <row r="104" spans="2:10" s="151" customFormat="1" x14ac:dyDescent="0.25">
      <c r="B104" s="215"/>
      <c r="D104" s="209"/>
      <c r="E104" s="210"/>
      <c r="F104" s="232"/>
      <c r="G104" s="209"/>
      <c r="I104" s="211"/>
      <c r="J104" s="212"/>
    </row>
    <row r="105" spans="2:10" s="151" customFormat="1" x14ac:dyDescent="0.25">
      <c r="B105" s="215"/>
      <c r="D105" s="209"/>
      <c r="E105" s="210"/>
      <c r="F105" s="232"/>
      <c r="G105" s="209"/>
      <c r="I105" s="211"/>
      <c r="J105" s="212"/>
    </row>
    <row r="106" spans="2:10" s="151" customFormat="1" x14ac:dyDescent="0.25">
      <c r="B106" s="215"/>
      <c r="D106" s="209"/>
      <c r="E106" s="210"/>
      <c r="F106" s="232"/>
      <c r="G106" s="209"/>
      <c r="I106" s="211"/>
      <c r="J106" s="212"/>
    </row>
    <row r="107" spans="2:10" s="151" customFormat="1" x14ac:dyDescent="0.25">
      <c r="B107" s="215"/>
      <c r="D107" s="209"/>
      <c r="E107" s="210"/>
      <c r="F107" s="232"/>
      <c r="G107" s="209"/>
      <c r="I107" s="211"/>
      <c r="J107" s="212"/>
    </row>
    <row r="108" spans="2:10" s="151" customFormat="1" x14ac:dyDescent="0.25">
      <c r="B108" s="215"/>
      <c r="D108" s="209"/>
      <c r="E108" s="210"/>
      <c r="F108" s="232"/>
      <c r="G108" s="209"/>
      <c r="I108" s="211"/>
      <c r="J108" s="212"/>
    </row>
    <row r="109" spans="2:10" s="151" customFormat="1" x14ac:dyDescent="0.25">
      <c r="B109" s="215"/>
      <c r="D109" s="209"/>
      <c r="E109" s="210"/>
      <c r="F109" s="232"/>
      <c r="G109" s="209"/>
      <c r="I109" s="211"/>
      <c r="J109" s="212"/>
    </row>
    <row r="110" spans="2:10" s="151" customFormat="1" x14ac:dyDescent="0.25">
      <c r="B110" s="215"/>
      <c r="D110" s="209"/>
      <c r="E110" s="210"/>
      <c r="F110" s="232"/>
      <c r="G110" s="209"/>
      <c r="I110" s="211"/>
      <c r="J110" s="212"/>
    </row>
    <row r="111" spans="2:10" s="151" customFormat="1" x14ac:dyDescent="0.25">
      <c r="B111" s="215"/>
      <c r="D111" s="209"/>
      <c r="E111" s="210"/>
      <c r="F111" s="232"/>
      <c r="G111" s="209"/>
      <c r="I111" s="211"/>
      <c r="J111" s="212"/>
    </row>
    <row r="112" spans="2:10" s="151" customFormat="1" x14ac:dyDescent="0.25">
      <c r="B112" s="215"/>
      <c r="D112" s="209"/>
      <c r="E112" s="210"/>
      <c r="F112" s="232"/>
      <c r="G112" s="209"/>
      <c r="I112" s="211"/>
      <c r="J112" s="212"/>
    </row>
    <row r="113" spans="2:10" s="151" customFormat="1" x14ac:dyDescent="0.25">
      <c r="B113" s="215"/>
      <c r="D113" s="209"/>
      <c r="E113" s="210"/>
      <c r="F113" s="232"/>
      <c r="G113" s="209"/>
      <c r="I113" s="211"/>
      <c r="J113" s="212"/>
    </row>
    <row r="114" spans="2:10" s="151" customFormat="1" x14ac:dyDescent="0.25">
      <c r="B114" s="215"/>
      <c r="D114" s="209"/>
      <c r="E114" s="210"/>
      <c r="F114" s="232"/>
      <c r="G114" s="209"/>
      <c r="I114" s="211"/>
      <c r="J114" s="212"/>
    </row>
    <row r="115" spans="2:10" s="151" customFormat="1" x14ac:dyDescent="0.25">
      <c r="B115" s="215"/>
      <c r="D115" s="209"/>
      <c r="E115" s="210"/>
      <c r="F115" s="232"/>
      <c r="G115" s="209"/>
      <c r="I115" s="211"/>
      <c r="J115" s="212"/>
    </row>
    <row r="116" spans="2:10" s="151" customFormat="1" x14ac:dyDescent="0.25">
      <c r="B116" s="215"/>
      <c r="D116" s="209"/>
      <c r="E116" s="210"/>
      <c r="F116" s="232"/>
      <c r="G116" s="209"/>
      <c r="I116" s="211"/>
      <c r="J116" s="212"/>
    </row>
    <row r="117" spans="2:10" s="151" customFormat="1" x14ac:dyDescent="0.25">
      <c r="B117" s="215"/>
      <c r="D117" s="209"/>
      <c r="E117" s="210"/>
      <c r="F117" s="232"/>
      <c r="G117" s="209"/>
      <c r="I117" s="211"/>
      <c r="J117" s="212"/>
    </row>
    <row r="118" spans="2:10" s="151" customFormat="1" x14ac:dyDescent="0.25">
      <c r="B118" s="215"/>
      <c r="D118" s="209"/>
      <c r="E118" s="210"/>
      <c r="F118" s="232"/>
      <c r="G118" s="209"/>
      <c r="I118" s="211"/>
      <c r="J118" s="212"/>
    </row>
    <row r="119" spans="2:10" s="151" customFormat="1" x14ac:dyDescent="0.25">
      <c r="B119" s="215"/>
      <c r="D119" s="209"/>
      <c r="E119" s="210"/>
      <c r="F119" s="232"/>
      <c r="G119" s="209"/>
      <c r="I119" s="211"/>
      <c r="J119" s="212"/>
    </row>
    <row r="120" spans="2:10" s="151" customFormat="1" x14ac:dyDescent="0.25">
      <c r="B120" s="215"/>
      <c r="D120" s="209"/>
      <c r="E120" s="210"/>
      <c r="F120" s="232"/>
      <c r="G120" s="209"/>
      <c r="I120" s="211"/>
      <c r="J120" s="212"/>
    </row>
    <row r="121" spans="2:10" s="151" customFormat="1" x14ac:dyDescent="0.25">
      <c r="B121" s="215"/>
      <c r="D121" s="209"/>
      <c r="E121" s="210"/>
      <c r="F121" s="232"/>
      <c r="G121" s="209"/>
      <c r="I121" s="211"/>
      <c r="J121" s="212"/>
    </row>
    <row r="122" spans="2:10" s="151" customFormat="1" x14ac:dyDescent="0.25">
      <c r="B122" s="215"/>
      <c r="D122" s="209"/>
      <c r="E122" s="210"/>
      <c r="F122" s="232"/>
      <c r="G122" s="209"/>
      <c r="I122" s="211"/>
      <c r="J122" s="212"/>
    </row>
    <row r="123" spans="2:10" s="151" customFormat="1" x14ac:dyDescent="0.25">
      <c r="B123" s="215"/>
      <c r="D123" s="209"/>
      <c r="E123" s="210"/>
      <c r="F123" s="232"/>
      <c r="G123" s="209"/>
      <c r="I123" s="211"/>
      <c r="J123" s="212"/>
    </row>
    <row r="124" spans="2:10" s="151" customFormat="1" x14ac:dyDescent="0.25">
      <c r="B124" s="215"/>
      <c r="D124" s="209"/>
      <c r="E124" s="210"/>
      <c r="F124" s="232"/>
      <c r="G124" s="209"/>
      <c r="I124" s="211"/>
      <c r="J124" s="212"/>
    </row>
    <row r="125" spans="2:10" s="151" customFormat="1" x14ac:dyDescent="0.25">
      <c r="B125" s="215"/>
      <c r="D125" s="209"/>
      <c r="E125" s="210"/>
      <c r="F125" s="232"/>
      <c r="G125" s="209"/>
      <c r="I125" s="211"/>
      <c r="J125" s="212"/>
    </row>
    <row r="126" spans="2:10" s="151" customFormat="1" x14ac:dyDescent="0.25">
      <c r="B126" s="215"/>
      <c r="D126" s="209"/>
      <c r="E126" s="210"/>
      <c r="F126" s="232"/>
      <c r="G126" s="209"/>
      <c r="I126" s="211"/>
      <c r="J126" s="212"/>
    </row>
    <row r="127" spans="2:10" s="151" customFormat="1" x14ac:dyDescent="0.25">
      <c r="B127" s="215"/>
      <c r="D127" s="209"/>
      <c r="E127" s="210"/>
      <c r="F127" s="232"/>
      <c r="G127" s="209"/>
      <c r="I127" s="211"/>
      <c r="J127" s="212"/>
    </row>
    <row r="128" spans="2:10" s="151" customFormat="1" x14ac:dyDescent="0.25">
      <c r="B128" s="215"/>
      <c r="D128" s="209"/>
      <c r="E128" s="210"/>
      <c r="F128" s="232"/>
      <c r="G128" s="209"/>
      <c r="I128" s="211"/>
      <c r="J128" s="212"/>
    </row>
    <row r="129" spans="2:10" s="151" customFormat="1" x14ac:dyDescent="0.25">
      <c r="B129" s="215"/>
      <c r="D129" s="209"/>
      <c r="E129" s="210"/>
      <c r="F129" s="232"/>
      <c r="G129" s="209"/>
      <c r="I129" s="211"/>
      <c r="J129" s="212"/>
    </row>
    <row r="130" spans="2:10" s="151" customFormat="1" x14ac:dyDescent="0.25">
      <c r="B130" s="215"/>
      <c r="D130" s="209"/>
      <c r="E130" s="210"/>
      <c r="F130" s="232"/>
      <c r="G130" s="209"/>
      <c r="I130" s="211"/>
      <c r="J130" s="212"/>
    </row>
    <row r="131" spans="2:10" s="151" customFormat="1" x14ac:dyDescent="0.25">
      <c r="B131" s="215"/>
      <c r="D131" s="209"/>
      <c r="E131" s="210"/>
      <c r="F131" s="232"/>
      <c r="G131" s="209"/>
      <c r="I131" s="211"/>
      <c r="J131" s="212"/>
    </row>
    <row r="132" spans="2:10" s="151" customFormat="1" x14ac:dyDescent="0.25">
      <c r="B132" s="215"/>
      <c r="D132" s="209"/>
      <c r="E132" s="210"/>
      <c r="F132" s="232"/>
      <c r="G132" s="209"/>
      <c r="I132" s="211"/>
      <c r="J132" s="212"/>
    </row>
    <row r="133" spans="2:10" s="151" customFormat="1" x14ac:dyDescent="0.25">
      <c r="B133" s="215"/>
      <c r="D133" s="209"/>
      <c r="E133" s="210"/>
      <c r="F133" s="232"/>
      <c r="G133" s="209"/>
      <c r="I133" s="211"/>
      <c r="J133" s="212"/>
    </row>
    <row r="134" spans="2:10" s="151" customFormat="1" x14ac:dyDescent="0.25">
      <c r="B134" s="215"/>
      <c r="D134" s="209"/>
      <c r="E134" s="210"/>
      <c r="F134" s="232"/>
      <c r="G134" s="209"/>
      <c r="I134" s="211"/>
      <c r="J134" s="212"/>
    </row>
    <row r="135" spans="2:10" s="151" customFormat="1" x14ac:dyDescent="0.25">
      <c r="B135" s="215"/>
      <c r="D135" s="209"/>
      <c r="E135" s="210"/>
      <c r="F135" s="232"/>
      <c r="G135" s="209"/>
      <c r="I135" s="211"/>
      <c r="J135" s="212"/>
    </row>
    <row r="136" spans="2:10" s="151" customFormat="1" x14ac:dyDescent="0.25">
      <c r="B136" s="215"/>
      <c r="D136" s="209"/>
      <c r="E136" s="210"/>
      <c r="F136" s="232"/>
      <c r="G136" s="209"/>
      <c r="I136" s="211"/>
      <c r="J136" s="212"/>
    </row>
    <row r="137" spans="2:10" s="151" customFormat="1" x14ac:dyDescent="0.25">
      <c r="B137" s="215"/>
      <c r="D137" s="209"/>
      <c r="E137" s="210"/>
      <c r="F137" s="232"/>
      <c r="G137" s="209"/>
      <c r="I137" s="211"/>
      <c r="J137" s="212"/>
    </row>
    <row r="138" spans="2:10" s="151" customFormat="1" x14ac:dyDescent="0.25">
      <c r="B138" s="215"/>
      <c r="D138" s="209"/>
      <c r="E138" s="210"/>
      <c r="F138" s="232"/>
      <c r="G138" s="209"/>
      <c r="I138" s="211"/>
      <c r="J138" s="212"/>
    </row>
    <row r="139" spans="2:10" s="151" customFormat="1" x14ac:dyDescent="0.25">
      <c r="B139" s="215"/>
      <c r="D139" s="209"/>
      <c r="E139" s="210"/>
      <c r="F139" s="232"/>
      <c r="G139" s="209"/>
      <c r="I139" s="211"/>
      <c r="J139" s="212"/>
    </row>
    <row r="140" spans="2:10" s="151" customFormat="1" x14ac:dyDescent="0.25">
      <c r="B140" s="215"/>
      <c r="D140" s="209"/>
      <c r="E140" s="210"/>
      <c r="F140" s="232"/>
      <c r="G140" s="209"/>
      <c r="I140" s="211"/>
      <c r="J140" s="212"/>
    </row>
    <row r="141" spans="2:10" s="151" customFormat="1" x14ac:dyDescent="0.25">
      <c r="B141" s="215"/>
      <c r="D141" s="209"/>
      <c r="E141" s="210"/>
      <c r="F141" s="232"/>
      <c r="G141" s="209"/>
      <c r="I141" s="211"/>
      <c r="J141" s="212"/>
    </row>
    <row r="142" spans="2:10" s="151" customFormat="1" x14ac:dyDescent="0.25">
      <c r="B142" s="215"/>
      <c r="D142" s="209"/>
      <c r="E142" s="210"/>
      <c r="F142" s="232"/>
      <c r="G142" s="209"/>
      <c r="I142" s="211"/>
      <c r="J142" s="212"/>
    </row>
    <row r="143" spans="2:10" s="151" customFormat="1" x14ac:dyDescent="0.25">
      <c r="B143" s="215"/>
      <c r="D143" s="209"/>
      <c r="E143" s="210"/>
      <c r="F143" s="232"/>
      <c r="G143" s="209"/>
      <c r="I143" s="211"/>
      <c r="J143" s="212"/>
    </row>
    <row r="144" spans="2:10" s="151" customFormat="1" x14ac:dyDescent="0.25">
      <c r="B144" s="215"/>
      <c r="D144" s="209"/>
      <c r="E144" s="210"/>
      <c r="F144" s="232"/>
      <c r="G144" s="209"/>
      <c r="I144" s="211"/>
      <c r="J144" s="212"/>
    </row>
    <row r="145" spans="2:10" s="151" customFormat="1" x14ac:dyDescent="0.25">
      <c r="B145" s="215"/>
      <c r="D145" s="209"/>
      <c r="E145" s="210"/>
      <c r="F145" s="232"/>
      <c r="G145" s="209"/>
      <c r="I145" s="211"/>
      <c r="J145" s="212"/>
    </row>
    <row r="146" spans="2:10" s="151" customFormat="1" x14ac:dyDescent="0.25">
      <c r="B146" s="215"/>
      <c r="D146" s="209"/>
      <c r="E146" s="210"/>
      <c r="F146" s="232"/>
      <c r="G146" s="209"/>
      <c r="I146" s="211"/>
      <c r="J146" s="212"/>
    </row>
    <row r="147" spans="2:10" s="151" customFormat="1" x14ac:dyDescent="0.25">
      <c r="B147" s="215"/>
      <c r="D147" s="209"/>
      <c r="E147" s="210"/>
      <c r="F147" s="232"/>
      <c r="G147" s="209"/>
      <c r="I147" s="211"/>
      <c r="J147" s="212"/>
    </row>
    <row r="148" spans="2:10" s="151" customFormat="1" x14ac:dyDescent="0.25">
      <c r="B148" s="215"/>
      <c r="D148" s="209"/>
      <c r="E148" s="210"/>
      <c r="F148" s="232"/>
      <c r="G148" s="209"/>
      <c r="I148" s="211"/>
      <c r="J148" s="212"/>
    </row>
    <row r="149" spans="2:10" s="151" customFormat="1" x14ac:dyDescent="0.25">
      <c r="B149" s="215"/>
      <c r="D149" s="209"/>
      <c r="E149" s="210"/>
      <c r="F149" s="232"/>
      <c r="G149" s="209"/>
      <c r="I149" s="211"/>
      <c r="J149" s="212"/>
    </row>
    <row r="150" spans="2:10" s="151" customFormat="1" x14ac:dyDescent="0.25">
      <c r="B150" s="215"/>
      <c r="D150" s="209"/>
      <c r="E150" s="210"/>
      <c r="F150" s="232"/>
      <c r="G150" s="209"/>
      <c r="I150" s="211"/>
      <c r="J150" s="212"/>
    </row>
    <row r="151" spans="2:10" s="151" customFormat="1" x14ac:dyDescent="0.25">
      <c r="B151" s="215"/>
      <c r="D151" s="209"/>
      <c r="E151" s="210"/>
      <c r="F151" s="232"/>
      <c r="G151" s="209"/>
      <c r="I151" s="211"/>
      <c r="J151" s="212"/>
    </row>
    <row r="152" spans="2:10" s="151" customFormat="1" x14ac:dyDescent="0.25">
      <c r="B152" s="215"/>
      <c r="D152" s="209"/>
      <c r="E152" s="210"/>
      <c r="F152" s="232"/>
      <c r="G152" s="209"/>
      <c r="I152" s="211"/>
      <c r="J152" s="212"/>
    </row>
    <row r="153" spans="2:10" s="151" customFormat="1" x14ac:dyDescent="0.25">
      <c r="B153" s="215"/>
      <c r="D153" s="209"/>
      <c r="E153" s="210"/>
      <c r="F153" s="232"/>
      <c r="G153" s="209"/>
      <c r="I153" s="211"/>
      <c r="J153" s="212"/>
    </row>
    <row r="154" spans="2:10" s="151" customFormat="1" x14ac:dyDescent="0.25">
      <c r="B154" s="215"/>
      <c r="D154" s="209"/>
      <c r="E154" s="210"/>
      <c r="F154" s="232"/>
      <c r="G154" s="209"/>
      <c r="I154" s="211"/>
      <c r="J154" s="212"/>
    </row>
    <row r="155" spans="2:10" s="151" customFormat="1" x14ac:dyDescent="0.25">
      <c r="B155" s="215"/>
      <c r="D155" s="209"/>
      <c r="E155" s="210"/>
      <c r="F155" s="232"/>
      <c r="G155" s="209"/>
      <c r="I155" s="211"/>
      <c r="J155" s="212"/>
    </row>
    <row r="156" spans="2:10" s="151" customFormat="1" x14ac:dyDescent="0.25">
      <c r="B156" s="215"/>
      <c r="D156" s="209"/>
      <c r="E156" s="210"/>
      <c r="F156" s="232"/>
      <c r="G156" s="209"/>
      <c r="I156" s="211"/>
      <c r="J156" s="212"/>
    </row>
    <row r="157" spans="2:10" s="151" customFormat="1" x14ac:dyDescent="0.25">
      <c r="B157" s="215"/>
      <c r="D157" s="209"/>
      <c r="E157" s="210"/>
      <c r="F157" s="232"/>
      <c r="G157" s="209"/>
      <c r="I157" s="211"/>
      <c r="J157" s="212"/>
    </row>
    <row r="158" spans="2:10" s="151" customFormat="1" x14ac:dyDescent="0.25">
      <c r="B158" s="215"/>
      <c r="D158" s="209"/>
      <c r="E158" s="210"/>
      <c r="F158" s="232"/>
      <c r="G158" s="209"/>
      <c r="I158" s="211"/>
      <c r="J158" s="212"/>
    </row>
    <row r="159" spans="2:10" s="151" customFormat="1" x14ac:dyDescent="0.25">
      <c r="B159" s="215"/>
      <c r="D159" s="209"/>
      <c r="E159" s="210"/>
      <c r="F159" s="232"/>
      <c r="G159" s="209"/>
      <c r="I159" s="211"/>
      <c r="J159" s="212"/>
    </row>
    <row r="160" spans="2:10" s="151" customFormat="1" x14ac:dyDescent="0.25">
      <c r="B160" s="215"/>
      <c r="D160" s="209"/>
      <c r="E160" s="210"/>
      <c r="F160" s="232"/>
      <c r="G160" s="209"/>
      <c r="I160" s="211"/>
      <c r="J160" s="212"/>
    </row>
    <row r="161" spans="2:10" s="151" customFormat="1" x14ac:dyDescent="0.25">
      <c r="B161" s="215"/>
      <c r="D161" s="209"/>
      <c r="E161" s="210"/>
      <c r="F161" s="232"/>
      <c r="G161" s="209"/>
      <c r="I161" s="211"/>
      <c r="J161" s="212"/>
    </row>
    <row r="162" spans="2:10" s="151" customFormat="1" x14ac:dyDescent="0.25">
      <c r="B162" s="215"/>
      <c r="D162" s="209"/>
      <c r="E162" s="210"/>
      <c r="F162" s="232"/>
      <c r="G162" s="209"/>
      <c r="I162" s="211"/>
      <c r="J162" s="212"/>
    </row>
    <row r="163" spans="2:10" s="151" customFormat="1" x14ac:dyDescent="0.25">
      <c r="B163" s="215"/>
      <c r="D163" s="209"/>
      <c r="E163" s="210"/>
      <c r="F163" s="232"/>
      <c r="G163" s="209"/>
      <c r="I163" s="211"/>
      <c r="J163" s="212"/>
    </row>
    <row r="164" spans="2:10" s="151" customFormat="1" x14ac:dyDescent="0.25">
      <c r="B164" s="215"/>
      <c r="D164" s="209"/>
      <c r="E164" s="210"/>
      <c r="F164" s="232"/>
      <c r="G164" s="209"/>
      <c r="I164" s="211"/>
      <c r="J164" s="212"/>
    </row>
    <row r="165" spans="2:10" s="151" customFormat="1" x14ac:dyDescent="0.25">
      <c r="B165" s="215"/>
      <c r="D165" s="209"/>
      <c r="E165" s="210"/>
      <c r="F165" s="232"/>
      <c r="G165" s="209"/>
      <c r="I165" s="211"/>
      <c r="J165" s="212"/>
    </row>
    <row r="166" spans="2:10" s="151" customFormat="1" x14ac:dyDescent="0.25">
      <c r="B166" s="215"/>
      <c r="D166" s="209"/>
      <c r="E166" s="210"/>
      <c r="F166" s="232"/>
      <c r="G166" s="209"/>
      <c r="I166" s="211"/>
      <c r="J166" s="212"/>
    </row>
    <row r="167" spans="2:10" s="151" customFormat="1" x14ac:dyDescent="0.25">
      <c r="B167" s="215"/>
      <c r="D167" s="209"/>
      <c r="E167" s="210"/>
      <c r="F167" s="232"/>
      <c r="G167" s="209"/>
      <c r="I167" s="211"/>
      <c r="J167" s="212"/>
    </row>
    <row r="168" spans="2:10" s="151" customFormat="1" x14ac:dyDescent="0.25">
      <c r="B168" s="215"/>
      <c r="D168" s="209"/>
      <c r="E168" s="210"/>
      <c r="F168" s="232"/>
      <c r="G168" s="209"/>
      <c r="I168" s="211"/>
      <c r="J168" s="212"/>
    </row>
    <row r="169" spans="2:10" s="151" customFormat="1" x14ac:dyDescent="0.25">
      <c r="B169" s="215"/>
      <c r="D169" s="209"/>
      <c r="E169" s="210"/>
      <c r="F169" s="232"/>
      <c r="G169" s="209"/>
      <c r="I169" s="211"/>
      <c r="J169" s="212"/>
    </row>
    <row r="170" spans="2:10" s="151" customFormat="1" x14ac:dyDescent="0.25">
      <c r="B170" s="215"/>
      <c r="D170" s="209"/>
      <c r="E170" s="210"/>
      <c r="F170" s="232"/>
      <c r="G170" s="209"/>
      <c r="I170" s="211"/>
      <c r="J170" s="212"/>
    </row>
    <row r="171" spans="2:10" s="151" customFormat="1" x14ac:dyDescent="0.25">
      <c r="B171" s="215"/>
      <c r="D171" s="209"/>
      <c r="E171" s="210"/>
      <c r="F171" s="232"/>
      <c r="G171" s="209"/>
      <c r="I171" s="211"/>
      <c r="J171" s="212"/>
    </row>
    <row r="172" spans="2:10" s="151" customFormat="1" x14ac:dyDescent="0.25">
      <c r="B172" s="215"/>
      <c r="D172" s="209"/>
      <c r="E172" s="210"/>
      <c r="F172" s="232"/>
      <c r="G172" s="209"/>
      <c r="I172" s="211"/>
      <c r="J172" s="212"/>
    </row>
    <row r="173" spans="2:10" s="151" customFormat="1" x14ac:dyDescent="0.25">
      <c r="B173" s="215"/>
      <c r="D173" s="209"/>
      <c r="E173" s="210"/>
      <c r="F173" s="232"/>
      <c r="G173" s="209"/>
      <c r="I173" s="211"/>
      <c r="J173" s="212"/>
    </row>
    <row r="174" spans="2:10" s="151" customFormat="1" x14ac:dyDescent="0.25">
      <c r="B174" s="215"/>
      <c r="D174" s="209"/>
      <c r="E174" s="210"/>
      <c r="F174" s="232"/>
      <c r="G174" s="209"/>
      <c r="I174" s="211"/>
      <c r="J174" s="212"/>
    </row>
    <row r="175" spans="2:10" s="151" customFormat="1" x14ac:dyDescent="0.25">
      <c r="B175" s="215"/>
      <c r="D175" s="209"/>
      <c r="E175" s="210"/>
      <c r="F175" s="232"/>
      <c r="G175" s="209"/>
      <c r="I175" s="211"/>
      <c r="J175" s="212"/>
    </row>
    <row r="176" spans="2:10" s="151" customFormat="1" x14ac:dyDescent="0.25">
      <c r="B176" s="215"/>
      <c r="D176" s="209"/>
      <c r="E176" s="210"/>
      <c r="F176" s="232"/>
      <c r="G176" s="209"/>
      <c r="I176" s="211"/>
      <c r="J176" s="212"/>
    </row>
    <row r="177" spans="2:10" s="151" customFormat="1" x14ac:dyDescent="0.25">
      <c r="B177" s="215"/>
      <c r="D177" s="209"/>
      <c r="E177" s="210"/>
      <c r="F177" s="232"/>
      <c r="G177" s="209"/>
      <c r="I177" s="211"/>
      <c r="J177" s="212"/>
    </row>
    <row r="178" spans="2:10" s="151" customFormat="1" x14ac:dyDescent="0.25">
      <c r="B178" s="215"/>
      <c r="D178" s="209"/>
      <c r="E178" s="210"/>
      <c r="F178" s="232"/>
      <c r="G178" s="209"/>
      <c r="I178" s="211"/>
      <c r="J178" s="212"/>
    </row>
    <row r="179" spans="2:10" s="151" customFormat="1" x14ac:dyDescent="0.25">
      <c r="B179" s="215"/>
      <c r="D179" s="209"/>
      <c r="E179" s="210"/>
      <c r="F179" s="232"/>
      <c r="G179" s="209"/>
      <c r="I179" s="211"/>
      <c r="J179" s="212"/>
    </row>
    <row r="180" spans="2:10" s="151" customFormat="1" x14ac:dyDescent="0.25">
      <c r="B180" s="215"/>
      <c r="D180" s="209"/>
      <c r="E180" s="210"/>
      <c r="F180" s="232"/>
      <c r="G180" s="209"/>
      <c r="I180" s="211"/>
      <c r="J180" s="212"/>
    </row>
    <row r="181" spans="2:10" s="151" customFormat="1" x14ac:dyDescent="0.25">
      <c r="B181" s="215"/>
      <c r="D181" s="209"/>
      <c r="E181" s="210"/>
      <c r="F181" s="232"/>
      <c r="G181" s="209"/>
      <c r="I181" s="211"/>
      <c r="J181" s="212"/>
    </row>
    <row r="182" spans="2:10" s="151" customFormat="1" x14ac:dyDescent="0.25">
      <c r="B182" s="215"/>
      <c r="D182" s="209"/>
      <c r="E182" s="210"/>
      <c r="F182" s="232"/>
      <c r="G182" s="209"/>
      <c r="I182" s="211"/>
      <c r="J182" s="212"/>
    </row>
    <row r="183" spans="2:10" s="151" customFormat="1" x14ac:dyDescent="0.25">
      <c r="B183" s="215"/>
      <c r="D183" s="209"/>
      <c r="E183" s="210"/>
      <c r="F183" s="232"/>
      <c r="G183" s="209"/>
      <c r="I183" s="211"/>
      <c r="J183" s="212"/>
    </row>
    <row r="184" spans="2:10" s="151" customFormat="1" x14ac:dyDescent="0.25">
      <c r="B184" s="215"/>
      <c r="D184" s="209"/>
      <c r="E184" s="210"/>
      <c r="F184" s="232"/>
      <c r="G184" s="209"/>
      <c r="I184" s="211"/>
      <c r="J184" s="212"/>
    </row>
    <row r="185" spans="2:10" s="151" customFormat="1" x14ac:dyDescent="0.25">
      <c r="B185" s="215"/>
      <c r="D185" s="209"/>
      <c r="E185" s="210"/>
      <c r="F185" s="232"/>
      <c r="G185" s="209"/>
      <c r="I185" s="211"/>
      <c r="J185" s="212"/>
    </row>
    <row r="186" spans="2:10" s="151" customFormat="1" x14ac:dyDescent="0.25">
      <c r="B186" s="215"/>
      <c r="D186" s="209"/>
      <c r="E186" s="210"/>
      <c r="F186" s="232"/>
      <c r="G186" s="209"/>
      <c r="I186" s="211"/>
      <c r="J186" s="212"/>
    </row>
    <row r="187" spans="2:10" s="151" customFormat="1" x14ac:dyDescent="0.25">
      <c r="B187" s="215"/>
      <c r="D187" s="209"/>
      <c r="E187" s="210"/>
      <c r="F187" s="232"/>
      <c r="G187" s="209"/>
      <c r="I187" s="211"/>
      <c r="J187" s="212"/>
    </row>
    <row r="188" spans="2:10" s="151" customFormat="1" x14ac:dyDescent="0.25">
      <c r="B188" s="215"/>
      <c r="D188" s="209"/>
      <c r="E188" s="210"/>
      <c r="F188" s="232"/>
      <c r="G188" s="209"/>
      <c r="I188" s="211"/>
      <c r="J188" s="212"/>
    </row>
    <row r="189" spans="2:10" s="151" customFormat="1" x14ac:dyDescent="0.25">
      <c r="B189" s="215"/>
      <c r="D189" s="209"/>
      <c r="E189" s="210"/>
      <c r="F189" s="232"/>
      <c r="G189" s="209"/>
      <c r="I189" s="211"/>
      <c r="J189" s="212"/>
    </row>
    <row r="190" spans="2:10" s="151" customFormat="1" x14ac:dyDescent="0.25">
      <c r="B190" s="215"/>
      <c r="D190" s="209"/>
      <c r="E190" s="210"/>
      <c r="F190" s="232"/>
      <c r="G190" s="209"/>
      <c r="I190" s="211"/>
      <c r="J190" s="212"/>
    </row>
    <row r="191" spans="2:10" s="151" customFormat="1" x14ac:dyDescent="0.25">
      <c r="B191" s="215"/>
      <c r="D191" s="209"/>
      <c r="E191" s="210"/>
      <c r="F191" s="232"/>
      <c r="G191" s="209"/>
      <c r="I191" s="211"/>
      <c r="J191" s="212"/>
    </row>
    <row r="192" spans="2:10" s="151" customFormat="1" x14ac:dyDescent="0.25">
      <c r="B192" s="215"/>
      <c r="D192" s="209"/>
      <c r="E192" s="210"/>
      <c r="F192" s="232"/>
      <c r="G192" s="209"/>
      <c r="I192" s="211"/>
      <c r="J192" s="212"/>
    </row>
    <row r="193" spans="2:10" s="151" customFormat="1" x14ac:dyDescent="0.25">
      <c r="B193" s="215"/>
      <c r="D193" s="209"/>
      <c r="E193" s="210"/>
      <c r="F193" s="232"/>
      <c r="G193" s="209"/>
      <c r="I193" s="211"/>
      <c r="J193" s="212"/>
    </row>
    <row r="194" spans="2:10" s="151" customFormat="1" x14ac:dyDescent="0.25">
      <c r="B194" s="215"/>
      <c r="D194" s="209"/>
      <c r="E194" s="210"/>
      <c r="F194" s="232"/>
      <c r="G194" s="209"/>
      <c r="I194" s="211"/>
      <c r="J194" s="212"/>
    </row>
    <row r="195" spans="2:10" s="151" customFormat="1" x14ac:dyDescent="0.25">
      <c r="B195" s="215"/>
      <c r="D195" s="209"/>
      <c r="E195" s="210"/>
      <c r="F195" s="232"/>
      <c r="G195" s="209"/>
      <c r="I195" s="211"/>
      <c r="J195" s="212"/>
    </row>
    <row r="196" spans="2:10" s="151" customFormat="1" x14ac:dyDescent="0.25">
      <c r="B196" s="215"/>
      <c r="D196" s="209"/>
      <c r="E196" s="210"/>
      <c r="F196" s="232"/>
      <c r="G196" s="209"/>
      <c r="I196" s="211"/>
      <c r="J196" s="212"/>
    </row>
    <row r="197" spans="2:10" s="151" customFormat="1" x14ac:dyDescent="0.25">
      <c r="B197" s="215"/>
      <c r="D197" s="209"/>
      <c r="E197" s="210"/>
      <c r="F197" s="232"/>
      <c r="G197" s="209"/>
      <c r="I197" s="211"/>
      <c r="J197" s="212"/>
    </row>
    <row r="198" spans="2:10" s="151" customFormat="1" x14ac:dyDescent="0.25">
      <c r="B198" s="215"/>
      <c r="D198" s="209"/>
      <c r="E198" s="210"/>
      <c r="F198" s="232"/>
      <c r="G198" s="209"/>
      <c r="I198" s="211"/>
      <c r="J198" s="212"/>
    </row>
    <row r="199" spans="2:10" s="151" customFormat="1" x14ac:dyDescent="0.25">
      <c r="B199" s="215"/>
      <c r="D199" s="209"/>
      <c r="E199" s="210"/>
      <c r="F199" s="232"/>
      <c r="G199" s="209"/>
      <c r="I199" s="211"/>
      <c r="J199" s="212"/>
    </row>
    <row r="200" spans="2:10" s="151" customFormat="1" x14ac:dyDescent="0.25">
      <c r="B200" s="215"/>
      <c r="D200" s="209"/>
      <c r="E200" s="210"/>
      <c r="F200" s="232"/>
      <c r="G200" s="209"/>
      <c r="I200" s="211"/>
      <c r="J200" s="212"/>
    </row>
    <row r="201" spans="2:10" s="151" customFormat="1" x14ac:dyDescent="0.25">
      <c r="B201" s="215"/>
      <c r="D201" s="209"/>
      <c r="E201" s="210"/>
      <c r="F201" s="232"/>
      <c r="G201" s="209"/>
      <c r="I201" s="211"/>
      <c r="J201" s="212"/>
    </row>
    <row r="202" spans="2:10" s="151" customFormat="1" x14ac:dyDescent="0.25">
      <c r="B202" s="215"/>
      <c r="D202" s="209"/>
      <c r="E202" s="210"/>
      <c r="F202" s="232"/>
      <c r="G202" s="209"/>
      <c r="I202" s="211"/>
      <c r="J202" s="212"/>
    </row>
    <row r="203" spans="2:10" s="151" customFormat="1" x14ac:dyDescent="0.25">
      <c r="B203" s="215"/>
      <c r="D203" s="209"/>
      <c r="E203" s="210"/>
      <c r="F203" s="232"/>
      <c r="G203" s="209"/>
      <c r="I203" s="211"/>
      <c r="J203" s="212"/>
    </row>
    <row r="204" spans="2:10" s="151" customFormat="1" x14ac:dyDescent="0.25">
      <c r="B204" s="215"/>
      <c r="D204" s="209"/>
      <c r="E204" s="210"/>
      <c r="F204" s="232"/>
      <c r="G204" s="209"/>
      <c r="I204" s="211"/>
      <c r="J204" s="212"/>
    </row>
    <row r="205" spans="2:10" s="151" customFormat="1" x14ac:dyDescent="0.25">
      <c r="B205" s="215"/>
      <c r="D205" s="209"/>
      <c r="E205" s="210"/>
      <c r="F205" s="232"/>
      <c r="G205" s="209"/>
      <c r="I205" s="211"/>
      <c r="J205" s="212"/>
    </row>
    <row r="206" spans="2:10" s="151" customFormat="1" x14ac:dyDescent="0.25">
      <c r="B206" s="215"/>
      <c r="D206" s="209"/>
      <c r="E206" s="210"/>
      <c r="F206" s="232"/>
      <c r="G206" s="209"/>
      <c r="I206" s="211"/>
      <c r="J206" s="212"/>
    </row>
    <row r="207" spans="2:10" s="151" customFormat="1" x14ac:dyDescent="0.25">
      <c r="B207" s="215"/>
      <c r="D207" s="209"/>
      <c r="E207" s="210"/>
      <c r="F207" s="232"/>
      <c r="G207" s="209"/>
      <c r="I207" s="211"/>
      <c r="J207" s="212"/>
    </row>
    <row r="208" spans="2:10" s="151" customFormat="1" x14ac:dyDescent="0.25">
      <c r="B208" s="215"/>
      <c r="D208" s="209"/>
      <c r="E208" s="210"/>
      <c r="F208" s="232"/>
      <c r="G208" s="209"/>
      <c r="I208" s="211"/>
      <c r="J208" s="212"/>
    </row>
    <row r="209" spans="2:10" s="151" customFormat="1" x14ac:dyDescent="0.25">
      <c r="B209" s="215"/>
      <c r="D209" s="209"/>
      <c r="E209" s="210"/>
      <c r="F209" s="232"/>
      <c r="G209" s="209"/>
      <c r="I209" s="211"/>
      <c r="J209" s="212"/>
    </row>
    <row r="210" spans="2:10" s="151" customFormat="1" x14ac:dyDescent="0.25">
      <c r="B210" s="215"/>
      <c r="D210" s="209"/>
      <c r="E210" s="210"/>
      <c r="F210" s="232"/>
      <c r="G210" s="209"/>
      <c r="I210" s="211"/>
      <c r="J210" s="212"/>
    </row>
    <row r="211" spans="2:10" s="151" customFormat="1" x14ac:dyDescent="0.25">
      <c r="B211" s="215"/>
      <c r="D211" s="209"/>
      <c r="E211" s="210"/>
      <c r="F211" s="232"/>
      <c r="G211" s="209"/>
      <c r="I211" s="211"/>
      <c r="J211" s="212"/>
    </row>
    <row r="212" spans="2:10" s="151" customFormat="1" x14ac:dyDescent="0.25">
      <c r="B212" s="215"/>
      <c r="D212" s="209"/>
      <c r="E212" s="210"/>
      <c r="F212" s="232"/>
      <c r="G212" s="209"/>
      <c r="I212" s="211"/>
      <c r="J212" s="212"/>
    </row>
    <row r="213" spans="2:10" s="151" customFormat="1" x14ac:dyDescent="0.25">
      <c r="B213" s="215"/>
      <c r="D213" s="209"/>
      <c r="E213" s="210"/>
      <c r="F213" s="232"/>
      <c r="G213" s="209"/>
      <c r="I213" s="211"/>
      <c r="J213" s="212"/>
    </row>
    <row r="214" spans="2:10" s="151" customFormat="1" x14ac:dyDescent="0.25">
      <c r="B214" s="215"/>
      <c r="D214" s="209"/>
      <c r="E214" s="210"/>
      <c r="F214" s="232"/>
      <c r="G214" s="209"/>
      <c r="I214" s="211"/>
      <c r="J214" s="212"/>
    </row>
    <row r="215" spans="2:10" s="151" customFormat="1" x14ac:dyDescent="0.25">
      <c r="B215" s="215"/>
      <c r="D215" s="209"/>
      <c r="E215" s="210"/>
      <c r="F215" s="232"/>
      <c r="G215" s="209"/>
      <c r="I215" s="211"/>
      <c r="J215" s="212"/>
    </row>
    <row r="216" spans="2:10" s="151" customFormat="1" x14ac:dyDescent="0.25">
      <c r="B216" s="215"/>
      <c r="D216" s="209"/>
      <c r="E216" s="210"/>
      <c r="F216" s="232"/>
      <c r="G216" s="209"/>
      <c r="I216" s="211"/>
      <c r="J216" s="212"/>
    </row>
    <row r="217" spans="2:10" s="151" customFormat="1" x14ac:dyDescent="0.25">
      <c r="B217" s="215"/>
      <c r="D217" s="209"/>
      <c r="E217" s="210"/>
      <c r="F217" s="232"/>
      <c r="G217" s="209"/>
      <c r="I217" s="211"/>
      <c r="J217" s="212"/>
    </row>
    <row r="218" spans="2:10" s="151" customFormat="1" x14ac:dyDescent="0.25">
      <c r="B218" s="215"/>
      <c r="D218" s="209"/>
      <c r="E218" s="210"/>
      <c r="F218" s="232"/>
      <c r="G218" s="209"/>
      <c r="I218" s="211"/>
      <c r="J218" s="212"/>
    </row>
    <row r="219" spans="2:10" s="151" customFormat="1" x14ac:dyDescent="0.25">
      <c r="B219" s="215"/>
      <c r="D219" s="209"/>
      <c r="E219" s="210"/>
      <c r="F219" s="232"/>
      <c r="G219" s="209"/>
      <c r="I219" s="211"/>
      <c r="J219" s="212"/>
    </row>
    <row r="220" spans="2:10" s="151" customFormat="1" x14ac:dyDescent="0.25">
      <c r="B220" s="215"/>
      <c r="D220" s="209"/>
      <c r="E220" s="210"/>
      <c r="F220" s="232"/>
      <c r="G220" s="209"/>
      <c r="I220" s="211"/>
      <c r="J220" s="212"/>
    </row>
    <row r="221" spans="2:10" s="151" customFormat="1" x14ac:dyDescent="0.25">
      <c r="B221" s="215"/>
      <c r="D221" s="209"/>
      <c r="E221" s="210"/>
      <c r="F221" s="232"/>
      <c r="G221" s="209"/>
      <c r="I221" s="211"/>
      <c r="J221" s="212"/>
    </row>
    <row r="222" spans="2:10" s="151" customFormat="1" x14ac:dyDescent="0.25">
      <c r="B222" s="215"/>
      <c r="D222" s="209"/>
      <c r="E222" s="210"/>
      <c r="F222" s="232"/>
      <c r="G222" s="209"/>
      <c r="I222" s="211"/>
      <c r="J222" s="212"/>
    </row>
    <row r="223" spans="2:10" s="151" customFormat="1" x14ac:dyDescent="0.25">
      <c r="B223" s="215"/>
      <c r="D223" s="209"/>
      <c r="E223" s="210"/>
      <c r="F223" s="232"/>
      <c r="G223" s="209"/>
      <c r="I223" s="211"/>
      <c r="J223" s="212"/>
    </row>
    <row r="224" spans="2:10" s="151" customFormat="1" x14ac:dyDescent="0.25">
      <c r="B224" s="215"/>
      <c r="D224" s="209"/>
      <c r="E224" s="210"/>
      <c r="F224" s="232"/>
      <c r="G224" s="209"/>
      <c r="I224" s="211"/>
      <c r="J224" s="212"/>
    </row>
    <row r="225" spans="2:10" s="151" customFormat="1" x14ac:dyDescent="0.25">
      <c r="B225" s="215"/>
      <c r="D225" s="209"/>
      <c r="E225" s="210"/>
      <c r="F225" s="232"/>
      <c r="G225" s="209"/>
      <c r="I225" s="211"/>
      <c r="J225" s="212"/>
    </row>
    <row r="226" spans="2:10" s="151" customFormat="1" x14ac:dyDescent="0.25">
      <c r="B226" s="215"/>
      <c r="D226" s="209"/>
      <c r="E226" s="210"/>
      <c r="F226" s="232"/>
      <c r="G226" s="209"/>
      <c r="I226" s="211"/>
      <c r="J226" s="212"/>
    </row>
    <row r="227" spans="2:10" s="151" customFormat="1" x14ac:dyDescent="0.25">
      <c r="B227" s="215"/>
      <c r="D227" s="209"/>
      <c r="E227" s="210"/>
      <c r="F227" s="232"/>
      <c r="G227" s="209"/>
      <c r="I227" s="211"/>
      <c r="J227" s="212"/>
    </row>
    <row r="228" spans="2:10" s="151" customFormat="1" x14ac:dyDescent="0.25">
      <c r="B228" s="215"/>
      <c r="D228" s="209"/>
      <c r="E228" s="210"/>
      <c r="F228" s="232"/>
      <c r="G228" s="209"/>
      <c r="I228" s="211"/>
      <c r="J228" s="212"/>
    </row>
    <row r="229" spans="2:10" s="151" customFormat="1" x14ac:dyDescent="0.25">
      <c r="B229" s="215"/>
      <c r="D229" s="209"/>
      <c r="E229" s="210"/>
      <c r="F229" s="232"/>
      <c r="G229" s="209"/>
      <c r="I229" s="211"/>
      <c r="J229" s="212"/>
    </row>
    <row r="230" spans="2:10" s="151" customFormat="1" x14ac:dyDescent="0.25">
      <c r="B230" s="215"/>
      <c r="D230" s="209"/>
      <c r="E230" s="210"/>
      <c r="F230" s="232"/>
      <c r="G230" s="209"/>
      <c r="I230" s="211"/>
      <c r="J230" s="212"/>
    </row>
    <row r="231" spans="2:10" s="151" customFormat="1" x14ac:dyDescent="0.25">
      <c r="B231" s="215"/>
      <c r="D231" s="209"/>
      <c r="E231" s="210"/>
      <c r="F231" s="232"/>
      <c r="G231" s="209"/>
      <c r="I231" s="211"/>
      <c r="J231" s="212"/>
    </row>
    <row r="232" spans="2:10" s="151" customFormat="1" x14ac:dyDescent="0.25">
      <c r="B232" s="215"/>
      <c r="D232" s="209"/>
      <c r="E232" s="210"/>
      <c r="F232" s="232"/>
      <c r="G232" s="209"/>
      <c r="I232" s="211"/>
      <c r="J232" s="212"/>
    </row>
    <row r="233" spans="2:10" s="151" customFormat="1" x14ac:dyDescent="0.25">
      <c r="B233" s="215"/>
      <c r="D233" s="209"/>
      <c r="E233" s="210"/>
      <c r="F233" s="232"/>
      <c r="G233" s="209"/>
      <c r="I233" s="211"/>
      <c r="J233" s="212"/>
    </row>
    <row r="234" spans="2:10" s="151" customFormat="1" x14ac:dyDescent="0.25">
      <c r="B234" s="215"/>
      <c r="D234" s="209"/>
      <c r="E234" s="210"/>
      <c r="F234" s="232"/>
      <c r="G234" s="209"/>
      <c r="I234" s="211"/>
      <c r="J234" s="212"/>
    </row>
    <row r="235" spans="2:10" s="151" customFormat="1" x14ac:dyDescent="0.25">
      <c r="B235" s="215"/>
      <c r="D235" s="209"/>
      <c r="E235" s="210"/>
      <c r="F235" s="232"/>
      <c r="G235" s="209"/>
      <c r="I235" s="211"/>
      <c r="J235" s="212"/>
    </row>
    <row r="236" spans="2:10" s="151" customFormat="1" x14ac:dyDescent="0.25">
      <c r="B236" s="215"/>
      <c r="D236" s="209"/>
      <c r="E236" s="210"/>
      <c r="F236" s="232"/>
      <c r="G236" s="209"/>
      <c r="I236" s="211"/>
      <c r="J236" s="212"/>
    </row>
    <row r="237" spans="2:10" s="151" customFormat="1" x14ac:dyDescent="0.25">
      <c r="B237" s="215"/>
      <c r="D237" s="209"/>
      <c r="E237" s="210"/>
      <c r="F237" s="232"/>
      <c r="G237" s="209"/>
      <c r="I237" s="211"/>
      <c r="J237" s="212"/>
    </row>
    <row r="238" spans="2:10" s="151" customFormat="1" x14ac:dyDescent="0.25">
      <c r="B238" s="215"/>
      <c r="D238" s="209"/>
      <c r="E238" s="210"/>
      <c r="F238" s="232"/>
      <c r="G238" s="209"/>
      <c r="I238" s="211"/>
      <c r="J238" s="212"/>
    </row>
    <row r="239" spans="2:10" s="151" customFormat="1" x14ac:dyDescent="0.25">
      <c r="B239" s="215"/>
      <c r="D239" s="209"/>
      <c r="E239" s="210"/>
      <c r="F239" s="232"/>
      <c r="G239" s="209"/>
      <c r="I239" s="211"/>
      <c r="J239" s="212"/>
    </row>
    <row r="240" spans="2:10" s="151" customFormat="1" x14ac:dyDescent="0.25">
      <c r="B240" s="215"/>
      <c r="D240" s="209"/>
      <c r="E240" s="210"/>
      <c r="F240" s="232"/>
      <c r="G240" s="209"/>
      <c r="I240" s="211"/>
      <c r="J240" s="212"/>
    </row>
    <row r="241" spans="2:10" s="151" customFormat="1" x14ac:dyDescent="0.25">
      <c r="B241" s="215"/>
      <c r="D241" s="209"/>
      <c r="E241" s="210"/>
      <c r="F241" s="232"/>
      <c r="G241" s="209"/>
      <c r="I241" s="211"/>
      <c r="J241" s="212"/>
    </row>
    <row r="242" spans="2:10" s="151" customFormat="1" x14ac:dyDescent="0.25">
      <c r="B242" s="215"/>
      <c r="D242" s="209"/>
      <c r="E242" s="210"/>
      <c r="F242" s="232"/>
      <c r="G242" s="209"/>
      <c r="I242" s="211"/>
      <c r="J242" s="212"/>
    </row>
    <row r="243" spans="2:10" s="151" customFormat="1" x14ac:dyDescent="0.25">
      <c r="B243" s="215"/>
      <c r="D243" s="209"/>
      <c r="E243" s="210"/>
      <c r="F243" s="232"/>
      <c r="G243" s="209"/>
      <c r="I243" s="211"/>
      <c r="J243" s="212"/>
    </row>
    <row r="244" spans="2:10" s="151" customFormat="1" x14ac:dyDescent="0.25">
      <c r="B244" s="215"/>
      <c r="D244" s="209"/>
      <c r="E244" s="210"/>
      <c r="F244" s="232"/>
      <c r="G244" s="209"/>
      <c r="I244" s="211"/>
      <c r="J244" s="212"/>
    </row>
    <row r="245" spans="2:10" s="151" customFormat="1" x14ac:dyDescent="0.25">
      <c r="B245" s="215"/>
      <c r="D245" s="209"/>
      <c r="E245" s="210"/>
      <c r="F245" s="232"/>
      <c r="G245" s="209"/>
      <c r="I245" s="211"/>
      <c r="J245" s="212"/>
    </row>
    <row r="246" spans="2:10" s="151" customFormat="1" x14ac:dyDescent="0.25">
      <c r="B246" s="215"/>
      <c r="D246" s="209"/>
      <c r="E246" s="210"/>
      <c r="F246" s="232"/>
      <c r="G246" s="209"/>
      <c r="I246" s="211"/>
      <c r="J246" s="212"/>
    </row>
    <row r="247" spans="2:10" s="151" customFormat="1" x14ac:dyDescent="0.25">
      <c r="B247" s="215"/>
      <c r="D247" s="209"/>
      <c r="E247" s="210"/>
      <c r="F247" s="232"/>
      <c r="G247" s="209"/>
      <c r="I247" s="211"/>
      <c r="J247" s="212"/>
    </row>
    <row r="248" spans="2:10" s="151" customFormat="1" x14ac:dyDescent="0.25">
      <c r="B248" s="215"/>
      <c r="D248" s="209"/>
      <c r="E248" s="210"/>
      <c r="F248" s="232"/>
      <c r="G248" s="209"/>
      <c r="I248" s="211"/>
      <c r="J248" s="212"/>
    </row>
    <row r="249" spans="2:10" s="151" customFormat="1" x14ac:dyDescent="0.25">
      <c r="B249" s="215"/>
      <c r="D249" s="209"/>
      <c r="E249" s="210"/>
      <c r="F249" s="232"/>
      <c r="G249" s="209"/>
      <c r="I249" s="211"/>
      <c r="J249" s="212"/>
    </row>
    <row r="250" spans="2:10" s="151" customFormat="1" x14ac:dyDescent="0.25">
      <c r="B250" s="215"/>
      <c r="D250" s="209"/>
      <c r="E250" s="210"/>
      <c r="F250" s="232"/>
      <c r="G250" s="209"/>
      <c r="I250" s="211"/>
      <c r="J250" s="212"/>
    </row>
    <row r="251" spans="2:10" s="151" customFormat="1" x14ac:dyDescent="0.25">
      <c r="B251" s="215"/>
      <c r="D251" s="209"/>
      <c r="E251" s="210"/>
      <c r="F251" s="232"/>
      <c r="G251" s="209"/>
      <c r="I251" s="211"/>
      <c r="J251" s="212"/>
    </row>
    <row r="252" spans="2:10" s="151" customFormat="1" x14ac:dyDescent="0.25">
      <c r="B252" s="215"/>
      <c r="D252" s="209"/>
      <c r="E252" s="210"/>
      <c r="F252" s="232"/>
      <c r="G252" s="209"/>
      <c r="I252" s="211"/>
      <c r="J252" s="212"/>
    </row>
    <row r="253" spans="2:10" s="151" customFormat="1" x14ac:dyDescent="0.25">
      <c r="B253" s="215"/>
      <c r="D253" s="209"/>
      <c r="E253" s="210"/>
      <c r="F253" s="232"/>
      <c r="G253" s="209"/>
      <c r="I253" s="211"/>
      <c r="J253" s="212"/>
    </row>
    <row r="254" spans="2:10" s="151" customFormat="1" x14ac:dyDescent="0.25">
      <c r="B254" s="215"/>
      <c r="D254" s="209"/>
      <c r="E254" s="210"/>
      <c r="F254" s="232"/>
      <c r="G254" s="209"/>
      <c r="I254" s="211"/>
      <c r="J254" s="212"/>
    </row>
    <row r="255" spans="2:10" s="151" customFormat="1" x14ac:dyDescent="0.25">
      <c r="B255" s="215"/>
      <c r="D255" s="209"/>
      <c r="E255" s="210"/>
      <c r="F255" s="232"/>
      <c r="G255" s="209"/>
      <c r="I255" s="211"/>
      <c r="J255" s="212"/>
    </row>
    <row r="256" spans="2:10" s="151" customFormat="1" x14ac:dyDescent="0.25">
      <c r="B256" s="215"/>
      <c r="D256" s="209"/>
      <c r="E256" s="210"/>
      <c r="F256" s="232"/>
      <c r="G256" s="209"/>
      <c r="I256" s="211"/>
      <c r="J256" s="212"/>
    </row>
    <row r="257" spans="2:10" s="151" customFormat="1" x14ac:dyDescent="0.25">
      <c r="B257" s="215"/>
      <c r="D257" s="209"/>
      <c r="E257" s="210"/>
      <c r="F257" s="232"/>
      <c r="G257" s="209"/>
      <c r="I257" s="211"/>
      <c r="J257" s="212"/>
    </row>
    <row r="258" spans="2:10" s="151" customFormat="1" x14ac:dyDescent="0.25">
      <c r="B258" s="215"/>
      <c r="D258" s="209"/>
      <c r="E258" s="210"/>
      <c r="F258" s="232"/>
      <c r="G258" s="209"/>
      <c r="I258" s="211"/>
      <c r="J258" s="212"/>
    </row>
    <row r="259" spans="2:10" s="151" customFormat="1" x14ac:dyDescent="0.25">
      <c r="B259" s="215"/>
      <c r="D259" s="209"/>
      <c r="E259" s="210"/>
      <c r="F259" s="232"/>
      <c r="G259" s="209"/>
      <c r="I259" s="211"/>
      <c r="J259" s="212"/>
    </row>
    <row r="260" spans="2:10" s="151" customFormat="1" x14ac:dyDescent="0.25">
      <c r="B260" s="215"/>
      <c r="D260" s="209"/>
      <c r="E260" s="210"/>
      <c r="F260" s="232"/>
      <c r="G260" s="209"/>
      <c r="I260" s="211"/>
      <c r="J260" s="212"/>
    </row>
    <row r="261" spans="2:10" s="151" customFormat="1" x14ac:dyDescent="0.25">
      <c r="B261" s="215"/>
      <c r="D261" s="209"/>
      <c r="E261" s="210"/>
      <c r="F261" s="232"/>
      <c r="G261" s="209"/>
      <c r="I261" s="211"/>
      <c r="J261" s="212"/>
    </row>
    <row r="262" spans="2:10" s="151" customFormat="1" x14ac:dyDescent="0.25">
      <c r="B262" s="215"/>
      <c r="D262" s="209"/>
      <c r="E262" s="210"/>
      <c r="F262" s="232"/>
      <c r="G262" s="209"/>
      <c r="I262" s="211"/>
      <c r="J262" s="212"/>
    </row>
    <row r="263" spans="2:10" s="151" customFormat="1" x14ac:dyDescent="0.25">
      <c r="B263" s="215"/>
      <c r="D263" s="209"/>
      <c r="E263" s="210"/>
      <c r="F263" s="232"/>
      <c r="G263" s="209"/>
      <c r="I263" s="211"/>
      <c r="J263" s="212"/>
    </row>
    <row r="264" spans="2:10" s="151" customFormat="1" x14ac:dyDescent="0.25">
      <c r="B264" s="215"/>
      <c r="D264" s="209"/>
      <c r="E264" s="210"/>
      <c r="F264" s="232"/>
      <c r="G264" s="209"/>
      <c r="I264" s="211"/>
      <c r="J264" s="212"/>
    </row>
    <row r="265" spans="2:10" s="151" customFormat="1" x14ac:dyDescent="0.25">
      <c r="B265" s="215"/>
      <c r="D265" s="209"/>
      <c r="E265" s="210"/>
      <c r="F265" s="232"/>
      <c r="G265" s="209"/>
      <c r="I265" s="211"/>
      <c r="J265" s="212"/>
    </row>
    <row r="266" spans="2:10" s="151" customFormat="1" x14ac:dyDescent="0.25">
      <c r="B266" s="215"/>
      <c r="D266" s="209"/>
      <c r="E266" s="210"/>
      <c r="F266" s="232"/>
      <c r="G266" s="209"/>
      <c r="I266" s="211"/>
      <c r="J266" s="212"/>
    </row>
    <row r="267" spans="2:10" s="151" customFormat="1" x14ac:dyDescent="0.25">
      <c r="B267" s="215"/>
      <c r="D267" s="209"/>
      <c r="E267" s="210"/>
      <c r="F267" s="232"/>
      <c r="G267" s="209"/>
      <c r="I267" s="211"/>
      <c r="J267" s="212"/>
    </row>
    <row r="268" spans="2:10" s="151" customFormat="1" x14ac:dyDescent="0.25">
      <c r="B268" s="215"/>
      <c r="D268" s="209"/>
      <c r="E268" s="210"/>
      <c r="F268" s="232"/>
      <c r="G268" s="209"/>
      <c r="I268" s="211"/>
      <c r="J268" s="212"/>
    </row>
    <row r="269" spans="2:10" s="151" customFormat="1" x14ac:dyDescent="0.25">
      <c r="B269" s="215"/>
      <c r="D269" s="209"/>
      <c r="E269" s="210"/>
      <c r="F269" s="232"/>
      <c r="G269" s="209"/>
      <c r="I269" s="211"/>
      <c r="J269" s="212"/>
    </row>
    <row r="270" spans="2:10" s="151" customFormat="1" x14ac:dyDescent="0.25">
      <c r="B270" s="215"/>
      <c r="D270" s="209"/>
      <c r="E270" s="210"/>
      <c r="F270" s="232"/>
      <c r="G270" s="209"/>
      <c r="I270" s="211"/>
      <c r="J270" s="212"/>
    </row>
    <row r="271" spans="2:10" s="151" customFormat="1" x14ac:dyDescent="0.25">
      <c r="B271" s="215"/>
      <c r="D271" s="209"/>
      <c r="E271" s="210"/>
      <c r="F271" s="232"/>
      <c r="G271" s="209"/>
      <c r="I271" s="211"/>
      <c r="J271" s="212"/>
    </row>
    <row r="272" spans="2:10" s="151" customFormat="1" x14ac:dyDescent="0.25">
      <c r="B272" s="215"/>
      <c r="D272" s="209"/>
      <c r="E272" s="210"/>
      <c r="F272" s="232"/>
      <c r="G272" s="209"/>
      <c r="I272" s="211"/>
      <c r="J272" s="212"/>
    </row>
    <row r="273" spans="2:10" s="151" customFormat="1" x14ac:dyDescent="0.25">
      <c r="B273" s="215"/>
      <c r="D273" s="209"/>
      <c r="E273" s="210"/>
      <c r="F273" s="232"/>
      <c r="G273" s="209"/>
      <c r="I273" s="211"/>
      <c r="J273" s="212"/>
    </row>
    <row r="274" spans="2:10" s="151" customFormat="1" x14ac:dyDescent="0.25">
      <c r="B274" s="215"/>
      <c r="D274" s="209"/>
      <c r="E274" s="210"/>
      <c r="F274" s="232"/>
      <c r="G274" s="209"/>
      <c r="I274" s="211"/>
      <c r="J274" s="212"/>
    </row>
    <row r="275" spans="2:10" s="151" customFormat="1" x14ac:dyDescent="0.25">
      <c r="B275" s="215"/>
      <c r="D275" s="209"/>
      <c r="E275" s="210"/>
      <c r="F275" s="232"/>
      <c r="G275" s="209"/>
      <c r="I275" s="211"/>
      <c r="J275" s="212"/>
    </row>
    <row r="276" spans="2:10" s="151" customFormat="1" x14ac:dyDescent="0.25">
      <c r="B276" s="215"/>
      <c r="D276" s="209"/>
      <c r="E276" s="210"/>
      <c r="F276" s="232"/>
      <c r="G276" s="209"/>
      <c r="I276" s="211"/>
      <c r="J276" s="212"/>
    </row>
    <row r="277" spans="2:10" s="151" customFormat="1" x14ac:dyDescent="0.25">
      <c r="B277" s="215"/>
      <c r="D277" s="209"/>
      <c r="E277" s="210"/>
      <c r="F277" s="232"/>
      <c r="G277" s="209"/>
      <c r="I277" s="211"/>
      <c r="J277" s="212"/>
    </row>
    <row r="278" spans="2:10" s="151" customFormat="1" x14ac:dyDescent="0.25">
      <c r="B278" s="215"/>
      <c r="D278" s="209"/>
      <c r="E278" s="210"/>
      <c r="F278" s="232"/>
      <c r="G278" s="209"/>
      <c r="I278" s="211"/>
      <c r="J278" s="212"/>
    </row>
    <row r="279" spans="2:10" s="151" customFormat="1" x14ac:dyDescent="0.25">
      <c r="B279" s="215"/>
      <c r="D279" s="209"/>
      <c r="E279" s="210"/>
      <c r="F279" s="232"/>
      <c r="G279" s="209"/>
      <c r="I279" s="211"/>
      <c r="J279" s="212"/>
    </row>
    <row r="280" spans="2:10" s="151" customFormat="1" x14ac:dyDescent="0.25">
      <c r="B280" s="215"/>
      <c r="D280" s="209"/>
      <c r="E280" s="210"/>
      <c r="F280" s="232"/>
      <c r="G280" s="209"/>
      <c r="I280" s="211"/>
      <c r="J280" s="212"/>
    </row>
    <row r="281" spans="2:10" s="151" customFormat="1" x14ac:dyDescent="0.25">
      <c r="B281" s="215"/>
      <c r="D281" s="209"/>
      <c r="E281" s="210"/>
      <c r="F281" s="232"/>
      <c r="G281" s="209"/>
      <c r="I281" s="211"/>
      <c r="J281" s="212"/>
    </row>
    <row r="282" spans="2:10" s="151" customFormat="1" x14ac:dyDescent="0.25">
      <c r="B282" s="215"/>
      <c r="D282" s="209"/>
      <c r="E282" s="210"/>
      <c r="F282" s="232"/>
      <c r="G282" s="209"/>
      <c r="I282" s="211"/>
      <c r="J282" s="212"/>
    </row>
    <row r="283" spans="2:10" s="151" customFormat="1" x14ac:dyDescent="0.25">
      <c r="B283" s="215"/>
      <c r="D283" s="209"/>
      <c r="E283" s="210"/>
      <c r="F283" s="232"/>
      <c r="G283" s="209"/>
      <c r="I283" s="211"/>
      <c r="J283" s="212"/>
    </row>
    <row r="284" spans="2:10" s="151" customFormat="1" x14ac:dyDescent="0.25">
      <c r="B284" s="215"/>
      <c r="D284" s="209"/>
      <c r="E284" s="210"/>
      <c r="F284" s="232"/>
      <c r="G284" s="209"/>
      <c r="I284" s="211"/>
      <c r="J284" s="212"/>
    </row>
    <row r="285" spans="2:10" s="151" customFormat="1" x14ac:dyDescent="0.25">
      <c r="B285" s="215"/>
      <c r="D285" s="209"/>
      <c r="E285" s="210"/>
      <c r="F285" s="232"/>
      <c r="G285" s="209"/>
      <c r="I285" s="211"/>
      <c r="J285" s="212"/>
    </row>
    <row r="286" spans="2:10" s="151" customFormat="1" x14ac:dyDescent="0.25">
      <c r="B286" s="215"/>
      <c r="D286" s="209"/>
      <c r="E286" s="210"/>
      <c r="F286" s="232"/>
      <c r="G286" s="209"/>
      <c r="I286" s="211"/>
      <c r="J286" s="212"/>
    </row>
    <row r="287" spans="2:10" s="151" customFormat="1" x14ac:dyDescent="0.25">
      <c r="B287" s="215"/>
      <c r="D287" s="209"/>
      <c r="E287" s="210"/>
      <c r="F287" s="232"/>
      <c r="G287" s="209"/>
      <c r="I287" s="211"/>
      <c r="J287" s="212"/>
    </row>
    <row r="288" spans="2:10" s="151" customFormat="1" x14ac:dyDescent="0.25">
      <c r="B288" s="215"/>
      <c r="D288" s="209"/>
      <c r="E288" s="210"/>
      <c r="F288" s="232"/>
      <c r="G288" s="209"/>
      <c r="I288" s="211"/>
      <c r="J288" s="212"/>
    </row>
    <row r="289" spans="2:10" s="151" customFormat="1" x14ac:dyDescent="0.25">
      <c r="B289" s="215"/>
      <c r="D289" s="209"/>
      <c r="E289" s="210"/>
      <c r="F289" s="232"/>
      <c r="G289" s="209"/>
      <c r="I289" s="211"/>
      <c r="J289" s="212"/>
    </row>
    <row r="290" spans="2:10" s="151" customFormat="1" x14ac:dyDescent="0.25">
      <c r="B290" s="215"/>
      <c r="D290" s="209"/>
      <c r="E290" s="210"/>
      <c r="F290" s="232"/>
      <c r="G290" s="209"/>
      <c r="I290" s="211"/>
      <c r="J290" s="212"/>
    </row>
    <row r="291" spans="2:10" s="151" customFormat="1" x14ac:dyDescent="0.25">
      <c r="B291" s="215"/>
      <c r="D291" s="209"/>
      <c r="E291" s="210"/>
      <c r="F291" s="232"/>
      <c r="G291" s="209"/>
      <c r="I291" s="211"/>
      <c r="J291" s="212"/>
    </row>
    <row r="292" spans="2:10" s="151" customFormat="1" x14ac:dyDescent="0.25">
      <c r="B292" s="215"/>
      <c r="D292" s="209"/>
      <c r="E292" s="210"/>
      <c r="F292" s="232"/>
      <c r="G292" s="209"/>
      <c r="I292" s="211"/>
      <c r="J292" s="212"/>
    </row>
    <row r="293" spans="2:10" s="151" customFormat="1" x14ac:dyDescent="0.25">
      <c r="B293" s="215"/>
      <c r="D293" s="209"/>
      <c r="E293" s="210"/>
      <c r="F293" s="232"/>
      <c r="G293" s="209"/>
      <c r="I293" s="211"/>
      <c r="J293" s="212"/>
    </row>
    <row r="294" spans="2:10" s="151" customFormat="1" x14ac:dyDescent="0.25">
      <c r="B294" s="215"/>
      <c r="D294" s="209"/>
      <c r="E294" s="210"/>
      <c r="F294" s="232"/>
      <c r="G294" s="209"/>
      <c r="I294" s="211"/>
      <c r="J294" s="212"/>
    </row>
    <row r="295" spans="2:10" s="151" customFormat="1" x14ac:dyDescent="0.25">
      <c r="B295" s="215"/>
      <c r="D295" s="209"/>
      <c r="E295" s="210"/>
      <c r="F295" s="232"/>
      <c r="G295" s="209"/>
      <c r="I295" s="211"/>
      <c r="J295" s="212"/>
    </row>
    <row r="296" spans="2:10" s="151" customFormat="1" x14ac:dyDescent="0.25">
      <c r="B296" s="215"/>
      <c r="D296" s="209"/>
      <c r="E296" s="210"/>
      <c r="F296" s="232"/>
      <c r="G296" s="209"/>
      <c r="I296" s="211"/>
      <c r="J296" s="212"/>
    </row>
    <row r="297" spans="2:10" s="151" customFormat="1" x14ac:dyDescent="0.25">
      <c r="B297" s="215"/>
      <c r="D297" s="209"/>
      <c r="E297" s="210"/>
      <c r="F297" s="232"/>
      <c r="G297" s="209"/>
      <c r="I297" s="211"/>
      <c r="J297" s="212"/>
    </row>
    <row r="298" spans="2:10" s="151" customFormat="1" x14ac:dyDescent="0.25">
      <c r="B298" s="215"/>
      <c r="D298" s="209"/>
      <c r="E298" s="210"/>
      <c r="F298" s="232"/>
      <c r="G298" s="209"/>
      <c r="I298" s="211"/>
      <c r="J298" s="212"/>
    </row>
    <row r="299" spans="2:10" s="151" customFormat="1" x14ac:dyDescent="0.25">
      <c r="B299" s="215"/>
      <c r="D299" s="209"/>
      <c r="E299" s="210"/>
      <c r="F299" s="232"/>
      <c r="G299" s="209"/>
      <c r="I299" s="211"/>
      <c r="J299" s="212"/>
    </row>
    <row r="300" spans="2:10" s="151" customFormat="1" x14ac:dyDescent="0.25">
      <c r="B300" s="215"/>
      <c r="D300" s="209"/>
      <c r="E300" s="210"/>
      <c r="F300" s="232"/>
      <c r="G300" s="209"/>
      <c r="I300" s="211"/>
      <c r="J300" s="212"/>
    </row>
    <row r="301" spans="2:10" s="151" customFormat="1" x14ac:dyDescent="0.25">
      <c r="B301" s="215"/>
      <c r="D301" s="209"/>
      <c r="E301" s="210"/>
      <c r="F301" s="232"/>
      <c r="G301" s="209"/>
      <c r="I301" s="211"/>
      <c r="J301" s="212"/>
    </row>
    <row r="302" spans="2:10" s="151" customFormat="1" x14ac:dyDescent="0.25">
      <c r="B302" s="215"/>
      <c r="D302" s="209"/>
      <c r="E302" s="210"/>
      <c r="F302" s="232"/>
      <c r="G302" s="209"/>
      <c r="I302" s="211"/>
      <c r="J302" s="212"/>
    </row>
    <row r="303" spans="2:10" s="151" customFormat="1" x14ac:dyDescent="0.25">
      <c r="B303" s="215"/>
      <c r="D303" s="209"/>
      <c r="E303" s="210"/>
      <c r="F303" s="232"/>
      <c r="G303" s="209"/>
      <c r="I303" s="211"/>
      <c r="J303" s="212"/>
    </row>
    <row r="304" spans="2:10" s="151" customFormat="1" x14ac:dyDescent="0.25">
      <c r="B304" s="215"/>
      <c r="D304" s="209"/>
      <c r="E304" s="210"/>
      <c r="F304" s="232"/>
      <c r="G304" s="209"/>
      <c r="I304" s="211"/>
      <c r="J304" s="212"/>
    </row>
    <row r="305" spans="2:10" s="151" customFormat="1" x14ac:dyDescent="0.25">
      <c r="B305" s="215"/>
      <c r="D305" s="209"/>
      <c r="E305" s="210"/>
      <c r="F305" s="232"/>
      <c r="G305" s="209"/>
      <c r="I305" s="211"/>
      <c r="J305" s="212"/>
    </row>
    <row r="306" spans="2:10" s="151" customFormat="1" x14ac:dyDescent="0.25">
      <c r="B306" s="215"/>
      <c r="D306" s="209"/>
      <c r="E306" s="210"/>
      <c r="F306" s="232"/>
      <c r="G306" s="209"/>
      <c r="I306" s="211"/>
      <c r="J306" s="212"/>
    </row>
    <row r="307" spans="2:10" s="151" customFormat="1" x14ac:dyDescent="0.25">
      <c r="B307" s="215"/>
      <c r="D307" s="209"/>
      <c r="E307" s="210"/>
      <c r="F307" s="232"/>
      <c r="G307" s="209"/>
      <c r="I307" s="211"/>
      <c r="J307" s="212"/>
    </row>
    <row r="308" spans="2:10" s="151" customFormat="1" x14ac:dyDescent="0.25">
      <c r="B308" s="215"/>
      <c r="D308" s="209"/>
      <c r="E308" s="210"/>
      <c r="F308" s="232"/>
      <c r="G308" s="209"/>
      <c r="I308" s="211"/>
      <c r="J308" s="212"/>
    </row>
    <row r="309" spans="2:10" s="151" customFormat="1" x14ac:dyDescent="0.25">
      <c r="B309" s="215"/>
      <c r="D309" s="209"/>
      <c r="E309" s="210"/>
      <c r="F309" s="232"/>
      <c r="G309" s="209"/>
      <c r="I309" s="211"/>
      <c r="J309" s="212"/>
    </row>
    <row r="310" spans="2:10" s="151" customFormat="1" x14ac:dyDescent="0.25">
      <c r="B310" s="215"/>
      <c r="D310" s="209"/>
      <c r="E310" s="210"/>
      <c r="F310" s="232"/>
      <c r="G310" s="209"/>
      <c r="I310" s="211"/>
      <c r="J310" s="212"/>
    </row>
    <row r="311" spans="2:10" s="151" customFormat="1" x14ac:dyDescent="0.25">
      <c r="B311" s="215"/>
      <c r="D311" s="209"/>
      <c r="E311" s="210"/>
      <c r="F311" s="232"/>
      <c r="G311" s="209"/>
      <c r="I311" s="211"/>
      <c r="J311" s="212"/>
    </row>
    <row r="312" spans="2:10" s="151" customFormat="1" x14ac:dyDescent="0.25">
      <c r="B312" s="215"/>
      <c r="D312" s="209"/>
      <c r="E312" s="210"/>
      <c r="F312" s="232"/>
      <c r="G312" s="209"/>
      <c r="I312" s="211"/>
      <c r="J312" s="212"/>
    </row>
    <row r="313" spans="2:10" s="151" customFormat="1" x14ac:dyDescent="0.25">
      <c r="B313" s="215"/>
      <c r="D313" s="209"/>
      <c r="E313" s="210"/>
      <c r="F313" s="232"/>
      <c r="G313" s="209"/>
      <c r="I313" s="211"/>
      <c r="J313" s="212"/>
    </row>
    <row r="314" spans="2:10" s="151" customFormat="1" x14ac:dyDescent="0.25">
      <c r="B314" s="215"/>
      <c r="D314" s="209"/>
      <c r="E314" s="210"/>
      <c r="F314" s="232"/>
      <c r="G314" s="209"/>
      <c r="I314" s="211"/>
      <c r="J314" s="212"/>
    </row>
    <row r="315" spans="2:10" s="151" customFormat="1" x14ac:dyDescent="0.25">
      <c r="B315" s="215"/>
      <c r="D315" s="209"/>
      <c r="E315" s="210"/>
      <c r="F315" s="232"/>
      <c r="G315" s="209"/>
      <c r="I315" s="211"/>
      <c r="J315" s="212"/>
    </row>
    <row r="316" spans="2:10" s="151" customFormat="1" x14ac:dyDescent="0.25">
      <c r="B316" s="215"/>
      <c r="D316" s="209"/>
      <c r="E316" s="210"/>
      <c r="F316" s="232"/>
      <c r="G316" s="209"/>
      <c r="I316" s="211"/>
      <c r="J316" s="212"/>
    </row>
    <row r="317" spans="2:10" s="151" customFormat="1" x14ac:dyDescent="0.25">
      <c r="B317" s="215"/>
      <c r="D317" s="209"/>
      <c r="E317" s="210"/>
      <c r="F317" s="232"/>
      <c r="G317" s="209"/>
      <c r="I317" s="211"/>
      <c r="J317" s="212"/>
    </row>
    <row r="318" spans="2:10" s="151" customFormat="1" x14ac:dyDescent="0.25">
      <c r="B318" s="215"/>
      <c r="D318" s="209"/>
      <c r="E318" s="210"/>
      <c r="F318" s="232"/>
      <c r="G318" s="209"/>
      <c r="I318" s="211"/>
      <c r="J318" s="212"/>
    </row>
    <row r="319" spans="2:10" s="151" customFormat="1" x14ac:dyDescent="0.25">
      <c r="B319" s="215"/>
      <c r="D319" s="209"/>
      <c r="E319" s="210"/>
      <c r="F319" s="232"/>
      <c r="G319" s="209"/>
      <c r="I319" s="211"/>
      <c r="J319" s="212"/>
    </row>
    <row r="320" spans="2:10" s="151" customFormat="1" x14ac:dyDescent="0.25">
      <c r="B320" s="215"/>
      <c r="D320" s="209"/>
      <c r="E320" s="210"/>
      <c r="F320" s="232"/>
      <c r="G320" s="209"/>
      <c r="I320" s="211"/>
      <c r="J320" s="212"/>
    </row>
    <row r="321" spans="2:10" s="151" customFormat="1" x14ac:dyDescent="0.25">
      <c r="B321" s="215"/>
      <c r="D321" s="209"/>
      <c r="E321" s="210"/>
      <c r="F321" s="232"/>
      <c r="G321" s="209"/>
      <c r="I321" s="211"/>
      <c r="J321" s="212"/>
    </row>
    <row r="322" spans="2:10" s="151" customFormat="1" x14ac:dyDescent="0.25">
      <c r="B322" s="215"/>
      <c r="D322" s="209"/>
      <c r="E322" s="210"/>
      <c r="F322" s="232"/>
      <c r="G322" s="209"/>
      <c r="I322" s="211"/>
      <c r="J322" s="212"/>
    </row>
    <row r="323" spans="2:10" s="151" customFormat="1" x14ac:dyDescent="0.25">
      <c r="B323" s="215"/>
      <c r="D323" s="209"/>
      <c r="E323" s="210"/>
      <c r="F323" s="232"/>
      <c r="G323" s="209"/>
      <c r="I323" s="211"/>
      <c r="J323" s="212"/>
    </row>
    <row r="324" spans="2:10" s="151" customFormat="1" x14ac:dyDescent="0.25">
      <c r="B324" s="215"/>
      <c r="D324" s="209"/>
      <c r="E324" s="210"/>
      <c r="F324" s="232"/>
      <c r="G324" s="209"/>
      <c r="I324" s="211"/>
      <c r="J324" s="212"/>
    </row>
    <row r="325" spans="2:10" s="151" customFormat="1" x14ac:dyDescent="0.25">
      <c r="B325" s="215"/>
      <c r="D325" s="209"/>
      <c r="E325" s="210"/>
      <c r="F325" s="232"/>
      <c r="G325" s="209"/>
      <c r="I325" s="211"/>
      <c r="J325" s="212"/>
    </row>
    <row r="326" spans="2:10" s="151" customFormat="1" x14ac:dyDescent="0.25">
      <c r="B326" s="215"/>
      <c r="D326" s="209"/>
      <c r="E326" s="210"/>
      <c r="F326" s="232"/>
      <c r="G326" s="209"/>
      <c r="I326" s="211"/>
      <c r="J326" s="212"/>
    </row>
    <row r="327" spans="2:10" s="151" customFormat="1" x14ac:dyDescent="0.25">
      <c r="B327" s="215"/>
      <c r="D327" s="209"/>
      <c r="E327" s="210"/>
      <c r="F327" s="232"/>
      <c r="G327" s="209"/>
      <c r="I327" s="211"/>
      <c r="J327" s="212"/>
    </row>
    <row r="328" spans="2:10" s="151" customFormat="1" x14ac:dyDescent="0.25">
      <c r="B328" s="215"/>
      <c r="D328" s="209"/>
      <c r="E328" s="210"/>
      <c r="F328" s="232"/>
      <c r="G328" s="209"/>
      <c r="I328" s="211"/>
      <c r="J328" s="212"/>
    </row>
    <row r="329" spans="2:10" s="151" customFormat="1" x14ac:dyDescent="0.25">
      <c r="B329" s="215"/>
      <c r="D329" s="209"/>
      <c r="E329" s="210"/>
      <c r="F329" s="232"/>
      <c r="G329" s="209"/>
      <c r="I329" s="211"/>
      <c r="J329" s="212"/>
    </row>
    <row r="330" spans="2:10" s="151" customFormat="1" x14ac:dyDescent="0.25">
      <c r="B330" s="215"/>
      <c r="D330" s="209"/>
      <c r="E330" s="210"/>
      <c r="F330" s="232"/>
      <c r="G330" s="209"/>
      <c r="I330" s="211"/>
      <c r="J330" s="212"/>
    </row>
    <row r="331" spans="2:10" s="151" customFormat="1" x14ac:dyDescent="0.25">
      <c r="B331" s="215"/>
      <c r="D331" s="209"/>
      <c r="E331" s="210"/>
      <c r="F331" s="232"/>
      <c r="G331" s="209"/>
      <c r="I331" s="211"/>
      <c r="J331" s="212"/>
    </row>
    <row r="332" spans="2:10" s="151" customFormat="1" x14ac:dyDescent="0.25">
      <c r="B332" s="215"/>
      <c r="D332" s="209"/>
      <c r="E332" s="210"/>
      <c r="F332" s="232"/>
      <c r="G332" s="209"/>
      <c r="I332" s="211"/>
      <c r="J332" s="212"/>
    </row>
    <row r="333" spans="2:10" s="151" customFormat="1" x14ac:dyDescent="0.25">
      <c r="B333" s="215"/>
      <c r="D333" s="209"/>
      <c r="E333" s="210"/>
      <c r="F333" s="232"/>
      <c r="G333" s="209"/>
      <c r="I333" s="211"/>
      <c r="J333" s="212"/>
    </row>
    <row r="334" spans="2:10" s="151" customFormat="1" x14ac:dyDescent="0.25">
      <c r="B334" s="215"/>
      <c r="D334" s="209"/>
      <c r="E334" s="210"/>
      <c r="F334" s="232"/>
      <c r="G334" s="209"/>
      <c r="I334" s="211"/>
      <c r="J334" s="212"/>
    </row>
    <row r="335" spans="2:10" s="151" customFormat="1" x14ac:dyDescent="0.25">
      <c r="B335" s="215"/>
      <c r="D335" s="209"/>
      <c r="E335" s="210"/>
      <c r="F335" s="232"/>
      <c r="G335" s="209"/>
      <c r="I335" s="211"/>
      <c r="J335" s="212"/>
    </row>
    <row r="336" spans="2:10" s="151" customFormat="1" x14ac:dyDescent="0.25">
      <c r="B336" s="215"/>
      <c r="D336" s="209"/>
      <c r="E336" s="210"/>
      <c r="F336" s="232"/>
      <c r="G336" s="209"/>
      <c r="I336" s="211"/>
      <c r="J336" s="212"/>
    </row>
    <row r="337" spans="2:10" s="151" customFormat="1" x14ac:dyDescent="0.25">
      <c r="B337" s="215"/>
      <c r="D337" s="209"/>
      <c r="E337" s="210"/>
      <c r="F337" s="232"/>
      <c r="G337" s="209"/>
      <c r="I337" s="211"/>
      <c r="J337" s="212"/>
    </row>
    <row r="338" spans="2:10" s="151" customFormat="1" x14ac:dyDescent="0.25">
      <c r="B338" s="215"/>
      <c r="D338" s="209"/>
      <c r="E338" s="210"/>
      <c r="F338" s="232"/>
      <c r="G338" s="209"/>
      <c r="I338" s="211"/>
      <c r="J338" s="212"/>
    </row>
    <row r="339" spans="2:10" s="151" customFormat="1" x14ac:dyDescent="0.25">
      <c r="B339" s="215"/>
      <c r="D339" s="209"/>
      <c r="E339" s="210"/>
      <c r="F339" s="232"/>
      <c r="G339" s="209"/>
      <c r="I339" s="211"/>
      <c r="J339" s="212"/>
    </row>
    <row r="340" spans="2:10" s="151" customFormat="1" x14ac:dyDescent="0.25">
      <c r="B340" s="215"/>
      <c r="D340" s="209"/>
      <c r="E340" s="210"/>
      <c r="F340" s="232"/>
      <c r="G340" s="209"/>
      <c r="I340" s="211"/>
      <c r="J340" s="212"/>
    </row>
    <row r="341" spans="2:10" s="151" customFormat="1" x14ac:dyDescent="0.25">
      <c r="B341" s="215"/>
      <c r="D341" s="209"/>
      <c r="E341" s="210"/>
      <c r="F341" s="232"/>
      <c r="G341" s="209"/>
      <c r="I341" s="211"/>
      <c r="J341" s="212"/>
    </row>
    <row r="342" spans="2:10" s="151" customFormat="1" x14ac:dyDescent="0.25">
      <c r="B342" s="215"/>
      <c r="D342" s="209"/>
      <c r="E342" s="210"/>
      <c r="F342" s="232"/>
      <c r="G342" s="209"/>
      <c r="I342" s="211"/>
      <c r="J342" s="212"/>
    </row>
    <row r="343" spans="2:10" s="151" customFormat="1" x14ac:dyDescent="0.25">
      <c r="B343" s="215"/>
      <c r="D343" s="209"/>
      <c r="E343" s="210"/>
      <c r="F343" s="232"/>
      <c r="G343" s="209"/>
      <c r="I343" s="211"/>
      <c r="J343" s="212"/>
    </row>
    <row r="344" spans="2:10" s="151" customFormat="1" x14ac:dyDescent="0.25">
      <c r="B344" s="215"/>
      <c r="D344" s="209"/>
      <c r="E344" s="210"/>
      <c r="F344" s="232"/>
      <c r="G344" s="209"/>
      <c r="I344" s="211"/>
      <c r="J344" s="212"/>
    </row>
    <row r="345" spans="2:10" s="151" customFormat="1" x14ac:dyDescent="0.25">
      <c r="B345" s="215"/>
      <c r="D345" s="209"/>
      <c r="E345" s="210"/>
      <c r="F345" s="232"/>
      <c r="G345" s="209"/>
      <c r="I345" s="211"/>
      <c r="J345" s="212"/>
    </row>
    <row r="346" spans="2:10" s="151" customFormat="1" x14ac:dyDescent="0.25">
      <c r="B346" s="215"/>
      <c r="D346" s="209"/>
      <c r="E346" s="210"/>
      <c r="F346" s="232"/>
      <c r="G346" s="209"/>
      <c r="I346" s="211"/>
      <c r="J346" s="212"/>
    </row>
    <row r="347" spans="2:10" s="151" customFormat="1" x14ac:dyDescent="0.25">
      <c r="B347" s="215"/>
      <c r="D347" s="209"/>
      <c r="E347" s="210"/>
      <c r="F347" s="232"/>
      <c r="G347" s="209"/>
      <c r="I347" s="211"/>
      <c r="J347" s="212"/>
    </row>
    <row r="348" spans="2:10" s="151" customFormat="1" x14ac:dyDescent="0.25">
      <c r="B348" s="215"/>
      <c r="D348" s="209"/>
      <c r="E348" s="210"/>
      <c r="F348" s="232"/>
      <c r="G348" s="209"/>
      <c r="I348" s="211"/>
      <c r="J348" s="212"/>
    </row>
    <row r="349" spans="2:10" s="151" customFormat="1" x14ac:dyDescent="0.25">
      <c r="B349" s="215"/>
      <c r="D349" s="209"/>
      <c r="E349" s="210"/>
      <c r="F349" s="232"/>
      <c r="G349" s="209"/>
      <c r="I349" s="211"/>
      <c r="J349" s="212"/>
    </row>
    <row r="350" spans="2:10" s="151" customFormat="1" x14ac:dyDescent="0.25">
      <c r="B350" s="215"/>
      <c r="D350" s="209"/>
      <c r="E350" s="210"/>
      <c r="F350" s="232"/>
      <c r="G350" s="209"/>
      <c r="I350" s="211"/>
      <c r="J350" s="212"/>
    </row>
    <row r="351" spans="2:10" s="151" customFormat="1" x14ac:dyDescent="0.25">
      <c r="B351" s="215"/>
      <c r="D351" s="209"/>
      <c r="E351" s="210"/>
      <c r="F351" s="232"/>
      <c r="G351" s="209"/>
      <c r="I351" s="211"/>
      <c r="J351" s="212"/>
    </row>
    <row r="352" spans="2:10" s="151" customFormat="1" x14ac:dyDescent="0.25">
      <c r="B352" s="215"/>
      <c r="D352" s="209"/>
      <c r="E352" s="210"/>
      <c r="F352" s="232"/>
      <c r="G352" s="209"/>
      <c r="I352" s="211"/>
      <c r="J352" s="212"/>
    </row>
    <row r="353" spans="2:10" s="151" customFormat="1" x14ac:dyDescent="0.25">
      <c r="B353" s="215"/>
      <c r="D353" s="209"/>
      <c r="E353" s="210"/>
      <c r="F353" s="232"/>
      <c r="G353" s="209"/>
      <c r="I353" s="211"/>
      <c r="J353" s="212"/>
    </row>
    <row r="354" spans="2:10" s="151" customFormat="1" x14ac:dyDescent="0.25">
      <c r="B354" s="215"/>
      <c r="D354" s="209"/>
      <c r="E354" s="210"/>
      <c r="F354" s="232"/>
      <c r="G354" s="209"/>
      <c r="I354" s="211"/>
      <c r="J354" s="212"/>
    </row>
    <row r="355" spans="2:10" s="151" customFormat="1" x14ac:dyDescent="0.25">
      <c r="B355" s="215"/>
      <c r="D355" s="209"/>
      <c r="E355" s="210"/>
      <c r="F355" s="232"/>
      <c r="G355" s="209"/>
      <c r="I355" s="211"/>
      <c r="J355" s="212"/>
    </row>
    <row r="356" spans="2:10" s="151" customFormat="1" x14ac:dyDescent="0.25">
      <c r="B356" s="215"/>
      <c r="D356" s="209"/>
      <c r="E356" s="210"/>
      <c r="F356" s="232"/>
      <c r="G356" s="209"/>
      <c r="I356" s="211"/>
      <c r="J356" s="212"/>
    </row>
    <row r="357" spans="2:10" s="151" customFormat="1" x14ac:dyDescent="0.25">
      <c r="B357" s="215"/>
      <c r="D357" s="209"/>
      <c r="E357" s="210"/>
      <c r="F357" s="232"/>
      <c r="G357" s="209"/>
      <c r="I357" s="211"/>
      <c r="J357" s="212"/>
    </row>
    <row r="358" spans="2:10" s="151" customFormat="1" x14ac:dyDescent="0.25">
      <c r="B358" s="215"/>
      <c r="D358" s="209"/>
      <c r="E358" s="210"/>
      <c r="F358" s="232"/>
      <c r="G358" s="209"/>
      <c r="I358" s="211"/>
      <c r="J358" s="212"/>
    </row>
    <row r="359" spans="2:10" s="151" customFormat="1" x14ac:dyDescent="0.25">
      <c r="B359" s="215"/>
      <c r="D359" s="209"/>
      <c r="E359" s="210"/>
      <c r="F359" s="232"/>
      <c r="G359" s="209"/>
      <c r="I359" s="211"/>
      <c r="J359" s="212"/>
    </row>
    <row r="360" spans="2:10" s="151" customFormat="1" x14ac:dyDescent="0.25">
      <c r="B360" s="215"/>
      <c r="D360" s="209"/>
      <c r="E360" s="210"/>
      <c r="F360" s="232"/>
      <c r="G360" s="209"/>
      <c r="I360" s="211"/>
      <c r="J360" s="212"/>
    </row>
    <row r="361" spans="2:10" s="151" customFormat="1" x14ac:dyDescent="0.25">
      <c r="B361" s="215"/>
      <c r="D361" s="209"/>
      <c r="E361" s="210"/>
      <c r="F361" s="232"/>
      <c r="G361" s="209"/>
      <c r="I361" s="211"/>
      <c r="J361" s="212"/>
    </row>
    <row r="362" spans="2:10" s="151" customFormat="1" x14ac:dyDescent="0.25">
      <c r="B362" s="215"/>
      <c r="D362" s="209"/>
      <c r="E362" s="210"/>
      <c r="F362" s="232"/>
      <c r="G362" s="209"/>
      <c r="I362" s="211"/>
      <c r="J362" s="212"/>
    </row>
    <row r="363" spans="2:10" s="151" customFormat="1" x14ac:dyDescent="0.25">
      <c r="B363" s="215"/>
      <c r="D363" s="209"/>
      <c r="E363" s="210"/>
      <c r="F363" s="232"/>
      <c r="G363" s="209"/>
      <c r="I363" s="211"/>
      <c r="J363" s="212"/>
    </row>
    <row r="364" spans="2:10" s="151" customFormat="1" x14ac:dyDescent="0.25">
      <c r="B364" s="215"/>
      <c r="D364" s="209"/>
      <c r="E364" s="210"/>
      <c r="F364" s="232"/>
      <c r="G364" s="209"/>
      <c r="I364" s="211"/>
      <c r="J364" s="212"/>
    </row>
    <row r="365" spans="2:10" s="151" customFormat="1" x14ac:dyDescent="0.25">
      <c r="B365" s="215"/>
      <c r="D365" s="209"/>
      <c r="E365" s="210"/>
      <c r="F365" s="232"/>
      <c r="G365" s="209"/>
      <c r="I365" s="211"/>
      <c r="J365" s="212"/>
    </row>
    <row r="366" spans="2:10" s="151" customFormat="1" x14ac:dyDescent="0.25">
      <c r="B366" s="215"/>
      <c r="D366" s="209"/>
      <c r="E366" s="210"/>
      <c r="F366" s="232"/>
      <c r="G366" s="209"/>
      <c r="I366" s="211"/>
      <c r="J366" s="212"/>
    </row>
    <row r="367" spans="2:10" s="151" customFormat="1" x14ac:dyDescent="0.25">
      <c r="B367" s="215"/>
      <c r="D367" s="209"/>
      <c r="E367" s="210"/>
      <c r="F367" s="232"/>
      <c r="G367" s="209"/>
      <c r="I367" s="211"/>
      <c r="J367" s="212"/>
    </row>
    <row r="368" spans="2:10" s="151" customFormat="1" x14ac:dyDescent="0.25">
      <c r="B368" s="215"/>
      <c r="D368" s="209"/>
      <c r="E368" s="210"/>
      <c r="F368" s="232"/>
      <c r="G368" s="209"/>
      <c r="I368" s="211"/>
      <c r="J368" s="212"/>
    </row>
    <row r="369" spans="2:10" s="151" customFormat="1" x14ac:dyDescent="0.25">
      <c r="B369" s="215"/>
      <c r="D369" s="209"/>
      <c r="E369" s="210"/>
      <c r="F369" s="232"/>
      <c r="G369" s="209"/>
      <c r="I369" s="211"/>
      <c r="J369" s="212"/>
    </row>
    <row r="370" spans="2:10" s="151" customFormat="1" x14ac:dyDescent="0.25">
      <c r="B370" s="215"/>
      <c r="D370" s="209"/>
      <c r="E370" s="210"/>
      <c r="F370" s="232"/>
      <c r="G370" s="209"/>
      <c r="I370" s="211"/>
      <c r="J370" s="212"/>
    </row>
    <row r="371" spans="2:10" s="151" customFormat="1" x14ac:dyDescent="0.25">
      <c r="B371" s="215"/>
      <c r="D371" s="209"/>
      <c r="E371" s="210"/>
      <c r="F371" s="232"/>
      <c r="G371" s="209"/>
      <c r="I371" s="211"/>
      <c r="J371" s="212"/>
    </row>
    <row r="372" spans="2:10" s="151" customFormat="1" x14ac:dyDescent="0.25">
      <c r="B372" s="215"/>
      <c r="D372" s="209"/>
      <c r="E372" s="210"/>
      <c r="F372" s="232"/>
      <c r="G372" s="209"/>
      <c r="I372" s="211"/>
      <c r="J372" s="212"/>
    </row>
    <row r="373" spans="2:10" s="151" customFormat="1" x14ac:dyDescent="0.25">
      <c r="B373" s="215"/>
      <c r="D373" s="209"/>
      <c r="E373" s="210"/>
      <c r="F373" s="232"/>
      <c r="G373" s="209"/>
      <c r="I373" s="211"/>
      <c r="J373" s="212"/>
    </row>
    <row r="374" spans="2:10" s="151" customFormat="1" x14ac:dyDescent="0.25">
      <c r="B374" s="215"/>
      <c r="D374" s="209"/>
      <c r="E374" s="210"/>
      <c r="F374" s="232"/>
      <c r="G374" s="209"/>
      <c r="I374" s="211"/>
      <c r="J374" s="212"/>
    </row>
    <row r="375" spans="2:10" s="151" customFormat="1" x14ac:dyDescent="0.25">
      <c r="B375" s="215"/>
      <c r="D375" s="209"/>
      <c r="E375" s="210"/>
      <c r="F375" s="232"/>
      <c r="G375" s="209"/>
      <c r="I375" s="211"/>
      <c r="J375" s="212"/>
    </row>
    <row r="376" spans="2:10" s="151" customFormat="1" x14ac:dyDescent="0.25">
      <c r="B376" s="215"/>
      <c r="D376" s="209"/>
      <c r="E376" s="210"/>
      <c r="F376" s="232"/>
      <c r="G376" s="209"/>
      <c r="I376" s="211"/>
      <c r="J376" s="212"/>
    </row>
    <row r="377" spans="2:10" s="151" customFormat="1" x14ac:dyDescent="0.25">
      <c r="B377" s="215"/>
      <c r="D377" s="209"/>
      <c r="E377" s="210"/>
      <c r="F377" s="232"/>
      <c r="G377" s="209"/>
      <c r="I377" s="211"/>
      <c r="J377" s="212"/>
    </row>
    <row r="378" spans="2:10" s="151" customFormat="1" x14ac:dyDescent="0.25">
      <c r="B378" s="215"/>
      <c r="D378" s="209"/>
      <c r="E378" s="210"/>
      <c r="F378" s="232"/>
      <c r="G378" s="209"/>
      <c r="I378" s="211"/>
      <c r="J378" s="212"/>
    </row>
    <row r="379" spans="2:10" s="151" customFormat="1" x14ac:dyDescent="0.25">
      <c r="B379" s="215"/>
      <c r="D379" s="209"/>
      <c r="E379" s="210"/>
      <c r="F379" s="232"/>
      <c r="G379" s="209"/>
      <c r="I379" s="211"/>
      <c r="J379" s="212"/>
    </row>
    <row r="380" spans="2:10" s="151" customFormat="1" x14ac:dyDescent="0.25">
      <c r="B380" s="215"/>
      <c r="D380" s="209"/>
      <c r="E380" s="210"/>
      <c r="F380" s="232"/>
      <c r="G380" s="209"/>
      <c r="I380" s="211"/>
      <c r="J380" s="212"/>
    </row>
    <row r="381" spans="2:10" s="151" customFormat="1" x14ac:dyDescent="0.25">
      <c r="B381" s="215"/>
      <c r="D381" s="209"/>
      <c r="E381" s="210"/>
      <c r="F381" s="232"/>
      <c r="G381" s="209"/>
      <c r="I381" s="211"/>
      <c r="J381" s="212"/>
    </row>
    <row r="382" spans="2:10" s="151" customFormat="1" x14ac:dyDescent="0.25">
      <c r="B382" s="215"/>
      <c r="D382" s="209"/>
      <c r="E382" s="210"/>
      <c r="F382" s="232"/>
      <c r="G382" s="209"/>
      <c r="I382" s="211"/>
      <c r="J382" s="212"/>
    </row>
    <row r="383" spans="2:10" s="151" customFormat="1" x14ac:dyDescent="0.25">
      <c r="B383" s="215"/>
      <c r="D383" s="209"/>
      <c r="E383" s="210"/>
      <c r="F383" s="232"/>
      <c r="G383" s="209"/>
      <c r="I383" s="211"/>
      <c r="J383" s="212"/>
    </row>
    <row r="384" spans="2:10" s="151" customFormat="1" x14ac:dyDescent="0.25">
      <c r="B384" s="215"/>
      <c r="D384" s="209"/>
      <c r="E384" s="210"/>
      <c r="F384" s="232"/>
      <c r="G384" s="209"/>
      <c r="I384" s="211"/>
      <c r="J384" s="212"/>
    </row>
    <row r="385" spans="2:10" s="151" customFormat="1" x14ac:dyDescent="0.25">
      <c r="B385" s="215"/>
      <c r="D385" s="209"/>
      <c r="E385" s="210"/>
      <c r="F385" s="232"/>
      <c r="G385" s="209"/>
      <c r="I385" s="211"/>
      <c r="J385" s="212"/>
    </row>
    <row r="386" spans="2:10" s="151" customFormat="1" x14ac:dyDescent="0.25">
      <c r="B386" s="215"/>
      <c r="D386" s="209"/>
      <c r="E386" s="210"/>
      <c r="F386" s="232"/>
      <c r="G386" s="209"/>
      <c r="I386" s="211"/>
      <c r="J386" s="212"/>
    </row>
    <row r="387" spans="2:10" s="151" customFormat="1" x14ac:dyDescent="0.25">
      <c r="B387" s="215"/>
      <c r="D387" s="209"/>
      <c r="E387" s="210"/>
      <c r="F387" s="232"/>
      <c r="G387" s="209"/>
      <c r="I387" s="211"/>
      <c r="J387" s="212"/>
    </row>
    <row r="388" spans="2:10" s="151" customFormat="1" x14ac:dyDescent="0.25">
      <c r="B388" s="215"/>
      <c r="D388" s="209"/>
      <c r="E388" s="210"/>
      <c r="F388" s="232"/>
      <c r="G388" s="209"/>
      <c r="I388" s="211"/>
      <c r="J388" s="212"/>
    </row>
    <row r="389" spans="2:10" s="151" customFormat="1" x14ac:dyDescent="0.25">
      <c r="B389" s="215"/>
      <c r="D389" s="209"/>
      <c r="E389" s="210"/>
      <c r="F389" s="232"/>
      <c r="G389" s="209"/>
      <c r="I389" s="211"/>
      <c r="J389" s="212"/>
    </row>
    <row r="390" spans="2:10" s="151" customFormat="1" x14ac:dyDescent="0.25">
      <c r="B390" s="215"/>
      <c r="D390" s="209"/>
      <c r="E390" s="210"/>
      <c r="F390" s="232"/>
      <c r="G390" s="209"/>
      <c r="I390" s="211"/>
      <c r="J390" s="212"/>
    </row>
    <row r="391" spans="2:10" s="151" customFormat="1" x14ac:dyDescent="0.25">
      <c r="B391" s="215"/>
      <c r="D391" s="209"/>
      <c r="E391" s="210"/>
      <c r="F391" s="232"/>
      <c r="G391" s="209"/>
      <c r="I391" s="211"/>
      <c r="J391" s="212"/>
    </row>
    <row r="392" spans="2:10" s="151" customFormat="1" x14ac:dyDescent="0.25">
      <c r="B392" s="215"/>
      <c r="D392" s="209"/>
      <c r="E392" s="210"/>
      <c r="F392" s="232"/>
      <c r="G392" s="209"/>
      <c r="I392" s="211"/>
      <c r="J392" s="212"/>
    </row>
    <row r="393" spans="2:10" s="151" customFormat="1" x14ac:dyDescent="0.25">
      <c r="B393" s="215"/>
      <c r="D393" s="209"/>
      <c r="E393" s="210"/>
      <c r="F393" s="232"/>
      <c r="G393" s="209"/>
      <c r="I393" s="211"/>
      <c r="J393" s="212"/>
    </row>
    <row r="394" spans="2:10" s="151" customFormat="1" x14ac:dyDescent="0.25">
      <c r="B394" s="215"/>
      <c r="D394" s="209"/>
      <c r="E394" s="210"/>
      <c r="F394" s="232"/>
      <c r="G394" s="209"/>
      <c r="I394" s="211"/>
      <c r="J394" s="212"/>
    </row>
    <row r="395" spans="2:10" s="151" customFormat="1" x14ac:dyDescent="0.25">
      <c r="B395" s="215"/>
      <c r="D395" s="209"/>
      <c r="E395" s="210"/>
      <c r="F395" s="232"/>
      <c r="G395" s="209"/>
      <c r="I395" s="211"/>
      <c r="J395" s="212"/>
    </row>
    <row r="396" spans="2:10" s="151" customFormat="1" x14ac:dyDescent="0.25">
      <c r="B396" s="215"/>
      <c r="D396" s="209"/>
      <c r="E396" s="210"/>
      <c r="F396" s="232"/>
      <c r="G396" s="209"/>
      <c r="I396" s="211"/>
      <c r="J396" s="212"/>
    </row>
    <row r="397" spans="2:10" s="151" customFormat="1" x14ac:dyDescent="0.25">
      <c r="B397" s="215"/>
      <c r="D397" s="209"/>
      <c r="E397" s="210"/>
      <c r="F397" s="232"/>
      <c r="G397" s="209"/>
      <c r="I397" s="211"/>
      <c r="J397" s="212"/>
    </row>
    <row r="398" spans="2:10" s="151" customFormat="1" x14ac:dyDescent="0.25">
      <c r="B398" s="215"/>
      <c r="D398" s="209"/>
      <c r="E398" s="210"/>
      <c r="F398" s="232"/>
      <c r="G398" s="209"/>
      <c r="I398" s="211"/>
      <c r="J398" s="212"/>
    </row>
    <row r="399" spans="2:10" s="151" customFormat="1" x14ac:dyDescent="0.25">
      <c r="B399" s="215"/>
      <c r="D399" s="209"/>
      <c r="E399" s="210"/>
      <c r="F399" s="232"/>
      <c r="G399" s="209"/>
      <c r="I399" s="211"/>
      <c r="J399" s="212"/>
    </row>
    <row r="400" spans="2:10" s="151" customFormat="1" x14ac:dyDescent="0.25">
      <c r="B400" s="215"/>
      <c r="D400" s="209"/>
      <c r="E400" s="210"/>
      <c r="F400" s="232"/>
      <c r="G400" s="209"/>
      <c r="I400" s="211"/>
      <c r="J400" s="212"/>
    </row>
    <row r="401" spans="2:10" s="151" customFormat="1" x14ac:dyDescent="0.25">
      <c r="B401" s="215"/>
      <c r="D401" s="209"/>
      <c r="E401" s="210"/>
      <c r="F401" s="232"/>
      <c r="G401" s="209"/>
      <c r="I401" s="211"/>
      <c r="J401" s="212"/>
    </row>
    <row r="402" spans="2:10" s="151" customFormat="1" x14ac:dyDescent="0.25">
      <c r="B402" s="215"/>
      <c r="D402" s="209"/>
      <c r="E402" s="210"/>
      <c r="F402" s="232"/>
      <c r="G402" s="209"/>
      <c r="I402" s="211"/>
      <c r="J402" s="212"/>
    </row>
    <row r="403" spans="2:10" s="151" customFormat="1" x14ac:dyDescent="0.25">
      <c r="B403" s="215"/>
      <c r="D403" s="209"/>
      <c r="E403" s="210"/>
      <c r="F403" s="232"/>
      <c r="G403" s="209"/>
      <c r="I403" s="211"/>
      <c r="J403" s="212"/>
    </row>
    <row r="404" spans="2:10" s="151" customFormat="1" x14ac:dyDescent="0.25">
      <c r="B404" s="215"/>
      <c r="D404" s="209"/>
      <c r="E404" s="210"/>
      <c r="F404" s="232"/>
      <c r="G404" s="209"/>
      <c r="I404" s="211"/>
      <c r="J404" s="212"/>
    </row>
    <row r="405" spans="2:10" s="151" customFormat="1" x14ac:dyDescent="0.25">
      <c r="B405" s="215"/>
      <c r="D405" s="209"/>
      <c r="E405" s="210"/>
      <c r="F405" s="232"/>
      <c r="G405" s="209"/>
      <c r="I405" s="211"/>
      <c r="J405" s="212"/>
    </row>
    <row r="406" spans="2:10" s="151" customFormat="1" x14ac:dyDescent="0.25">
      <c r="B406" s="215"/>
      <c r="D406" s="209"/>
      <c r="E406" s="210"/>
      <c r="F406" s="232"/>
      <c r="G406" s="209"/>
      <c r="I406" s="211"/>
      <c r="J406" s="212"/>
    </row>
    <row r="407" spans="2:10" s="151" customFormat="1" x14ac:dyDescent="0.25">
      <c r="B407" s="215"/>
      <c r="D407" s="209"/>
      <c r="E407" s="210"/>
      <c r="F407" s="232"/>
      <c r="G407" s="209"/>
      <c r="I407" s="211"/>
      <c r="J407" s="212"/>
    </row>
    <row r="408" spans="2:10" s="151" customFormat="1" x14ac:dyDescent="0.25">
      <c r="B408" s="215"/>
      <c r="D408" s="209"/>
      <c r="E408" s="210"/>
      <c r="F408" s="232"/>
      <c r="G408" s="209"/>
      <c r="I408" s="211"/>
      <c r="J408" s="212"/>
    </row>
    <row r="409" spans="2:10" s="151" customFormat="1" x14ac:dyDescent="0.25">
      <c r="B409" s="215"/>
      <c r="D409" s="209"/>
      <c r="E409" s="210"/>
      <c r="F409" s="232"/>
      <c r="G409" s="209"/>
      <c r="I409" s="211"/>
      <c r="J409" s="212"/>
    </row>
    <row r="410" spans="2:10" s="151" customFormat="1" x14ac:dyDescent="0.25">
      <c r="B410" s="215"/>
      <c r="D410" s="209"/>
      <c r="E410" s="210"/>
      <c r="F410" s="232"/>
      <c r="G410" s="209"/>
      <c r="I410" s="211"/>
      <c r="J410" s="212"/>
    </row>
    <row r="411" spans="2:10" s="151" customFormat="1" x14ac:dyDescent="0.25">
      <c r="B411" s="215"/>
      <c r="D411" s="209"/>
      <c r="E411" s="210"/>
      <c r="F411" s="232"/>
      <c r="G411" s="209"/>
      <c r="I411" s="211"/>
      <c r="J411" s="212"/>
    </row>
    <row r="412" spans="2:10" s="151" customFormat="1" x14ac:dyDescent="0.25">
      <c r="B412" s="215"/>
      <c r="D412" s="209"/>
      <c r="E412" s="210"/>
      <c r="F412" s="232"/>
      <c r="G412" s="209"/>
      <c r="I412" s="211"/>
      <c r="J412" s="212"/>
    </row>
    <row r="413" spans="2:10" s="151" customFormat="1" x14ac:dyDescent="0.25">
      <c r="B413" s="215"/>
      <c r="D413" s="209"/>
      <c r="E413" s="210"/>
      <c r="F413" s="232"/>
      <c r="G413" s="209"/>
      <c r="I413" s="211"/>
      <c r="J413" s="212"/>
    </row>
    <row r="414" spans="2:10" s="151" customFormat="1" x14ac:dyDescent="0.25">
      <c r="B414" s="215"/>
      <c r="D414" s="209"/>
      <c r="E414" s="210"/>
      <c r="F414" s="232"/>
      <c r="G414" s="209"/>
      <c r="I414" s="211"/>
      <c r="J414" s="212"/>
    </row>
    <row r="415" spans="2:10" s="151" customFormat="1" x14ac:dyDescent="0.25">
      <c r="B415" s="215"/>
      <c r="D415" s="209"/>
      <c r="E415" s="210"/>
      <c r="F415" s="232"/>
      <c r="G415" s="209"/>
      <c r="I415" s="211"/>
      <c r="J415" s="212"/>
    </row>
    <row r="416" spans="2:10" s="151" customFormat="1" x14ac:dyDescent="0.25">
      <c r="B416" s="215"/>
      <c r="D416" s="209"/>
      <c r="E416" s="210"/>
      <c r="F416" s="232"/>
      <c r="G416" s="209"/>
      <c r="I416" s="211"/>
      <c r="J416" s="212"/>
    </row>
    <row r="417" spans="2:10" s="151" customFormat="1" x14ac:dyDescent="0.25">
      <c r="B417" s="215"/>
      <c r="D417" s="209"/>
      <c r="E417" s="210"/>
      <c r="F417" s="232"/>
      <c r="G417" s="209"/>
      <c r="I417" s="211"/>
      <c r="J417" s="212"/>
    </row>
    <row r="418" spans="2:10" s="151" customFormat="1" x14ac:dyDescent="0.25">
      <c r="B418" s="215"/>
      <c r="D418" s="209"/>
      <c r="E418" s="210"/>
      <c r="F418" s="232"/>
      <c r="G418" s="209"/>
      <c r="I418" s="211"/>
      <c r="J418" s="212"/>
    </row>
    <row r="419" spans="2:10" s="151" customFormat="1" x14ac:dyDescent="0.25">
      <c r="B419" s="215"/>
      <c r="D419" s="209"/>
      <c r="E419" s="210"/>
      <c r="F419" s="232"/>
      <c r="G419" s="209"/>
      <c r="I419" s="211"/>
      <c r="J419" s="212"/>
    </row>
    <row r="420" spans="2:10" s="151" customFormat="1" x14ac:dyDescent="0.25">
      <c r="B420" s="215"/>
      <c r="D420" s="209"/>
      <c r="E420" s="210"/>
      <c r="F420" s="232"/>
      <c r="G420" s="209"/>
      <c r="I420" s="211"/>
      <c r="J420" s="212"/>
    </row>
    <row r="421" spans="2:10" s="151" customFormat="1" x14ac:dyDescent="0.25">
      <c r="B421" s="215"/>
      <c r="D421" s="209"/>
      <c r="E421" s="210"/>
      <c r="F421" s="232"/>
      <c r="G421" s="209"/>
      <c r="I421" s="211"/>
      <c r="J421" s="212"/>
    </row>
    <row r="422" spans="2:10" s="151" customFormat="1" x14ac:dyDescent="0.25">
      <c r="B422" s="215"/>
      <c r="D422" s="209"/>
      <c r="E422" s="210"/>
      <c r="F422" s="232"/>
      <c r="G422" s="209"/>
      <c r="I422" s="211"/>
      <c r="J422" s="212"/>
    </row>
    <row r="423" spans="2:10" s="151" customFormat="1" x14ac:dyDescent="0.25">
      <c r="B423" s="215"/>
      <c r="D423" s="209"/>
      <c r="E423" s="210"/>
      <c r="F423" s="232"/>
      <c r="G423" s="209"/>
      <c r="I423" s="211"/>
      <c r="J423" s="212"/>
    </row>
    <row r="424" spans="2:10" s="151" customFormat="1" x14ac:dyDescent="0.25">
      <c r="B424" s="215"/>
      <c r="D424" s="209"/>
      <c r="E424" s="210"/>
      <c r="F424" s="232"/>
      <c r="G424" s="209"/>
      <c r="I424" s="211"/>
      <c r="J424" s="212"/>
    </row>
    <row r="425" spans="2:10" s="151" customFormat="1" x14ac:dyDescent="0.25">
      <c r="B425" s="215"/>
      <c r="D425" s="209"/>
      <c r="E425" s="210"/>
      <c r="F425" s="232"/>
      <c r="G425" s="209"/>
      <c r="I425" s="211"/>
      <c r="J425" s="212"/>
    </row>
    <row r="426" spans="2:10" s="151" customFormat="1" x14ac:dyDescent="0.25">
      <c r="B426" s="215"/>
      <c r="D426" s="209"/>
      <c r="E426" s="210"/>
      <c r="F426" s="232"/>
      <c r="G426" s="209"/>
      <c r="I426" s="211"/>
      <c r="J426" s="212"/>
    </row>
    <row r="427" spans="2:10" s="151" customFormat="1" x14ac:dyDescent="0.25">
      <c r="B427" s="215"/>
      <c r="D427" s="209"/>
      <c r="E427" s="210"/>
      <c r="F427" s="232"/>
      <c r="G427" s="209"/>
      <c r="I427" s="211"/>
      <c r="J427" s="212"/>
    </row>
    <row r="428" spans="2:10" s="151" customFormat="1" x14ac:dyDescent="0.25">
      <c r="B428" s="215"/>
      <c r="D428" s="209"/>
      <c r="E428" s="210"/>
      <c r="F428" s="232"/>
      <c r="G428" s="209"/>
      <c r="I428" s="211"/>
      <c r="J428" s="212"/>
    </row>
    <row r="429" spans="2:10" s="151" customFormat="1" x14ac:dyDescent="0.25">
      <c r="B429" s="215"/>
      <c r="D429" s="209"/>
      <c r="E429" s="210"/>
      <c r="F429" s="232"/>
      <c r="G429" s="209"/>
      <c r="I429" s="211"/>
      <c r="J429" s="212"/>
    </row>
    <row r="430" spans="2:10" s="151" customFormat="1" x14ac:dyDescent="0.25">
      <c r="B430" s="215"/>
      <c r="D430" s="209"/>
      <c r="E430" s="210"/>
      <c r="F430" s="232"/>
      <c r="G430" s="209"/>
      <c r="I430" s="211"/>
      <c r="J430" s="212"/>
    </row>
    <row r="431" spans="2:10" s="151" customFormat="1" x14ac:dyDescent="0.25">
      <c r="B431" s="215"/>
      <c r="D431" s="209"/>
      <c r="E431" s="210"/>
      <c r="F431" s="232"/>
      <c r="G431" s="209"/>
      <c r="I431" s="211"/>
      <c r="J431" s="212"/>
    </row>
    <row r="432" spans="2:10" s="151" customFormat="1" x14ac:dyDescent="0.25">
      <c r="B432" s="215"/>
      <c r="D432" s="209"/>
      <c r="E432" s="210"/>
      <c r="F432" s="232"/>
      <c r="G432" s="209"/>
      <c r="I432" s="211"/>
      <c r="J432" s="212"/>
    </row>
    <row r="433" spans="2:10" s="151" customFormat="1" x14ac:dyDescent="0.25">
      <c r="B433" s="215"/>
      <c r="D433" s="209"/>
      <c r="E433" s="210"/>
      <c r="F433" s="232"/>
      <c r="G433" s="209"/>
      <c r="I433" s="211"/>
      <c r="J433" s="212"/>
    </row>
    <row r="434" spans="2:10" s="151" customFormat="1" x14ac:dyDescent="0.25">
      <c r="B434" s="215"/>
      <c r="D434" s="209"/>
      <c r="E434" s="210"/>
      <c r="F434" s="232"/>
      <c r="G434" s="209"/>
      <c r="I434" s="211"/>
      <c r="J434" s="212"/>
    </row>
    <row r="435" spans="2:10" s="151" customFormat="1" x14ac:dyDescent="0.25">
      <c r="B435" s="215"/>
      <c r="D435" s="209"/>
      <c r="E435" s="210"/>
      <c r="F435" s="232"/>
      <c r="G435" s="209"/>
      <c r="I435" s="211"/>
      <c r="J435" s="212"/>
    </row>
    <row r="436" spans="2:10" s="151" customFormat="1" x14ac:dyDescent="0.25">
      <c r="B436" s="215"/>
      <c r="D436" s="209"/>
      <c r="E436" s="210"/>
      <c r="F436" s="232"/>
      <c r="G436" s="209"/>
      <c r="I436" s="211"/>
      <c r="J436" s="212"/>
    </row>
    <row r="437" spans="2:10" s="151" customFormat="1" x14ac:dyDescent="0.25">
      <c r="B437" s="215"/>
      <c r="D437" s="209"/>
      <c r="E437" s="210"/>
      <c r="F437" s="232"/>
      <c r="G437" s="209"/>
      <c r="I437" s="211"/>
      <c r="J437" s="212"/>
    </row>
    <row r="438" spans="2:10" s="151" customFormat="1" x14ac:dyDescent="0.25">
      <c r="B438" s="215"/>
      <c r="D438" s="209"/>
      <c r="E438" s="210"/>
      <c r="F438" s="232"/>
      <c r="G438" s="209"/>
      <c r="I438" s="211"/>
      <c r="J438" s="212"/>
    </row>
    <row r="439" spans="2:10" s="151" customFormat="1" x14ac:dyDescent="0.25">
      <c r="B439" s="215"/>
      <c r="D439" s="209"/>
      <c r="E439" s="210"/>
      <c r="F439" s="232"/>
      <c r="G439" s="209"/>
      <c r="I439" s="211"/>
      <c r="J439" s="212"/>
    </row>
    <row r="440" spans="2:10" s="151" customFormat="1" x14ac:dyDescent="0.25">
      <c r="B440" s="215"/>
      <c r="D440" s="209"/>
      <c r="E440" s="210"/>
      <c r="F440" s="232"/>
      <c r="G440" s="209"/>
      <c r="I440" s="211"/>
      <c r="J440" s="212"/>
    </row>
    <row r="441" spans="2:10" s="151" customFormat="1" x14ac:dyDescent="0.25">
      <c r="B441" s="215"/>
      <c r="D441" s="209"/>
      <c r="E441" s="210"/>
      <c r="F441" s="232"/>
      <c r="G441" s="209"/>
      <c r="I441" s="211"/>
      <c r="J441" s="212"/>
    </row>
    <row r="442" spans="2:10" s="151" customFormat="1" x14ac:dyDescent="0.25">
      <c r="B442" s="215"/>
      <c r="D442" s="209"/>
      <c r="E442" s="210"/>
      <c r="F442" s="232"/>
      <c r="G442" s="209"/>
      <c r="I442" s="211"/>
      <c r="J442" s="212"/>
    </row>
    <row r="443" spans="2:10" s="151" customFormat="1" x14ac:dyDescent="0.25">
      <c r="B443" s="215"/>
      <c r="D443" s="209"/>
      <c r="E443" s="210"/>
      <c r="F443" s="232"/>
      <c r="G443" s="209"/>
      <c r="I443" s="211"/>
      <c r="J443" s="212"/>
    </row>
    <row r="444" spans="2:10" s="151" customFormat="1" x14ac:dyDescent="0.25">
      <c r="B444" s="215"/>
      <c r="D444" s="209"/>
      <c r="E444" s="210"/>
      <c r="F444" s="232"/>
      <c r="G444" s="209"/>
      <c r="I444" s="211"/>
      <c r="J444" s="212"/>
    </row>
    <row r="445" spans="2:10" s="151" customFormat="1" x14ac:dyDescent="0.25">
      <c r="B445" s="215"/>
      <c r="D445" s="209"/>
      <c r="E445" s="210"/>
      <c r="F445" s="232"/>
      <c r="G445" s="209"/>
      <c r="I445" s="211"/>
      <c r="J445" s="212"/>
    </row>
    <row r="446" spans="2:10" s="151" customFormat="1" x14ac:dyDescent="0.25">
      <c r="B446" s="215"/>
      <c r="D446" s="209"/>
      <c r="E446" s="210"/>
      <c r="F446" s="232"/>
      <c r="G446" s="209"/>
      <c r="I446" s="211"/>
      <c r="J446" s="212"/>
    </row>
    <row r="447" spans="2:10" s="151" customFormat="1" x14ac:dyDescent="0.25">
      <c r="B447" s="215"/>
      <c r="D447" s="209"/>
      <c r="E447" s="210"/>
      <c r="F447" s="232"/>
      <c r="G447" s="209"/>
      <c r="I447" s="211"/>
      <c r="J447" s="212"/>
    </row>
    <row r="448" spans="2:10" s="151" customFormat="1" x14ac:dyDescent="0.25">
      <c r="B448" s="215"/>
      <c r="D448" s="209"/>
      <c r="E448" s="210"/>
      <c r="F448" s="232"/>
      <c r="G448" s="209"/>
      <c r="I448" s="211"/>
      <c r="J448" s="212"/>
    </row>
    <row r="449" spans="2:10" s="151" customFormat="1" x14ac:dyDescent="0.25">
      <c r="B449" s="215"/>
      <c r="D449" s="209"/>
      <c r="E449" s="210"/>
      <c r="F449" s="232"/>
      <c r="G449" s="209"/>
      <c r="I449" s="211"/>
      <c r="J449" s="212"/>
    </row>
    <row r="450" spans="2:10" s="151" customFormat="1" x14ac:dyDescent="0.25">
      <c r="B450" s="215"/>
      <c r="D450" s="209"/>
      <c r="E450" s="210"/>
      <c r="F450" s="232"/>
      <c r="G450" s="209"/>
      <c r="I450" s="211"/>
      <c r="J450" s="212"/>
    </row>
    <row r="451" spans="2:10" s="151" customFormat="1" x14ac:dyDescent="0.25">
      <c r="B451" s="215"/>
      <c r="D451" s="209"/>
      <c r="E451" s="210"/>
      <c r="F451" s="232"/>
      <c r="G451" s="209"/>
      <c r="I451" s="211"/>
      <c r="J451" s="212"/>
    </row>
    <row r="452" spans="2:10" s="151" customFormat="1" x14ac:dyDescent="0.25">
      <c r="B452" s="215"/>
      <c r="D452" s="209"/>
      <c r="E452" s="210"/>
      <c r="F452" s="232"/>
      <c r="G452" s="209"/>
      <c r="I452" s="211"/>
      <c r="J452" s="212"/>
    </row>
    <row r="453" spans="2:10" s="151" customFormat="1" x14ac:dyDescent="0.25">
      <c r="B453" s="215"/>
      <c r="D453" s="209"/>
      <c r="E453" s="210"/>
      <c r="F453" s="232"/>
      <c r="G453" s="209"/>
      <c r="I453" s="211"/>
      <c r="J453" s="212"/>
    </row>
    <row r="454" spans="2:10" s="151" customFormat="1" x14ac:dyDescent="0.25">
      <c r="B454" s="215"/>
      <c r="D454" s="209"/>
      <c r="E454" s="210"/>
      <c r="F454" s="232"/>
      <c r="G454" s="209"/>
      <c r="I454" s="211"/>
      <c r="J454" s="212"/>
    </row>
    <row r="455" spans="2:10" s="151" customFormat="1" x14ac:dyDescent="0.25">
      <c r="B455" s="215"/>
      <c r="D455" s="209"/>
      <c r="E455" s="210"/>
      <c r="F455" s="232"/>
      <c r="G455" s="209"/>
      <c r="I455" s="211"/>
      <c r="J455" s="212"/>
    </row>
    <row r="456" spans="2:10" s="151" customFormat="1" x14ac:dyDescent="0.25">
      <c r="B456" s="215"/>
      <c r="D456" s="209"/>
      <c r="E456" s="210"/>
      <c r="F456" s="232"/>
      <c r="G456" s="209"/>
      <c r="I456" s="211"/>
      <c r="J456" s="212"/>
    </row>
    <row r="457" spans="2:10" s="151" customFormat="1" x14ac:dyDescent="0.25">
      <c r="B457" s="215"/>
      <c r="D457" s="209"/>
      <c r="E457" s="210"/>
      <c r="F457" s="232"/>
      <c r="G457" s="209"/>
      <c r="I457" s="211"/>
      <c r="J457" s="212"/>
    </row>
    <row r="458" spans="2:10" s="151" customFormat="1" x14ac:dyDescent="0.25">
      <c r="B458" s="215"/>
      <c r="D458" s="209"/>
      <c r="E458" s="210"/>
      <c r="F458" s="232"/>
      <c r="G458" s="209"/>
      <c r="I458" s="211"/>
      <c r="J458" s="212"/>
    </row>
    <row r="459" spans="2:10" s="151" customFormat="1" x14ac:dyDescent="0.25">
      <c r="B459" s="215"/>
      <c r="D459" s="209"/>
      <c r="E459" s="210"/>
      <c r="F459" s="232"/>
      <c r="G459" s="209"/>
      <c r="I459" s="211"/>
      <c r="J459" s="212"/>
    </row>
    <row r="460" spans="2:10" s="151" customFormat="1" x14ac:dyDescent="0.25">
      <c r="B460" s="215"/>
      <c r="D460" s="209"/>
      <c r="E460" s="210"/>
      <c r="F460" s="232"/>
      <c r="G460" s="209"/>
      <c r="I460" s="211"/>
      <c r="J460" s="212"/>
    </row>
    <row r="461" spans="2:10" s="151" customFormat="1" x14ac:dyDescent="0.25">
      <c r="B461" s="215"/>
      <c r="D461" s="209"/>
      <c r="E461" s="210"/>
      <c r="F461" s="232"/>
      <c r="G461" s="209"/>
      <c r="I461" s="211"/>
      <c r="J461" s="212"/>
    </row>
    <row r="462" spans="2:10" s="151" customFormat="1" x14ac:dyDescent="0.25">
      <c r="B462" s="215"/>
      <c r="D462" s="209"/>
      <c r="E462" s="210"/>
      <c r="F462" s="232"/>
      <c r="G462" s="209"/>
      <c r="I462" s="211"/>
      <c r="J462" s="212"/>
    </row>
    <row r="463" spans="2:10" s="151" customFormat="1" x14ac:dyDescent="0.25">
      <c r="B463" s="215"/>
      <c r="D463" s="209"/>
      <c r="E463" s="210"/>
      <c r="F463" s="232"/>
      <c r="G463" s="209"/>
      <c r="I463" s="211"/>
      <c r="J463" s="212"/>
    </row>
    <row r="464" spans="2:10" s="151" customFormat="1" x14ac:dyDescent="0.25">
      <c r="B464" s="215"/>
      <c r="D464" s="209"/>
      <c r="E464" s="210"/>
      <c r="F464" s="232"/>
      <c r="G464" s="209"/>
      <c r="I464" s="211"/>
      <c r="J464" s="212"/>
    </row>
    <row r="465" spans="2:10" s="151" customFormat="1" x14ac:dyDescent="0.25">
      <c r="B465" s="215"/>
      <c r="D465" s="209"/>
      <c r="E465" s="210"/>
      <c r="F465" s="232"/>
      <c r="G465" s="209"/>
      <c r="I465" s="211"/>
      <c r="J465" s="212"/>
    </row>
    <row r="466" spans="2:10" s="151" customFormat="1" x14ac:dyDescent="0.25">
      <c r="B466" s="215"/>
      <c r="D466" s="209"/>
      <c r="E466" s="210"/>
      <c r="F466" s="232"/>
      <c r="G466" s="209"/>
      <c r="I466" s="211"/>
      <c r="J466" s="212"/>
    </row>
    <row r="467" spans="2:10" s="151" customFormat="1" x14ac:dyDescent="0.25">
      <c r="B467" s="215"/>
      <c r="D467" s="209"/>
      <c r="E467" s="210"/>
      <c r="F467" s="232"/>
      <c r="G467" s="209"/>
      <c r="I467" s="211"/>
      <c r="J467" s="212"/>
    </row>
    <row r="468" spans="2:10" s="151" customFormat="1" x14ac:dyDescent="0.25">
      <c r="B468" s="215"/>
      <c r="D468" s="209"/>
      <c r="E468" s="210"/>
      <c r="F468" s="232"/>
      <c r="G468" s="209"/>
      <c r="I468" s="211"/>
      <c r="J468" s="212"/>
    </row>
    <row r="469" spans="2:10" s="151" customFormat="1" x14ac:dyDescent="0.25">
      <c r="B469" s="215"/>
      <c r="D469" s="209"/>
      <c r="E469" s="210"/>
      <c r="F469" s="232"/>
      <c r="G469" s="209"/>
      <c r="I469" s="211"/>
      <c r="J469" s="212"/>
    </row>
    <row r="470" spans="2:10" s="151" customFormat="1" x14ac:dyDescent="0.25">
      <c r="B470" s="215"/>
      <c r="D470" s="209"/>
      <c r="E470" s="210"/>
      <c r="F470" s="232"/>
      <c r="G470" s="209"/>
      <c r="I470" s="211"/>
      <c r="J470" s="212"/>
    </row>
    <row r="471" spans="2:10" s="151" customFormat="1" x14ac:dyDescent="0.25">
      <c r="B471" s="215"/>
      <c r="D471" s="209"/>
      <c r="E471" s="210"/>
      <c r="F471" s="232"/>
      <c r="G471" s="209"/>
      <c r="I471" s="211"/>
      <c r="J471" s="212"/>
    </row>
    <row r="472" spans="2:10" s="151" customFormat="1" x14ac:dyDescent="0.25">
      <c r="B472" s="215"/>
      <c r="D472" s="209"/>
      <c r="E472" s="210"/>
      <c r="F472" s="232"/>
      <c r="G472" s="209"/>
      <c r="I472" s="211"/>
      <c r="J472" s="212"/>
    </row>
    <row r="473" spans="2:10" s="151" customFormat="1" x14ac:dyDescent="0.25">
      <c r="B473" s="215"/>
      <c r="D473" s="209"/>
      <c r="E473" s="210"/>
      <c r="F473" s="232"/>
      <c r="G473" s="209"/>
      <c r="I473" s="211"/>
      <c r="J473" s="212"/>
    </row>
    <row r="474" spans="2:10" s="151" customFormat="1" x14ac:dyDescent="0.25">
      <c r="B474" s="215"/>
      <c r="D474" s="209"/>
      <c r="E474" s="210"/>
      <c r="F474" s="232"/>
      <c r="G474" s="209"/>
      <c r="I474" s="211"/>
      <c r="J474" s="212"/>
    </row>
    <row r="475" spans="2:10" s="151" customFormat="1" x14ac:dyDescent="0.25">
      <c r="B475" s="215"/>
      <c r="D475" s="209"/>
      <c r="E475" s="210"/>
      <c r="F475" s="232"/>
      <c r="G475" s="209"/>
      <c r="I475" s="211"/>
      <c r="J475" s="212"/>
    </row>
    <row r="476" spans="2:10" s="151" customFormat="1" x14ac:dyDescent="0.25">
      <c r="B476" s="215"/>
      <c r="D476" s="209"/>
      <c r="E476" s="210"/>
      <c r="F476" s="232"/>
      <c r="G476" s="209"/>
      <c r="I476" s="211"/>
      <c r="J476" s="212"/>
    </row>
    <row r="477" spans="2:10" s="151" customFormat="1" x14ac:dyDescent="0.25">
      <c r="B477" s="215"/>
      <c r="D477" s="209"/>
      <c r="E477" s="210"/>
      <c r="F477" s="232"/>
      <c r="G477" s="209"/>
      <c r="I477" s="211"/>
      <c r="J477" s="212"/>
    </row>
    <row r="478" spans="2:10" s="151" customFormat="1" x14ac:dyDescent="0.25">
      <c r="B478" s="215"/>
      <c r="D478" s="209"/>
      <c r="E478" s="210"/>
      <c r="F478" s="232"/>
      <c r="G478" s="209"/>
      <c r="I478" s="211"/>
      <c r="J478" s="212"/>
    </row>
    <row r="479" spans="2:10" s="151" customFormat="1" x14ac:dyDescent="0.25">
      <c r="B479" s="215"/>
      <c r="D479" s="209"/>
      <c r="E479" s="210"/>
      <c r="F479" s="232"/>
      <c r="G479" s="209"/>
      <c r="I479" s="211"/>
      <c r="J479" s="212"/>
    </row>
    <row r="480" spans="2:10" s="151" customFormat="1" x14ac:dyDescent="0.25">
      <c r="B480" s="215"/>
      <c r="D480" s="209"/>
      <c r="E480" s="210"/>
      <c r="F480" s="232"/>
      <c r="G480" s="209"/>
      <c r="I480" s="211"/>
      <c r="J480" s="212"/>
    </row>
    <row r="481" spans="2:10" s="151" customFormat="1" x14ac:dyDescent="0.25">
      <c r="B481" s="215"/>
      <c r="D481" s="209"/>
      <c r="E481" s="210"/>
      <c r="F481" s="232"/>
      <c r="G481" s="209"/>
      <c r="I481" s="211"/>
      <c r="J481" s="212"/>
    </row>
    <row r="482" spans="2:10" s="151" customFormat="1" x14ac:dyDescent="0.25">
      <c r="B482" s="215"/>
      <c r="D482" s="209"/>
      <c r="E482" s="210"/>
      <c r="F482" s="232"/>
      <c r="G482" s="209"/>
      <c r="I482" s="211"/>
      <c r="J482" s="212"/>
    </row>
    <row r="483" spans="2:10" s="151" customFormat="1" x14ac:dyDescent="0.25">
      <c r="B483" s="215"/>
      <c r="D483" s="209"/>
      <c r="E483" s="210"/>
      <c r="F483" s="232"/>
      <c r="G483" s="209"/>
      <c r="I483" s="211"/>
      <c r="J483" s="212"/>
    </row>
    <row r="484" spans="2:10" s="151" customFormat="1" x14ac:dyDescent="0.25">
      <c r="B484" s="215"/>
      <c r="D484" s="209"/>
      <c r="E484" s="210"/>
      <c r="F484" s="232"/>
      <c r="G484" s="209"/>
      <c r="I484" s="211"/>
      <c r="J484" s="212"/>
    </row>
    <row r="485" spans="2:10" s="151" customFormat="1" x14ac:dyDescent="0.25">
      <c r="B485" s="215"/>
      <c r="D485" s="209"/>
      <c r="E485" s="210"/>
      <c r="F485" s="232"/>
      <c r="G485" s="209"/>
      <c r="I485" s="211"/>
      <c r="J485" s="212"/>
    </row>
    <row r="486" spans="2:10" s="151" customFormat="1" x14ac:dyDescent="0.25">
      <c r="B486" s="215"/>
      <c r="D486" s="209"/>
      <c r="E486" s="210"/>
      <c r="F486" s="232"/>
      <c r="G486" s="209"/>
      <c r="I486" s="211"/>
      <c r="J486" s="212"/>
    </row>
    <row r="487" spans="2:10" s="151" customFormat="1" x14ac:dyDescent="0.25">
      <c r="B487" s="215"/>
      <c r="D487" s="209"/>
      <c r="E487" s="210"/>
      <c r="F487" s="232"/>
      <c r="G487" s="209"/>
      <c r="I487" s="211"/>
      <c r="J487" s="212"/>
    </row>
    <row r="488" spans="2:10" s="151" customFormat="1" x14ac:dyDescent="0.25">
      <c r="B488" s="215"/>
      <c r="D488" s="209"/>
      <c r="E488" s="210"/>
      <c r="F488" s="232"/>
      <c r="G488" s="209"/>
      <c r="I488" s="211"/>
      <c r="J488" s="212"/>
    </row>
    <row r="489" spans="2:10" s="151" customFormat="1" x14ac:dyDescent="0.25">
      <c r="B489" s="215"/>
      <c r="D489" s="209"/>
      <c r="E489" s="210"/>
      <c r="F489" s="232"/>
      <c r="G489" s="209"/>
      <c r="I489" s="211"/>
      <c r="J489" s="212"/>
    </row>
    <row r="490" spans="2:10" s="151" customFormat="1" x14ac:dyDescent="0.25">
      <c r="B490" s="215"/>
      <c r="D490" s="209"/>
      <c r="E490" s="210"/>
      <c r="F490" s="232"/>
      <c r="G490" s="209"/>
      <c r="I490" s="211"/>
      <c r="J490" s="212"/>
    </row>
    <row r="491" spans="2:10" s="151" customFormat="1" x14ac:dyDescent="0.25">
      <c r="B491" s="215"/>
      <c r="D491" s="209"/>
      <c r="E491" s="210"/>
      <c r="F491" s="232"/>
      <c r="G491" s="209"/>
      <c r="I491" s="211"/>
      <c r="J491" s="212"/>
    </row>
    <row r="492" spans="2:10" s="151" customFormat="1" x14ac:dyDescent="0.25">
      <c r="B492" s="215"/>
      <c r="D492" s="209"/>
      <c r="E492" s="210"/>
      <c r="F492" s="232"/>
      <c r="G492" s="209"/>
      <c r="I492" s="211"/>
      <c r="J492" s="212"/>
    </row>
    <row r="493" spans="2:10" s="151" customFormat="1" x14ac:dyDescent="0.25">
      <c r="B493" s="215"/>
      <c r="D493" s="209"/>
      <c r="E493" s="210"/>
      <c r="F493" s="232"/>
      <c r="G493" s="209"/>
      <c r="I493" s="211"/>
      <c r="J493" s="212"/>
    </row>
    <row r="494" spans="2:10" s="151" customFormat="1" x14ac:dyDescent="0.25">
      <c r="B494" s="215"/>
      <c r="D494" s="209"/>
      <c r="E494" s="210"/>
      <c r="F494" s="232"/>
      <c r="G494" s="209"/>
      <c r="I494" s="211"/>
      <c r="J494" s="212"/>
    </row>
    <row r="495" spans="2:10" s="151" customFormat="1" x14ac:dyDescent="0.25">
      <c r="B495" s="215"/>
      <c r="D495" s="209"/>
      <c r="E495" s="210"/>
      <c r="F495" s="232"/>
      <c r="G495" s="209"/>
      <c r="I495" s="211"/>
      <c r="J495" s="212"/>
    </row>
    <row r="496" spans="2:10" s="151" customFormat="1" x14ac:dyDescent="0.25">
      <c r="B496" s="215"/>
      <c r="D496" s="209"/>
      <c r="E496" s="210"/>
      <c r="F496" s="232"/>
      <c r="G496" s="209"/>
      <c r="I496" s="211"/>
      <c r="J496" s="212"/>
    </row>
    <row r="497" spans="2:10" s="151" customFormat="1" x14ac:dyDescent="0.25">
      <c r="B497" s="215"/>
      <c r="D497" s="209"/>
      <c r="E497" s="210"/>
      <c r="F497" s="232"/>
      <c r="G497" s="209"/>
      <c r="I497" s="211"/>
      <c r="J497" s="212"/>
    </row>
    <row r="498" spans="2:10" s="151" customFormat="1" x14ac:dyDescent="0.25">
      <c r="B498" s="215"/>
      <c r="D498" s="209"/>
      <c r="E498" s="210"/>
      <c r="F498" s="232"/>
      <c r="G498" s="209"/>
      <c r="I498" s="211"/>
      <c r="J498" s="212"/>
    </row>
    <row r="499" spans="2:10" s="151" customFormat="1" x14ac:dyDescent="0.25">
      <c r="B499" s="215"/>
      <c r="D499" s="209"/>
      <c r="E499" s="210"/>
      <c r="F499" s="232"/>
      <c r="G499" s="209"/>
      <c r="I499" s="211"/>
      <c r="J499" s="212"/>
    </row>
    <row r="500" spans="2:10" s="151" customFormat="1" x14ac:dyDescent="0.25">
      <c r="B500" s="215"/>
      <c r="D500" s="209"/>
      <c r="E500" s="210"/>
      <c r="F500" s="232"/>
      <c r="G500" s="209"/>
      <c r="I500" s="211"/>
      <c r="J500" s="212"/>
    </row>
    <row r="501" spans="2:10" s="151" customFormat="1" x14ac:dyDescent="0.25">
      <c r="B501" s="215"/>
      <c r="D501" s="209"/>
      <c r="E501" s="210"/>
      <c r="F501" s="232"/>
      <c r="G501" s="209"/>
      <c r="I501" s="211"/>
      <c r="J501" s="212"/>
    </row>
    <row r="502" spans="2:10" s="151" customFormat="1" x14ac:dyDescent="0.25">
      <c r="B502" s="215"/>
      <c r="D502" s="209"/>
      <c r="E502" s="210"/>
      <c r="F502" s="232"/>
      <c r="G502" s="209"/>
      <c r="I502" s="211"/>
      <c r="J502" s="212"/>
    </row>
    <row r="503" spans="2:10" s="151" customFormat="1" x14ac:dyDescent="0.25">
      <c r="B503" s="215"/>
      <c r="D503" s="209"/>
      <c r="E503" s="210"/>
      <c r="F503" s="232"/>
      <c r="G503" s="209"/>
      <c r="I503" s="211"/>
      <c r="J503" s="212"/>
    </row>
    <row r="504" spans="2:10" s="151" customFormat="1" x14ac:dyDescent="0.25">
      <c r="B504" s="215"/>
      <c r="D504" s="209"/>
      <c r="E504" s="210"/>
      <c r="F504" s="232"/>
      <c r="G504" s="209"/>
      <c r="I504" s="211"/>
      <c r="J504" s="212"/>
    </row>
    <row r="505" spans="2:10" s="151" customFormat="1" x14ac:dyDescent="0.25">
      <c r="B505" s="215"/>
      <c r="D505" s="209"/>
      <c r="E505" s="210"/>
      <c r="F505" s="232"/>
      <c r="G505" s="209"/>
      <c r="I505" s="211"/>
      <c r="J505" s="212"/>
    </row>
    <row r="506" spans="2:10" s="151" customFormat="1" x14ac:dyDescent="0.25">
      <c r="B506" s="215"/>
      <c r="D506" s="209"/>
      <c r="E506" s="210"/>
      <c r="F506" s="232"/>
      <c r="G506" s="209"/>
      <c r="I506" s="211"/>
      <c r="J506" s="212"/>
    </row>
    <row r="507" spans="2:10" s="151" customFormat="1" x14ac:dyDescent="0.25">
      <c r="B507" s="215"/>
      <c r="D507" s="209"/>
      <c r="E507" s="210"/>
      <c r="F507" s="232"/>
      <c r="G507" s="209"/>
      <c r="I507" s="211"/>
      <c r="J507" s="212"/>
    </row>
    <row r="508" spans="2:10" s="151" customFormat="1" x14ac:dyDescent="0.25">
      <c r="B508" s="215"/>
      <c r="D508" s="209"/>
      <c r="E508" s="210"/>
      <c r="F508" s="232"/>
      <c r="G508" s="209"/>
      <c r="I508" s="211"/>
      <c r="J508" s="212"/>
    </row>
    <row r="509" spans="2:10" s="151" customFormat="1" x14ac:dyDescent="0.25">
      <c r="B509" s="215"/>
      <c r="D509" s="209"/>
      <c r="E509" s="210"/>
      <c r="F509" s="232"/>
      <c r="G509" s="209"/>
      <c r="I509" s="211"/>
      <c r="J509" s="212"/>
    </row>
    <row r="510" spans="2:10" s="151" customFormat="1" x14ac:dyDescent="0.25">
      <c r="B510" s="215"/>
      <c r="D510" s="209"/>
      <c r="E510" s="210"/>
      <c r="F510" s="232"/>
      <c r="G510" s="209"/>
      <c r="I510" s="211"/>
      <c r="J510" s="212"/>
    </row>
    <row r="511" spans="2:10" s="151" customFormat="1" x14ac:dyDescent="0.25">
      <c r="B511" s="215"/>
      <c r="D511" s="209"/>
      <c r="E511" s="210"/>
      <c r="F511" s="232"/>
      <c r="G511" s="209"/>
      <c r="I511" s="211"/>
      <c r="J511" s="212"/>
    </row>
    <row r="512" spans="2:10" s="151" customFormat="1" x14ac:dyDescent="0.25">
      <c r="B512" s="215"/>
      <c r="D512" s="209"/>
      <c r="E512" s="210"/>
      <c r="F512" s="232"/>
      <c r="G512" s="209"/>
      <c r="I512" s="211"/>
      <c r="J512" s="212"/>
    </row>
    <row r="513" spans="2:10" s="151" customFormat="1" x14ac:dyDescent="0.25">
      <c r="B513" s="215"/>
      <c r="D513" s="209"/>
      <c r="E513" s="210"/>
      <c r="F513" s="232"/>
      <c r="G513" s="209"/>
      <c r="I513" s="211"/>
      <c r="J513" s="212"/>
    </row>
    <row r="514" spans="2:10" s="151" customFormat="1" x14ac:dyDescent="0.25">
      <c r="B514" s="215"/>
      <c r="D514" s="209"/>
      <c r="E514" s="210"/>
      <c r="F514" s="232"/>
      <c r="G514" s="209"/>
      <c r="I514" s="211"/>
      <c r="J514" s="212"/>
    </row>
    <row r="515" spans="2:10" s="151" customFormat="1" x14ac:dyDescent="0.25">
      <c r="B515" s="215"/>
      <c r="D515" s="209"/>
      <c r="E515" s="210"/>
      <c r="F515" s="232"/>
      <c r="G515" s="209"/>
      <c r="I515" s="211"/>
      <c r="J515" s="212"/>
    </row>
    <row r="516" spans="2:10" s="151" customFormat="1" x14ac:dyDescent="0.25">
      <c r="B516" s="215"/>
      <c r="D516" s="209"/>
      <c r="E516" s="210"/>
      <c r="F516" s="232"/>
      <c r="G516" s="209"/>
      <c r="I516" s="211"/>
      <c r="J516" s="212"/>
    </row>
    <row r="517" spans="2:10" s="151" customFormat="1" x14ac:dyDescent="0.25">
      <c r="B517" s="215"/>
      <c r="D517" s="209"/>
      <c r="E517" s="210"/>
      <c r="F517" s="232"/>
      <c r="G517" s="209"/>
      <c r="I517" s="211"/>
      <c r="J517" s="212"/>
    </row>
    <row r="518" spans="2:10" x14ac:dyDescent="0.25">
      <c r="B518" s="215"/>
      <c r="C518" s="151"/>
      <c r="D518" s="209"/>
      <c r="E518" s="210"/>
      <c r="F518" s="232"/>
      <c r="G518" s="209"/>
      <c r="H518" s="151"/>
    </row>
    <row r="519" spans="2:10" x14ac:dyDescent="0.25">
      <c r="B519" s="215"/>
      <c r="C519" s="151"/>
      <c r="D519" s="209"/>
      <c r="E519" s="210"/>
      <c r="F519" s="232"/>
      <c r="G519" s="209"/>
      <c r="H519" s="151"/>
    </row>
    <row r="520" spans="2:10" x14ac:dyDescent="0.25">
      <c r="B520" s="215"/>
      <c r="C520" s="151"/>
      <c r="D520" s="209"/>
      <c r="E520" s="210"/>
      <c r="F520" s="232"/>
      <c r="G520" s="209"/>
      <c r="H520" s="151"/>
    </row>
    <row r="521" spans="2:10" x14ac:dyDescent="0.25">
      <c r="B521" s="215"/>
      <c r="C521" s="151"/>
      <c r="D521" s="209"/>
      <c r="E521" s="210"/>
      <c r="F521" s="232"/>
      <c r="G521" s="209"/>
      <c r="H521" s="151"/>
    </row>
    <row r="522" spans="2:10" x14ac:dyDescent="0.25">
      <c r="B522" s="215"/>
      <c r="C522" s="151"/>
      <c r="D522" s="209"/>
      <c r="E522" s="210"/>
      <c r="F522" s="232"/>
      <c r="G522" s="209"/>
      <c r="H522" s="151"/>
    </row>
    <row r="523" spans="2:10" x14ac:dyDescent="0.25">
      <c r="B523" s="215"/>
      <c r="C523" s="151"/>
      <c r="D523" s="209"/>
      <c r="E523" s="210"/>
      <c r="F523" s="232"/>
      <c r="G523" s="209"/>
      <c r="H523" s="151"/>
    </row>
    <row r="524" spans="2:10" x14ac:dyDescent="0.25">
      <c r="B524" s="215"/>
      <c r="C524" s="151"/>
      <c r="D524" s="209"/>
      <c r="E524" s="210"/>
      <c r="F524" s="232"/>
      <c r="G524" s="209"/>
      <c r="H524" s="151"/>
    </row>
  </sheetData>
  <sheetProtection algorithmName="SHA-512" hashValue="tfu2G944Vj/ZZxOD0q+3r6dEodK3naPHvxIXt4+HSi8FaITBorCo/7xZ+b5NVLYPgO9CmKN+/FH5lZ9Xfz4YuQ==" saltValue="R1cO0bhtLCuA2Vjs1dP3Tw==" spinCount="100000" sheet="1" formatCells="0" selectLockedCells="1" autoFilter="0"/>
  <mergeCells count="3">
    <mergeCell ref="B1:C1"/>
    <mergeCell ref="B6:J6"/>
    <mergeCell ref="E7:H7"/>
  </mergeCells>
  <conditionalFormatting sqref="I7 I18:I23">
    <cfRule type="expression" dxfId="2" priority="10" stopIfTrue="1">
      <formula>RIGHT(I7,LEN(I7)-FIND(",",I7))&gt;0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3" orientation="portrait" r:id="rId1"/>
  <colBreaks count="1" manualBreakCount="1">
    <brk id="10" max="1048575" man="1"/>
  </colBreaks>
  <ignoredErrors>
    <ignoredError sqref="F18 F19 F20 F21 F22:F2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38C5-B6AF-4827-85E8-5603C538C09F}">
  <sheetPr>
    <tabColor theme="5" tint="0.59999389629810485"/>
    <pageSetUpPr fitToPage="1"/>
  </sheetPr>
  <dimension ref="A1:IM33"/>
  <sheetViews>
    <sheetView showGridLines="0" zoomScale="80" zoomScaleNormal="80" zoomScaleSheetLayoutView="85" workbookViewId="0">
      <selection activeCell="L18" sqref="L18"/>
    </sheetView>
  </sheetViews>
  <sheetFormatPr baseColWidth="10" defaultColWidth="12" defaultRowHeight="19.5" customHeight="1" x14ac:dyDescent="0.25"/>
  <cols>
    <col min="1" max="1" width="3.140625" style="10" customWidth="1"/>
    <col min="2" max="2" width="11" style="18" customWidth="1"/>
    <col min="3" max="3" width="93.5703125" style="10" customWidth="1"/>
    <col min="4" max="4" width="11.7109375" style="10" customWidth="1"/>
    <col min="5" max="5" width="11.7109375" style="7" customWidth="1"/>
    <col min="6" max="6" width="20.7109375" style="17" bestFit="1" customWidth="1"/>
    <col min="7" max="7" width="13.5703125" style="19" customWidth="1"/>
    <col min="8" max="16384" width="12" style="10"/>
  </cols>
  <sheetData>
    <row r="1" spans="1:247" ht="15.75" customHeight="1" x14ac:dyDescent="0.3">
      <c r="A1" s="24"/>
      <c r="B1" s="381" t="s">
        <v>572</v>
      </c>
      <c r="C1" s="381"/>
      <c r="D1" s="29"/>
      <c r="E1" s="26"/>
      <c r="F1" s="45"/>
      <c r="G1" s="35"/>
      <c r="H1" s="29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</row>
    <row r="2" spans="1:247" s="15" customFormat="1" ht="15.75" customHeight="1" x14ac:dyDescent="0.25">
      <c r="A2" s="38"/>
      <c r="B2" s="83" t="s">
        <v>573</v>
      </c>
      <c r="C2" s="83"/>
      <c r="D2" s="84"/>
      <c r="E2" s="85"/>
      <c r="F2" s="86" t="s">
        <v>588</v>
      </c>
      <c r="G2" s="87">
        <f>'RESUMEN PEDIDO'!H54</f>
        <v>0</v>
      </c>
      <c r="H2" s="38"/>
    </row>
    <row r="3" spans="1:247" s="15" customFormat="1" ht="15.75" customHeight="1" x14ac:dyDescent="0.25">
      <c r="A3" s="38"/>
      <c r="B3" s="88"/>
      <c r="C3" s="89"/>
      <c r="D3" s="84"/>
      <c r="E3" s="85"/>
      <c r="F3" s="86" t="s">
        <v>589</v>
      </c>
      <c r="G3" s="87">
        <f>'RESUMEN PEDIDO'!H58</f>
        <v>0</v>
      </c>
      <c r="H3" s="38"/>
    </row>
    <row r="4" spans="1:247" ht="15.75" customHeight="1" x14ac:dyDescent="0.3">
      <c r="A4" s="29"/>
      <c r="B4" s="36"/>
      <c r="C4" s="31"/>
      <c r="D4" s="77"/>
      <c r="E4" s="33"/>
      <c r="F4" s="37"/>
      <c r="G4" s="35"/>
      <c r="H4" s="29"/>
    </row>
    <row r="5" spans="1:247" ht="15.75" customHeight="1" x14ac:dyDescent="0.3">
      <c r="A5" s="29"/>
      <c r="B5" s="36"/>
      <c r="C5" s="31"/>
      <c r="D5" s="77"/>
      <c r="E5" s="33"/>
      <c r="F5" s="37"/>
      <c r="G5" s="35"/>
      <c r="H5" s="29"/>
    </row>
    <row r="6" spans="1:247" s="15" customFormat="1" ht="25.15" customHeight="1" x14ac:dyDescent="0.25">
      <c r="A6" s="38"/>
      <c r="B6" s="404" t="s">
        <v>14753</v>
      </c>
      <c r="C6" s="405"/>
      <c r="D6" s="405"/>
      <c r="E6" s="405"/>
      <c r="F6" s="405"/>
      <c r="G6" s="406"/>
      <c r="H6" s="38"/>
    </row>
    <row r="7" spans="1:247" s="16" customFormat="1" ht="19.899999999999999" customHeight="1" x14ac:dyDescent="0.25">
      <c r="A7" s="40"/>
      <c r="B7" s="204" t="s">
        <v>14757</v>
      </c>
      <c r="C7" s="205"/>
      <c r="D7" s="206">
        <f>SUBTOTAL(9,D10:D29)</f>
        <v>0</v>
      </c>
      <c r="E7" s="407"/>
      <c r="F7" s="408"/>
      <c r="G7" s="207">
        <f>SUBTOTAL(9,G10:G29)</f>
        <v>0</v>
      </c>
      <c r="H7" s="40"/>
    </row>
    <row r="8" spans="1:247" s="15" customFormat="1" ht="40.5" customHeight="1" x14ac:dyDescent="0.25">
      <c r="A8" s="38"/>
      <c r="B8" s="52" t="s">
        <v>2</v>
      </c>
      <c r="C8" s="53" t="s">
        <v>3</v>
      </c>
      <c r="D8" s="54" t="s">
        <v>0</v>
      </c>
      <c r="E8" s="55" t="s">
        <v>889</v>
      </c>
      <c r="F8" s="56" t="s">
        <v>10</v>
      </c>
      <c r="G8" s="59" t="s">
        <v>9</v>
      </c>
      <c r="H8" s="38"/>
    </row>
    <row r="9" spans="1:247" s="15" customFormat="1" ht="15" customHeight="1" x14ac:dyDescent="0.25">
      <c r="A9" s="38"/>
      <c r="B9" s="60" t="s">
        <v>108</v>
      </c>
      <c r="C9" s="61"/>
      <c r="D9" s="61"/>
      <c r="E9" s="90"/>
      <c r="F9" s="61"/>
      <c r="G9" s="63"/>
      <c r="I9" s="38"/>
      <c r="J9" s="308"/>
    </row>
    <row r="10" spans="1:247" s="15" customFormat="1" ht="15" customHeight="1" x14ac:dyDescent="0.25">
      <c r="A10" s="38"/>
      <c r="B10" s="68">
        <v>390015</v>
      </c>
      <c r="C10" s="65" t="s">
        <v>15205</v>
      </c>
      <c r="D10" s="208"/>
      <c r="E10" s="66">
        <v>3.32</v>
      </c>
      <c r="F10" s="64" t="s">
        <v>119</v>
      </c>
      <c r="G10" s="66">
        <f>E10*D10</f>
        <v>0</v>
      </c>
      <c r="I10" s="38"/>
      <c r="J10" s="308"/>
    </row>
    <row r="11" spans="1:247" s="15" customFormat="1" ht="15" customHeight="1" x14ac:dyDescent="0.25">
      <c r="A11" s="38"/>
      <c r="B11" s="60" t="s">
        <v>109</v>
      </c>
      <c r="C11" s="61"/>
      <c r="D11" s="61"/>
      <c r="E11" s="90"/>
      <c r="F11" s="61"/>
      <c r="G11" s="63"/>
      <c r="H11" s="38"/>
    </row>
    <row r="12" spans="1:247" s="15" customFormat="1" ht="15" customHeight="1" x14ac:dyDescent="0.25">
      <c r="A12" s="38"/>
      <c r="B12" s="68">
        <v>300640</v>
      </c>
      <c r="C12" s="65" t="s">
        <v>14736</v>
      </c>
      <c r="D12" s="208"/>
      <c r="E12" s="66">
        <v>6.02</v>
      </c>
      <c r="F12" s="64" t="s">
        <v>586</v>
      </c>
      <c r="G12" s="66">
        <f>E12*D12</f>
        <v>0</v>
      </c>
      <c r="H12" s="38"/>
      <c r="I12" s="304"/>
    </row>
    <row r="13" spans="1:247" s="15" customFormat="1" ht="15" customHeight="1" x14ac:dyDescent="0.25">
      <c r="A13" s="38"/>
      <c r="B13" s="68">
        <v>300641</v>
      </c>
      <c r="C13" s="65" t="s">
        <v>14910</v>
      </c>
      <c r="D13" s="208"/>
      <c r="E13" s="66">
        <v>7.03</v>
      </c>
      <c r="F13" s="64" t="s">
        <v>122</v>
      </c>
      <c r="G13" s="66">
        <f>E13*D13</f>
        <v>0</v>
      </c>
      <c r="H13" s="38"/>
      <c r="I13" s="304"/>
    </row>
    <row r="14" spans="1:247" s="15" customFormat="1" ht="15" customHeight="1" x14ac:dyDescent="0.25">
      <c r="A14" s="38"/>
      <c r="B14" s="68">
        <v>300643</v>
      </c>
      <c r="C14" s="65" t="s">
        <v>14737</v>
      </c>
      <c r="D14" s="208"/>
      <c r="E14" s="66">
        <v>2.4900000000000002</v>
      </c>
      <c r="F14" s="64" t="s">
        <v>123</v>
      </c>
      <c r="G14" s="66">
        <f>E14*D14</f>
        <v>0</v>
      </c>
      <c r="H14" s="38"/>
      <c r="I14" s="304"/>
    </row>
    <row r="15" spans="1:247" s="15" customFormat="1" ht="15" customHeight="1" x14ac:dyDescent="0.25">
      <c r="A15" s="38"/>
      <c r="B15" s="68" t="s">
        <v>884</v>
      </c>
      <c r="C15" s="65" t="s">
        <v>5833</v>
      </c>
      <c r="D15" s="208"/>
      <c r="E15" s="66">
        <v>12.46</v>
      </c>
      <c r="F15" s="64" t="s">
        <v>121</v>
      </c>
      <c r="G15" s="66">
        <f>E15*D15</f>
        <v>0</v>
      </c>
      <c r="H15" s="38"/>
      <c r="I15" s="304"/>
    </row>
    <row r="16" spans="1:247" s="15" customFormat="1" ht="15" customHeight="1" x14ac:dyDescent="0.25">
      <c r="A16" s="38"/>
      <c r="B16" s="68" t="s">
        <v>885</v>
      </c>
      <c r="C16" s="65" t="s">
        <v>14738</v>
      </c>
      <c r="D16" s="208"/>
      <c r="E16" s="66">
        <v>0.39</v>
      </c>
      <c r="F16" s="64" t="s">
        <v>120</v>
      </c>
      <c r="G16" s="66">
        <f t="shared" ref="G16:G21" si="0">E16*D16</f>
        <v>0</v>
      </c>
      <c r="H16" s="38"/>
      <c r="I16" s="304"/>
    </row>
    <row r="17" spans="1:9" s="15" customFormat="1" ht="15" customHeight="1" x14ac:dyDescent="0.25">
      <c r="A17" s="38"/>
      <c r="B17" s="68" t="s">
        <v>886</v>
      </c>
      <c r="C17" s="65" t="s">
        <v>14739</v>
      </c>
      <c r="D17" s="208"/>
      <c r="E17" s="66">
        <v>0.04</v>
      </c>
      <c r="F17" s="64" t="s">
        <v>887</v>
      </c>
      <c r="G17" s="66">
        <f t="shared" si="0"/>
        <v>0</v>
      </c>
      <c r="H17" s="38"/>
      <c r="I17" s="304"/>
    </row>
    <row r="18" spans="1:9" s="15" customFormat="1" ht="15" customHeight="1" x14ac:dyDescent="0.25">
      <c r="A18" s="38"/>
      <c r="B18" s="68" t="s">
        <v>881</v>
      </c>
      <c r="C18" s="65" t="s">
        <v>14740</v>
      </c>
      <c r="D18" s="208"/>
      <c r="E18" s="66">
        <v>0.62</v>
      </c>
      <c r="F18" s="64" t="s">
        <v>120</v>
      </c>
      <c r="G18" s="66">
        <f t="shared" si="0"/>
        <v>0</v>
      </c>
      <c r="H18" s="38"/>
      <c r="I18" s="304"/>
    </row>
    <row r="19" spans="1:9" s="15" customFormat="1" ht="15" customHeight="1" x14ac:dyDescent="0.25">
      <c r="A19" s="38"/>
      <c r="B19" s="68" t="s">
        <v>882</v>
      </c>
      <c r="C19" s="65" t="s">
        <v>14741</v>
      </c>
      <c r="D19" s="208"/>
      <c r="E19" s="66">
        <v>0.08</v>
      </c>
      <c r="F19" s="64" t="s">
        <v>587</v>
      </c>
      <c r="G19" s="66">
        <f>E19*D19</f>
        <v>0</v>
      </c>
      <c r="H19" s="38"/>
      <c r="I19" s="304"/>
    </row>
    <row r="20" spans="1:9" s="15" customFormat="1" ht="15" customHeight="1" x14ac:dyDescent="0.25">
      <c r="A20" s="38"/>
      <c r="B20" s="68" t="s">
        <v>883</v>
      </c>
      <c r="C20" s="65" t="s">
        <v>14742</v>
      </c>
      <c r="D20" s="208"/>
      <c r="E20" s="66">
        <v>0.1</v>
      </c>
      <c r="F20" s="64" t="s">
        <v>120</v>
      </c>
      <c r="G20" s="66">
        <f t="shared" si="0"/>
        <v>0</v>
      </c>
      <c r="H20" s="38"/>
      <c r="I20" s="304"/>
    </row>
    <row r="21" spans="1:9" s="15" customFormat="1" ht="15" customHeight="1" x14ac:dyDescent="0.25">
      <c r="A21" s="38"/>
      <c r="B21" s="68">
        <v>300733</v>
      </c>
      <c r="C21" s="65" t="s">
        <v>14938</v>
      </c>
      <c r="D21" s="208"/>
      <c r="E21" s="66">
        <v>0.1</v>
      </c>
      <c r="F21" s="64" t="s">
        <v>120</v>
      </c>
      <c r="G21" s="66">
        <f t="shared" si="0"/>
        <v>0</v>
      </c>
      <c r="H21" s="38"/>
      <c r="I21" s="304"/>
    </row>
    <row r="22" spans="1:9" s="15" customFormat="1" ht="15" customHeight="1" x14ac:dyDescent="0.25">
      <c r="A22" s="38"/>
      <c r="B22" s="68">
        <v>300674</v>
      </c>
      <c r="C22" s="65" t="s">
        <v>14743</v>
      </c>
      <c r="D22" s="208"/>
      <c r="E22" s="66">
        <v>3.56</v>
      </c>
      <c r="F22" s="64" t="s">
        <v>586</v>
      </c>
      <c r="G22" s="66">
        <f t="shared" ref="G22:G25" si="1">E22*D22</f>
        <v>0</v>
      </c>
      <c r="H22" s="38"/>
      <c r="I22" s="304"/>
    </row>
    <row r="23" spans="1:9" s="15" customFormat="1" ht="15" customHeight="1" x14ac:dyDescent="0.25">
      <c r="A23" s="38"/>
      <c r="B23" s="68">
        <v>300675</v>
      </c>
      <c r="C23" s="65" t="s">
        <v>14911</v>
      </c>
      <c r="D23" s="208"/>
      <c r="E23" s="66">
        <v>8.6349999999999998</v>
      </c>
      <c r="F23" s="64" t="s">
        <v>122</v>
      </c>
      <c r="G23" s="66">
        <f t="shared" si="1"/>
        <v>0</v>
      </c>
      <c r="H23" s="38"/>
      <c r="I23" s="304"/>
    </row>
    <row r="24" spans="1:9" s="15" customFormat="1" ht="15" customHeight="1" x14ac:dyDescent="0.25">
      <c r="A24" s="38"/>
      <c r="B24" s="68">
        <v>300690</v>
      </c>
      <c r="C24" s="65" t="s">
        <v>14744</v>
      </c>
      <c r="D24" s="208"/>
      <c r="E24" s="66">
        <v>0.2288</v>
      </c>
      <c r="F24" s="64" t="s">
        <v>120</v>
      </c>
      <c r="G24" s="66">
        <f t="shared" si="1"/>
        <v>0</v>
      </c>
      <c r="H24" s="38"/>
      <c r="I24" s="304"/>
    </row>
    <row r="25" spans="1:9" s="15" customFormat="1" ht="15" customHeight="1" x14ac:dyDescent="0.25">
      <c r="A25" s="38"/>
      <c r="B25" s="68">
        <v>300677</v>
      </c>
      <c r="C25" s="65" t="s">
        <v>14745</v>
      </c>
      <c r="D25" s="208"/>
      <c r="E25" s="66">
        <v>2.3199999999999998</v>
      </c>
      <c r="F25" s="64" t="s">
        <v>123</v>
      </c>
      <c r="G25" s="66">
        <f t="shared" si="1"/>
        <v>0</v>
      </c>
      <c r="H25" s="38"/>
      <c r="I25" s="304"/>
    </row>
    <row r="26" spans="1:9" s="15" customFormat="1" ht="15" customHeight="1" x14ac:dyDescent="0.25">
      <c r="A26" s="38"/>
      <c r="B26" s="60" t="s">
        <v>111</v>
      </c>
      <c r="C26" s="61"/>
      <c r="D26" s="61"/>
      <c r="E26" s="90"/>
      <c r="F26" s="61"/>
      <c r="G26" s="63"/>
      <c r="H26" s="38"/>
      <c r="I26" s="304"/>
    </row>
    <row r="27" spans="1:9" s="15" customFormat="1" ht="15" customHeight="1" x14ac:dyDescent="0.25">
      <c r="A27" s="38"/>
      <c r="B27" s="68">
        <v>510236</v>
      </c>
      <c r="C27" s="65" t="s">
        <v>14909</v>
      </c>
      <c r="D27" s="208"/>
      <c r="E27" s="66">
        <v>0.2</v>
      </c>
      <c r="F27" s="64" t="s">
        <v>14908</v>
      </c>
      <c r="G27" s="66">
        <f t="shared" ref="G27" si="2">E27*D27</f>
        <v>0</v>
      </c>
      <c r="H27" s="38"/>
      <c r="I27" s="304"/>
    </row>
    <row r="28" spans="1:9" s="15" customFormat="1" ht="15" customHeight="1" x14ac:dyDescent="0.25">
      <c r="A28" s="38"/>
      <c r="B28" s="68">
        <v>310279</v>
      </c>
      <c r="C28" s="65" t="s">
        <v>14907</v>
      </c>
      <c r="D28" s="208"/>
      <c r="E28" s="66">
        <v>0.53</v>
      </c>
      <c r="F28" s="64" t="s">
        <v>119</v>
      </c>
      <c r="G28" s="66">
        <f t="shared" ref="G28:G29" si="3">E28*D28</f>
        <v>0</v>
      </c>
      <c r="H28" s="38"/>
      <c r="I28" s="304"/>
    </row>
    <row r="29" spans="1:9" s="15" customFormat="1" ht="15" customHeight="1" x14ac:dyDescent="0.25">
      <c r="A29" s="38"/>
      <c r="B29" s="68">
        <v>310340</v>
      </c>
      <c r="C29" s="65" t="s">
        <v>14662</v>
      </c>
      <c r="D29" s="208"/>
      <c r="E29" s="66">
        <v>2.83</v>
      </c>
      <c r="F29" s="64" t="s">
        <v>14663</v>
      </c>
      <c r="G29" s="66">
        <f t="shared" si="3"/>
        <v>0</v>
      </c>
      <c r="H29" s="38"/>
      <c r="I29" s="304"/>
    </row>
    <row r="30" spans="1:9" ht="17.25" x14ac:dyDescent="0.25">
      <c r="A30" s="29"/>
      <c r="B30" s="375" t="s">
        <v>14804</v>
      </c>
      <c r="C30" s="375"/>
      <c r="D30" s="69"/>
      <c r="E30" s="70"/>
      <c r="F30" s="45"/>
      <c r="G30" s="73"/>
      <c r="H30" s="29"/>
    </row>
    <row r="31" spans="1:9" ht="4.9000000000000004" customHeight="1" x14ac:dyDescent="0.25">
      <c r="A31" s="29"/>
      <c r="B31" s="36"/>
      <c r="C31" s="31"/>
      <c r="D31" s="44"/>
      <c r="E31" s="33"/>
      <c r="F31" s="37"/>
      <c r="G31" s="76"/>
      <c r="H31" s="29"/>
    </row>
    <row r="32" spans="1:9" s="15" customFormat="1" ht="17.25" x14ac:dyDescent="0.25">
      <c r="B32" s="13"/>
      <c r="C32" s="11"/>
      <c r="D32" s="18"/>
      <c r="E32" s="12"/>
      <c r="F32" s="14"/>
      <c r="G32" s="20"/>
      <c r="H32" s="10"/>
    </row>
    <row r="33" spans="2:6" ht="17.25" x14ac:dyDescent="0.2">
      <c r="B33" s="21"/>
      <c r="C33" s="22"/>
      <c r="F33" s="23"/>
    </row>
  </sheetData>
  <sheetProtection algorithmName="SHA-512" hashValue="FNKVmfeH/2MtJYw6yMTw1tvPdpb/L/LrRvpkJUpvmm9yS4ZDTYFe22PlYPZFNYd5ptjm9GPNuTWl8jSOFxXMqA==" saltValue="BB3UDeXKlM2L7tCJFOntGg==" spinCount="100000" sheet="1" formatCells="0" selectLockedCells="1" autoFilter="0"/>
  <mergeCells count="4">
    <mergeCell ref="B1:C1"/>
    <mergeCell ref="B6:G6"/>
    <mergeCell ref="E7:F7"/>
    <mergeCell ref="B30:C30"/>
  </mergeCells>
  <conditionalFormatting sqref="G3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60" fitToHeight="0" orientation="portrait" horizontalDpi="1200" verticalDpi="1200" r:id="rId1"/>
  <headerFooter alignWithMargins="0"/>
  <ignoredErrors>
    <ignoredError sqref="B15:B19 B26 B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36E1-E309-4984-93D7-53412314D4CB}">
  <dimension ref="A1:C8547"/>
  <sheetViews>
    <sheetView topLeftCell="A8508" zoomScale="90" zoomScaleNormal="90" workbookViewId="0">
      <selection activeCell="B8522" sqref="B8522"/>
    </sheetView>
  </sheetViews>
  <sheetFormatPr baseColWidth="10" defaultRowHeight="15" x14ac:dyDescent="0.25"/>
  <cols>
    <col min="1" max="1" width="12.7109375" bestFit="1" customWidth="1"/>
    <col min="2" max="2" width="51" bestFit="1" customWidth="1"/>
    <col min="3" max="3" width="22.5703125" bestFit="1" customWidth="1"/>
  </cols>
  <sheetData>
    <row r="1" spans="1:3" x14ac:dyDescent="0.25">
      <c r="A1" s="219" t="s">
        <v>892</v>
      </c>
      <c r="B1" s="219"/>
    </row>
    <row r="2" spans="1:3" x14ac:dyDescent="0.25">
      <c r="A2" s="194"/>
    </row>
    <row r="3" spans="1:3" x14ac:dyDescent="0.25">
      <c r="A3" s="220" t="s">
        <v>893</v>
      </c>
      <c r="B3" s="220" t="s">
        <v>894</v>
      </c>
      <c r="C3" s="220" t="s">
        <v>895</v>
      </c>
    </row>
    <row r="4" spans="1:3" x14ac:dyDescent="0.25">
      <c r="A4" s="222">
        <v>11000</v>
      </c>
      <c r="B4" s="223" t="s">
        <v>896</v>
      </c>
      <c r="C4" s="221" t="s">
        <v>897</v>
      </c>
    </row>
    <row r="5" spans="1:3" x14ac:dyDescent="0.25">
      <c r="A5" s="222">
        <v>11001</v>
      </c>
      <c r="B5" s="223" t="s">
        <v>898</v>
      </c>
      <c r="C5" s="221" t="s">
        <v>899</v>
      </c>
    </row>
    <row r="6" spans="1:3" x14ac:dyDescent="0.25">
      <c r="A6" s="222">
        <v>11002</v>
      </c>
      <c r="B6" s="223" t="s">
        <v>901</v>
      </c>
      <c r="C6" s="221" t="s">
        <v>902</v>
      </c>
    </row>
    <row r="7" spans="1:3" x14ac:dyDescent="0.25">
      <c r="A7" s="222">
        <v>11002</v>
      </c>
      <c r="B7" s="223" t="s">
        <v>901</v>
      </c>
      <c r="C7" s="221" t="s">
        <v>900</v>
      </c>
    </row>
    <row r="8" spans="1:3" x14ac:dyDescent="0.25">
      <c r="A8" s="222">
        <v>11002</v>
      </c>
      <c r="B8" s="223" t="s">
        <v>901</v>
      </c>
      <c r="C8" s="221" t="s">
        <v>900</v>
      </c>
    </row>
    <row r="9" spans="1:3" x14ac:dyDescent="0.25">
      <c r="A9" s="222">
        <v>11003</v>
      </c>
      <c r="B9" s="223" t="s">
        <v>903</v>
      </c>
      <c r="C9" s="221" t="s">
        <v>904</v>
      </c>
    </row>
    <row r="10" spans="1:3" x14ac:dyDescent="0.25">
      <c r="A10" s="222">
        <v>11003</v>
      </c>
      <c r="B10" s="223" t="s">
        <v>903</v>
      </c>
      <c r="C10" s="221" t="s">
        <v>904</v>
      </c>
    </row>
    <row r="11" spans="1:3" x14ac:dyDescent="0.25">
      <c r="A11" s="222">
        <v>11004</v>
      </c>
      <c r="B11" s="223" t="s">
        <v>905</v>
      </c>
      <c r="C11" s="221" t="s">
        <v>906</v>
      </c>
    </row>
    <row r="12" spans="1:3" x14ac:dyDescent="0.25">
      <c r="A12" s="222">
        <v>11005</v>
      </c>
      <c r="B12" s="223" t="s">
        <v>908</v>
      </c>
      <c r="C12" s="221" t="s">
        <v>907</v>
      </c>
    </row>
    <row r="13" spans="1:3" x14ac:dyDescent="0.25">
      <c r="A13" s="222">
        <v>11005</v>
      </c>
      <c r="B13" s="223" t="s">
        <v>908</v>
      </c>
      <c r="C13" s="221" t="s">
        <v>907</v>
      </c>
    </row>
    <row r="14" spans="1:3" x14ac:dyDescent="0.25">
      <c r="A14" s="222">
        <v>11005</v>
      </c>
      <c r="B14" s="223" t="s">
        <v>908</v>
      </c>
      <c r="C14" s="221" t="s">
        <v>907</v>
      </c>
    </row>
    <row r="15" spans="1:3" x14ac:dyDescent="0.25">
      <c r="A15" s="222">
        <v>11006</v>
      </c>
      <c r="B15" s="223" t="s">
        <v>909</v>
      </c>
      <c r="C15" s="221" t="s">
        <v>909</v>
      </c>
    </row>
    <row r="16" spans="1:3" x14ac:dyDescent="0.25">
      <c r="A16" s="222">
        <v>11006</v>
      </c>
      <c r="B16" s="223" t="s">
        <v>909</v>
      </c>
      <c r="C16" s="221" t="s">
        <v>910</v>
      </c>
    </row>
    <row r="17" spans="1:3" x14ac:dyDescent="0.25">
      <c r="A17" s="222">
        <v>11007</v>
      </c>
      <c r="B17" s="223" t="s">
        <v>911</v>
      </c>
      <c r="C17" s="221" t="s">
        <v>912</v>
      </c>
    </row>
    <row r="18" spans="1:3" x14ac:dyDescent="0.25">
      <c r="A18" s="222">
        <v>11007</v>
      </c>
      <c r="B18" s="223" t="s">
        <v>911</v>
      </c>
      <c r="C18" s="221" t="s">
        <v>911</v>
      </c>
    </row>
    <row r="19" spans="1:3" x14ac:dyDescent="0.25">
      <c r="A19" s="222">
        <v>11008</v>
      </c>
      <c r="B19" s="223" t="s">
        <v>913</v>
      </c>
      <c r="C19" s="221" t="s">
        <v>914</v>
      </c>
    </row>
    <row r="20" spans="1:3" x14ac:dyDescent="0.25">
      <c r="A20" s="222">
        <v>11009</v>
      </c>
      <c r="B20" s="223" t="s">
        <v>915</v>
      </c>
      <c r="C20" s="221" t="s">
        <v>916</v>
      </c>
    </row>
    <row r="21" spans="1:3" x14ac:dyDescent="0.25">
      <c r="A21" s="222">
        <v>11010</v>
      </c>
      <c r="B21" s="223" t="s">
        <v>917</v>
      </c>
      <c r="C21" s="221" t="s">
        <v>918</v>
      </c>
    </row>
    <row r="22" spans="1:3" x14ac:dyDescent="0.25">
      <c r="A22" s="222">
        <v>11011</v>
      </c>
      <c r="B22" s="223" t="s">
        <v>919</v>
      </c>
      <c r="C22" s="221" t="s">
        <v>920</v>
      </c>
    </row>
    <row r="23" spans="1:3" x14ac:dyDescent="0.25">
      <c r="A23" s="222">
        <v>11012</v>
      </c>
      <c r="B23" s="223" t="s">
        <v>921</v>
      </c>
      <c r="C23" s="221" t="s">
        <v>922</v>
      </c>
    </row>
    <row r="24" spans="1:3" x14ac:dyDescent="0.25">
      <c r="A24" s="222">
        <v>11013</v>
      </c>
      <c r="B24" s="223" t="s">
        <v>923</v>
      </c>
      <c r="C24" s="221" t="s">
        <v>924</v>
      </c>
    </row>
    <row r="25" spans="1:3" x14ac:dyDescent="0.25">
      <c r="A25" s="222">
        <v>11014</v>
      </c>
      <c r="B25" s="223" t="s">
        <v>925</v>
      </c>
      <c r="C25" s="221" t="s">
        <v>926</v>
      </c>
    </row>
    <row r="26" spans="1:3" x14ac:dyDescent="0.25">
      <c r="A26" s="222">
        <v>11015</v>
      </c>
      <c r="B26" s="223" t="s">
        <v>927</v>
      </c>
      <c r="C26" s="221" t="s">
        <v>928</v>
      </c>
    </row>
    <row r="27" spans="1:3" x14ac:dyDescent="0.25">
      <c r="A27" s="222">
        <v>11016</v>
      </c>
      <c r="B27" s="223" t="s">
        <v>929</v>
      </c>
      <c r="C27" s="221" t="s">
        <v>930</v>
      </c>
    </row>
    <row r="28" spans="1:3" x14ac:dyDescent="0.25">
      <c r="A28" s="222">
        <v>11017</v>
      </c>
      <c r="B28" s="223" t="s">
        <v>932</v>
      </c>
      <c r="C28" s="221" t="s">
        <v>933</v>
      </c>
    </row>
    <row r="29" spans="1:3" x14ac:dyDescent="0.25">
      <c r="A29" s="222">
        <v>11017</v>
      </c>
      <c r="B29" s="223" t="s">
        <v>932</v>
      </c>
      <c r="C29" s="221" t="s">
        <v>931</v>
      </c>
    </row>
    <row r="30" spans="1:3" x14ac:dyDescent="0.25">
      <c r="A30" s="222">
        <v>11017</v>
      </c>
      <c r="B30" s="223" t="s">
        <v>932</v>
      </c>
      <c r="C30" s="221" t="s">
        <v>931</v>
      </c>
    </row>
    <row r="31" spans="1:3" x14ac:dyDescent="0.25">
      <c r="A31" s="222">
        <v>11018</v>
      </c>
      <c r="B31" s="223" t="s">
        <v>934</v>
      </c>
      <c r="C31" s="221" t="s">
        <v>935</v>
      </c>
    </row>
    <row r="32" spans="1:3" x14ac:dyDescent="0.25">
      <c r="A32" s="222">
        <v>11019</v>
      </c>
      <c r="B32" s="223" t="s">
        <v>936</v>
      </c>
      <c r="C32" s="221" t="s">
        <v>937</v>
      </c>
    </row>
    <row r="33" spans="1:3" x14ac:dyDescent="0.25">
      <c r="A33" s="222">
        <v>11019</v>
      </c>
      <c r="B33" s="223" t="s">
        <v>936</v>
      </c>
      <c r="C33" s="221" t="s">
        <v>937</v>
      </c>
    </row>
    <row r="34" spans="1:3" x14ac:dyDescent="0.25">
      <c r="A34" s="222">
        <v>11020</v>
      </c>
      <c r="B34" s="223" t="s">
        <v>938</v>
      </c>
      <c r="C34" s="221" t="s">
        <v>939</v>
      </c>
    </row>
    <row r="35" spans="1:3" x14ac:dyDescent="0.25">
      <c r="A35" s="222">
        <v>11023</v>
      </c>
      <c r="B35" s="223" t="s">
        <v>940</v>
      </c>
      <c r="C35" s="221" t="s">
        <v>941</v>
      </c>
    </row>
    <row r="36" spans="1:3" x14ac:dyDescent="0.25">
      <c r="A36" s="222">
        <v>11024</v>
      </c>
      <c r="B36" s="223" t="s">
        <v>942</v>
      </c>
      <c r="C36" s="221" t="s">
        <v>943</v>
      </c>
    </row>
    <row r="37" spans="1:3" x14ac:dyDescent="0.25">
      <c r="A37" s="222">
        <v>11025</v>
      </c>
      <c r="B37" s="223" t="s">
        <v>944</v>
      </c>
      <c r="C37" s="221" t="s">
        <v>945</v>
      </c>
    </row>
    <row r="38" spans="1:3" x14ac:dyDescent="0.25">
      <c r="A38" s="222">
        <v>11026</v>
      </c>
      <c r="B38" s="223" t="s">
        <v>947</v>
      </c>
      <c r="C38" s="221" t="s">
        <v>948</v>
      </c>
    </row>
    <row r="39" spans="1:3" x14ac:dyDescent="0.25">
      <c r="A39" s="222">
        <v>11026</v>
      </c>
      <c r="B39" s="223" t="s">
        <v>947</v>
      </c>
      <c r="C39" s="221" t="s">
        <v>946</v>
      </c>
    </row>
    <row r="40" spans="1:3" x14ac:dyDescent="0.25">
      <c r="A40" s="222">
        <v>11026</v>
      </c>
      <c r="B40" s="223" t="s">
        <v>947</v>
      </c>
      <c r="C40" s="221" t="s">
        <v>946</v>
      </c>
    </row>
    <row r="41" spans="1:3" x14ac:dyDescent="0.25">
      <c r="A41" s="222">
        <v>11027</v>
      </c>
      <c r="B41" s="223" t="s">
        <v>949</v>
      </c>
      <c r="C41" s="221" t="s">
        <v>950</v>
      </c>
    </row>
    <row r="42" spans="1:3" x14ac:dyDescent="0.25">
      <c r="A42" s="222">
        <v>11028</v>
      </c>
      <c r="B42" s="223" t="s">
        <v>951</v>
      </c>
      <c r="C42" s="221" t="s">
        <v>952</v>
      </c>
    </row>
    <row r="43" spans="1:3" x14ac:dyDescent="0.25">
      <c r="A43" s="222">
        <v>11029</v>
      </c>
      <c r="B43" s="223" t="s">
        <v>953</v>
      </c>
      <c r="C43" s="221" t="s">
        <v>954</v>
      </c>
    </row>
    <row r="44" spans="1:3" x14ac:dyDescent="0.25">
      <c r="A44" s="222">
        <v>11030</v>
      </c>
      <c r="B44" s="223" t="s">
        <v>955</v>
      </c>
      <c r="C44" s="221" t="s">
        <v>956</v>
      </c>
    </row>
    <row r="45" spans="1:3" x14ac:dyDescent="0.25">
      <c r="A45" s="222">
        <v>11030</v>
      </c>
      <c r="B45" s="223" t="s">
        <v>955</v>
      </c>
      <c r="C45" s="221" t="s">
        <v>956</v>
      </c>
    </row>
    <row r="46" spans="1:3" x14ac:dyDescent="0.25">
      <c r="A46" s="222">
        <v>11031</v>
      </c>
      <c r="B46" s="223" t="s">
        <v>957</v>
      </c>
      <c r="C46" s="221" t="s">
        <v>958</v>
      </c>
    </row>
    <row r="47" spans="1:3" x14ac:dyDescent="0.25">
      <c r="A47" s="222">
        <v>11032</v>
      </c>
      <c r="B47" s="223" t="s">
        <v>959</v>
      </c>
      <c r="C47" s="221" t="s">
        <v>960</v>
      </c>
    </row>
    <row r="48" spans="1:3" x14ac:dyDescent="0.25">
      <c r="A48" s="222">
        <v>11033</v>
      </c>
      <c r="B48" s="223" t="s">
        <v>962</v>
      </c>
      <c r="C48" s="221" t="s">
        <v>963</v>
      </c>
    </row>
    <row r="49" spans="1:3" x14ac:dyDescent="0.25">
      <c r="A49" s="222">
        <v>11033</v>
      </c>
      <c r="B49" s="223" t="s">
        <v>962</v>
      </c>
      <c r="C49" s="221" t="s">
        <v>961</v>
      </c>
    </row>
    <row r="50" spans="1:3" x14ac:dyDescent="0.25">
      <c r="A50" s="222">
        <v>11034</v>
      </c>
      <c r="B50" s="223" t="s">
        <v>964</v>
      </c>
      <c r="C50" s="221" t="s">
        <v>965</v>
      </c>
    </row>
    <row r="51" spans="1:3" x14ac:dyDescent="0.25">
      <c r="A51" s="222">
        <v>11035</v>
      </c>
      <c r="B51" s="223" t="s">
        <v>966</v>
      </c>
      <c r="C51" s="221" t="s">
        <v>967</v>
      </c>
    </row>
    <row r="52" spans="1:3" x14ac:dyDescent="0.25">
      <c r="A52" s="222">
        <v>11036</v>
      </c>
      <c r="B52" s="223" t="s">
        <v>968</v>
      </c>
      <c r="C52" s="221" t="s">
        <v>969</v>
      </c>
    </row>
    <row r="53" spans="1:3" x14ac:dyDescent="0.25">
      <c r="A53" s="222">
        <v>11037</v>
      </c>
      <c r="B53" s="223" t="s">
        <v>970</v>
      </c>
      <c r="C53" s="221" t="s">
        <v>971</v>
      </c>
    </row>
    <row r="54" spans="1:3" x14ac:dyDescent="0.25">
      <c r="A54" s="222">
        <v>11038</v>
      </c>
      <c r="B54" s="223" t="s">
        <v>972</v>
      </c>
      <c r="C54" s="221" t="s">
        <v>973</v>
      </c>
    </row>
    <row r="55" spans="1:3" x14ac:dyDescent="0.25">
      <c r="A55" s="222">
        <v>11039</v>
      </c>
      <c r="B55" s="223" t="s">
        <v>974</v>
      </c>
      <c r="C55" s="221" t="s">
        <v>975</v>
      </c>
    </row>
    <row r="56" spans="1:3" x14ac:dyDescent="0.25">
      <c r="A56" s="222">
        <v>11040</v>
      </c>
      <c r="B56" s="223" t="s">
        <v>976</v>
      </c>
      <c r="C56" s="221" t="s">
        <v>977</v>
      </c>
    </row>
    <row r="57" spans="1:3" x14ac:dyDescent="0.25">
      <c r="A57" s="222">
        <v>11041</v>
      </c>
      <c r="B57" s="223" t="s">
        <v>979</v>
      </c>
      <c r="C57" s="221" t="s">
        <v>980</v>
      </c>
    </row>
    <row r="58" spans="1:3" x14ac:dyDescent="0.25">
      <c r="A58" s="222">
        <v>11041</v>
      </c>
      <c r="B58" s="223" t="s">
        <v>979</v>
      </c>
      <c r="C58" s="221" t="s">
        <v>978</v>
      </c>
    </row>
    <row r="59" spans="1:3" x14ac:dyDescent="0.25">
      <c r="A59" s="222">
        <v>11042</v>
      </c>
      <c r="B59" s="223" t="s">
        <v>981</v>
      </c>
      <c r="C59" s="221" t="s">
        <v>982</v>
      </c>
    </row>
    <row r="60" spans="1:3" x14ac:dyDescent="0.25">
      <c r="A60" s="222">
        <v>11043</v>
      </c>
      <c r="B60" s="223" t="s">
        <v>983</v>
      </c>
      <c r="C60" s="221" t="s">
        <v>984</v>
      </c>
    </row>
    <row r="61" spans="1:3" x14ac:dyDescent="0.25">
      <c r="A61" s="222">
        <v>11044</v>
      </c>
      <c r="B61" s="223" t="s">
        <v>985</v>
      </c>
      <c r="C61" s="221" t="s">
        <v>986</v>
      </c>
    </row>
    <row r="62" spans="1:3" x14ac:dyDescent="0.25">
      <c r="A62" s="222">
        <v>11044</v>
      </c>
      <c r="B62" s="223" t="s">
        <v>985</v>
      </c>
      <c r="C62" s="221" t="s">
        <v>986</v>
      </c>
    </row>
    <row r="63" spans="1:3" x14ac:dyDescent="0.25">
      <c r="A63" s="222">
        <v>11045</v>
      </c>
      <c r="B63" s="223" t="s">
        <v>987</v>
      </c>
      <c r="C63" s="221" t="s">
        <v>988</v>
      </c>
    </row>
    <row r="64" spans="1:3" x14ac:dyDescent="0.25">
      <c r="A64" s="222">
        <v>11046</v>
      </c>
      <c r="B64" s="223" t="s">
        <v>989</v>
      </c>
      <c r="C64" s="221" t="s">
        <v>990</v>
      </c>
    </row>
    <row r="65" spans="1:3" x14ac:dyDescent="0.25">
      <c r="A65" s="222">
        <v>11047</v>
      </c>
      <c r="B65" s="223" t="s">
        <v>991</v>
      </c>
      <c r="C65" s="221" t="s">
        <v>992</v>
      </c>
    </row>
    <row r="66" spans="1:3" x14ac:dyDescent="0.25">
      <c r="A66" s="222">
        <v>11048</v>
      </c>
      <c r="B66" s="223" t="s">
        <v>993</v>
      </c>
      <c r="C66" s="221" t="s">
        <v>994</v>
      </c>
    </row>
    <row r="67" spans="1:3" x14ac:dyDescent="0.25">
      <c r="A67" s="222">
        <v>11049</v>
      </c>
      <c r="B67" s="223" t="s">
        <v>995</v>
      </c>
      <c r="C67" s="221" t="s">
        <v>996</v>
      </c>
    </row>
    <row r="68" spans="1:3" x14ac:dyDescent="0.25">
      <c r="A68" s="222">
        <v>11050</v>
      </c>
      <c r="B68" s="223" t="s">
        <v>997</v>
      </c>
      <c r="C68" s="221" t="s">
        <v>998</v>
      </c>
    </row>
    <row r="69" spans="1:3" x14ac:dyDescent="0.25">
      <c r="A69" s="222">
        <v>11053</v>
      </c>
      <c r="B69" s="223" t="s">
        <v>999</v>
      </c>
      <c r="C69" s="221" t="s">
        <v>1000</v>
      </c>
    </row>
    <row r="70" spans="1:3" x14ac:dyDescent="0.25">
      <c r="A70" s="222">
        <v>11054</v>
      </c>
      <c r="B70" s="223" t="s">
        <v>1001</v>
      </c>
      <c r="C70" s="221" t="s">
        <v>1002</v>
      </c>
    </row>
    <row r="71" spans="1:3" x14ac:dyDescent="0.25">
      <c r="A71" s="222">
        <v>11055</v>
      </c>
      <c r="B71" s="223" t="s">
        <v>1003</v>
      </c>
      <c r="C71" s="221" t="s">
        <v>1004</v>
      </c>
    </row>
    <row r="72" spans="1:3" x14ac:dyDescent="0.25">
      <c r="A72" s="222">
        <v>11056</v>
      </c>
      <c r="B72" s="223" t="s">
        <v>1005</v>
      </c>
      <c r="C72" s="221" t="s">
        <v>1006</v>
      </c>
    </row>
    <row r="73" spans="1:3" x14ac:dyDescent="0.25">
      <c r="A73" s="222">
        <v>11057</v>
      </c>
      <c r="B73" s="223" t="s">
        <v>1007</v>
      </c>
      <c r="C73" s="221" t="s">
        <v>1008</v>
      </c>
    </row>
    <row r="74" spans="1:3" x14ac:dyDescent="0.25">
      <c r="A74" s="222">
        <v>11059</v>
      </c>
      <c r="B74" s="223" t="s">
        <v>1009</v>
      </c>
      <c r="C74" s="221" t="s">
        <v>1010</v>
      </c>
    </row>
    <row r="75" spans="1:3" x14ac:dyDescent="0.25">
      <c r="A75" s="222">
        <v>11060</v>
      </c>
      <c r="B75" s="223" t="s">
        <v>1011</v>
      </c>
      <c r="C75" s="221" t="s">
        <v>1012</v>
      </c>
    </row>
    <row r="76" spans="1:3" x14ac:dyDescent="0.25">
      <c r="A76" s="222">
        <v>11060</v>
      </c>
      <c r="B76" s="223" t="s">
        <v>1011</v>
      </c>
      <c r="C76" s="221" t="s">
        <v>1013</v>
      </c>
    </row>
    <row r="77" spans="1:3" x14ac:dyDescent="0.25">
      <c r="A77" s="222">
        <v>11061</v>
      </c>
      <c r="B77" s="223" t="s">
        <v>1014</v>
      </c>
      <c r="C77" s="221" t="s">
        <v>1015</v>
      </c>
    </row>
    <row r="78" spans="1:3" x14ac:dyDescent="0.25">
      <c r="A78" s="222">
        <v>11062</v>
      </c>
      <c r="B78" s="223" t="s">
        <v>1016</v>
      </c>
      <c r="C78" s="221" t="s">
        <v>1017</v>
      </c>
    </row>
    <row r="79" spans="1:3" x14ac:dyDescent="0.25">
      <c r="A79" s="222">
        <v>11063</v>
      </c>
      <c r="B79" s="223" t="s">
        <v>1018</v>
      </c>
      <c r="C79" s="221" t="s">
        <v>1019</v>
      </c>
    </row>
    <row r="80" spans="1:3" x14ac:dyDescent="0.25">
      <c r="A80" s="222">
        <v>11064</v>
      </c>
      <c r="B80" s="223" t="s">
        <v>1020</v>
      </c>
      <c r="C80" s="221" t="s">
        <v>1021</v>
      </c>
    </row>
    <row r="81" spans="1:3" x14ac:dyDescent="0.25">
      <c r="A81" s="222">
        <v>11065</v>
      </c>
      <c r="B81" s="223" t="s">
        <v>1022</v>
      </c>
      <c r="C81" s="221" t="s">
        <v>1023</v>
      </c>
    </row>
    <row r="82" spans="1:3" x14ac:dyDescent="0.25">
      <c r="A82" s="222">
        <v>11066</v>
      </c>
      <c r="B82" s="223" t="s">
        <v>1024</v>
      </c>
      <c r="C82" s="221" t="s">
        <v>1025</v>
      </c>
    </row>
    <row r="83" spans="1:3" x14ac:dyDescent="0.25">
      <c r="A83" s="222">
        <v>11067</v>
      </c>
      <c r="B83" s="223" t="s">
        <v>1026</v>
      </c>
      <c r="C83" s="221" t="s">
        <v>1027</v>
      </c>
    </row>
    <row r="84" spans="1:3" x14ac:dyDescent="0.25">
      <c r="A84" s="222">
        <v>11068</v>
      </c>
      <c r="B84" s="223" t="s">
        <v>1028</v>
      </c>
      <c r="C84" s="221" t="s">
        <v>1029</v>
      </c>
    </row>
    <row r="85" spans="1:3" x14ac:dyDescent="0.25">
      <c r="A85" s="222">
        <v>11069</v>
      </c>
      <c r="B85" s="223" t="s">
        <v>1030</v>
      </c>
      <c r="C85" s="221" t="s">
        <v>1031</v>
      </c>
    </row>
    <row r="86" spans="1:3" x14ac:dyDescent="0.25">
      <c r="A86" s="222">
        <v>11070</v>
      </c>
      <c r="B86" s="223" t="s">
        <v>1032</v>
      </c>
      <c r="C86" s="221" t="s">
        <v>1033</v>
      </c>
    </row>
    <row r="87" spans="1:3" x14ac:dyDescent="0.25">
      <c r="A87" s="222">
        <v>11071</v>
      </c>
      <c r="B87" s="223" t="s">
        <v>1034</v>
      </c>
      <c r="C87" s="221" t="s">
        <v>1035</v>
      </c>
    </row>
    <row r="88" spans="1:3" x14ac:dyDescent="0.25">
      <c r="A88" s="222">
        <v>11072</v>
      </c>
      <c r="B88" s="223" t="s">
        <v>1036</v>
      </c>
      <c r="C88" s="221" t="s">
        <v>1037</v>
      </c>
    </row>
    <row r="89" spans="1:3" x14ac:dyDescent="0.25">
      <c r="A89" s="222">
        <v>11073</v>
      </c>
      <c r="B89" s="223" t="s">
        <v>1038</v>
      </c>
      <c r="C89" s="221" t="s">
        <v>1039</v>
      </c>
    </row>
    <row r="90" spans="1:3" x14ac:dyDescent="0.25">
      <c r="A90" s="222">
        <v>11073</v>
      </c>
      <c r="B90" s="223" t="s">
        <v>1038</v>
      </c>
      <c r="C90" s="221" t="s">
        <v>1039</v>
      </c>
    </row>
    <row r="91" spans="1:3" x14ac:dyDescent="0.25">
      <c r="A91" s="222">
        <v>11074</v>
      </c>
      <c r="B91" s="223" t="s">
        <v>1040</v>
      </c>
      <c r="C91" s="221" t="s">
        <v>1041</v>
      </c>
    </row>
    <row r="92" spans="1:3" x14ac:dyDescent="0.25">
      <c r="A92" s="222">
        <v>11075</v>
      </c>
      <c r="B92" s="223" t="s">
        <v>1042</v>
      </c>
      <c r="C92" s="221" t="s">
        <v>1043</v>
      </c>
    </row>
    <row r="93" spans="1:3" x14ac:dyDescent="0.25">
      <c r="A93" s="222">
        <v>11076</v>
      </c>
      <c r="B93" s="223" t="s">
        <v>1044</v>
      </c>
      <c r="C93" s="221" t="s">
        <v>1045</v>
      </c>
    </row>
    <row r="94" spans="1:3" x14ac:dyDescent="0.25">
      <c r="A94" s="222">
        <v>11077</v>
      </c>
      <c r="B94" s="223" t="s">
        <v>1046</v>
      </c>
      <c r="C94" s="221" t="s">
        <v>1047</v>
      </c>
    </row>
    <row r="95" spans="1:3" x14ac:dyDescent="0.25">
      <c r="A95" s="222">
        <v>11078</v>
      </c>
      <c r="B95" s="223" t="s">
        <v>1048</v>
      </c>
      <c r="C95" s="221" t="s">
        <v>1049</v>
      </c>
    </row>
    <row r="96" spans="1:3" x14ac:dyDescent="0.25">
      <c r="A96" s="222">
        <v>11079</v>
      </c>
      <c r="B96" s="223" t="s">
        <v>1050</v>
      </c>
      <c r="C96" s="221" t="s">
        <v>1051</v>
      </c>
    </row>
    <row r="97" spans="1:3" x14ac:dyDescent="0.25">
      <c r="A97" s="222">
        <v>11080</v>
      </c>
      <c r="B97" s="223" t="s">
        <v>1052</v>
      </c>
      <c r="C97" s="221" t="s">
        <v>1053</v>
      </c>
    </row>
    <row r="98" spans="1:3" x14ac:dyDescent="0.25">
      <c r="A98" s="222">
        <v>11081</v>
      </c>
      <c r="B98" s="223" t="s">
        <v>1054</v>
      </c>
      <c r="C98" s="221" t="s">
        <v>1055</v>
      </c>
    </row>
    <row r="99" spans="1:3" x14ac:dyDescent="0.25">
      <c r="A99" s="222">
        <v>11082</v>
      </c>
      <c r="B99" s="223" t="s">
        <v>1056</v>
      </c>
      <c r="C99" s="221" t="s">
        <v>1057</v>
      </c>
    </row>
    <row r="100" spans="1:3" x14ac:dyDescent="0.25">
      <c r="A100" s="222">
        <v>11083</v>
      </c>
      <c r="B100" s="223" t="s">
        <v>1058</v>
      </c>
      <c r="C100" s="221" t="s">
        <v>1059</v>
      </c>
    </row>
    <row r="101" spans="1:3" x14ac:dyDescent="0.25">
      <c r="A101" s="222">
        <v>11084</v>
      </c>
      <c r="B101" s="223" t="s">
        <v>1060</v>
      </c>
      <c r="C101" s="221" t="s">
        <v>1061</v>
      </c>
    </row>
    <row r="102" spans="1:3" x14ac:dyDescent="0.25">
      <c r="A102" s="222">
        <v>11085</v>
      </c>
      <c r="B102" s="223" t="s">
        <v>1062</v>
      </c>
      <c r="C102" s="221" t="s">
        <v>1063</v>
      </c>
    </row>
    <row r="103" spans="1:3" x14ac:dyDescent="0.25">
      <c r="A103" s="222">
        <v>11086</v>
      </c>
      <c r="B103" s="223" t="s">
        <v>1064</v>
      </c>
      <c r="C103" s="221" t="s">
        <v>1065</v>
      </c>
    </row>
    <row r="104" spans="1:3" x14ac:dyDescent="0.25">
      <c r="A104" s="222">
        <v>11087</v>
      </c>
      <c r="B104" s="223" t="s">
        <v>1066</v>
      </c>
      <c r="C104" s="221" t="s">
        <v>1067</v>
      </c>
    </row>
    <row r="105" spans="1:3" x14ac:dyDescent="0.25">
      <c r="A105" s="222">
        <v>11088</v>
      </c>
      <c r="B105" s="223" t="s">
        <v>1068</v>
      </c>
      <c r="C105" s="221" t="s">
        <v>1069</v>
      </c>
    </row>
    <row r="106" spans="1:3" x14ac:dyDescent="0.25">
      <c r="A106" s="222">
        <v>11089</v>
      </c>
      <c r="B106" s="223" t="s">
        <v>1070</v>
      </c>
      <c r="C106" s="221" t="s">
        <v>1071</v>
      </c>
    </row>
    <row r="107" spans="1:3" x14ac:dyDescent="0.25">
      <c r="A107" s="222">
        <v>11090</v>
      </c>
      <c r="B107" s="223" t="s">
        <v>1072</v>
      </c>
      <c r="C107" s="221" t="s">
        <v>1073</v>
      </c>
    </row>
    <row r="108" spans="1:3" x14ac:dyDescent="0.25">
      <c r="A108" s="222">
        <v>11091</v>
      </c>
      <c r="B108" s="223" t="s">
        <v>1074</v>
      </c>
      <c r="C108" s="221" t="s">
        <v>1075</v>
      </c>
    </row>
    <row r="109" spans="1:3" x14ac:dyDescent="0.25">
      <c r="A109" s="222">
        <v>11092</v>
      </c>
      <c r="B109" s="223" t="s">
        <v>1076</v>
      </c>
      <c r="C109" s="221" t="s">
        <v>1077</v>
      </c>
    </row>
    <row r="110" spans="1:3" x14ac:dyDescent="0.25">
      <c r="A110" s="222">
        <v>11093</v>
      </c>
      <c r="B110" s="223" t="s">
        <v>1078</v>
      </c>
      <c r="C110" s="221" t="s">
        <v>1079</v>
      </c>
    </row>
    <row r="111" spans="1:3" x14ac:dyDescent="0.25">
      <c r="A111" s="222">
        <v>11094</v>
      </c>
      <c r="B111" s="223" t="s">
        <v>1080</v>
      </c>
      <c r="C111" s="221" t="s">
        <v>1081</v>
      </c>
    </row>
    <row r="112" spans="1:3" x14ac:dyDescent="0.25">
      <c r="A112" s="222">
        <v>11095</v>
      </c>
      <c r="B112" s="223" t="s">
        <v>1082</v>
      </c>
      <c r="C112" s="221" t="s">
        <v>1083</v>
      </c>
    </row>
    <row r="113" spans="1:3" x14ac:dyDescent="0.25">
      <c r="A113" s="222">
        <v>11096</v>
      </c>
      <c r="B113" s="223" t="s">
        <v>1084</v>
      </c>
      <c r="C113" s="221" t="s">
        <v>1085</v>
      </c>
    </row>
    <row r="114" spans="1:3" x14ac:dyDescent="0.25">
      <c r="A114" s="222">
        <v>11097</v>
      </c>
      <c r="B114" s="223" t="s">
        <v>1086</v>
      </c>
      <c r="C114" s="221" t="s">
        <v>1087</v>
      </c>
    </row>
    <row r="115" spans="1:3" x14ac:dyDescent="0.25">
      <c r="A115" s="222">
        <v>11098</v>
      </c>
      <c r="B115" s="223" t="s">
        <v>1088</v>
      </c>
      <c r="C115" s="221" t="s">
        <v>1089</v>
      </c>
    </row>
    <row r="116" spans="1:3" x14ac:dyDescent="0.25">
      <c r="A116" s="222">
        <v>11099</v>
      </c>
      <c r="B116" s="223" t="s">
        <v>1090</v>
      </c>
      <c r="C116" s="221" t="s">
        <v>1091</v>
      </c>
    </row>
    <row r="117" spans="1:3" x14ac:dyDescent="0.25">
      <c r="A117" s="222">
        <v>11100</v>
      </c>
      <c r="B117" s="223" t="s">
        <v>1092</v>
      </c>
      <c r="C117" s="221" t="s">
        <v>1093</v>
      </c>
    </row>
    <row r="118" spans="1:3" x14ac:dyDescent="0.25">
      <c r="A118" s="222">
        <v>11100</v>
      </c>
      <c r="B118" s="223" t="s">
        <v>1092</v>
      </c>
      <c r="C118" s="221" t="s">
        <v>1094</v>
      </c>
    </row>
    <row r="119" spans="1:3" x14ac:dyDescent="0.25">
      <c r="A119" s="222">
        <v>11100</v>
      </c>
      <c r="B119" s="223" t="s">
        <v>1092</v>
      </c>
      <c r="C119" s="221" t="s">
        <v>1095</v>
      </c>
    </row>
    <row r="120" spans="1:3" x14ac:dyDescent="0.25">
      <c r="A120" s="222">
        <v>11101</v>
      </c>
      <c r="B120" s="223" t="s">
        <v>1096</v>
      </c>
      <c r="C120" s="221" t="s">
        <v>1097</v>
      </c>
    </row>
    <row r="121" spans="1:3" x14ac:dyDescent="0.25">
      <c r="A121" s="222">
        <v>11102</v>
      </c>
      <c r="B121" s="223" t="s">
        <v>1098</v>
      </c>
      <c r="C121" s="221" t="s">
        <v>1099</v>
      </c>
    </row>
    <row r="122" spans="1:3" x14ac:dyDescent="0.25">
      <c r="A122" s="222">
        <v>11103</v>
      </c>
      <c r="B122" s="223" t="s">
        <v>1100</v>
      </c>
      <c r="C122" s="221" t="s">
        <v>1101</v>
      </c>
    </row>
    <row r="123" spans="1:3" x14ac:dyDescent="0.25">
      <c r="A123" s="222">
        <v>11104</v>
      </c>
      <c r="B123" s="223" t="s">
        <v>1102</v>
      </c>
      <c r="C123" s="221" t="s">
        <v>1103</v>
      </c>
    </row>
    <row r="124" spans="1:3" x14ac:dyDescent="0.25">
      <c r="A124" s="222">
        <v>11105</v>
      </c>
      <c r="B124" s="223" t="s">
        <v>1104</v>
      </c>
      <c r="C124" s="221" t="s">
        <v>1105</v>
      </c>
    </row>
    <row r="125" spans="1:3" x14ac:dyDescent="0.25">
      <c r="A125" s="222">
        <v>11106</v>
      </c>
      <c r="B125" s="223" t="s">
        <v>1106</v>
      </c>
      <c r="C125" s="221" t="s">
        <v>1107</v>
      </c>
    </row>
    <row r="126" spans="1:3" x14ac:dyDescent="0.25">
      <c r="A126" s="222">
        <v>11107</v>
      </c>
      <c r="B126" s="223" t="s">
        <v>1108</v>
      </c>
      <c r="C126" s="221" t="s">
        <v>1109</v>
      </c>
    </row>
    <row r="127" spans="1:3" x14ac:dyDescent="0.25">
      <c r="A127" s="222">
        <v>11108</v>
      </c>
      <c r="B127" s="223" t="s">
        <v>1110</v>
      </c>
      <c r="C127" s="221" t="s">
        <v>1111</v>
      </c>
    </row>
    <row r="128" spans="1:3" x14ac:dyDescent="0.25">
      <c r="A128" s="222">
        <v>11109</v>
      </c>
      <c r="B128" s="223" t="s">
        <v>1112</v>
      </c>
      <c r="C128" s="221" t="s">
        <v>1113</v>
      </c>
    </row>
    <row r="129" spans="1:3" x14ac:dyDescent="0.25">
      <c r="A129" s="222">
        <v>11110</v>
      </c>
      <c r="B129" s="223" t="s">
        <v>1114</v>
      </c>
      <c r="C129" s="221" t="s">
        <v>1115</v>
      </c>
    </row>
    <row r="130" spans="1:3" x14ac:dyDescent="0.25">
      <c r="A130" s="222">
        <v>11111</v>
      </c>
      <c r="B130" s="223" t="s">
        <v>1116</v>
      </c>
      <c r="C130" s="221" t="s">
        <v>1117</v>
      </c>
    </row>
    <row r="131" spans="1:3" x14ac:dyDescent="0.25">
      <c r="A131" s="222">
        <v>11112</v>
      </c>
      <c r="B131" s="223" t="s">
        <v>1118</v>
      </c>
      <c r="C131" s="221" t="s">
        <v>1119</v>
      </c>
    </row>
    <row r="132" spans="1:3" x14ac:dyDescent="0.25">
      <c r="A132" s="222">
        <v>11112</v>
      </c>
      <c r="B132" s="223" t="s">
        <v>1118</v>
      </c>
      <c r="C132" s="221" t="s">
        <v>1120</v>
      </c>
    </row>
    <row r="133" spans="1:3" x14ac:dyDescent="0.25">
      <c r="A133" s="222">
        <v>11113</v>
      </c>
      <c r="B133" s="223" t="s">
        <v>1122</v>
      </c>
      <c r="C133" s="221" t="s">
        <v>1123</v>
      </c>
    </row>
    <row r="134" spans="1:3" x14ac:dyDescent="0.25">
      <c r="A134" s="222">
        <v>11115</v>
      </c>
      <c r="B134" s="223" t="s">
        <v>1124</v>
      </c>
      <c r="C134" s="221" t="s">
        <v>1125</v>
      </c>
    </row>
    <row r="135" spans="1:3" x14ac:dyDescent="0.25">
      <c r="A135" s="222">
        <v>11116</v>
      </c>
      <c r="B135" s="223" t="s">
        <v>1126</v>
      </c>
      <c r="C135" s="221" t="s">
        <v>1127</v>
      </c>
    </row>
    <row r="136" spans="1:3" x14ac:dyDescent="0.25">
      <c r="A136" s="222">
        <v>11117</v>
      </c>
      <c r="B136" s="223" t="s">
        <v>1128</v>
      </c>
      <c r="C136" s="221" t="s">
        <v>1129</v>
      </c>
    </row>
    <row r="137" spans="1:3" x14ac:dyDescent="0.25">
      <c r="A137" s="222">
        <v>11119</v>
      </c>
      <c r="B137" s="223" t="s">
        <v>1130</v>
      </c>
      <c r="C137" s="221" t="s">
        <v>1131</v>
      </c>
    </row>
    <row r="138" spans="1:3" x14ac:dyDescent="0.25">
      <c r="A138" s="222">
        <v>11120</v>
      </c>
      <c r="B138" s="223" t="s">
        <v>1132</v>
      </c>
      <c r="C138" s="221" t="s">
        <v>1133</v>
      </c>
    </row>
    <row r="139" spans="1:3" x14ac:dyDescent="0.25">
      <c r="A139" s="222">
        <v>11121</v>
      </c>
      <c r="B139" s="223" t="s">
        <v>1134</v>
      </c>
      <c r="C139" s="221" t="s">
        <v>1135</v>
      </c>
    </row>
    <row r="140" spans="1:3" x14ac:dyDescent="0.25">
      <c r="A140" s="222">
        <v>11122</v>
      </c>
      <c r="B140" s="223" t="s">
        <v>1136</v>
      </c>
      <c r="C140" s="221" t="s">
        <v>1137</v>
      </c>
    </row>
    <row r="141" spans="1:3" x14ac:dyDescent="0.25">
      <c r="A141" s="222">
        <v>11123</v>
      </c>
      <c r="B141" s="223" t="s">
        <v>1138</v>
      </c>
      <c r="C141" s="221" t="s">
        <v>1139</v>
      </c>
    </row>
    <row r="142" spans="1:3" x14ac:dyDescent="0.25">
      <c r="A142" s="222">
        <v>11124</v>
      </c>
      <c r="B142" s="223" t="s">
        <v>1140</v>
      </c>
      <c r="C142" s="221" t="s">
        <v>1141</v>
      </c>
    </row>
    <row r="143" spans="1:3" x14ac:dyDescent="0.25">
      <c r="A143" s="222">
        <v>11125</v>
      </c>
      <c r="B143" s="223" t="s">
        <v>1143</v>
      </c>
      <c r="C143" s="221" t="s">
        <v>1144</v>
      </c>
    </row>
    <row r="144" spans="1:3" x14ac:dyDescent="0.25">
      <c r="A144" s="222">
        <v>11125</v>
      </c>
      <c r="B144" s="223" t="s">
        <v>1143</v>
      </c>
      <c r="C144" s="221" t="s">
        <v>1142</v>
      </c>
    </row>
    <row r="145" spans="1:3" x14ac:dyDescent="0.25">
      <c r="A145" s="222">
        <v>11125</v>
      </c>
      <c r="B145" s="223" t="s">
        <v>1143</v>
      </c>
      <c r="C145" s="221" t="s">
        <v>1142</v>
      </c>
    </row>
    <row r="146" spans="1:3" x14ac:dyDescent="0.25">
      <c r="A146" s="222">
        <v>11126</v>
      </c>
      <c r="B146" s="223" t="s">
        <v>1146</v>
      </c>
      <c r="C146" s="221" t="s">
        <v>1147</v>
      </c>
    </row>
    <row r="147" spans="1:3" x14ac:dyDescent="0.25">
      <c r="A147" s="222">
        <v>11126</v>
      </c>
      <c r="B147" s="223" t="s">
        <v>1146</v>
      </c>
      <c r="C147" s="221" t="s">
        <v>1145</v>
      </c>
    </row>
    <row r="148" spans="1:3" x14ac:dyDescent="0.25">
      <c r="A148" s="222">
        <v>11127</v>
      </c>
      <c r="B148" s="223" t="s">
        <v>1148</v>
      </c>
      <c r="C148" s="221" t="s">
        <v>1149</v>
      </c>
    </row>
    <row r="149" spans="1:3" x14ac:dyDescent="0.25">
      <c r="A149" s="222">
        <v>11128</v>
      </c>
      <c r="B149" s="223" t="s">
        <v>1150</v>
      </c>
      <c r="C149" s="221" t="s">
        <v>1151</v>
      </c>
    </row>
    <row r="150" spans="1:3" x14ac:dyDescent="0.25">
      <c r="A150" s="222">
        <v>11130</v>
      </c>
      <c r="B150" s="223" t="s">
        <v>1152</v>
      </c>
      <c r="C150" s="221" t="s">
        <v>1153</v>
      </c>
    </row>
    <row r="151" spans="1:3" x14ac:dyDescent="0.25">
      <c r="A151" s="222">
        <v>11130</v>
      </c>
      <c r="B151" s="223" t="s">
        <v>1152</v>
      </c>
      <c r="C151" s="221" t="s">
        <v>1154</v>
      </c>
    </row>
    <row r="152" spans="1:3" x14ac:dyDescent="0.25">
      <c r="A152" s="222">
        <v>11130</v>
      </c>
      <c r="B152" s="223" t="s">
        <v>1152</v>
      </c>
      <c r="C152" s="221" t="s">
        <v>1155</v>
      </c>
    </row>
    <row r="153" spans="1:3" x14ac:dyDescent="0.25">
      <c r="A153" s="222">
        <v>11131</v>
      </c>
      <c r="B153" s="223" t="s">
        <v>1156</v>
      </c>
      <c r="C153" s="221" t="s">
        <v>1157</v>
      </c>
    </row>
    <row r="154" spans="1:3" x14ac:dyDescent="0.25">
      <c r="A154" s="222">
        <v>11132</v>
      </c>
      <c r="B154" s="223" t="s">
        <v>1158</v>
      </c>
      <c r="C154" s="221" t="s">
        <v>1159</v>
      </c>
    </row>
    <row r="155" spans="1:3" x14ac:dyDescent="0.25">
      <c r="A155" s="222">
        <v>11133</v>
      </c>
      <c r="B155" s="223" t="s">
        <v>1160</v>
      </c>
      <c r="C155" s="221" t="s">
        <v>1161</v>
      </c>
    </row>
    <row r="156" spans="1:3" x14ac:dyDescent="0.25">
      <c r="A156" s="222">
        <v>11134</v>
      </c>
      <c r="B156" s="223" t="s">
        <v>1162</v>
      </c>
      <c r="C156" s="221" t="s">
        <v>1163</v>
      </c>
    </row>
    <row r="157" spans="1:3" x14ac:dyDescent="0.25">
      <c r="A157" s="222">
        <v>11135</v>
      </c>
      <c r="B157" s="223" t="s">
        <v>1164</v>
      </c>
      <c r="C157" s="221" t="s">
        <v>1121</v>
      </c>
    </row>
    <row r="158" spans="1:3" x14ac:dyDescent="0.25">
      <c r="A158" s="222">
        <v>11135</v>
      </c>
      <c r="B158" s="223" t="s">
        <v>1164</v>
      </c>
      <c r="C158" s="221" t="s">
        <v>1165</v>
      </c>
    </row>
    <row r="159" spans="1:3" x14ac:dyDescent="0.25">
      <c r="A159" s="222">
        <v>11135</v>
      </c>
      <c r="B159" s="223" t="s">
        <v>1164</v>
      </c>
      <c r="C159" s="221" t="s">
        <v>1166</v>
      </c>
    </row>
    <row r="160" spans="1:3" x14ac:dyDescent="0.25">
      <c r="A160" s="222">
        <v>11135</v>
      </c>
      <c r="B160" s="223" t="s">
        <v>1164</v>
      </c>
      <c r="C160" s="221" t="s">
        <v>1167</v>
      </c>
    </row>
    <row r="161" spans="1:3" x14ac:dyDescent="0.25">
      <c r="A161" s="222">
        <v>11136</v>
      </c>
      <c r="B161" s="223" t="s">
        <v>1168</v>
      </c>
      <c r="C161" s="221" t="s">
        <v>1169</v>
      </c>
    </row>
    <row r="162" spans="1:3" x14ac:dyDescent="0.25">
      <c r="A162" s="222">
        <v>11139</v>
      </c>
      <c r="B162" s="223" t="s">
        <v>1170</v>
      </c>
      <c r="C162" s="221" t="s">
        <v>1171</v>
      </c>
    </row>
    <row r="163" spans="1:3" x14ac:dyDescent="0.25">
      <c r="A163" s="222">
        <v>11140</v>
      </c>
      <c r="B163" s="223" t="s">
        <v>1172</v>
      </c>
      <c r="C163" s="221" t="s">
        <v>1173</v>
      </c>
    </row>
    <row r="164" spans="1:3" x14ac:dyDescent="0.25">
      <c r="A164" s="222">
        <v>11141</v>
      </c>
      <c r="B164" s="223" t="s">
        <v>1174</v>
      </c>
      <c r="C164" s="221" t="s">
        <v>1175</v>
      </c>
    </row>
    <row r="165" spans="1:3" x14ac:dyDescent="0.25">
      <c r="A165" s="222">
        <v>11143</v>
      </c>
      <c r="B165" s="223" t="s">
        <v>1176</v>
      </c>
      <c r="C165" s="221" t="s">
        <v>1177</v>
      </c>
    </row>
    <row r="166" spans="1:3" x14ac:dyDescent="0.25">
      <c r="A166" s="222">
        <v>11144</v>
      </c>
      <c r="B166" s="223" t="s">
        <v>1178</v>
      </c>
      <c r="C166" s="221" t="s">
        <v>1179</v>
      </c>
    </row>
    <row r="167" spans="1:3" x14ac:dyDescent="0.25">
      <c r="A167" s="222">
        <v>11145</v>
      </c>
      <c r="B167" s="223" t="s">
        <v>1180</v>
      </c>
      <c r="C167" s="221" t="s">
        <v>1181</v>
      </c>
    </row>
    <row r="168" spans="1:3" x14ac:dyDescent="0.25">
      <c r="A168" s="222">
        <v>11146</v>
      </c>
      <c r="B168" s="223" t="s">
        <v>1182</v>
      </c>
      <c r="C168" s="221" t="s">
        <v>1183</v>
      </c>
    </row>
    <row r="169" spans="1:3" x14ac:dyDescent="0.25">
      <c r="A169" s="222">
        <v>11147</v>
      </c>
      <c r="B169" s="223" t="s">
        <v>1184</v>
      </c>
      <c r="C169" s="221" t="s">
        <v>1185</v>
      </c>
    </row>
    <row r="170" spans="1:3" x14ac:dyDescent="0.25">
      <c r="A170" s="222">
        <v>11148</v>
      </c>
      <c r="B170" s="223" t="s">
        <v>1187</v>
      </c>
      <c r="C170" s="221" t="s">
        <v>1186</v>
      </c>
    </row>
    <row r="171" spans="1:3" x14ac:dyDescent="0.25">
      <c r="A171" s="222">
        <v>11148</v>
      </c>
      <c r="B171" s="223" t="s">
        <v>1187</v>
      </c>
      <c r="C171" s="221" t="s">
        <v>1186</v>
      </c>
    </row>
    <row r="172" spans="1:3" x14ac:dyDescent="0.25">
      <c r="A172" s="222">
        <v>11149</v>
      </c>
      <c r="B172" s="223" t="s">
        <v>1188</v>
      </c>
      <c r="C172" s="221" t="s">
        <v>1189</v>
      </c>
    </row>
    <row r="173" spans="1:3" x14ac:dyDescent="0.25">
      <c r="A173" s="222">
        <v>11150</v>
      </c>
      <c r="B173" s="223" t="s">
        <v>1190</v>
      </c>
      <c r="C173" s="221" t="s">
        <v>1191</v>
      </c>
    </row>
    <row r="174" spans="1:3" x14ac:dyDescent="0.25">
      <c r="A174" s="222">
        <v>11151</v>
      </c>
      <c r="B174" s="223" t="s">
        <v>1192</v>
      </c>
      <c r="C174" s="221" t="s">
        <v>1193</v>
      </c>
    </row>
    <row r="175" spans="1:3" x14ac:dyDescent="0.25">
      <c r="A175" s="222">
        <v>11152</v>
      </c>
      <c r="B175" s="223" t="s">
        <v>1194</v>
      </c>
      <c r="C175" s="221" t="s">
        <v>1195</v>
      </c>
    </row>
    <row r="176" spans="1:3" x14ac:dyDescent="0.25">
      <c r="A176" s="222">
        <v>11153</v>
      </c>
      <c r="B176" s="223" t="s">
        <v>1196</v>
      </c>
      <c r="C176" s="221" t="s">
        <v>1197</v>
      </c>
    </row>
    <row r="177" spans="1:3" x14ac:dyDescent="0.25">
      <c r="A177" s="222">
        <v>11154</v>
      </c>
      <c r="B177" s="223" t="s">
        <v>1198</v>
      </c>
      <c r="C177" s="221" t="s">
        <v>1199</v>
      </c>
    </row>
    <row r="178" spans="1:3" x14ac:dyDescent="0.25">
      <c r="A178" s="222">
        <v>11156</v>
      </c>
      <c r="B178" s="223" t="s">
        <v>1200</v>
      </c>
      <c r="C178" s="221" t="s">
        <v>1201</v>
      </c>
    </row>
    <row r="179" spans="1:3" x14ac:dyDescent="0.25">
      <c r="A179" s="222">
        <v>11158</v>
      </c>
      <c r="B179" s="223" t="s">
        <v>1202</v>
      </c>
      <c r="C179" s="221" t="s">
        <v>1203</v>
      </c>
    </row>
    <row r="180" spans="1:3" x14ac:dyDescent="0.25">
      <c r="A180" s="222">
        <v>11159</v>
      </c>
      <c r="B180" s="223" t="s">
        <v>1204</v>
      </c>
      <c r="C180" s="221" t="s">
        <v>1205</v>
      </c>
    </row>
    <row r="181" spans="1:3" x14ac:dyDescent="0.25">
      <c r="A181" s="222">
        <v>11160</v>
      </c>
      <c r="B181" s="223" t="s">
        <v>1206</v>
      </c>
      <c r="C181" s="221" t="s">
        <v>1207</v>
      </c>
    </row>
    <row r="182" spans="1:3" x14ac:dyDescent="0.25">
      <c r="A182" s="222">
        <v>11161</v>
      </c>
      <c r="B182" s="223" t="s">
        <v>1209</v>
      </c>
      <c r="C182" s="221" t="s">
        <v>1208</v>
      </c>
    </row>
    <row r="183" spans="1:3" x14ac:dyDescent="0.25">
      <c r="A183" s="222">
        <v>11161</v>
      </c>
      <c r="B183" s="223" t="s">
        <v>1209</v>
      </c>
      <c r="C183" s="221" t="s">
        <v>1208</v>
      </c>
    </row>
    <row r="184" spans="1:3" x14ac:dyDescent="0.25">
      <c r="A184" s="222">
        <v>11162</v>
      </c>
      <c r="B184" s="223" t="s">
        <v>1210</v>
      </c>
      <c r="C184" s="221" t="s">
        <v>1211</v>
      </c>
    </row>
    <row r="185" spans="1:3" x14ac:dyDescent="0.25">
      <c r="A185" s="222">
        <v>11163</v>
      </c>
      <c r="B185" s="223" t="s">
        <v>1212</v>
      </c>
      <c r="C185" s="221" t="s">
        <v>1213</v>
      </c>
    </row>
    <row r="186" spans="1:3" x14ac:dyDescent="0.25">
      <c r="A186" s="222">
        <v>11164</v>
      </c>
      <c r="B186" s="223" t="s">
        <v>1214</v>
      </c>
      <c r="C186" s="221" t="s">
        <v>1215</v>
      </c>
    </row>
    <row r="187" spans="1:3" x14ac:dyDescent="0.25">
      <c r="A187" s="222">
        <v>11165</v>
      </c>
      <c r="B187" s="223" t="s">
        <v>1216</v>
      </c>
      <c r="C187" s="221" t="s">
        <v>1217</v>
      </c>
    </row>
    <row r="188" spans="1:3" x14ac:dyDescent="0.25">
      <c r="A188" s="222">
        <v>11166</v>
      </c>
      <c r="B188" s="223" t="s">
        <v>1218</v>
      </c>
      <c r="C188" s="221" t="s">
        <v>1219</v>
      </c>
    </row>
    <row r="189" spans="1:3" x14ac:dyDescent="0.25">
      <c r="A189" s="222">
        <v>11167</v>
      </c>
      <c r="B189" s="223" t="s">
        <v>1220</v>
      </c>
      <c r="C189" s="221" t="s">
        <v>1221</v>
      </c>
    </row>
    <row r="190" spans="1:3" x14ac:dyDescent="0.25">
      <c r="A190" s="222">
        <v>11168</v>
      </c>
      <c r="B190" s="223" t="s">
        <v>1222</v>
      </c>
      <c r="C190" s="221" t="s">
        <v>1223</v>
      </c>
    </row>
    <row r="191" spans="1:3" x14ac:dyDescent="0.25">
      <c r="A191" s="222">
        <v>11169</v>
      </c>
      <c r="B191" s="223" t="s">
        <v>1224</v>
      </c>
      <c r="C191" s="221" t="s">
        <v>1225</v>
      </c>
    </row>
    <row r="192" spans="1:3" x14ac:dyDescent="0.25">
      <c r="A192" s="222">
        <v>11170</v>
      </c>
      <c r="B192" s="223" t="s">
        <v>1226</v>
      </c>
      <c r="C192" s="221" t="s">
        <v>1227</v>
      </c>
    </row>
    <row r="193" spans="1:3" x14ac:dyDescent="0.25">
      <c r="A193" s="222">
        <v>11172</v>
      </c>
      <c r="B193" s="223" t="s">
        <v>1228</v>
      </c>
      <c r="C193" s="221" t="s">
        <v>1229</v>
      </c>
    </row>
    <row r="194" spans="1:3" x14ac:dyDescent="0.25">
      <c r="A194" s="222">
        <v>11172</v>
      </c>
      <c r="B194" s="223" t="s">
        <v>1228</v>
      </c>
      <c r="C194" s="221" t="s">
        <v>1230</v>
      </c>
    </row>
    <row r="195" spans="1:3" x14ac:dyDescent="0.25">
      <c r="A195" s="222">
        <v>11172</v>
      </c>
      <c r="B195" s="223" t="s">
        <v>1228</v>
      </c>
      <c r="C195" s="221" t="s">
        <v>1229</v>
      </c>
    </row>
    <row r="196" spans="1:3" x14ac:dyDescent="0.25">
      <c r="A196" s="222">
        <v>11173</v>
      </c>
      <c r="B196" s="223" t="s">
        <v>1231</v>
      </c>
      <c r="C196" s="221" t="s">
        <v>1232</v>
      </c>
    </row>
    <row r="197" spans="1:3" x14ac:dyDescent="0.25">
      <c r="A197" s="222">
        <v>11174</v>
      </c>
      <c r="B197" s="223" t="s">
        <v>1233</v>
      </c>
      <c r="C197" s="221" t="s">
        <v>1234</v>
      </c>
    </row>
    <row r="198" spans="1:3" x14ac:dyDescent="0.25">
      <c r="A198" s="222">
        <v>11174</v>
      </c>
      <c r="B198" s="223" t="s">
        <v>1233</v>
      </c>
      <c r="C198" s="221" t="s">
        <v>1234</v>
      </c>
    </row>
    <row r="199" spans="1:3" x14ac:dyDescent="0.25">
      <c r="A199" s="222">
        <v>11174</v>
      </c>
      <c r="B199" s="223" t="s">
        <v>1233</v>
      </c>
      <c r="C199" s="221" t="s">
        <v>1234</v>
      </c>
    </row>
    <row r="200" spans="1:3" x14ac:dyDescent="0.25">
      <c r="A200" s="222">
        <v>11175</v>
      </c>
      <c r="B200" s="223" t="s">
        <v>1235</v>
      </c>
      <c r="C200" s="221" t="s">
        <v>1236</v>
      </c>
    </row>
    <row r="201" spans="1:3" x14ac:dyDescent="0.25">
      <c r="A201" s="222">
        <v>11176</v>
      </c>
      <c r="B201" s="223" t="s">
        <v>1237</v>
      </c>
      <c r="C201" s="221" t="s">
        <v>1238</v>
      </c>
    </row>
    <row r="202" spans="1:3" x14ac:dyDescent="0.25">
      <c r="A202" s="222">
        <v>11177</v>
      </c>
      <c r="B202" s="223" t="s">
        <v>1239</v>
      </c>
      <c r="C202" s="221" t="s">
        <v>1240</v>
      </c>
    </row>
    <row r="203" spans="1:3" x14ac:dyDescent="0.25">
      <c r="A203" s="222">
        <v>11177</v>
      </c>
      <c r="B203" s="223" t="s">
        <v>1239</v>
      </c>
      <c r="C203" s="221" t="s">
        <v>1241</v>
      </c>
    </row>
    <row r="204" spans="1:3" x14ac:dyDescent="0.25">
      <c r="A204" s="222">
        <v>11178</v>
      </c>
      <c r="B204" s="223" t="s">
        <v>1242</v>
      </c>
      <c r="C204" s="221" t="s">
        <v>1243</v>
      </c>
    </row>
    <row r="205" spans="1:3" x14ac:dyDescent="0.25">
      <c r="A205" s="222">
        <v>11179</v>
      </c>
      <c r="B205" s="223" t="s">
        <v>1244</v>
      </c>
      <c r="C205" s="221" t="s">
        <v>1245</v>
      </c>
    </row>
    <row r="206" spans="1:3" x14ac:dyDescent="0.25">
      <c r="A206" s="222">
        <v>11180</v>
      </c>
      <c r="B206" s="223" t="s">
        <v>1246</v>
      </c>
      <c r="C206" s="221" t="s">
        <v>1247</v>
      </c>
    </row>
    <row r="207" spans="1:3" x14ac:dyDescent="0.25">
      <c r="A207" s="222">
        <v>11181</v>
      </c>
      <c r="B207" s="223" t="s">
        <v>1248</v>
      </c>
      <c r="C207" s="221" t="s">
        <v>1249</v>
      </c>
    </row>
    <row r="208" spans="1:3" x14ac:dyDescent="0.25">
      <c r="A208" s="222">
        <v>11183</v>
      </c>
      <c r="B208" s="223" t="s">
        <v>1250</v>
      </c>
      <c r="C208" s="221" t="s">
        <v>1251</v>
      </c>
    </row>
    <row r="209" spans="1:3" x14ac:dyDescent="0.25">
      <c r="A209" s="222">
        <v>11184</v>
      </c>
      <c r="B209" s="223" t="s">
        <v>1252</v>
      </c>
      <c r="C209" s="221" t="s">
        <v>1253</v>
      </c>
    </row>
    <row r="210" spans="1:3" x14ac:dyDescent="0.25">
      <c r="A210" s="222">
        <v>11185</v>
      </c>
      <c r="B210" s="223" t="s">
        <v>1254</v>
      </c>
      <c r="C210" s="221" t="s">
        <v>1255</v>
      </c>
    </row>
    <row r="211" spans="1:3" x14ac:dyDescent="0.25">
      <c r="A211" s="222">
        <v>11185</v>
      </c>
      <c r="B211" s="223" t="s">
        <v>1254</v>
      </c>
      <c r="C211" s="221" t="s">
        <v>1254</v>
      </c>
    </row>
    <row r="212" spans="1:3" x14ac:dyDescent="0.25">
      <c r="A212" s="222">
        <v>11185</v>
      </c>
      <c r="B212" s="223" t="s">
        <v>1254</v>
      </c>
      <c r="C212" s="221" t="s">
        <v>1256</v>
      </c>
    </row>
    <row r="213" spans="1:3" x14ac:dyDescent="0.25">
      <c r="A213" s="222">
        <v>11186</v>
      </c>
      <c r="B213" s="223" t="s">
        <v>1257</v>
      </c>
      <c r="C213" s="221" t="s">
        <v>1258</v>
      </c>
    </row>
    <row r="214" spans="1:3" x14ac:dyDescent="0.25">
      <c r="A214" s="222">
        <v>11187</v>
      </c>
      <c r="B214" s="223" t="s">
        <v>1259</v>
      </c>
      <c r="C214" s="221" t="s">
        <v>1260</v>
      </c>
    </row>
    <row r="215" spans="1:3" x14ac:dyDescent="0.25">
      <c r="A215" s="222">
        <v>11188</v>
      </c>
      <c r="B215" s="223" t="s">
        <v>1261</v>
      </c>
      <c r="C215" s="221" t="s">
        <v>1262</v>
      </c>
    </row>
    <row r="216" spans="1:3" x14ac:dyDescent="0.25">
      <c r="A216" s="222">
        <v>11189</v>
      </c>
      <c r="B216" s="223" t="s">
        <v>1263</v>
      </c>
      <c r="C216" s="221" t="s">
        <v>1264</v>
      </c>
    </row>
    <row r="217" spans="1:3" x14ac:dyDescent="0.25">
      <c r="A217" s="222">
        <v>11190</v>
      </c>
      <c r="B217" s="223" t="s">
        <v>1265</v>
      </c>
      <c r="C217" s="221" t="s">
        <v>1266</v>
      </c>
    </row>
    <row r="218" spans="1:3" x14ac:dyDescent="0.25">
      <c r="A218" s="222">
        <v>11191</v>
      </c>
      <c r="B218" s="223" t="s">
        <v>1267</v>
      </c>
      <c r="C218" s="221" t="s">
        <v>1268</v>
      </c>
    </row>
    <row r="219" spans="1:3" x14ac:dyDescent="0.25">
      <c r="A219" s="222">
        <v>11192</v>
      </c>
      <c r="B219" s="223" t="s">
        <v>1269</v>
      </c>
      <c r="C219" s="221" t="s">
        <v>1270</v>
      </c>
    </row>
    <row r="220" spans="1:3" x14ac:dyDescent="0.25">
      <c r="A220" s="222">
        <v>11193</v>
      </c>
      <c r="B220" s="223" t="s">
        <v>1271</v>
      </c>
      <c r="C220" s="221" t="s">
        <v>1272</v>
      </c>
    </row>
    <row r="221" spans="1:3" x14ac:dyDescent="0.25">
      <c r="A221" s="222">
        <v>11193</v>
      </c>
      <c r="B221" s="223" t="s">
        <v>1271</v>
      </c>
      <c r="C221" s="221" t="s">
        <v>1273</v>
      </c>
    </row>
    <row r="222" spans="1:3" x14ac:dyDescent="0.25">
      <c r="A222" s="222">
        <v>11194</v>
      </c>
      <c r="B222" s="223" t="s">
        <v>1274</v>
      </c>
      <c r="C222" s="221" t="s">
        <v>1275</v>
      </c>
    </row>
    <row r="223" spans="1:3" x14ac:dyDescent="0.25">
      <c r="A223" s="222">
        <v>11195</v>
      </c>
      <c r="B223" s="223" t="s">
        <v>1276</v>
      </c>
      <c r="C223" s="221" t="s">
        <v>1277</v>
      </c>
    </row>
    <row r="224" spans="1:3" x14ac:dyDescent="0.25">
      <c r="A224" s="222">
        <v>11196</v>
      </c>
      <c r="B224" s="223" t="s">
        <v>1278</v>
      </c>
      <c r="C224" s="221" t="s">
        <v>1279</v>
      </c>
    </row>
    <row r="225" spans="1:3" x14ac:dyDescent="0.25">
      <c r="A225" s="222">
        <v>11197</v>
      </c>
      <c r="B225" s="223" t="s">
        <v>1280</v>
      </c>
      <c r="C225" s="221" t="s">
        <v>1281</v>
      </c>
    </row>
    <row r="226" spans="1:3" x14ac:dyDescent="0.25">
      <c r="A226" s="222">
        <v>11198</v>
      </c>
      <c r="B226" s="223" t="s">
        <v>1282</v>
      </c>
      <c r="C226" s="221" t="s">
        <v>1283</v>
      </c>
    </row>
    <row r="227" spans="1:3" x14ac:dyDescent="0.25">
      <c r="A227" s="222">
        <v>11199</v>
      </c>
      <c r="B227" s="223" t="s">
        <v>1284</v>
      </c>
      <c r="C227" s="221" t="s">
        <v>1285</v>
      </c>
    </row>
    <row r="228" spans="1:3" x14ac:dyDescent="0.25">
      <c r="A228" s="222">
        <v>11200</v>
      </c>
      <c r="B228" s="223" t="s">
        <v>1286</v>
      </c>
      <c r="C228" s="221" t="s">
        <v>1287</v>
      </c>
    </row>
    <row r="229" spans="1:3" x14ac:dyDescent="0.25">
      <c r="A229" s="222">
        <v>11201</v>
      </c>
      <c r="B229" s="223" t="s">
        <v>1288</v>
      </c>
      <c r="C229" s="221" t="s">
        <v>1289</v>
      </c>
    </row>
    <row r="230" spans="1:3" x14ac:dyDescent="0.25">
      <c r="A230" s="222">
        <v>11202</v>
      </c>
      <c r="B230" s="223" t="s">
        <v>1290</v>
      </c>
      <c r="C230" s="221" t="s">
        <v>1291</v>
      </c>
    </row>
    <row r="231" spans="1:3" x14ac:dyDescent="0.25">
      <c r="A231" s="222">
        <v>11203</v>
      </c>
      <c r="B231" s="223" t="s">
        <v>1292</v>
      </c>
      <c r="C231" s="221" t="s">
        <v>1293</v>
      </c>
    </row>
    <row r="232" spans="1:3" x14ac:dyDescent="0.25">
      <c r="A232" s="222">
        <v>11204</v>
      </c>
      <c r="B232" s="223" t="s">
        <v>1294</v>
      </c>
      <c r="C232" s="221" t="s">
        <v>1295</v>
      </c>
    </row>
    <row r="233" spans="1:3" x14ac:dyDescent="0.25">
      <c r="A233" s="222">
        <v>11205</v>
      </c>
      <c r="B233" s="223" t="s">
        <v>1296</v>
      </c>
      <c r="C233" s="221" t="s">
        <v>1297</v>
      </c>
    </row>
    <row r="234" spans="1:3" x14ac:dyDescent="0.25">
      <c r="A234" s="222">
        <v>11206</v>
      </c>
      <c r="B234" s="223" t="s">
        <v>1298</v>
      </c>
      <c r="C234" s="221" t="s">
        <v>1299</v>
      </c>
    </row>
    <row r="235" spans="1:3" x14ac:dyDescent="0.25">
      <c r="A235" s="222">
        <v>11206</v>
      </c>
      <c r="B235" s="223" t="s">
        <v>1298</v>
      </c>
      <c r="C235" s="221" t="s">
        <v>1299</v>
      </c>
    </row>
    <row r="236" spans="1:3" x14ac:dyDescent="0.25">
      <c r="A236" s="222">
        <v>11207</v>
      </c>
      <c r="B236" s="223" t="s">
        <v>1300</v>
      </c>
      <c r="C236" s="221" t="s">
        <v>1301</v>
      </c>
    </row>
    <row r="237" spans="1:3" x14ac:dyDescent="0.25">
      <c r="A237" s="222">
        <v>11208</v>
      </c>
      <c r="B237" s="223" t="s">
        <v>1302</v>
      </c>
      <c r="C237" s="221" t="s">
        <v>1303</v>
      </c>
    </row>
    <row r="238" spans="1:3" x14ac:dyDescent="0.25">
      <c r="A238" s="222">
        <v>11209</v>
      </c>
      <c r="B238" s="223" t="s">
        <v>1304</v>
      </c>
      <c r="C238" s="221" t="s">
        <v>1305</v>
      </c>
    </row>
    <row r="239" spans="1:3" x14ac:dyDescent="0.25">
      <c r="A239" s="222">
        <v>11210</v>
      </c>
      <c r="B239" s="223" t="s">
        <v>1306</v>
      </c>
      <c r="C239" s="221" t="s">
        <v>1307</v>
      </c>
    </row>
    <row r="240" spans="1:3" x14ac:dyDescent="0.25">
      <c r="A240" s="222">
        <v>11211</v>
      </c>
      <c r="B240" s="223" t="s">
        <v>1308</v>
      </c>
      <c r="C240" s="221" t="s">
        <v>1309</v>
      </c>
    </row>
    <row r="241" spans="1:3" x14ac:dyDescent="0.25">
      <c r="A241" s="222">
        <v>11212</v>
      </c>
      <c r="B241" s="223" t="s">
        <v>1310</v>
      </c>
      <c r="C241" s="221" t="s">
        <v>1311</v>
      </c>
    </row>
    <row r="242" spans="1:3" x14ac:dyDescent="0.25">
      <c r="A242" s="222">
        <v>11213</v>
      </c>
      <c r="B242" s="223" t="s">
        <v>1312</v>
      </c>
      <c r="C242" s="221" t="s">
        <v>1313</v>
      </c>
    </row>
    <row r="243" spans="1:3" x14ac:dyDescent="0.25">
      <c r="A243" s="222">
        <v>11214</v>
      </c>
      <c r="B243" s="223" t="s">
        <v>1314</v>
      </c>
      <c r="C243" s="221" t="s">
        <v>1315</v>
      </c>
    </row>
    <row r="244" spans="1:3" x14ac:dyDescent="0.25">
      <c r="A244" s="222">
        <v>11215</v>
      </c>
      <c r="B244" s="223" t="s">
        <v>1316</v>
      </c>
      <c r="C244" s="221" t="s">
        <v>1317</v>
      </c>
    </row>
    <row r="245" spans="1:3" x14ac:dyDescent="0.25">
      <c r="A245" s="222">
        <v>11216</v>
      </c>
      <c r="B245" s="223" t="s">
        <v>1318</v>
      </c>
      <c r="C245" s="221" t="s">
        <v>1319</v>
      </c>
    </row>
    <row r="246" spans="1:3" x14ac:dyDescent="0.25">
      <c r="A246" s="222">
        <v>11217</v>
      </c>
      <c r="B246" s="223" t="s">
        <v>1320</v>
      </c>
      <c r="C246" s="221" t="s">
        <v>1321</v>
      </c>
    </row>
    <row r="247" spans="1:3" x14ac:dyDescent="0.25">
      <c r="A247" s="222">
        <v>11218</v>
      </c>
      <c r="B247" s="223" t="s">
        <v>1322</v>
      </c>
      <c r="C247" s="221" t="s">
        <v>1323</v>
      </c>
    </row>
    <row r="248" spans="1:3" x14ac:dyDescent="0.25">
      <c r="A248" s="222">
        <v>11219</v>
      </c>
      <c r="B248" s="223" t="s">
        <v>1324</v>
      </c>
      <c r="C248" s="221" t="s">
        <v>1325</v>
      </c>
    </row>
    <row r="249" spans="1:3" x14ac:dyDescent="0.25">
      <c r="A249" s="222">
        <v>11220</v>
      </c>
      <c r="B249" s="223" t="s">
        <v>1326</v>
      </c>
      <c r="C249" s="221" t="s">
        <v>1327</v>
      </c>
    </row>
    <row r="250" spans="1:3" x14ac:dyDescent="0.25">
      <c r="A250" s="222">
        <v>11221</v>
      </c>
      <c r="B250" s="223" t="s">
        <v>1328</v>
      </c>
      <c r="C250" s="221" t="s">
        <v>1329</v>
      </c>
    </row>
    <row r="251" spans="1:3" x14ac:dyDescent="0.25">
      <c r="A251" s="222">
        <v>11222</v>
      </c>
      <c r="B251" s="223" t="s">
        <v>1330</v>
      </c>
      <c r="C251" s="221" t="s">
        <v>1331</v>
      </c>
    </row>
    <row r="252" spans="1:3" x14ac:dyDescent="0.25">
      <c r="A252" s="222">
        <v>11223</v>
      </c>
      <c r="B252" s="223" t="s">
        <v>1332</v>
      </c>
      <c r="C252" s="221" t="s">
        <v>1333</v>
      </c>
    </row>
    <row r="253" spans="1:3" x14ac:dyDescent="0.25">
      <c r="A253" s="222">
        <v>11224</v>
      </c>
      <c r="B253" s="223" t="s">
        <v>1334</v>
      </c>
      <c r="C253" s="221" t="s">
        <v>1335</v>
      </c>
    </row>
    <row r="254" spans="1:3" x14ac:dyDescent="0.25">
      <c r="A254" s="222">
        <v>11225</v>
      </c>
      <c r="B254" s="223" t="s">
        <v>1336</v>
      </c>
      <c r="C254" s="221" t="s">
        <v>1337</v>
      </c>
    </row>
    <row r="255" spans="1:3" x14ac:dyDescent="0.25">
      <c r="A255" s="222">
        <v>11226</v>
      </c>
      <c r="B255" s="223" t="s">
        <v>1338</v>
      </c>
      <c r="C255" s="221" t="s">
        <v>1339</v>
      </c>
    </row>
    <row r="256" spans="1:3" x14ac:dyDescent="0.25">
      <c r="A256" s="222">
        <v>11227</v>
      </c>
      <c r="B256" s="223" t="s">
        <v>1340</v>
      </c>
      <c r="C256" s="221" t="s">
        <v>1341</v>
      </c>
    </row>
    <row r="257" spans="1:3" x14ac:dyDescent="0.25">
      <c r="A257" s="222">
        <v>11228</v>
      </c>
      <c r="B257" s="223" t="s">
        <v>1342</v>
      </c>
      <c r="C257" s="221" t="s">
        <v>1343</v>
      </c>
    </row>
    <row r="258" spans="1:3" x14ac:dyDescent="0.25">
      <c r="A258" s="222">
        <v>11229</v>
      </c>
      <c r="B258" s="223" t="s">
        <v>1344</v>
      </c>
      <c r="C258" s="221" t="s">
        <v>1345</v>
      </c>
    </row>
    <row r="259" spans="1:3" x14ac:dyDescent="0.25">
      <c r="A259" s="222">
        <v>11230</v>
      </c>
      <c r="B259" s="223" t="s">
        <v>1346</v>
      </c>
      <c r="C259" s="221" t="s">
        <v>1347</v>
      </c>
    </row>
    <row r="260" spans="1:3" x14ac:dyDescent="0.25">
      <c r="A260" s="222">
        <v>11231</v>
      </c>
      <c r="B260" s="223" t="s">
        <v>1348</v>
      </c>
      <c r="C260" s="221" t="s">
        <v>1349</v>
      </c>
    </row>
    <row r="261" spans="1:3" x14ac:dyDescent="0.25">
      <c r="A261" s="222">
        <v>11232</v>
      </c>
      <c r="B261" s="223" t="s">
        <v>1350</v>
      </c>
      <c r="C261" s="221" t="s">
        <v>1351</v>
      </c>
    </row>
    <row r="262" spans="1:3" x14ac:dyDescent="0.25">
      <c r="A262" s="222">
        <v>11233</v>
      </c>
      <c r="B262" s="223" t="s">
        <v>1352</v>
      </c>
      <c r="C262" s="221" t="s">
        <v>1353</v>
      </c>
    </row>
    <row r="263" spans="1:3" x14ac:dyDescent="0.25">
      <c r="A263" s="222">
        <v>11234</v>
      </c>
      <c r="B263" s="223" t="s">
        <v>1354</v>
      </c>
      <c r="C263" s="221" t="s">
        <v>1355</v>
      </c>
    </row>
    <row r="264" spans="1:3" x14ac:dyDescent="0.25">
      <c r="A264" s="222">
        <v>11235</v>
      </c>
      <c r="B264" s="223" t="s">
        <v>1356</v>
      </c>
      <c r="C264" s="221" t="s">
        <v>1357</v>
      </c>
    </row>
    <row r="265" spans="1:3" x14ac:dyDescent="0.25">
      <c r="A265" s="222">
        <v>11236</v>
      </c>
      <c r="B265" s="223" t="s">
        <v>1358</v>
      </c>
      <c r="C265" s="221" t="s">
        <v>1359</v>
      </c>
    </row>
    <row r="266" spans="1:3" x14ac:dyDescent="0.25">
      <c r="A266" s="222">
        <v>11237</v>
      </c>
      <c r="B266" s="223" t="s">
        <v>1360</v>
      </c>
      <c r="C266" s="221" t="s">
        <v>1361</v>
      </c>
    </row>
    <row r="267" spans="1:3" x14ac:dyDescent="0.25">
      <c r="A267" s="222">
        <v>11238</v>
      </c>
      <c r="B267" s="223" t="s">
        <v>1362</v>
      </c>
      <c r="C267" s="221" t="s">
        <v>1363</v>
      </c>
    </row>
    <row r="268" spans="1:3" x14ac:dyDescent="0.25">
      <c r="A268" s="222">
        <v>11239</v>
      </c>
      <c r="B268" s="223" t="s">
        <v>1364</v>
      </c>
      <c r="C268" s="221" t="s">
        <v>1365</v>
      </c>
    </row>
    <row r="269" spans="1:3" x14ac:dyDescent="0.25">
      <c r="A269" s="222">
        <v>11240</v>
      </c>
      <c r="B269" s="223" t="s">
        <v>1366</v>
      </c>
      <c r="C269" s="221" t="s">
        <v>1367</v>
      </c>
    </row>
    <row r="270" spans="1:3" x14ac:dyDescent="0.25">
      <c r="A270" s="222">
        <v>11241</v>
      </c>
      <c r="B270" s="223" t="s">
        <v>1368</v>
      </c>
      <c r="C270" s="221" t="s">
        <v>1369</v>
      </c>
    </row>
    <row r="271" spans="1:3" x14ac:dyDescent="0.25">
      <c r="A271" s="222">
        <v>11242</v>
      </c>
      <c r="B271" s="223" t="s">
        <v>1370</v>
      </c>
      <c r="C271" s="221" t="s">
        <v>1371</v>
      </c>
    </row>
    <row r="272" spans="1:3" x14ac:dyDescent="0.25">
      <c r="A272" s="222">
        <v>11242</v>
      </c>
      <c r="B272" s="223" t="s">
        <v>1370</v>
      </c>
      <c r="C272" s="221" t="s">
        <v>1371</v>
      </c>
    </row>
    <row r="273" spans="1:3" x14ac:dyDescent="0.25">
      <c r="A273" s="222">
        <v>11243</v>
      </c>
      <c r="B273" s="223" t="s">
        <v>1372</v>
      </c>
      <c r="C273" s="221" t="s">
        <v>1373</v>
      </c>
    </row>
    <row r="274" spans="1:3" x14ac:dyDescent="0.25">
      <c r="A274" s="222">
        <v>11244</v>
      </c>
      <c r="B274" s="223" t="s">
        <v>1374</v>
      </c>
      <c r="C274" s="221" t="s">
        <v>1375</v>
      </c>
    </row>
    <row r="275" spans="1:3" x14ac:dyDescent="0.25">
      <c r="A275" s="222">
        <v>11245</v>
      </c>
      <c r="B275" s="223" t="s">
        <v>1376</v>
      </c>
      <c r="C275" s="221" t="s">
        <v>1377</v>
      </c>
    </row>
    <row r="276" spans="1:3" x14ac:dyDescent="0.25">
      <c r="A276" s="222">
        <v>11246</v>
      </c>
      <c r="B276" s="223" t="s">
        <v>1378</v>
      </c>
      <c r="C276" s="221" t="s">
        <v>1379</v>
      </c>
    </row>
    <row r="277" spans="1:3" x14ac:dyDescent="0.25">
      <c r="A277" s="222">
        <v>11247</v>
      </c>
      <c r="B277" s="223" t="s">
        <v>1380</v>
      </c>
      <c r="C277" s="221" t="s">
        <v>1381</v>
      </c>
    </row>
    <row r="278" spans="1:3" x14ac:dyDescent="0.25">
      <c r="A278" s="222">
        <v>11248</v>
      </c>
      <c r="B278" s="223" t="s">
        <v>1382</v>
      </c>
      <c r="C278" s="221" t="s">
        <v>1383</v>
      </c>
    </row>
    <row r="279" spans="1:3" x14ac:dyDescent="0.25">
      <c r="A279" s="222">
        <v>11249</v>
      </c>
      <c r="B279" s="223" t="s">
        <v>1384</v>
      </c>
      <c r="C279" s="221" t="s">
        <v>1385</v>
      </c>
    </row>
    <row r="280" spans="1:3" x14ac:dyDescent="0.25">
      <c r="A280" s="222">
        <v>11250</v>
      </c>
      <c r="B280" s="223" t="s">
        <v>1386</v>
      </c>
      <c r="C280" s="221" t="s">
        <v>1387</v>
      </c>
    </row>
    <row r="281" spans="1:3" x14ac:dyDescent="0.25">
      <c r="A281" s="222">
        <v>11251</v>
      </c>
      <c r="B281" s="223" t="s">
        <v>1388</v>
      </c>
      <c r="C281" s="221" t="s">
        <v>1389</v>
      </c>
    </row>
    <row r="282" spans="1:3" x14ac:dyDescent="0.25">
      <c r="A282" s="222">
        <v>11252</v>
      </c>
      <c r="B282" s="223" t="s">
        <v>1390</v>
      </c>
      <c r="C282" s="221" t="s">
        <v>1391</v>
      </c>
    </row>
    <row r="283" spans="1:3" x14ac:dyDescent="0.25">
      <c r="A283" s="222">
        <v>11253</v>
      </c>
      <c r="B283" s="223" t="s">
        <v>1392</v>
      </c>
      <c r="C283" s="221" t="s">
        <v>1393</v>
      </c>
    </row>
    <row r="284" spans="1:3" x14ac:dyDescent="0.25">
      <c r="A284" s="222">
        <v>11254</v>
      </c>
      <c r="B284" s="223" t="s">
        <v>1394</v>
      </c>
      <c r="C284" s="221" t="s">
        <v>1395</v>
      </c>
    </row>
    <row r="285" spans="1:3" x14ac:dyDescent="0.25">
      <c r="A285" s="222">
        <v>11255</v>
      </c>
      <c r="B285" s="223" t="s">
        <v>1396</v>
      </c>
      <c r="C285" s="221" t="s">
        <v>1397</v>
      </c>
    </row>
    <row r="286" spans="1:3" x14ac:dyDescent="0.25">
      <c r="A286" s="222">
        <v>11256</v>
      </c>
      <c r="B286" s="223" t="s">
        <v>1398</v>
      </c>
      <c r="C286" s="221" t="s">
        <v>1399</v>
      </c>
    </row>
    <row r="287" spans="1:3" x14ac:dyDescent="0.25">
      <c r="A287" s="222">
        <v>11257</v>
      </c>
      <c r="B287" s="223" t="s">
        <v>1400</v>
      </c>
      <c r="C287" s="221" t="s">
        <v>1401</v>
      </c>
    </row>
    <row r="288" spans="1:3" x14ac:dyDescent="0.25">
      <c r="A288" s="222">
        <v>11258</v>
      </c>
      <c r="B288" s="223" t="s">
        <v>1402</v>
      </c>
      <c r="C288" s="221" t="s">
        <v>1403</v>
      </c>
    </row>
    <row r="289" spans="1:3" x14ac:dyDescent="0.25">
      <c r="A289" s="222">
        <v>11259</v>
      </c>
      <c r="B289" s="223" t="s">
        <v>1404</v>
      </c>
      <c r="C289" s="221" t="s">
        <v>1405</v>
      </c>
    </row>
    <row r="290" spans="1:3" x14ac:dyDescent="0.25">
      <c r="A290" s="222">
        <v>11260</v>
      </c>
      <c r="B290" s="223" t="s">
        <v>1406</v>
      </c>
      <c r="C290" s="221" t="s">
        <v>1407</v>
      </c>
    </row>
    <row r="291" spans="1:3" x14ac:dyDescent="0.25">
      <c r="A291" s="222">
        <v>11261</v>
      </c>
      <c r="B291" s="223" t="s">
        <v>1408</v>
      </c>
      <c r="C291" s="221" t="s">
        <v>1409</v>
      </c>
    </row>
    <row r="292" spans="1:3" x14ac:dyDescent="0.25">
      <c r="A292" s="222">
        <v>11262</v>
      </c>
      <c r="B292" s="223" t="s">
        <v>1410</v>
      </c>
      <c r="C292" s="221" t="s">
        <v>1411</v>
      </c>
    </row>
    <row r="293" spans="1:3" x14ac:dyDescent="0.25">
      <c r="A293" s="222">
        <v>11262</v>
      </c>
      <c r="B293" s="223" t="s">
        <v>1410</v>
      </c>
      <c r="C293" s="221" t="s">
        <v>1411</v>
      </c>
    </row>
    <row r="294" spans="1:3" x14ac:dyDescent="0.25">
      <c r="A294" s="222">
        <v>11262</v>
      </c>
      <c r="B294" s="223" t="s">
        <v>1410</v>
      </c>
      <c r="C294" s="221" t="s">
        <v>1411</v>
      </c>
    </row>
    <row r="295" spans="1:3" x14ac:dyDescent="0.25">
      <c r="A295" s="222">
        <v>11262</v>
      </c>
      <c r="B295" s="223" t="s">
        <v>1410</v>
      </c>
      <c r="C295" s="221" t="s">
        <v>1411</v>
      </c>
    </row>
    <row r="296" spans="1:3" x14ac:dyDescent="0.25">
      <c r="A296" s="222">
        <v>11263</v>
      </c>
      <c r="B296" s="223" t="s">
        <v>1412</v>
      </c>
      <c r="C296" s="221" t="s">
        <v>1413</v>
      </c>
    </row>
    <row r="297" spans="1:3" x14ac:dyDescent="0.25">
      <c r="A297" s="222">
        <v>11264</v>
      </c>
      <c r="B297" s="223" t="s">
        <v>1414</v>
      </c>
      <c r="C297" s="221" t="s">
        <v>1415</v>
      </c>
    </row>
    <row r="298" spans="1:3" x14ac:dyDescent="0.25">
      <c r="A298" s="222">
        <v>11265</v>
      </c>
      <c r="B298" s="223" t="s">
        <v>1416</v>
      </c>
      <c r="C298" s="221" t="s">
        <v>1417</v>
      </c>
    </row>
    <row r="299" spans="1:3" x14ac:dyDescent="0.25">
      <c r="A299" s="222">
        <v>11266</v>
      </c>
      <c r="B299" s="223" t="s">
        <v>1418</v>
      </c>
      <c r="C299" s="221" t="s">
        <v>1419</v>
      </c>
    </row>
    <row r="300" spans="1:3" x14ac:dyDescent="0.25">
      <c r="A300" s="222">
        <v>11267</v>
      </c>
      <c r="B300" s="223" t="s">
        <v>1420</v>
      </c>
      <c r="C300" s="221" t="s">
        <v>1421</v>
      </c>
    </row>
    <row r="301" spans="1:3" x14ac:dyDescent="0.25">
      <c r="A301" s="222">
        <v>11268</v>
      </c>
      <c r="B301" s="223" t="s">
        <v>1422</v>
      </c>
      <c r="C301" s="221" t="s">
        <v>1423</v>
      </c>
    </row>
    <row r="302" spans="1:3" x14ac:dyDescent="0.25">
      <c r="A302" s="222">
        <v>11269</v>
      </c>
      <c r="B302" s="223" t="s">
        <v>1424</v>
      </c>
      <c r="C302" s="221" t="s">
        <v>1425</v>
      </c>
    </row>
    <row r="303" spans="1:3" x14ac:dyDescent="0.25">
      <c r="A303" s="222">
        <v>11270</v>
      </c>
      <c r="B303" s="223" t="s">
        <v>1426</v>
      </c>
      <c r="C303" s="221" t="s">
        <v>1427</v>
      </c>
    </row>
    <row r="304" spans="1:3" x14ac:dyDescent="0.25">
      <c r="A304" s="222">
        <v>11271</v>
      </c>
      <c r="B304" s="223" t="s">
        <v>1428</v>
      </c>
      <c r="C304" s="221" t="s">
        <v>1429</v>
      </c>
    </row>
    <row r="305" spans="1:3" x14ac:dyDescent="0.25">
      <c r="A305" s="222">
        <v>11272</v>
      </c>
      <c r="B305" s="223" t="s">
        <v>1430</v>
      </c>
      <c r="C305" s="221" t="s">
        <v>1431</v>
      </c>
    </row>
    <row r="306" spans="1:3" x14ac:dyDescent="0.25">
      <c r="A306" s="222">
        <v>11272</v>
      </c>
      <c r="B306" s="223" t="s">
        <v>1430</v>
      </c>
      <c r="C306" s="221" t="s">
        <v>1432</v>
      </c>
    </row>
    <row r="307" spans="1:3" x14ac:dyDescent="0.25">
      <c r="A307" s="222">
        <v>11274</v>
      </c>
      <c r="B307" s="223" t="s">
        <v>1433</v>
      </c>
      <c r="C307" s="221" t="s">
        <v>1434</v>
      </c>
    </row>
    <row r="308" spans="1:3" x14ac:dyDescent="0.25">
      <c r="A308" s="222">
        <v>11275</v>
      </c>
      <c r="B308" s="223" t="s">
        <v>1435</v>
      </c>
      <c r="C308" s="221" t="s">
        <v>1436</v>
      </c>
    </row>
    <row r="309" spans="1:3" x14ac:dyDescent="0.25">
      <c r="A309" s="222">
        <v>11276</v>
      </c>
      <c r="B309" s="223" t="s">
        <v>1437</v>
      </c>
      <c r="C309" s="221" t="s">
        <v>1438</v>
      </c>
    </row>
    <row r="310" spans="1:3" x14ac:dyDescent="0.25">
      <c r="A310" s="222">
        <v>11277</v>
      </c>
      <c r="B310" s="223" t="s">
        <v>1439</v>
      </c>
      <c r="C310" s="221" t="s">
        <v>1440</v>
      </c>
    </row>
    <row r="311" spans="1:3" x14ac:dyDescent="0.25">
      <c r="A311" s="222">
        <v>11278</v>
      </c>
      <c r="B311" s="223" t="s">
        <v>1441</v>
      </c>
      <c r="C311" s="221" t="s">
        <v>1442</v>
      </c>
    </row>
    <row r="312" spans="1:3" x14ac:dyDescent="0.25">
      <c r="A312" s="222">
        <v>11279</v>
      </c>
      <c r="B312" s="223" t="s">
        <v>1443</v>
      </c>
      <c r="C312" s="221" t="s">
        <v>1444</v>
      </c>
    </row>
    <row r="313" spans="1:3" x14ac:dyDescent="0.25">
      <c r="A313" s="222">
        <v>11280</v>
      </c>
      <c r="B313" s="223" t="s">
        <v>1445</v>
      </c>
      <c r="C313" s="221" t="s">
        <v>1446</v>
      </c>
    </row>
    <row r="314" spans="1:3" x14ac:dyDescent="0.25">
      <c r="A314" s="222">
        <v>11281</v>
      </c>
      <c r="B314" s="223" t="s">
        <v>1447</v>
      </c>
      <c r="C314" s="221" t="s">
        <v>1448</v>
      </c>
    </row>
    <row r="315" spans="1:3" x14ac:dyDescent="0.25">
      <c r="A315" s="222">
        <v>11282</v>
      </c>
      <c r="B315" s="223" t="s">
        <v>1450</v>
      </c>
      <c r="C315" s="221" t="s">
        <v>1449</v>
      </c>
    </row>
    <row r="316" spans="1:3" x14ac:dyDescent="0.25">
      <c r="A316" s="222">
        <v>11282</v>
      </c>
      <c r="B316" s="223" t="s">
        <v>1450</v>
      </c>
      <c r="C316" s="221" t="s">
        <v>1451</v>
      </c>
    </row>
    <row r="317" spans="1:3" x14ac:dyDescent="0.25">
      <c r="A317" s="222">
        <v>11283</v>
      </c>
      <c r="B317" s="223" t="s">
        <v>1452</v>
      </c>
      <c r="C317" s="221" t="s">
        <v>1453</v>
      </c>
    </row>
    <row r="318" spans="1:3" x14ac:dyDescent="0.25">
      <c r="A318" s="222">
        <v>11284</v>
      </c>
      <c r="B318" s="223" t="s">
        <v>1454</v>
      </c>
      <c r="C318" s="221" t="s">
        <v>1455</v>
      </c>
    </row>
    <row r="319" spans="1:3" x14ac:dyDescent="0.25">
      <c r="A319" s="222">
        <v>11285</v>
      </c>
      <c r="B319" s="223" t="s">
        <v>1456</v>
      </c>
      <c r="C319" s="221" t="s">
        <v>1457</v>
      </c>
    </row>
    <row r="320" spans="1:3" x14ac:dyDescent="0.25">
      <c r="A320" s="222">
        <v>11286</v>
      </c>
      <c r="B320" s="223" t="s">
        <v>1458</v>
      </c>
      <c r="C320" s="221" t="s">
        <v>1459</v>
      </c>
    </row>
    <row r="321" spans="1:3" x14ac:dyDescent="0.25">
      <c r="A321" s="222">
        <v>11287</v>
      </c>
      <c r="B321" s="223" t="s">
        <v>1460</v>
      </c>
      <c r="C321" s="221" t="s">
        <v>1461</v>
      </c>
    </row>
    <row r="322" spans="1:3" x14ac:dyDescent="0.25">
      <c r="A322" s="222">
        <v>11288</v>
      </c>
      <c r="B322" s="223" t="s">
        <v>1462</v>
      </c>
      <c r="C322" s="221" t="s">
        <v>1463</v>
      </c>
    </row>
    <row r="323" spans="1:3" x14ac:dyDescent="0.25">
      <c r="A323" s="222">
        <v>11289</v>
      </c>
      <c r="B323" s="223" t="s">
        <v>1464</v>
      </c>
      <c r="C323" s="221" t="s">
        <v>1465</v>
      </c>
    </row>
    <row r="324" spans="1:3" x14ac:dyDescent="0.25">
      <c r="A324" s="222">
        <v>11291</v>
      </c>
      <c r="B324" s="223" t="s">
        <v>1466</v>
      </c>
      <c r="C324" s="221" t="s">
        <v>1467</v>
      </c>
    </row>
    <row r="325" spans="1:3" x14ac:dyDescent="0.25">
      <c r="A325" s="222">
        <v>11292</v>
      </c>
      <c r="B325" s="223" t="s">
        <v>1468</v>
      </c>
      <c r="C325" s="221" t="s">
        <v>1469</v>
      </c>
    </row>
    <row r="326" spans="1:3" x14ac:dyDescent="0.25">
      <c r="A326" s="222">
        <v>11292</v>
      </c>
      <c r="B326" s="223" t="s">
        <v>1468</v>
      </c>
      <c r="C326" s="221" t="s">
        <v>1468</v>
      </c>
    </row>
    <row r="327" spans="1:3" x14ac:dyDescent="0.25">
      <c r="A327" s="222">
        <v>11292</v>
      </c>
      <c r="B327" s="223" t="s">
        <v>1468</v>
      </c>
      <c r="C327" s="221" t="s">
        <v>1470</v>
      </c>
    </row>
    <row r="328" spans="1:3" x14ac:dyDescent="0.25">
      <c r="A328" s="222">
        <v>11293</v>
      </c>
      <c r="B328" s="223" t="s">
        <v>1471</v>
      </c>
      <c r="C328" s="221" t="s">
        <v>1472</v>
      </c>
    </row>
    <row r="329" spans="1:3" x14ac:dyDescent="0.25">
      <c r="A329" s="222">
        <v>11294</v>
      </c>
      <c r="B329" s="223" t="s">
        <v>1473</v>
      </c>
      <c r="C329" s="221" t="s">
        <v>1474</v>
      </c>
    </row>
    <row r="330" spans="1:3" x14ac:dyDescent="0.25">
      <c r="A330" s="222">
        <v>11295</v>
      </c>
      <c r="B330" s="223" t="s">
        <v>1475</v>
      </c>
      <c r="C330" s="221" t="s">
        <v>1476</v>
      </c>
    </row>
    <row r="331" spans="1:3" x14ac:dyDescent="0.25">
      <c r="A331" s="222">
        <v>11296</v>
      </c>
      <c r="B331" s="223" t="s">
        <v>1477</v>
      </c>
      <c r="C331" s="221" t="s">
        <v>1478</v>
      </c>
    </row>
    <row r="332" spans="1:3" x14ac:dyDescent="0.25">
      <c r="A332" s="222">
        <v>11297</v>
      </c>
      <c r="B332" s="223" t="s">
        <v>1479</v>
      </c>
      <c r="C332" s="221" t="s">
        <v>1480</v>
      </c>
    </row>
    <row r="333" spans="1:3" x14ac:dyDescent="0.25">
      <c r="A333" s="222">
        <v>11298</v>
      </c>
      <c r="B333" s="223" t="s">
        <v>1481</v>
      </c>
      <c r="C333" s="221" t="s">
        <v>1482</v>
      </c>
    </row>
    <row r="334" spans="1:3" x14ac:dyDescent="0.25">
      <c r="A334" s="222">
        <v>11299</v>
      </c>
      <c r="B334" s="223" t="s">
        <v>1483</v>
      </c>
      <c r="C334" s="221" t="s">
        <v>1484</v>
      </c>
    </row>
    <row r="335" spans="1:3" x14ac:dyDescent="0.25">
      <c r="A335" s="222">
        <v>11300</v>
      </c>
      <c r="B335" s="223" t="s">
        <v>1485</v>
      </c>
      <c r="C335" s="221" t="s">
        <v>1486</v>
      </c>
    </row>
    <row r="336" spans="1:3" x14ac:dyDescent="0.25">
      <c r="A336" s="222">
        <v>11301</v>
      </c>
      <c r="B336" s="223" t="s">
        <v>1487</v>
      </c>
      <c r="C336" s="221" t="s">
        <v>1488</v>
      </c>
    </row>
    <row r="337" spans="1:3" x14ac:dyDescent="0.25">
      <c r="A337" s="222">
        <v>11302</v>
      </c>
      <c r="B337" s="223" t="s">
        <v>1489</v>
      </c>
      <c r="C337" s="221" t="s">
        <v>1490</v>
      </c>
    </row>
    <row r="338" spans="1:3" x14ac:dyDescent="0.25">
      <c r="A338" s="222">
        <v>11303</v>
      </c>
      <c r="B338" s="223" t="s">
        <v>1491</v>
      </c>
      <c r="C338" s="221" t="s">
        <v>1492</v>
      </c>
    </row>
    <row r="339" spans="1:3" x14ac:dyDescent="0.25">
      <c r="A339" s="222">
        <v>11304</v>
      </c>
      <c r="B339" s="223" t="s">
        <v>1493</v>
      </c>
      <c r="C339" s="221" t="s">
        <v>1494</v>
      </c>
    </row>
    <row r="340" spans="1:3" x14ac:dyDescent="0.25">
      <c r="A340" s="222">
        <v>11305</v>
      </c>
      <c r="B340" s="223" t="s">
        <v>1495</v>
      </c>
      <c r="C340" s="221" t="s">
        <v>1496</v>
      </c>
    </row>
    <row r="341" spans="1:3" x14ac:dyDescent="0.25">
      <c r="A341" s="222">
        <v>11306</v>
      </c>
      <c r="B341" s="223" t="s">
        <v>1497</v>
      </c>
      <c r="C341" s="221" t="s">
        <v>1498</v>
      </c>
    </row>
    <row r="342" spans="1:3" x14ac:dyDescent="0.25">
      <c r="A342" s="222">
        <v>11321</v>
      </c>
      <c r="B342" s="223" t="s">
        <v>1499</v>
      </c>
      <c r="C342" s="221" t="s">
        <v>1500</v>
      </c>
    </row>
    <row r="343" spans="1:3" x14ac:dyDescent="0.25">
      <c r="A343" s="222">
        <v>11321</v>
      </c>
      <c r="B343" s="223" t="s">
        <v>1499</v>
      </c>
      <c r="C343" s="221" t="s">
        <v>1501</v>
      </c>
    </row>
    <row r="344" spans="1:3" x14ac:dyDescent="0.25">
      <c r="A344" s="222">
        <v>11321</v>
      </c>
      <c r="B344" s="223" t="s">
        <v>1499</v>
      </c>
      <c r="C344" s="221" t="s">
        <v>1502</v>
      </c>
    </row>
    <row r="345" spans="1:3" x14ac:dyDescent="0.25">
      <c r="A345" s="222">
        <v>11339</v>
      </c>
      <c r="B345" s="223" t="s">
        <v>1504</v>
      </c>
      <c r="C345" s="221" t="s">
        <v>1503</v>
      </c>
    </row>
    <row r="346" spans="1:3" x14ac:dyDescent="0.25">
      <c r="A346" s="222">
        <v>11339</v>
      </c>
      <c r="B346" s="223" t="s">
        <v>1504</v>
      </c>
      <c r="C346" s="221" t="s">
        <v>1503</v>
      </c>
    </row>
    <row r="347" spans="1:3" x14ac:dyDescent="0.25">
      <c r="A347" s="222">
        <v>11349</v>
      </c>
      <c r="B347" s="223" t="s">
        <v>1506</v>
      </c>
      <c r="C347" s="221" t="s">
        <v>1505</v>
      </c>
    </row>
    <row r="348" spans="1:3" x14ac:dyDescent="0.25">
      <c r="A348" s="222">
        <v>11349</v>
      </c>
      <c r="B348" s="223" t="s">
        <v>1506</v>
      </c>
      <c r="C348" s="221" t="s">
        <v>1505</v>
      </c>
    </row>
    <row r="349" spans="1:3" x14ac:dyDescent="0.25">
      <c r="A349" s="222">
        <v>11359</v>
      </c>
      <c r="B349" s="223" t="s">
        <v>1508</v>
      </c>
      <c r="C349" s="221" t="s">
        <v>1507</v>
      </c>
    </row>
    <row r="350" spans="1:3" x14ac:dyDescent="0.25">
      <c r="A350" s="222">
        <v>11359</v>
      </c>
      <c r="B350" s="223" t="s">
        <v>1508</v>
      </c>
      <c r="C350" s="221" t="s">
        <v>1507</v>
      </c>
    </row>
    <row r="351" spans="1:3" x14ac:dyDescent="0.25">
      <c r="A351" s="222">
        <v>11381</v>
      </c>
      <c r="B351" s="223" t="s">
        <v>1509</v>
      </c>
      <c r="C351" s="221" t="s">
        <v>134</v>
      </c>
    </row>
    <row r="352" spans="1:3" x14ac:dyDescent="0.25">
      <c r="A352" s="222">
        <v>11401</v>
      </c>
      <c r="B352" s="223" t="s">
        <v>1511</v>
      </c>
      <c r="C352" s="221" t="s">
        <v>1510</v>
      </c>
    </row>
    <row r="353" spans="1:3" x14ac:dyDescent="0.25">
      <c r="A353" s="222">
        <v>11401</v>
      </c>
      <c r="B353" s="223" t="s">
        <v>1511</v>
      </c>
      <c r="C353" s="221" t="s">
        <v>1510</v>
      </c>
    </row>
    <row r="354" spans="1:3" x14ac:dyDescent="0.25">
      <c r="A354" s="222">
        <v>12000</v>
      </c>
      <c r="B354" s="223" t="s">
        <v>1512</v>
      </c>
      <c r="C354" s="221" t="s">
        <v>1513</v>
      </c>
    </row>
    <row r="355" spans="1:3" x14ac:dyDescent="0.25">
      <c r="A355" s="222">
        <v>12000</v>
      </c>
      <c r="B355" s="223" t="s">
        <v>1512</v>
      </c>
      <c r="C355" s="221" t="s">
        <v>1514</v>
      </c>
    </row>
    <row r="356" spans="1:3" x14ac:dyDescent="0.25">
      <c r="A356" s="222">
        <v>12000</v>
      </c>
      <c r="B356" s="223" t="s">
        <v>1512</v>
      </c>
      <c r="C356" s="221" t="s">
        <v>1515</v>
      </c>
    </row>
    <row r="357" spans="1:3" x14ac:dyDescent="0.25">
      <c r="A357" s="222">
        <v>12000</v>
      </c>
      <c r="B357" s="223" t="s">
        <v>1512</v>
      </c>
      <c r="C357" s="221" t="s">
        <v>1515</v>
      </c>
    </row>
    <row r="358" spans="1:3" x14ac:dyDescent="0.25">
      <c r="A358" s="222">
        <v>12001</v>
      </c>
      <c r="B358" s="223" t="s">
        <v>1516</v>
      </c>
      <c r="C358" s="221" t="s">
        <v>1517</v>
      </c>
    </row>
    <row r="359" spans="1:3" x14ac:dyDescent="0.25">
      <c r="A359" s="222">
        <v>12002</v>
      </c>
      <c r="B359" s="223" t="s">
        <v>1518</v>
      </c>
      <c r="C359" s="221" t="s">
        <v>1519</v>
      </c>
    </row>
    <row r="360" spans="1:3" x14ac:dyDescent="0.25">
      <c r="A360" s="222">
        <v>12003</v>
      </c>
      <c r="B360" s="223" t="s">
        <v>1520</v>
      </c>
      <c r="C360" s="221" t="s">
        <v>1521</v>
      </c>
    </row>
    <row r="361" spans="1:3" x14ac:dyDescent="0.25">
      <c r="A361" s="222">
        <v>12004</v>
      </c>
      <c r="B361" s="223" t="s">
        <v>1522</v>
      </c>
      <c r="C361" s="221" t="s">
        <v>1523</v>
      </c>
    </row>
    <row r="362" spans="1:3" x14ac:dyDescent="0.25">
      <c r="A362" s="222">
        <v>12004</v>
      </c>
      <c r="B362" s="223" t="s">
        <v>1522</v>
      </c>
      <c r="C362" s="221" t="s">
        <v>1523</v>
      </c>
    </row>
    <row r="363" spans="1:3" x14ac:dyDescent="0.25">
      <c r="A363" s="222">
        <v>12005</v>
      </c>
      <c r="B363" s="223" t="s">
        <v>1524</v>
      </c>
      <c r="C363" s="221" t="s">
        <v>1525</v>
      </c>
    </row>
    <row r="364" spans="1:3" x14ac:dyDescent="0.25">
      <c r="A364" s="222">
        <v>12006</v>
      </c>
      <c r="B364" s="223" t="s">
        <v>1526</v>
      </c>
      <c r="C364" s="221" t="s">
        <v>1527</v>
      </c>
    </row>
    <row r="365" spans="1:3" x14ac:dyDescent="0.25">
      <c r="A365" s="222">
        <v>12007</v>
      </c>
      <c r="B365" s="223" t="s">
        <v>1528</v>
      </c>
      <c r="C365" s="221" t="s">
        <v>1529</v>
      </c>
    </row>
    <row r="366" spans="1:3" x14ac:dyDescent="0.25">
      <c r="A366" s="222">
        <v>12008</v>
      </c>
      <c r="B366" s="223" t="s">
        <v>1530</v>
      </c>
      <c r="C366" s="221" t="s">
        <v>1531</v>
      </c>
    </row>
    <row r="367" spans="1:3" x14ac:dyDescent="0.25">
      <c r="A367" s="222">
        <v>12009</v>
      </c>
      <c r="B367" s="223" t="s">
        <v>1532</v>
      </c>
      <c r="C367" s="221" t="s">
        <v>1533</v>
      </c>
    </row>
    <row r="368" spans="1:3" x14ac:dyDescent="0.25">
      <c r="A368" s="222">
        <v>12010</v>
      </c>
      <c r="B368" s="223" t="s">
        <v>1534</v>
      </c>
      <c r="C368" s="221" t="s">
        <v>1535</v>
      </c>
    </row>
    <row r="369" spans="1:3" x14ac:dyDescent="0.25">
      <c r="A369" s="222">
        <v>12011</v>
      </c>
      <c r="B369" s="223" t="s">
        <v>1536</v>
      </c>
      <c r="C369" s="221" t="s">
        <v>1537</v>
      </c>
    </row>
    <row r="370" spans="1:3" x14ac:dyDescent="0.25">
      <c r="A370" s="222">
        <v>12011</v>
      </c>
      <c r="B370" s="223" t="s">
        <v>1536</v>
      </c>
      <c r="C370" s="221" t="s">
        <v>1537</v>
      </c>
    </row>
    <row r="371" spans="1:3" x14ac:dyDescent="0.25">
      <c r="A371" s="222">
        <v>12011</v>
      </c>
      <c r="B371" s="223" t="s">
        <v>1536</v>
      </c>
      <c r="C371" s="221" t="s">
        <v>1537</v>
      </c>
    </row>
    <row r="372" spans="1:3" x14ac:dyDescent="0.25">
      <c r="A372" s="222">
        <v>12012</v>
      </c>
      <c r="B372" s="223" t="s">
        <v>1538</v>
      </c>
      <c r="C372" s="221" t="s">
        <v>1539</v>
      </c>
    </row>
    <row r="373" spans="1:3" x14ac:dyDescent="0.25">
      <c r="A373" s="222">
        <v>12013</v>
      </c>
      <c r="B373" s="223" t="s">
        <v>1540</v>
      </c>
      <c r="C373" s="221" t="s">
        <v>1541</v>
      </c>
    </row>
    <row r="374" spans="1:3" x14ac:dyDescent="0.25">
      <c r="A374" s="222">
        <v>12014</v>
      </c>
      <c r="B374" s="223" t="s">
        <v>1542</v>
      </c>
      <c r="C374" s="221" t="s">
        <v>1543</v>
      </c>
    </row>
    <row r="375" spans="1:3" x14ac:dyDescent="0.25">
      <c r="A375" s="222">
        <v>12015</v>
      </c>
      <c r="B375" s="223" t="s">
        <v>1544</v>
      </c>
      <c r="C375" s="221" t="s">
        <v>1545</v>
      </c>
    </row>
    <row r="376" spans="1:3" x14ac:dyDescent="0.25">
      <c r="A376" s="222">
        <v>12016</v>
      </c>
      <c r="B376" s="223" t="s">
        <v>1546</v>
      </c>
      <c r="C376" s="221" t="s">
        <v>1547</v>
      </c>
    </row>
    <row r="377" spans="1:3" x14ac:dyDescent="0.25">
      <c r="A377" s="222">
        <v>12017</v>
      </c>
      <c r="B377" s="223" t="s">
        <v>1548</v>
      </c>
      <c r="C377" s="221" t="s">
        <v>1549</v>
      </c>
    </row>
    <row r="378" spans="1:3" x14ac:dyDescent="0.25">
      <c r="A378" s="222">
        <v>12018</v>
      </c>
      <c r="B378" s="223" t="s">
        <v>1550</v>
      </c>
      <c r="C378" s="221" t="s">
        <v>1551</v>
      </c>
    </row>
    <row r="379" spans="1:3" x14ac:dyDescent="0.25">
      <c r="A379" s="222">
        <v>12019</v>
      </c>
      <c r="B379" s="223" t="s">
        <v>1552</v>
      </c>
      <c r="C379" s="221" t="s">
        <v>1553</v>
      </c>
    </row>
    <row r="380" spans="1:3" x14ac:dyDescent="0.25">
      <c r="A380" s="222">
        <v>12020</v>
      </c>
      <c r="B380" s="223" t="s">
        <v>1554</v>
      </c>
      <c r="C380" s="221" t="s">
        <v>1555</v>
      </c>
    </row>
    <row r="381" spans="1:3" x14ac:dyDescent="0.25">
      <c r="A381" s="222">
        <v>12020</v>
      </c>
      <c r="B381" s="223" t="s">
        <v>1554</v>
      </c>
      <c r="C381" s="221" t="s">
        <v>1555</v>
      </c>
    </row>
    <row r="382" spans="1:3" x14ac:dyDescent="0.25">
      <c r="A382" s="222">
        <v>12021</v>
      </c>
      <c r="B382" s="223" t="s">
        <v>1556</v>
      </c>
      <c r="C382" s="221" t="s">
        <v>1557</v>
      </c>
    </row>
    <row r="383" spans="1:3" x14ac:dyDescent="0.25">
      <c r="A383" s="222">
        <v>12022</v>
      </c>
      <c r="B383" s="223" t="s">
        <v>1558</v>
      </c>
      <c r="C383" s="221" t="s">
        <v>1559</v>
      </c>
    </row>
    <row r="384" spans="1:3" x14ac:dyDescent="0.25">
      <c r="A384" s="222">
        <v>12022</v>
      </c>
      <c r="B384" s="223" t="s">
        <v>1558</v>
      </c>
      <c r="C384" s="221" t="s">
        <v>1559</v>
      </c>
    </row>
    <row r="385" spans="1:3" x14ac:dyDescent="0.25">
      <c r="A385" s="222">
        <v>12022</v>
      </c>
      <c r="B385" s="223" t="s">
        <v>1558</v>
      </c>
      <c r="C385" s="221" t="s">
        <v>1559</v>
      </c>
    </row>
    <row r="386" spans="1:3" x14ac:dyDescent="0.25">
      <c r="A386" s="222">
        <v>12023</v>
      </c>
      <c r="B386" s="223" t="s">
        <v>1560</v>
      </c>
      <c r="C386" s="221" t="s">
        <v>1561</v>
      </c>
    </row>
    <row r="387" spans="1:3" x14ac:dyDescent="0.25">
      <c r="A387" s="222">
        <v>12024</v>
      </c>
      <c r="B387" s="223" t="s">
        <v>1562</v>
      </c>
      <c r="C387" s="221" t="s">
        <v>1563</v>
      </c>
    </row>
    <row r="388" spans="1:3" x14ac:dyDescent="0.25">
      <c r="A388" s="222">
        <v>12025</v>
      </c>
      <c r="B388" s="223" t="s">
        <v>1564</v>
      </c>
      <c r="C388" s="221" t="s">
        <v>1565</v>
      </c>
    </row>
    <row r="389" spans="1:3" x14ac:dyDescent="0.25">
      <c r="A389" s="222">
        <v>12026</v>
      </c>
      <c r="B389" s="223" t="s">
        <v>1566</v>
      </c>
      <c r="C389" s="221" t="s">
        <v>1567</v>
      </c>
    </row>
    <row r="390" spans="1:3" x14ac:dyDescent="0.25">
      <c r="A390" s="222">
        <v>12027</v>
      </c>
      <c r="B390" s="223" t="s">
        <v>1568</v>
      </c>
      <c r="C390" s="221" t="s">
        <v>1569</v>
      </c>
    </row>
    <row r="391" spans="1:3" x14ac:dyDescent="0.25">
      <c r="A391" s="222">
        <v>12028</v>
      </c>
      <c r="B391" s="223" t="s">
        <v>1570</v>
      </c>
      <c r="C391" s="221" t="s">
        <v>1571</v>
      </c>
    </row>
    <row r="392" spans="1:3" x14ac:dyDescent="0.25">
      <c r="A392" s="222">
        <v>12029</v>
      </c>
      <c r="B392" s="223" t="s">
        <v>1572</v>
      </c>
      <c r="C392" s="221" t="s">
        <v>1573</v>
      </c>
    </row>
    <row r="393" spans="1:3" x14ac:dyDescent="0.25">
      <c r="A393" s="222">
        <v>12030</v>
      </c>
      <c r="B393" s="223" t="s">
        <v>1574</v>
      </c>
      <c r="C393" s="221" t="s">
        <v>1575</v>
      </c>
    </row>
    <row r="394" spans="1:3" x14ac:dyDescent="0.25">
      <c r="A394" s="222">
        <v>12031</v>
      </c>
      <c r="B394" s="223" t="s">
        <v>1576</v>
      </c>
      <c r="C394" s="221" t="s">
        <v>1577</v>
      </c>
    </row>
    <row r="395" spans="1:3" x14ac:dyDescent="0.25">
      <c r="A395" s="222">
        <v>12032</v>
      </c>
      <c r="B395" s="223" t="s">
        <v>1578</v>
      </c>
      <c r="C395" s="221" t="s">
        <v>1579</v>
      </c>
    </row>
    <row r="396" spans="1:3" x14ac:dyDescent="0.25">
      <c r="A396" s="222">
        <v>12033</v>
      </c>
      <c r="B396" s="223" t="s">
        <v>1580</v>
      </c>
      <c r="C396" s="221" t="s">
        <v>1581</v>
      </c>
    </row>
    <row r="397" spans="1:3" x14ac:dyDescent="0.25">
      <c r="A397" s="222">
        <v>12034</v>
      </c>
      <c r="B397" s="223" t="s">
        <v>1582</v>
      </c>
      <c r="C397" s="221" t="s">
        <v>1583</v>
      </c>
    </row>
    <row r="398" spans="1:3" x14ac:dyDescent="0.25">
      <c r="A398" s="222">
        <v>12034</v>
      </c>
      <c r="B398" s="223" t="s">
        <v>1582</v>
      </c>
      <c r="C398" s="221" t="s">
        <v>1584</v>
      </c>
    </row>
    <row r="399" spans="1:3" x14ac:dyDescent="0.25">
      <c r="A399" s="222">
        <v>12035</v>
      </c>
      <c r="B399" s="223" t="s">
        <v>1585</v>
      </c>
      <c r="C399" s="221" t="s">
        <v>1586</v>
      </c>
    </row>
    <row r="400" spans="1:3" x14ac:dyDescent="0.25">
      <c r="A400" s="222">
        <v>12036</v>
      </c>
      <c r="B400" s="223" t="s">
        <v>1587</v>
      </c>
      <c r="C400" s="221" t="s">
        <v>1588</v>
      </c>
    </row>
    <row r="401" spans="1:3" x14ac:dyDescent="0.25">
      <c r="A401" s="222">
        <v>12037</v>
      </c>
      <c r="B401" s="223" t="s">
        <v>1589</v>
      </c>
      <c r="C401" s="221" t="s">
        <v>1590</v>
      </c>
    </row>
    <row r="402" spans="1:3" x14ac:dyDescent="0.25">
      <c r="A402" s="222">
        <v>12038</v>
      </c>
      <c r="B402" s="223" t="s">
        <v>1591</v>
      </c>
      <c r="C402" s="221" t="s">
        <v>1592</v>
      </c>
    </row>
    <row r="403" spans="1:3" x14ac:dyDescent="0.25">
      <c r="A403" s="222">
        <v>12039</v>
      </c>
      <c r="B403" s="223" t="s">
        <v>1593</v>
      </c>
      <c r="C403" s="221" t="s">
        <v>1594</v>
      </c>
    </row>
    <row r="404" spans="1:3" x14ac:dyDescent="0.25">
      <c r="A404" s="222">
        <v>12040</v>
      </c>
      <c r="B404" s="223" t="s">
        <v>1595</v>
      </c>
      <c r="C404" s="221" t="s">
        <v>1596</v>
      </c>
    </row>
    <row r="405" spans="1:3" x14ac:dyDescent="0.25">
      <c r="A405" s="222">
        <v>12041</v>
      </c>
      <c r="B405" s="223" t="s">
        <v>1597</v>
      </c>
      <c r="C405" s="221" t="s">
        <v>1598</v>
      </c>
    </row>
    <row r="406" spans="1:3" x14ac:dyDescent="0.25">
      <c r="A406" s="222">
        <v>12042</v>
      </c>
      <c r="B406" s="223" t="s">
        <v>1599</v>
      </c>
      <c r="C406" s="221" t="s">
        <v>1600</v>
      </c>
    </row>
    <row r="407" spans="1:3" x14ac:dyDescent="0.25">
      <c r="A407" s="222">
        <v>12043</v>
      </c>
      <c r="B407" s="223" t="s">
        <v>1601</v>
      </c>
      <c r="C407" s="221" t="s">
        <v>1602</v>
      </c>
    </row>
    <row r="408" spans="1:3" x14ac:dyDescent="0.25">
      <c r="A408" s="222">
        <v>12043</v>
      </c>
      <c r="B408" s="223" t="s">
        <v>1601</v>
      </c>
      <c r="C408" s="221" t="s">
        <v>1602</v>
      </c>
    </row>
    <row r="409" spans="1:3" x14ac:dyDescent="0.25">
      <c r="A409" s="222">
        <v>12043</v>
      </c>
      <c r="B409" s="223" t="s">
        <v>1601</v>
      </c>
      <c r="C409" s="221" t="s">
        <v>1602</v>
      </c>
    </row>
    <row r="410" spans="1:3" x14ac:dyDescent="0.25">
      <c r="A410" s="222">
        <v>12044</v>
      </c>
      <c r="B410" s="223" t="s">
        <v>1603</v>
      </c>
      <c r="C410" s="221" t="s">
        <v>1604</v>
      </c>
    </row>
    <row r="411" spans="1:3" x14ac:dyDescent="0.25">
      <c r="A411" s="222">
        <v>12044</v>
      </c>
      <c r="B411" s="223" t="s">
        <v>1603</v>
      </c>
      <c r="C411" s="221" t="s">
        <v>1603</v>
      </c>
    </row>
    <row r="412" spans="1:3" x14ac:dyDescent="0.25">
      <c r="A412" s="222">
        <v>12046</v>
      </c>
      <c r="B412" s="223" t="s">
        <v>1605</v>
      </c>
      <c r="C412" s="221" t="s">
        <v>1606</v>
      </c>
    </row>
    <row r="413" spans="1:3" x14ac:dyDescent="0.25">
      <c r="A413" s="222">
        <v>12046</v>
      </c>
      <c r="B413" s="223" t="s">
        <v>1605</v>
      </c>
      <c r="C413" s="221" t="s">
        <v>1606</v>
      </c>
    </row>
    <row r="414" spans="1:3" x14ac:dyDescent="0.25">
      <c r="A414" s="222">
        <v>12047</v>
      </c>
      <c r="B414" s="223" t="s">
        <v>1607</v>
      </c>
      <c r="C414" s="221" t="s">
        <v>1608</v>
      </c>
    </row>
    <row r="415" spans="1:3" x14ac:dyDescent="0.25">
      <c r="A415" s="222">
        <v>12047</v>
      </c>
      <c r="B415" s="223" t="s">
        <v>1607</v>
      </c>
      <c r="C415" s="221" t="s">
        <v>1608</v>
      </c>
    </row>
    <row r="416" spans="1:3" x14ac:dyDescent="0.25">
      <c r="A416" s="222">
        <v>12047</v>
      </c>
      <c r="B416" s="223" t="s">
        <v>1607</v>
      </c>
      <c r="C416" s="221" t="s">
        <v>1608</v>
      </c>
    </row>
    <row r="417" spans="1:3" x14ac:dyDescent="0.25">
      <c r="A417" s="222">
        <v>12048</v>
      </c>
      <c r="B417" s="223" t="s">
        <v>1609</v>
      </c>
      <c r="C417" s="221" t="s">
        <v>1610</v>
      </c>
    </row>
    <row r="418" spans="1:3" x14ac:dyDescent="0.25">
      <c r="A418" s="222">
        <v>12049</v>
      </c>
      <c r="B418" s="223" t="s">
        <v>1611</v>
      </c>
      <c r="C418" s="221" t="s">
        <v>1612</v>
      </c>
    </row>
    <row r="419" spans="1:3" x14ac:dyDescent="0.25">
      <c r="A419" s="222">
        <v>12052</v>
      </c>
      <c r="B419" s="223" t="s">
        <v>1613</v>
      </c>
      <c r="C419" s="221" t="s">
        <v>1614</v>
      </c>
    </row>
    <row r="420" spans="1:3" x14ac:dyDescent="0.25">
      <c r="A420" s="222">
        <v>12053</v>
      </c>
      <c r="B420" s="223" t="s">
        <v>1615</v>
      </c>
      <c r="C420" s="221" t="s">
        <v>1616</v>
      </c>
    </row>
    <row r="421" spans="1:3" x14ac:dyDescent="0.25">
      <c r="A421" s="222">
        <v>12054</v>
      </c>
      <c r="B421" s="223" t="s">
        <v>1617</v>
      </c>
      <c r="C421" s="221" t="s">
        <v>1618</v>
      </c>
    </row>
    <row r="422" spans="1:3" x14ac:dyDescent="0.25">
      <c r="A422" s="222">
        <v>12055</v>
      </c>
      <c r="B422" s="223" t="s">
        <v>1619</v>
      </c>
      <c r="C422" s="221" t="s">
        <v>1620</v>
      </c>
    </row>
    <row r="423" spans="1:3" x14ac:dyDescent="0.25">
      <c r="A423" s="222">
        <v>12056</v>
      </c>
      <c r="B423" s="223" t="s">
        <v>1621</v>
      </c>
      <c r="C423" s="221" t="s">
        <v>1622</v>
      </c>
    </row>
    <row r="424" spans="1:3" x14ac:dyDescent="0.25">
      <c r="A424" s="222">
        <v>12057</v>
      </c>
      <c r="B424" s="223" t="s">
        <v>1623</v>
      </c>
      <c r="C424" s="221" t="s">
        <v>1624</v>
      </c>
    </row>
    <row r="425" spans="1:3" x14ac:dyDescent="0.25">
      <c r="A425" s="222">
        <v>12058</v>
      </c>
      <c r="B425" s="223" t="s">
        <v>1625</v>
      </c>
      <c r="C425" s="221" t="s">
        <v>1626</v>
      </c>
    </row>
    <row r="426" spans="1:3" x14ac:dyDescent="0.25">
      <c r="A426" s="222">
        <v>12059</v>
      </c>
      <c r="B426" s="223" t="s">
        <v>1627</v>
      </c>
      <c r="C426" s="221" t="s">
        <v>1628</v>
      </c>
    </row>
    <row r="427" spans="1:3" x14ac:dyDescent="0.25">
      <c r="A427" s="222">
        <v>12060</v>
      </c>
      <c r="B427" s="223" t="s">
        <v>1629</v>
      </c>
      <c r="C427" s="221" t="s">
        <v>1630</v>
      </c>
    </row>
    <row r="428" spans="1:3" x14ac:dyDescent="0.25">
      <c r="A428" s="222">
        <v>12061</v>
      </c>
      <c r="B428" s="223" t="s">
        <v>1631</v>
      </c>
      <c r="C428" s="221" t="s">
        <v>1632</v>
      </c>
    </row>
    <row r="429" spans="1:3" x14ac:dyDescent="0.25">
      <c r="A429" s="222">
        <v>12062</v>
      </c>
      <c r="B429" s="223" t="s">
        <v>1633</v>
      </c>
      <c r="C429" s="221" t="s">
        <v>1634</v>
      </c>
    </row>
    <row r="430" spans="1:3" x14ac:dyDescent="0.25">
      <c r="A430" s="222">
        <v>12064</v>
      </c>
      <c r="B430" s="223" t="s">
        <v>1635</v>
      </c>
      <c r="C430" s="221" t="s">
        <v>1636</v>
      </c>
    </row>
    <row r="431" spans="1:3" x14ac:dyDescent="0.25">
      <c r="A431" s="222">
        <v>12065</v>
      </c>
      <c r="B431" s="223" t="s">
        <v>1637</v>
      </c>
      <c r="C431" s="221" t="s">
        <v>1638</v>
      </c>
    </row>
    <row r="432" spans="1:3" x14ac:dyDescent="0.25">
      <c r="A432" s="222">
        <v>12066</v>
      </c>
      <c r="B432" s="223" t="s">
        <v>1639</v>
      </c>
      <c r="C432" s="221" t="s">
        <v>1640</v>
      </c>
    </row>
    <row r="433" spans="1:3" x14ac:dyDescent="0.25">
      <c r="A433" s="222">
        <v>12067</v>
      </c>
      <c r="B433" s="223" t="s">
        <v>1641</v>
      </c>
      <c r="C433" s="221" t="s">
        <v>1642</v>
      </c>
    </row>
    <row r="434" spans="1:3" x14ac:dyDescent="0.25">
      <c r="A434" s="222">
        <v>12067</v>
      </c>
      <c r="B434" s="223" t="s">
        <v>1641</v>
      </c>
      <c r="C434" s="221" t="s">
        <v>1643</v>
      </c>
    </row>
    <row r="435" spans="1:3" x14ac:dyDescent="0.25">
      <c r="A435" s="222">
        <v>12067</v>
      </c>
      <c r="B435" s="223" t="s">
        <v>1641</v>
      </c>
      <c r="C435" s="221" t="s">
        <v>1644</v>
      </c>
    </row>
    <row r="436" spans="1:3" x14ac:dyDescent="0.25">
      <c r="A436" s="222">
        <v>12068</v>
      </c>
      <c r="B436" s="223" t="s">
        <v>1645</v>
      </c>
      <c r="C436" s="221" t="s">
        <v>1645</v>
      </c>
    </row>
    <row r="437" spans="1:3" x14ac:dyDescent="0.25">
      <c r="A437" s="222">
        <v>12068</v>
      </c>
      <c r="B437" s="223" t="s">
        <v>1645</v>
      </c>
      <c r="C437" s="221" t="s">
        <v>1646</v>
      </c>
    </row>
    <row r="438" spans="1:3" x14ac:dyDescent="0.25">
      <c r="A438" s="222">
        <v>12070</v>
      </c>
      <c r="B438" s="223" t="s">
        <v>1648</v>
      </c>
      <c r="C438" s="221" t="s">
        <v>1647</v>
      </c>
    </row>
    <row r="439" spans="1:3" x14ac:dyDescent="0.25">
      <c r="A439" s="222">
        <v>12070</v>
      </c>
      <c r="B439" s="223" t="s">
        <v>1648</v>
      </c>
      <c r="C439" s="221" t="s">
        <v>1647</v>
      </c>
    </row>
    <row r="440" spans="1:3" x14ac:dyDescent="0.25">
      <c r="A440" s="222">
        <v>12071</v>
      </c>
      <c r="B440" s="223" t="s">
        <v>1650</v>
      </c>
      <c r="C440" s="221" t="s">
        <v>1649</v>
      </c>
    </row>
    <row r="441" spans="1:3" x14ac:dyDescent="0.25">
      <c r="A441" s="222">
        <v>12071</v>
      </c>
      <c r="B441" s="223" t="s">
        <v>1650</v>
      </c>
      <c r="C441" s="221" t="s">
        <v>1649</v>
      </c>
    </row>
    <row r="442" spans="1:3" x14ac:dyDescent="0.25">
      <c r="A442" s="222">
        <v>12074</v>
      </c>
      <c r="B442" s="223" t="s">
        <v>1652</v>
      </c>
      <c r="C442" s="221" t="s">
        <v>1651</v>
      </c>
    </row>
    <row r="443" spans="1:3" x14ac:dyDescent="0.25">
      <c r="A443" s="222">
        <v>12074</v>
      </c>
      <c r="B443" s="223" t="s">
        <v>1652</v>
      </c>
      <c r="C443" s="221" t="s">
        <v>1651</v>
      </c>
    </row>
    <row r="444" spans="1:3" x14ac:dyDescent="0.25">
      <c r="A444" s="222">
        <v>12074</v>
      </c>
      <c r="B444" s="223" t="s">
        <v>1652</v>
      </c>
      <c r="C444" s="221" t="s">
        <v>1651</v>
      </c>
    </row>
    <row r="445" spans="1:3" x14ac:dyDescent="0.25">
      <c r="A445" s="222">
        <v>12074</v>
      </c>
      <c r="B445" s="223" t="s">
        <v>1652</v>
      </c>
      <c r="C445" s="221" t="s">
        <v>1651</v>
      </c>
    </row>
    <row r="446" spans="1:3" x14ac:dyDescent="0.25">
      <c r="A446" s="222">
        <v>13001</v>
      </c>
      <c r="B446" s="223" t="s">
        <v>1653</v>
      </c>
      <c r="C446" s="221" t="s">
        <v>1654</v>
      </c>
    </row>
    <row r="447" spans="1:3" x14ac:dyDescent="0.25">
      <c r="A447" s="222">
        <v>13002</v>
      </c>
      <c r="B447" s="223" t="s">
        <v>1655</v>
      </c>
      <c r="C447" s="221" t="s">
        <v>1656</v>
      </c>
    </row>
    <row r="448" spans="1:3" x14ac:dyDescent="0.25">
      <c r="A448" s="222">
        <v>13003</v>
      </c>
      <c r="B448" s="223" t="s">
        <v>1657</v>
      </c>
      <c r="C448" s="221" t="s">
        <v>1658</v>
      </c>
    </row>
    <row r="449" spans="1:3" x14ac:dyDescent="0.25">
      <c r="A449" s="222">
        <v>13004</v>
      </c>
      <c r="B449" s="223" t="s">
        <v>1659</v>
      </c>
      <c r="C449" s="221" t="s">
        <v>1660</v>
      </c>
    </row>
    <row r="450" spans="1:3" x14ac:dyDescent="0.25">
      <c r="A450" s="222">
        <v>13005</v>
      </c>
      <c r="B450" s="223" t="s">
        <v>1661</v>
      </c>
      <c r="C450" s="221" t="s">
        <v>1662</v>
      </c>
    </row>
    <row r="451" spans="1:3" x14ac:dyDescent="0.25">
      <c r="A451" s="222">
        <v>13006</v>
      </c>
      <c r="B451" s="223" t="s">
        <v>1663</v>
      </c>
      <c r="C451" s="221" t="s">
        <v>1664</v>
      </c>
    </row>
    <row r="452" spans="1:3" x14ac:dyDescent="0.25">
      <c r="A452" s="222">
        <v>13007</v>
      </c>
      <c r="B452" s="223" t="s">
        <v>1665</v>
      </c>
      <c r="C452" s="221" t="s">
        <v>1666</v>
      </c>
    </row>
    <row r="453" spans="1:3" x14ac:dyDescent="0.25">
      <c r="A453" s="222">
        <v>13008</v>
      </c>
      <c r="B453" s="223" t="s">
        <v>1667</v>
      </c>
      <c r="C453" s="221" t="s">
        <v>1668</v>
      </c>
    </row>
    <row r="454" spans="1:3" x14ac:dyDescent="0.25">
      <c r="A454" s="222">
        <v>13009</v>
      </c>
      <c r="B454" s="223" t="s">
        <v>1669</v>
      </c>
      <c r="C454" s="221" t="s">
        <v>1670</v>
      </c>
    </row>
    <row r="455" spans="1:3" x14ac:dyDescent="0.25">
      <c r="A455" s="222">
        <v>13012</v>
      </c>
      <c r="B455" s="223" t="s">
        <v>1671</v>
      </c>
      <c r="C455" s="221" t="s">
        <v>1672</v>
      </c>
    </row>
    <row r="456" spans="1:3" x14ac:dyDescent="0.25">
      <c r="A456" s="222">
        <v>13014</v>
      </c>
      <c r="B456" s="223" t="s">
        <v>1673</v>
      </c>
      <c r="C456" s="221" t="s">
        <v>1674</v>
      </c>
    </row>
    <row r="457" spans="1:3" x14ac:dyDescent="0.25">
      <c r="A457" s="222">
        <v>13015</v>
      </c>
      <c r="B457" s="223" t="s">
        <v>1675</v>
      </c>
      <c r="C457" s="221" t="s">
        <v>1676</v>
      </c>
    </row>
    <row r="458" spans="1:3" x14ac:dyDescent="0.25">
      <c r="A458" s="222">
        <v>13016</v>
      </c>
      <c r="B458" s="223" t="s">
        <v>1677</v>
      </c>
      <c r="C458" s="221" t="s">
        <v>1678</v>
      </c>
    </row>
    <row r="459" spans="1:3" x14ac:dyDescent="0.25">
      <c r="A459" s="222">
        <v>13017</v>
      </c>
      <c r="B459" s="223" t="s">
        <v>1679</v>
      </c>
      <c r="C459" s="221" t="s">
        <v>1680</v>
      </c>
    </row>
    <row r="460" spans="1:3" x14ac:dyDescent="0.25">
      <c r="A460" s="222">
        <v>13018</v>
      </c>
      <c r="B460" s="223" t="s">
        <v>1681</v>
      </c>
      <c r="C460" s="221" t="s">
        <v>1682</v>
      </c>
    </row>
    <row r="461" spans="1:3" x14ac:dyDescent="0.25">
      <c r="A461" s="222">
        <v>13024</v>
      </c>
      <c r="B461" s="223" t="s">
        <v>1683</v>
      </c>
      <c r="C461" s="221" t="s">
        <v>1684</v>
      </c>
    </row>
    <row r="462" spans="1:3" x14ac:dyDescent="0.25">
      <c r="A462" s="222">
        <v>13025</v>
      </c>
      <c r="B462" s="223" t="s">
        <v>1685</v>
      </c>
      <c r="C462" s="221" t="s">
        <v>1686</v>
      </c>
    </row>
    <row r="463" spans="1:3" x14ac:dyDescent="0.25">
      <c r="A463" s="222">
        <v>13026</v>
      </c>
      <c r="B463" s="223" t="s">
        <v>1687</v>
      </c>
      <c r="C463" s="221" t="s">
        <v>1688</v>
      </c>
    </row>
    <row r="464" spans="1:3" x14ac:dyDescent="0.25">
      <c r="A464" s="222">
        <v>13028</v>
      </c>
      <c r="B464" s="223" t="s">
        <v>1689</v>
      </c>
      <c r="C464" s="221" t="s">
        <v>1690</v>
      </c>
    </row>
    <row r="465" spans="1:3" x14ac:dyDescent="0.25">
      <c r="A465" s="222">
        <v>13029</v>
      </c>
      <c r="B465" s="223" t="s">
        <v>1691</v>
      </c>
      <c r="C465" s="221" t="s">
        <v>1692</v>
      </c>
    </row>
    <row r="466" spans="1:3" x14ac:dyDescent="0.25">
      <c r="A466" s="222">
        <v>13031</v>
      </c>
      <c r="B466" s="223" t="s">
        <v>1693</v>
      </c>
      <c r="C466" s="221" t="s">
        <v>1694</v>
      </c>
    </row>
    <row r="467" spans="1:3" x14ac:dyDescent="0.25">
      <c r="A467" s="222">
        <v>13032</v>
      </c>
      <c r="B467" s="223" t="s">
        <v>1695</v>
      </c>
      <c r="C467" s="221" t="s">
        <v>1696</v>
      </c>
    </row>
    <row r="468" spans="1:3" x14ac:dyDescent="0.25">
      <c r="A468" s="222">
        <v>13033</v>
      </c>
      <c r="B468" s="223" t="s">
        <v>1697</v>
      </c>
      <c r="C468" s="221" t="s">
        <v>1698</v>
      </c>
    </row>
    <row r="469" spans="1:3" x14ac:dyDescent="0.25">
      <c r="A469" s="222">
        <v>13034</v>
      </c>
      <c r="B469" s="223" t="s">
        <v>1699</v>
      </c>
      <c r="C469" s="221" t="s">
        <v>1700</v>
      </c>
    </row>
    <row r="470" spans="1:3" x14ac:dyDescent="0.25">
      <c r="A470" s="222">
        <v>13035</v>
      </c>
      <c r="B470" s="223" t="s">
        <v>1701</v>
      </c>
      <c r="C470" s="221" t="s">
        <v>1702</v>
      </c>
    </row>
    <row r="471" spans="1:3" x14ac:dyDescent="0.25">
      <c r="A471" s="222">
        <v>13036</v>
      </c>
      <c r="B471" s="223" t="s">
        <v>1703</v>
      </c>
      <c r="C471" s="221" t="s">
        <v>1704</v>
      </c>
    </row>
    <row r="472" spans="1:3" x14ac:dyDescent="0.25">
      <c r="A472" s="222">
        <v>13037</v>
      </c>
      <c r="B472" s="223" t="s">
        <v>1705</v>
      </c>
      <c r="C472" s="221" t="s">
        <v>1706</v>
      </c>
    </row>
    <row r="473" spans="1:3" x14ac:dyDescent="0.25">
      <c r="A473" s="222">
        <v>13038</v>
      </c>
      <c r="B473" s="223" t="s">
        <v>1707</v>
      </c>
      <c r="C473" s="221" t="s">
        <v>1708</v>
      </c>
    </row>
    <row r="474" spans="1:3" x14ac:dyDescent="0.25">
      <c r="A474" s="222">
        <v>13039</v>
      </c>
      <c r="B474" s="223" t="s">
        <v>1709</v>
      </c>
      <c r="C474" s="221" t="s">
        <v>1710</v>
      </c>
    </row>
    <row r="475" spans="1:3" x14ac:dyDescent="0.25">
      <c r="A475" s="222">
        <v>13041</v>
      </c>
      <c r="B475" s="223" t="s">
        <v>1711</v>
      </c>
      <c r="C475" s="221" t="s">
        <v>1712</v>
      </c>
    </row>
    <row r="476" spans="1:3" x14ac:dyDescent="0.25">
      <c r="A476" s="222">
        <v>13042</v>
      </c>
      <c r="B476" s="223" t="s">
        <v>1713</v>
      </c>
      <c r="C476" s="221" t="s">
        <v>1714</v>
      </c>
    </row>
    <row r="477" spans="1:3" x14ac:dyDescent="0.25">
      <c r="A477" s="222">
        <v>13043</v>
      </c>
      <c r="B477" s="223" t="s">
        <v>1715</v>
      </c>
      <c r="C477" s="221" t="s">
        <v>1716</v>
      </c>
    </row>
    <row r="478" spans="1:3" x14ac:dyDescent="0.25">
      <c r="A478" s="222">
        <v>13044</v>
      </c>
      <c r="B478" s="223" t="s">
        <v>1717</v>
      </c>
      <c r="C478" s="221" t="s">
        <v>1718</v>
      </c>
    </row>
    <row r="479" spans="1:3" x14ac:dyDescent="0.25">
      <c r="A479" s="222">
        <v>13045</v>
      </c>
      <c r="B479" s="223" t="s">
        <v>1719</v>
      </c>
      <c r="C479" s="221" t="s">
        <v>1720</v>
      </c>
    </row>
    <row r="480" spans="1:3" x14ac:dyDescent="0.25">
      <c r="A480" s="222">
        <v>13046</v>
      </c>
      <c r="B480" s="223" t="s">
        <v>1721</v>
      </c>
      <c r="C480" s="221" t="s">
        <v>1722</v>
      </c>
    </row>
    <row r="481" spans="1:3" x14ac:dyDescent="0.25">
      <c r="A481" s="222">
        <v>13047</v>
      </c>
      <c r="B481" s="223" t="s">
        <v>1723</v>
      </c>
      <c r="C481" s="221" t="s">
        <v>1724</v>
      </c>
    </row>
    <row r="482" spans="1:3" x14ac:dyDescent="0.25">
      <c r="A482" s="222">
        <v>13048</v>
      </c>
      <c r="B482" s="223" t="s">
        <v>1725</v>
      </c>
      <c r="C482" s="221" t="s">
        <v>1726</v>
      </c>
    </row>
    <row r="483" spans="1:3" x14ac:dyDescent="0.25">
      <c r="A483" s="222">
        <v>13049</v>
      </c>
      <c r="B483" s="223" t="s">
        <v>1727</v>
      </c>
      <c r="C483" s="221" t="s">
        <v>1728</v>
      </c>
    </row>
    <row r="484" spans="1:3" x14ac:dyDescent="0.25">
      <c r="A484" s="222">
        <v>13050</v>
      </c>
      <c r="B484" s="223" t="s">
        <v>1729</v>
      </c>
      <c r="C484" s="221" t="s">
        <v>1730</v>
      </c>
    </row>
    <row r="485" spans="1:3" x14ac:dyDescent="0.25">
      <c r="A485" s="222">
        <v>13051</v>
      </c>
      <c r="B485" s="223" t="s">
        <v>1731</v>
      </c>
      <c r="C485" s="221" t="s">
        <v>1732</v>
      </c>
    </row>
    <row r="486" spans="1:3" x14ac:dyDescent="0.25">
      <c r="A486" s="222">
        <v>13052</v>
      </c>
      <c r="B486" s="223" t="s">
        <v>1733</v>
      </c>
      <c r="C486" s="221" t="s">
        <v>1734</v>
      </c>
    </row>
    <row r="487" spans="1:3" x14ac:dyDescent="0.25">
      <c r="A487" s="222">
        <v>13053</v>
      </c>
      <c r="B487" s="223" t="s">
        <v>1735</v>
      </c>
      <c r="C487" s="221" t="s">
        <v>1736</v>
      </c>
    </row>
    <row r="488" spans="1:3" x14ac:dyDescent="0.25">
      <c r="A488" s="222">
        <v>13054</v>
      </c>
      <c r="B488" s="223" t="s">
        <v>1737</v>
      </c>
      <c r="C488" s="221" t="s">
        <v>1738</v>
      </c>
    </row>
    <row r="489" spans="1:3" x14ac:dyDescent="0.25">
      <c r="A489" s="222">
        <v>13055</v>
      </c>
      <c r="B489" s="223" t="s">
        <v>1739</v>
      </c>
      <c r="C489" s="221" t="s">
        <v>1740</v>
      </c>
    </row>
    <row r="490" spans="1:3" x14ac:dyDescent="0.25">
      <c r="A490" s="222">
        <v>13056</v>
      </c>
      <c r="B490" s="223" t="s">
        <v>1741</v>
      </c>
      <c r="C490" s="221" t="s">
        <v>1742</v>
      </c>
    </row>
    <row r="491" spans="1:3" x14ac:dyDescent="0.25">
      <c r="A491" s="222">
        <v>13057</v>
      </c>
      <c r="B491" s="223" t="s">
        <v>1743</v>
      </c>
      <c r="C491" s="221" t="s">
        <v>1744</v>
      </c>
    </row>
    <row r="492" spans="1:3" x14ac:dyDescent="0.25">
      <c r="A492" s="222">
        <v>13058</v>
      </c>
      <c r="B492" s="223" t="s">
        <v>1745</v>
      </c>
      <c r="C492" s="221" t="s">
        <v>1746</v>
      </c>
    </row>
    <row r="493" spans="1:3" x14ac:dyDescent="0.25">
      <c r="A493" s="222">
        <v>13059</v>
      </c>
      <c r="B493" s="223" t="s">
        <v>1747</v>
      </c>
      <c r="C493" s="221" t="s">
        <v>1748</v>
      </c>
    </row>
    <row r="494" spans="1:3" x14ac:dyDescent="0.25">
      <c r="A494" s="222">
        <v>13060</v>
      </c>
      <c r="B494" s="223" t="s">
        <v>1749</v>
      </c>
      <c r="C494" s="221" t="s">
        <v>1750</v>
      </c>
    </row>
    <row r="495" spans="1:3" x14ac:dyDescent="0.25">
      <c r="A495" s="222">
        <v>13061</v>
      </c>
      <c r="B495" s="223" t="s">
        <v>1751</v>
      </c>
      <c r="C495" s="221" t="s">
        <v>1752</v>
      </c>
    </row>
    <row r="496" spans="1:3" x14ac:dyDescent="0.25">
      <c r="A496" s="222">
        <v>13062</v>
      </c>
      <c r="B496" s="223" t="s">
        <v>1754</v>
      </c>
      <c r="C496" s="221" t="s">
        <v>1755</v>
      </c>
    </row>
    <row r="497" spans="1:3" x14ac:dyDescent="0.25">
      <c r="A497" s="222">
        <v>13062</v>
      </c>
      <c r="B497" s="223" t="s">
        <v>1754</v>
      </c>
      <c r="C497" s="221" t="s">
        <v>1753</v>
      </c>
    </row>
    <row r="498" spans="1:3" x14ac:dyDescent="0.25">
      <c r="A498" s="222">
        <v>13063</v>
      </c>
      <c r="B498" s="223" t="s">
        <v>1757</v>
      </c>
      <c r="C498" s="221" t="s">
        <v>1758</v>
      </c>
    </row>
    <row r="499" spans="1:3" x14ac:dyDescent="0.25">
      <c r="A499" s="222">
        <v>13063</v>
      </c>
      <c r="B499" s="223" t="s">
        <v>1757</v>
      </c>
      <c r="C499" s="221" t="s">
        <v>1756</v>
      </c>
    </row>
    <row r="500" spans="1:3" x14ac:dyDescent="0.25">
      <c r="A500" s="222">
        <v>13064</v>
      </c>
      <c r="B500" s="223" t="s">
        <v>1759</v>
      </c>
      <c r="C500" s="221" t="s">
        <v>1760</v>
      </c>
    </row>
    <row r="501" spans="1:3" x14ac:dyDescent="0.25">
      <c r="A501" s="222">
        <v>13065</v>
      </c>
      <c r="B501" s="223" t="s">
        <v>1761</v>
      </c>
      <c r="C501" s="221" t="s">
        <v>1762</v>
      </c>
    </row>
    <row r="502" spans="1:3" x14ac:dyDescent="0.25">
      <c r="A502" s="222">
        <v>13066</v>
      </c>
      <c r="B502" s="223" t="s">
        <v>1763</v>
      </c>
      <c r="C502" s="221" t="s">
        <v>1764</v>
      </c>
    </row>
    <row r="503" spans="1:3" x14ac:dyDescent="0.25">
      <c r="A503" s="222">
        <v>13067</v>
      </c>
      <c r="B503" s="223" t="s">
        <v>1765</v>
      </c>
      <c r="C503" s="221" t="s">
        <v>1766</v>
      </c>
    </row>
    <row r="504" spans="1:3" x14ac:dyDescent="0.25">
      <c r="A504" s="222">
        <v>13068</v>
      </c>
      <c r="B504" s="223" t="s">
        <v>1767</v>
      </c>
      <c r="C504" s="221" t="s">
        <v>1768</v>
      </c>
    </row>
    <row r="505" spans="1:3" x14ac:dyDescent="0.25">
      <c r="A505" s="222">
        <v>13069</v>
      </c>
      <c r="B505" s="223" t="s">
        <v>1769</v>
      </c>
      <c r="C505" s="221" t="s">
        <v>1770</v>
      </c>
    </row>
    <row r="506" spans="1:3" x14ac:dyDescent="0.25">
      <c r="A506" s="222">
        <v>13070</v>
      </c>
      <c r="B506" s="223" t="s">
        <v>1771</v>
      </c>
      <c r="C506" s="221" t="s">
        <v>1772</v>
      </c>
    </row>
    <row r="507" spans="1:3" x14ac:dyDescent="0.25">
      <c r="A507" s="222">
        <v>13071</v>
      </c>
      <c r="B507" s="223" t="s">
        <v>1773</v>
      </c>
      <c r="C507" s="221" t="s">
        <v>1774</v>
      </c>
    </row>
    <row r="508" spans="1:3" x14ac:dyDescent="0.25">
      <c r="A508" s="222">
        <v>13072</v>
      </c>
      <c r="B508" s="223" t="s">
        <v>1775</v>
      </c>
      <c r="C508" s="221" t="s">
        <v>1776</v>
      </c>
    </row>
    <row r="509" spans="1:3" x14ac:dyDescent="0.25">
      <c r="A509" s="222">
        <v>13073</v>
      </c>
      <c r="B509" s="223" t="s">
        <v>1777</v>
      </c>
      <c r="C509" s="221" t="s">
        <v>1778</v>
      </c>
    </row>
    <row r="510" spans="1:3" x14ac:dyDescent="0.25">
      <c r="A510" s="222">
        <v>13074</v>
      </c>
      <c r="B510" s="223" t="s">
        <v>1779</v>
      </c>
      <c r="C510" s="221" t="s">
        <v>1780</v>
      </c>
    </row>
    <row r="511" spans="1:3" x14ac:dyDescent="0.25">
      <c r="A511" s="222">
        <v>13075</v>
      </c>
      <c r="B511" s="223" t="s">
        <v>1781</v>
      </c>
      <c r="C511" s="221" t="s">
        <v>1782</v>
      </c>
    </row>
    <row r="512" spans="1:3" x14ac:dyDescent="0.25">
      <c r="A512" s="222">
        <v>13076</v>
      </c>
      <c r="B512" s="223" t="s">
        <v>1783</v>
      </c>
      <c r="C512" s="221" t="s">
        <v>1784</v>
      </c>
    </row>
    <row r="513" spans="1:3" x14ac:dyDescent="0.25">
      <c r="A513" s="222">
        <v>13077</v>
      </c>
      <c r="B513" s="223" t="s">
        <v>1785</v>
      </c>
      <c r="C513" s="221" t="s">
        <v>1786</v>
      </c>
    </row>
    <row r="514" spans="1:3" x14ac:dyDescent="0.25">
      <c r="A514" s="222">
        <v>13078</v>
      </c>
      <c r="B514" s="223" t="s">
        <v>1787</v>
      </c>
      <c r="C514" s="221" t="s">
        <v>1788</v>
      </c>
    </row>
    <row r="515" spans="1:3" x14ac:dyDescent="0.25">
      <c r="A515" s="222">
        <v>13079</v>
      </c>
      <c r="B515" s="223" t="s">
        <v>1789</v>
      </c>
      <c r="C515" s="221" t="s">
        <v>1790</v>
      </c>
    </row>
    <row r="516" spans="1:3" x14ac:dyDescent="0.25">
      <c r="A516" s="222">
        <v>13080</v>
      </c>
      <c r="B516" s="223" t="s">
        <v>1791</v>
      </c>
      <c r="C516" s="221" t="s">
        <v>1792</v>
      </c>
    </row>
    <row r="517" spans="1:3" x14ac:dyDescent="0.25">
      <c r="A517" s="222">
        <v>13081</v>
      </c>
      <c r="B517" s="223" t="s">
        <v>1793</v>
      </c>
      <c r="C517" s="221" t="s">
        <v>1794</v>
      </c>
    </row>
    <row r="518" spans="1:3" x14ac:dyDescent="0.25">
      <c r="A518" s="222">
        <v>13082</v>
      </c>
      <c r="B518" s="223" t="s">
        <v>1795</v>
      </c>
      <c r="C518" s="221" t="s">
        <v>1796</v>
      </c>
    </row>
    <row r="519" spans="1:3" x14ac:dyDescent="0.25">
      <c r="A519" s="222">
        <v>13083</v>
      </c>
      <c r="B519" s="223" t="s">
        <v>1797</v>
      </c>
      <c r="C519" s="221" t="s">
        <v>1798</v>
      </c>
    </row>
    <row r="520" spans="1:3" x14ac:dyDescent="0.25">
      <c r="A520" s="222">
        <v>13084</v>
      </c>
      <c r="B520" s="223" t="s">
        <v>1799</v>
      </c>
      <c r="C520" s="221" t="s">
        <v>1800</v>
      </c>
    </row>
    <row r="521" spans="1:3" x14ac:dyDescent="0.25">
      <c r="A521" s="222">
        <v>13085</v>
      </c>
      <c r="B521" s="223" t="s">
        <v>1801</v>
      </c>
      <c r="C521" s="221" t="s">
        <v>1802</v>
      </c>
    </row>
    <row r="522" spans="1:3" x14ac:dyDescent="0.25">
      <c r="A522" s="222">
        <v>13086</v>
      </c>
      <c r="B522" s="223" t="s">
        <v>1803</v>
      </c>
      <c r="C522" s="221" t="s">
        <v>1804</v>
      </c>
    </row>
    <row r="523" spans="1:3" x14ac:dyDescent="0.25">
      <c r="A523" s="222">
        <v>13087</v>
      </c>
      <c r="B523" s="223" t="s">
        <v>1805</v>
      </c>
      <c r="C523" s="221" t="s">
        <v>1806</v>
      </c>
    </row>
    <row r="524" spans="1:3" x14ac:dyDescent="0.25">
      <c r="A524" s="222">
        <v>13088</v>
      </c>
      <c r="B524" s="223" t="s">
        <v>1807</v>
      </c>
      <c r="C524" s="221" t="s">
        <v>1808</v>
      </c>
    </row>
    <row r="525" spans="1:3" x14ac:dyDescent="0.25">
      <c r="A525" s="222">
        <v>13089</v>
      </c>
      <c r="B525" s="223" t="s">
        <v>1809</v>
      </c>
      <c r="C525" s="221" t="s">
        <v>1810</v>
      </c>
    </row>
    <row r="526" spans="1:3" x14ac:dyDescent="0.25">
      <c r="A526" s="222">
        <v>13090</v>
      </c>
      <c r="B526" s="223" t="s">
        <v>1811</v>
      </c>
      <c r="C526" s="221" t="s">
        <v>134</v>
      </c>
    </row>
    <row r="527" spans="1:3" x14ac:dyDescent="0.25">
      <c r="A527" s="222">
        <v>13091</v>
      </c>
      <c r="B527" s="223" t="s">
        <v>1812</v>
      </c>
      <c r="C527" s="221" t="s">
        <v>1813</v>
      </c>
    </row>
    <row r="528" spans="1:3" x14ac:dyDescent="0.25">
      <c r="A528" s="222">
        <v>13092</v>
      </c>
      <c r="B528" s="223" t="s">
        <v>1814</v>
      </c>
      <c r="C528" s="221" t="s">
        <v>1815</v>
      </c>
    </row>
    <row r="529" spans="1:3" x14ac:dyDescent="0.25">
      <c r="A529" s="222">
        <v>13093</v>
      </c>
      <c r="B529" s="223" t="s">
        <v>1816</v>
      </c>
      <c r="C529" s="221" t="s">
        <v>1817</v>
      </c>
    </row>
    <row r="530" spans="1:3" x14ac:dyDescent="0.25">
      <c r="A530" s="222">
        <v>13094</v>
      </c>
      <c r="B530" s="223" t="s">
        <v>1818</v>
      </c>
      <c r="C530" s="221" t="s">
        <v>1819</v>
      </c>
    </row>
    <row r="531" spans="1:3" x14ac:dyDescent="0.25">
      <c r="A531" s="222">
        <v>13095</v>
      </c>
      <c r="B531" s="223" t="s">
        <v>1820</v>
      </c>
      <c r="C531" s="221" t="s">
        <v>1821</v>
      </c>
    </row>
    <row r="532" spans="1:3" x14ac:dyDescent="0.25">
      <c r="A532" s="222">
        <v>13096</v>
      </c>
      <c r="B532" s="223" t="s">
        <v>1822</v>
      </c>
      <c r="C532" s="221" t="s">
        <v>1823</v>
      </c>
    </row>
    <row r="533" spans="1:3" x14ac:dyDescent="0.25">
      <c r="A533" s="222">
        <v>13097</v>
      </c>
      <c r="B533" s="223" t="s">
        <v>1824</v>
      </c>
      <c r="C533" s="221" t="s">
        <v>1825</v>
      </c>
    </row>
    <row r="534" spans="1:3" x14ac:dyDescent="0.25">
      <c r="A534" s="222">
        <v>13098</v>
      </c>
      <c r="B534" s="223" t="s">
        <v>1826</v>
      </c>
      <c r="C534" s="221" t="s">
        <v>1827</v>
      </c>
    </row>
    <row r="535" spans="1:3" x14ac:dyDescent="0.25">
      <c r="A535" s="222">
        <v>13099</v>
      </c>
      <c r="B535" s="223" t="s">
        <v>1828</v>
      </c>
      <c r="C535" s="221" t="s">
        <v>1829</v>
      </c>
    </row>
    <row r="536" spans="1:3" x14ac:dyDescent="0.25">
      <c r="A536" s="222">
        <v>13100</v>
      </c>
      <c r="B536" s="223" t="s">
        <v>1830</v>
      </c>
      <c r="C536" s="221" t="s">
        <v>1831</v>
      </c>
    </row>
    <row r="537" spans="1:3" x14ac:dyDescent="0.25">
      <c r="A537" s="222">
        <v>13101</v>
      </c>
      <c r="B537" s="223" t="s">
        <v>1832</v>
      </c>
      <c r="C537" s="221" t="s">
        <v>1833</v>
      </c>
    </row>
    <row r="538" spans="1:3" x14ac:dyDescent="0.25">
      <c r="A538" s="222">
        <v>13101</v>
      </c>
      <c r="B538" s="223" t="s">
        <v>1832</v>
      </c>
      <c r="C538" s="221" t="s">
        <v>134</v>
      </c>
    </row>
    <row r="539" spans="1:3" x14ac:dyDescent="0.25">
      <c r="A539" s="222">
        <v>200001</v>
      </c>
      <c r="B539" s="223" t="s">
        <v>1835</v>
      </c>
      <c r="C539" s="221" t="s">
        <v>1836</v>
      </c>
    </row>
    <row r="540" spans="1:3" x14ac:dyDescent="0.25">
      <c r="A540" s="222">
        <v>200001</v>
      </c>
      <c r="B540" s="223" t="s">
        <v>1835</v>
      </c>
      <c r="C540" s="221" t="s">
        <v>1834</v>
      </c>
    </row>
    <row r="541" spans="1:3" x14ac:dyDescent="0.25">
      <c r="A541" s="222">
        <v>200002</v>
      </c>
      <c r="B541" s="223" t="s">
        <v>1838</v>
      </c>
      <c r="C541" s="221" t="s">
        <v>1839</v>
      </c>
    </row>
    <row r="542" spans="1:3" x14ac:dyDescent="0.25">
      <c r="A542" s="222">
        <v>200002</v>
      </c>
      <c r="B542" s="223" t="s">
        <v>1838</v>
      </c>
      <c r="C542" s="221" t="s">
        <v>1837</v>
      </c>
    </row>
    <row r="543" spans="1:3" x14ac:dyDescent="0.25">
      <c r="A543" s="222">
        <v>200003</v>
      </c>
      <c r="B543" s="223" t="s">
        <v>1841</v>
      </c>
      <c r="C543" s="221" t="s">
        <v>1842</v>
      </c>
    </row>
    <row r="544" spans="1:3" x14ac:dyDescent="0.25">
      <c r="A544" s="222">
        <v>200003</v>
      </c>
      <c r="B544" s="223" t="s">
        <v>1841</v>
      </c>
      <c r="C544" s="221" t="s">
        <v>1840</v>
      </c>
    </row>
    <row r="545" spans="1:3" x14ac:dyDescent="0.25">
      <c r="A545" s="222">
        <v>200004</v>
      </c>
      <c r="B545" s="223" t="s">
        <v>1844</v>
      </c>
      <c r="C545" s="221" t="s">
        <v>1845</v>
      </c>
    </row>
    <row r="546" spans="1:3" x14ac:dyDescent="0.25">
      <c r="A546" s="222">
        <v>200004</v>
      </c>
      <c r="B546" s="223" t="s">
        <v>1844</v>
      </c>
      <c r="C546" s="221" t="s">
        <v>1843</v>
      </c>
    </row>
    <row r="547" spans="1:3" x14ac:dyDescent="0.25">
      <c r="A547" s="222">
        <v>200005</v>
      </c>
      <c r="B547" s="223" t="s">
        <v>1847</v>
      </c>
      <c r="C547" s="221" t="s">
        <v>1848</v>
      </c>
    </row>
    <row r="548" spans="1:3" x14ac:dyDescent="0.25">
      <c r="A548" s="222">
        <v>200005</v>
      </c>
      <c r="B548" s="223" t="s">
        <v>1847</v>
      </c>
      <c r="C548" s="221" t="s">
        <v>1846</v>
      </c>
    </row>
    <row r="549" spans="1:3" x14ac:dyDescent="0.25">
      <c r="A549" s="222">
        <v>200006</v>
      </c>
      <c r="B549" s="223" t="s">
        <v>1850</v>
      </c>
      <c r="C549" s="221" t="s">
        <v>1851</v>
      </c>
    </row>
    <row r="550" spans="1:3" x14ac:dyDescent="0.25">
      <c r="A550" s="222">
        <v>200006</v>
      </c>
      <c r="B550" s="223" t="s">
        <v>1850</v>
      </c>
      <c r="C550" s="221" t="s">
        <v>1849</v>
      </c>
    </row>
    <row r="551" spans="1:3" x14ac:dyDescent="0.25">
      <c r="A551" s="222">
        <v>200007</v>
      </c>
      <c r="B551" s="223" t="s">
        <v>1853</v>
      </c>
      <c r="C551" s="221" t="s">
        <v>1854</v>
      </c>
    </row>
    <row r="552" spans="1:3" x14ac:dyDescent="0.25">
      <c r="A552" s="222">
        <v>200007</v>
      </c>
      <c r="B552" s="223" t="s">
        <v>1853</v>
      </c>
      <c r="C552" s="221" t="s">
        <v>1852</v>
      </c>
    </row>
    <row r="553" spans="1:3" x14ac:dyDescent="0.25">
      <c r="A553" s="222">
        <v>200008</v>
      </c>
      <c r="B553" s="223" t="s">
        <v>1856</v>
      </c>
      <c r="C553" s="221" t="s">
        <v>1857</v>
      </c>
    </row>
    <row r="554" spans="1:3" x14ac:dyDescent="0.25">
      <c r="A554" s="222">
        <v>200008</v>
      </c>
      <c r="B554" s="223" t="s">
        <v>1856</v>
      </c>
      <c r="C554" s="221" t="s">
        <v>1855</v>
      </c>
    </row>
    <row r="555" spans="1:3" x14ac:dyDescent="0.25">
      <c r="A555" s="222">
        <v>200009</v>
      </c>
      <c r="B555" s="223" t="s">
        <v>1859</v>
      </c>
      <c r="C555" s="221" t="s">
        <v>1860</v>
      </c>
    </row>
    <row r="556" spans="1:3" x14ac:dyDescent="0.25">
      <c r="A556" s="222">
        <v>200009</v>
      </c>
      <c r="B556" s="223" t="s">
        <v>1859</v>
      </c>
      <c r="C556" s="221" t="s">
        <v>1858</v>
      </c>
    </row>
    <row r="557" spans="1:3" x14ac:dyDescent="0.25">
      <c r="A557" s="222">
        <v>200010</v>
      </c>
      <c r="B557" s="223" t="s">
        <v>1862</v>
      </c>
      <c r="C557" s="221" t="s">
        <v>1863</v>
      </c>
    </row>
    <row r="558" spans="1:3" x14ac:dyDescent="0.25">
      <c r="A558" s="222">
        <v>200010</v>
      </c>
      <c r="B558" s="223" t="s">
        <v>1862</v>
      </c>
      <c r="C558" s="221" t="s">
        <v>1861</v>
      </c>
    </row>
    <row r="559" spans="1:3" x14ac:dyDescent="0.25">
      <c r="A559" s="222">
        <v>200011</v>
      </c>
      <c r="B559" s="223" t="s">
        <v>1865</v>
      </c>
      <c r="C559" s="221" t="s">
        <v>1866</v>
      </c>
    </row>
    <row r="560" spans="1:3" x14ac:dyDescent="0.25">
      <c r="A560" s="222">
        <v>200011</v>
      </c>
      <c r="B560" s="223" t="s">
        <v>1865</v>
      </c>
      <c r="C560" s="221" t="s">
        <v>1864</v>
      </c>
    </row>
    <row r="561" spans="1:3" x14ac:dyDescent="0.25">
      <c r="A561" s="222">
        <v>200012</v>
      </c>
      <c r="B561" s="223" t="s">
        <v>1868</v>
      </c>
      <c r="C561" s="221" t="s">
        <v>1869</v>
      </c>
    </row>
    <row r="562" spans="1:3" x14ac:dyDescent="0.25">
      <c r="A562" s="222">
        <v>200012</v>
      </c>
      <c r="B562" s="223" t="s">
        <v>1868</v>
      </c>
      <c r="C562" s="221" t="s">
        <v>1867</v>
      </c>
    </row>
    <row r="563" spans="1:3" x14ac:dyDescent="0.25">
      <c r="A563" s="222">
        <v>200013</v>
      </c>
      <c r="B563" s="223" t="s">
        <v>1871</v>
      </c>
      <c r="C563" s="221" t="s">
        <v>1872</v>
      </c>
    </row>
    <row r="564" spans="1:3" x14ac:dyDescent="0.25">
      <c r="A564" s="222">
        <v>200013</v>
      </c>
      <c r="B564" s="223" t="s">
        <v>1871</v>
      </c>
      <c r="C564" s="221" t="s">
        <v>1870</v>
      </c>
    </row>
    <row r="565" spans="1:3" x14ac:dyDescent="0.25">
      <c r="A565" s="222">
        <v>200014</v>
      </c>
      <c r="B565" s="223" t="s">
        <v>1874</v>
      </c>
      <c r="C565" s="221" t="s">
        <v>1875</v>
      </c>
    </row>
    <row r="566" spans="1:3" x14ac:dyDescent="0.25">
      <c r="A566" s="222">
        <v>200014</v>
      </c>
      <c r="B566" s="223" t="s">
        <v>1874</v>
      </c>
      <c r="C566" s="221" t="s">
        <v>1873</v>
      </c>
    </row>
    <row r="567" spans="1:3" x14ac:dyDescent="0.25">
      <c r="A567" s="222">
        <v>200015</v>
      </c>
      <c r="B567" s="223" t="s">
        <v>1877</v>
      </c>
      <c r="C567" s="221" t="s">
        <v>1878</v>
      </c>
    </row>
    <row r="568" spans="1:3" x14ac:dyDescent="0.25">
      <c r="A568" s="222">
        <v>200015</v>
      </c>
      <c r="B568" s="223" t="s">
        <v>1877</v>
      </c>
      <c r="C568" s="221" t="s">
        <v>1876</v>
      </c>
    </row>
    <row r="569" spans="1:3" x14ac:dyDescent="0.25">
      <c r="A569" s="222">
        <v>200016</v>
      </c>
      <c r="B569" s="223" t="s">
        <v>1880</v>
      </c>
      <c r="C569" s="221" t="s">
        <v>1881</v>
      </c>
    </row>
    <row r="570" spans="1:3" x14ac:dyDescent="0.25">
      <c r="A570" s="222">
        <v>200016</v>
      </c>
      <c r="B570" s="223" t="s">
        <v>1880</v>
      </c>
      <c r="C570" s="221" t="s">
        <v>1879</v>
      </c>
    </row>
    <row r="571" spans="1:3" x14ac:dyDescent="0.25">
      <c r="A571" s="222">
        <v>200017</v>
      </c>
      <c r="B571" s="223" t="s">
        <v>1883</v>
      </c>
      <c r="C571" s="221" t="s">
        <v>1884</v>
      </c>
    </row>
    <row r="572" spans="1:3" x14ac:dyDescent="0.25">
      <c r="A572" s="222">
        <v>200017</v>
      </c>
      <c r="B572" s="223" t="s">
        <v>1883</v>
      </c>
      <c r="C572" s="221" t="s">
        <v>1882</v>
      </c>
    </row>
    <row r="573" spans="1:3" x14ac:dyDescent="0.25">
      <c r="A573" s="222">
        <v>200018</v>
      </c>
      <c r="B573" s="223" t="s">
        <v>1886</v>
      </c>
      <c r="C573" s="221" t="s">
        <v>1887</v>
      </c>
    </row>
    <row r="574" spans="1:3" x14ac:dyDescent="0.25">
      <c r="A574" s="222">
        <v>200018</v>
      </c>
      <c r="B574" s="223" t="s">
        <v>1886</v>
      </c>
      <c r="C574" s="221" t="s">
        <v>1885</v>
      </c>
    </row>
    <row r="575" spans="1:3" x14ac:dyDescent="0.25">
      <c r="A575" s="222">
        <v>200019</v>
      </c>
      <c r="B575" s="223" t="s">
        <v>1889</v>
      </c>
      <c r="C575" s="221" t="s">
        <v>1890</v>
      </c>
    </row>
    <row r="576" spans="1:3" x14ac:dyDescent="0.25">
      <c r="A576" s="222">
        <v>200019</v>
      </c>
      <c r="B576" s="223" t="s">
        <v>1889</v>
      </c>
      <c r="C576" s="221" t="s">
        <v>1888</v>
      </c>
    </row>
    <row r="577" spans="1:3" x14ac:dyDescent="0.25">
      <c r="A577" s="222">
        <v>200020</v>
      </c>
      <c r="B577" s="223" t="s">
        <v>1892</v>
      </c>
      <c r="C577" s="221" t="s">
        <v>1893</v>
      </c>
    </row>
    <row r="578" spans="1:3" x14ac:dyDescent="0.25">
      <c r="A578" s="222">
        <v>200020</v>
      </c>
      <c r="B578" s="223" t="s">
        <v>1892</v>
      </c>
      <c r="C578" s="221" t="s">
        <v>1891</v>
      </c>
    </row>
    <row r="579" spans="1:3" x14ac:dyDescent="0.25">
      <c r="A579" s="222">
        <v>200021</v>
      </c>
      <c r="B579" s="223" t="s">
        <v>1895</v>
      </c>
      <c r="C579" s="221" t="s">
        <v>1896</v>
      </c>
    </row>
    <row r="580" spans="1:3" x14ac:dyDescent="0.25">
      <c r="A580" s="222">
        <v>200021</v>
      </c>
      <c r="B580" s="223" t="s">
        <v>1895</v>
      </c>
      <c r="C580" s="221" t="s">
        <v>1894</v>
      </c>
    </row>
    <row r="581" spans="1:3" x14ac:dyDescent="0.25">
      <c r="A581" s="222">
        <v>200022</v>
      </c>
      <c r="B581" s="223" t="s">
        <v>1898</v>
      </c>
      <c r="C581" s="221" t="s">
        <v>1899</v>
      </c>
    </row>
    <row r="582" spans="1:3" x14ac:dyDescent="0.25">
      <c r="A582" s="222">
        <v>200022</v>
      </c>
      <c r="B582" s="223" t="s">
        <v>1898</v>
      </c>
      <c r="C582" s="221" t="s">
        <v>1897</v>
      </c>
    </row>
    <row r="583" spans="1:3" x14ac:dyDescent="0.25">
      <c r="A583" s="222">
        <v>200023</v>
      </c>
      <c r="B583" s="223" t="s">
        <v>1901</v>
      </c>
      <c r="C583" s="221" t="s">
        <v>1902</v>
      </c>
    </row>
    <row r="584" spans="1:3" x14ac:dyDescent="0.25">
      <c r="A584" s="222">
        <v>200023</v>
      </c>
      <c r="B584" s="223" t="s">
        <v>1901</v>
      </c>
      <c r="C584" s="221" t="s">
        <v>1900</v>
      </c>
    </row>
    <row r="585" spans="1:3" x14ac:dyDescent="0.25">
      <c r="A585" s="222">
        <v>200024</v>
      </c>
      <c r="B585" s="223" t="s">
        <v>1904</v>
      </c>
      <c r="C585" s="221" t="s">
        <v>1905</v>
      </c>
    </row>
    <row r="586" spans="1:3" x14ac:dyDescent="0.25">
      <c r="A586" s="222">
        <v>200024</v>
      </c>
      <c r="B586" s="223" t="s">
        <v>1904</v>
      </c>
      <c r="C586" s="221" t="s">
        <v>1906</v>
      </c>
    </row>
    <row r="587" spans="1:3" x14ac:dyDescent="0.25">
      <c r="A587" s="222">
        <v>200024</v>
      </c>
      <c r="B587" s="223" t="s">
        <v>1904</v>
      </c>
      <c r="C587" s="221" t="s">
        <v>1903</v>
      </c>
    </row>
    <row r="588" spans="1:3" x14ac:dyDescent="0.25">
      <c r="A588" s="222">
        <v>200025</v>
      </c>
      <c r="B588" s="223" t="s">
        <v>1908</v>
      </c>
      <c r="C588" s="221" t="s">
        <v>1909</v>
      </c>
    </row>
    <row r="589" spans="1:3" x14ac:dyDescent="0.25">
      <c r="A589" s="222">
        <v>200025</v>
      </c>
      <c r="B589" s="223" t="s">
        <v>1908</v>
      </c>
      <c r="C589" s="221" t="s">
        <v>1907</v>
      </c>
    </row>
    <row r="590" spans="1:3" x14ac:dyDescent="0.25">
      <c r="A590" s="222">
        <v>200026</v>
      </c>
      <c r="B590" s="223" t="s">
        <v>1911</v>
      </c>
      <c r="C590" s="221" t="s">
        <v>1912</v>
      </c>
    </row>
    <row r="591" spans="1:3" x14ac:dyDescent="0.25">
      <c r="A591" s="222">
        <v>200026</v>
      </c>
      <c r="B591" s="223" t="s">
        <v>1911</v>
      </c>
      <c r="C591" s="221" t="s">
        <v>1910</v>
      </c>
    </row>
    <row r="592" spans="1:3" x14ac:dyDescent="0.25">
      <c r="A592" s="222">
        <v>200027</v>
      </c>
      <c r="B592" s="223" t="s">
        <v>1914</v>
      </c>
      <c r="C592" s="221" t="s">
        <v>1915</v>
      </c>
    </row>
    <row r="593" spans="1:3" x14ac:dyDescent="0.25">
      <c r="A593" s="222">
        <v>200027</v>
      </c>
      <c r="B593" s="223" t="s">
        <v>1914</v>
      </c>
      <c r="C593" s="221" t="s">
        <v>1913</v>
      </c>
    </row>
    <row r="594" spans="1:3" x14ac:dyDescent="0.25">
      <c r="A594" s="222">
        <v>200028</v>
      </c>
      <c r="B594" s="223" t="s">
        <v>1917</v>
      </c>
      <c r="C594" s="221" t="s">
        <v>1918</v>
      </c>
    </row>
    <row r="595" spans="1:3" x14ac:dyDescent="0.25">
      <c r="A595" s="222">
        <v>200028</v>
      </c>
      <c r="B595" s="223" t="s">
        <v>1917</v>
      </c>
      <c r="C595" s="221" t="s">
        <v>1916</v>
      </c>
    </row>
    <row r="596" spans="1:3" x14ac:dyDescent="0.25">
      <c r="A596" s="222">
        <v>200029</v>
      </c>
      <c r="B596" s="223" t="s">
        <v>1920</v>
      </c>
      <c r="C596" s="221" t="s">
        <v>1921</v>
      </c>
    </row>
    <row r="597" spans="1:3" x14ac:dyDescent="0.25">
      <c r="A597" s="222">
        <v>200029</v>
      </c>
      <c r="B597" s="223" t="s">
        <v>1920</v>
      </c>
      <c r="C597" s="221" t="s">
        <v>1919</v>
      </c>
    </row>
    <row r="598" spans="1:3" x14ac:dyDescent="0.25">
      <c r="A598" s="222">
        <v>200030</v>
      </c>
      <c r="B598" s="223" t="s">
        <v>1923</v>
      </c>
      <c r="C598" s="221" t="s">
        <v>1924</v>
      </c>
    </row>
    <row r="599" spans="1:3" x14ac:dyDescent="0.25">
      <c r="A599" s="222">
        <v>200030</v>
      </c>
      <c r="B599" s="223" t="s">
        <v>1923</v>
      </c>
      <c r="C599" s="221" t="s">
        <v>1922</v>
      </c>
    </row>
    <row r="600" spans="1:3" x14ac:dyDescent="0.25">
      <c r="A600" s="222">
        <v>200031</v>
      </c>
      <c r="B600" s="223" t="s">
        <v>1926</v>
      </c>
      <c r="C600" s="221" t="s">
        <v>1927</v>
      </c>
    </row>
    <row r="601" spans="1:3" x14ac:dyDescent="0.25">
      <c r="A601" s="222">
        <v>200031</v>
      </c>
      <c r="B601" s="223" t="s">
        <v>1926</v>
      </c>
      <c r="C601" s="221" t="s">
        <v>1925</v>
      </c>
    </row>
    <row r="602" spans="1:3" x14ac:dyDescent="0.25">
      <c r="A602" s="222">
        <v>200032</v>
      </c>
      <c r="B602" s="223" t="s">
        <v>1929</v>
      </c>
      <c r="C602" s="221" t="s">
        <v>1930</v>
      </c>
    </row>
    <row r="603" spans="1:3" x14ac:dyDescent="0.25">
      <c r="A603" s="222">
        <v>200032</v>
      </c>
      <c r="B603" s="223" t="s">
        <v>1929</v>
      </c>
      <c r="C603" s="221" t="s">
        <v>1928</v>
      </c>
    </row>
    <row r="604" spans="1:3" x14ac:dyDescent="0.25">
      <c r="A604" s="222">
        <v>200033</v>
      </c>
      <c r="B604" s="223" t="s">
        <v>1932</v>
      </c>
      <c r="C604" s="221" t="s">
        <v>1933</v>
      </c>
    </row>
    <row r="605" spans="1:3" x14ac:dyDescent="0.25">
      <c r="A605" s="222">
        <v>200033</v>
      </c>
      <c r="B605" s="223" t="s">
        <v>1932</v>
      </c>
      <c r="C605" s="221" t="s">
        <v>1931</v>
      </c>
    </row>
    <row r="606" spans="1:3" x14ac:dyDescent="0.25">
      <c r="A606" s="222">
        <v>200034</v>
      </c>
      <c r="B606" s="223" t="s">
        <v>1935</v>
      </c>
      <c r="C606" s="221" t="s">
        <v>1936</v>
      </c>
    </row>
    <row r="607" spans="1:3" x14ac:dyDescent="0.25">
      <c r="A607" s="222">
        <v>200034</v>
      </c>
      <c r="B607" s="223" t="s">
        <v>1935</v>
      </c>
      <c r="C607" s="221" t="s">
        <v>1937</v>
      </c>
    </row>
    <row r="608" spans="1:3" x14ac:dyDescent="0.25">
      <c r="A608" s="222">
        <v>200034</v>
      </c>
      <c r="B608" s="223" t="s">
        <v>1935</v>
      </c>
      <c r="C608" s="221" t="s">
        <v>1934</v>
      </c>
    </row>
    <row r="609" spans="1:3" x14ac:dyDescent="0.25">
      <c r="A609" s="222">
        <v>200035</v>
      </c>
      <c r="B609" s="223" t="s">
        <v>1939</v>
      </c>
      <c r="C609" s="221" t="s">
        <v>1940</v>
      </c>
    </row>
    <row r="610" spans="1:3" x14ac:dyDescent="0.25">
      <c r="A610" s="222">
        <v>200035</v>
      </c>
      <c r="B610" s="223" t="s">
        <v>1939</v>
      </c>
      <c r="C610" s="221" t="s">
        <v>1938</v>
      </c>
    </row>
    <row r="611" spans="1:3" x14ac:dyDescent="0.25">
      <c r="A611" s="222">
        <v>200036</v>
      </c>
      <c r="B611" s="223" t="s">
        <v>1942</v>
      </c>
      <c r="C611" s="221" t="s">
        <v>1943</v>
      </c>
    </row>
    <row r="612" spans="1:3" x14ac:dyDescent="0.25">
      <c r="A612" s="222">
        <v>200036</v>
      </c>
      <c r="B612" s="223" t="s">
        <v>1942</v>
      </c>
      <c r="C612" s="221" t="s">
        <v>1944</v>
      </c>
    </row>
    <row r="613" spans="1:3" x14ac:dyDescent="0.25">
      <c r="A613" s="222">
        <v>200036</v>
      </c>
      <c r="B613" s="223" t="s">
        <v>1942</v>
      </c>
      <c r="C613" s="221" t="s">
        <v>1941</v>
      </c>
    </row>
    <row r="614" spans="1:3" x14ac:dyDescent="0.25">
      <c r="A614" s="222">
        <v>200037</v>
      </c>
      <c r="B614" s="223" t="s">
        <v>1946</v>
      </c>
      <c r="C614" s="221" t="s">
        <v>1947</v>
      </c>
    </row>
    <row r="615" spans="1:3" x14ac:dyDescent="0.25">
      <c r="A615" s="222">
        <v>200037</v>
      </c>
      <c r="B615" s="223" t="s">
        <v>1946</v>
      </c>
      <c r="C615" s="221" t="s">
        <v>1945</v>
      </c>
    </row>
    <row r="616" spans="1:3" x14ac:dyDescent="0.25">
      <c r="A616" s="222">
        <v>200038</v>
      </c>
      <c r="B616" s="223" t="s">
        <v>1949</v>
      </c>
      <c r="C616" s="221" t="s">
        <v>1950</v>
      </c>
    </row>
    <row r="617" spans="1:3" x14ac:dyDescent="0.25">
      <c r="A617" s="222">
        <v>200038</v>
      </c>
      <c r="B617" s="223" t="s">
        <v>1949</v>
      </c>
      <c r="C617" s="221" t="s">
        <v>1948</v>
      </c>
    </row>
    <row r="618" spans="1:3" x14ac:dyDescent="0.25">
      <c r="A618" s="222">
        <v>200039</v>
      </c>
      <c r="B618" s="223" t="s">
        <v>1952</v>
      </c>
      <c r="C618" s="221" t="s">
        <v>1953</v>
      </c>
    </row>
    <row r="619" spans="1:3" x14ac:dyDescent="0.25">
      <c r="A619" s="222">
        <v>200039</v>
      </c>
      <c r="B619" s="223" t="s">
        <v>1952</v>
      </c>
      <c r="C619" s="221" t="s">
        <v>1951</v>
      </c>
    </row>
    <row r="620" spans="1:3" x14ac:dyDescent="0.25">
      <c r="A620" s="222">
        <v>200040</v>
      </c>
      <c r="B620" s="223" t="s">
        <v>1955</v>
      </c>
      <c r="C620" s="221" t="s">
        <v>1956</v>
      </c>
    </row>
    <row r="621" spans="1:3" x14ac:dyDescent="0.25">
      <c r="A621" s="222">
        <v>200040</v>
      </c>
      <c r="B621" s="223" t="s">
        <v>1955</v>
      </c>
      <c r="C621" s="221" t="s">
        <v>1954</v>
      </c>
    </row>
    <row r="622" spans="1:3" x14ac:dyDescent="0.25">
      <c r="A622" s="222">
        <v>200041</v>
      </c>
      <c r="B622" s="223" t="s">
        <v>1958</v>
      </c>
      <c r="C622" s="221" t="s">
        <v>1959</v>
      </c>
    </row>
    <row r="623" spans="1:3" x14ac:dyDescent="0.25">
      <c r="A623" s="222">
        <v>200041</v>
      </c>
      <c r="B623" s="223" t="s">
        <v>1958</v>
      </c>
      <c r="C623" s="221" t="s">
        <v>1957</v>
      </c>
    </row>
    <row r="624" spans="1:3" x14ac:dyDescent="0.25">
      <c r="A624" s="222">
        <v>200042</v>
      </c>
      <c r="B624" s="223" t="s">
        <v>1961</v>
      </c>
      <c r="C624" s="221" t="s">
        <v>1962</v>
      </c>
    </row>
    <row r="625" spans="1:3" x14ac:dyDescent="0.25">
      <c r="A625" s="222">
        <v>200042</v>
      </c>
      <c r="B625" s="223" t="s">
        <v>1961</v>
      </c>
      <c r="C625" s="221" t="s">
        <v>1960</v>
      </c>
    </row>
    <row r="626" spans="1:3" x14ac:dyDescent="0.25">
      <c r="A626" s="222">
        <v>200043</v>
      </c>
      <c r="B626" s="223" t="s">
        <v>1964</v>
      </c>
      <c r="C626" s="221" t="s">
        <v>1965</v>
      </c>
    </row>
    <row r="627" spans="1:3" x14ac:dyDescent="0.25">
      <c r="A627" s="222">
        <v>200043</v>
      </c>
      <c r="B627" s="223" t="s">
        <v>1964</v>
      </c>
      <c r="C627" s="221" t="s">
        <v>1963</v>
      </c>
    </row>
    <row r="628" spans="1:3" x14ac:dyDescent="0.25">
      <c r="A628" s="222">
        <v>200044</v>
      </c>
      <c r="B628" s="223" t="s">
        <v>1967</v>
      </c>
      <c r="C628" s="221" t="s">
        <v>1968</v>
      </c>
    </row>
    <row r="629" spans="1:3" x14ac:dyDescent="0.25">
      <c r="A629" s="222">
        <v>200044</v>
      </c>
      <c r="B629" s="223" t="s">
        <v>1967</v>
      </c>
      <c r="C629" s="221" t="s">
        <v>1966</v>
      </c>
    </row>
    <row r="630" spans="1:3" x14ac:dyDescent="0.25">
      <c r="A630" s="222">
        <v>200045</v>
      </c>
      <c r="B630" s="223" t="s">
        <v>1970</v>
      </c>
      <c r="C630" s="221" t="s">
        <v>1971</v>
      </c>
    </row>
    <row r="631" spans="1:3" x14ac:dyDescent="0.25">
      <c r="A631" s="222">
        <v>200045</v>
      </c>
      <c r="B631" s="223" t="s">
        <v>1970</v>
      </c>
      <c r="C631" s="221" t="s">
        <v>1969</v>
      </c>
    </row>
    <row r="632" spans="1:3" x14ac:dyDescent="0.25">
      <c r="A632" s="222">
        <v>200046</v>
      </c>
      <c r="B632" s="223" t="s">
        <v>1973</v>
      </c>
      <c r="C632" s="221" t="s">
        <v>1974</v>
      </c>
    </row>
    <row r="633" spans="1:3" x14ac:dyDescent="0.25">
      <c r="A633" s="222">
        <v>200046</v>
      </c>
      <c r="B633" s="223" t="s">
        <v>1973</v>
      </c>
      <c r="C633" s="221" t="s">
        <v>1972</v>
      </c>
    </row>
    <row r="634" spans="1:3" x14ac:dyDescent="0.25">
      <c r="A634" s="222">
        <v>200047</v>
      </c>
      <c r="B634" s="223" t="s">
        <v>1976</v>
      </c>
      <c r="C634" s="221" t="s">
        <v>1977</v>
      </c>
    </row>
    <row r="635" spans="1:3" x14ac:dyDescent="0.25">
      <c r="A635" s="222">
        <v>200047</v>
      </c>
      <c r="B635" s="223" t="s">
        <v>1976</v>
      </c>
      <c r="C635" s="221" t="s">
        <v>1975</v>
      </c>
    </row>
    <row r="636" spans="1:3" x14ac:dyDescent="0.25">
      <c r="A636" s="222">
        <v>200048</v>
      </c>
      <c r="B636" s="223" t="s">
        <v>1979</v>
      </c>
      <c r="C636" s="221" t="s">
        <v>1980</v>
      </c>
    </row>
    <row r="637" spans="1:3" x14ac:dyDescent="0.25">
      <c r="A637" s="222">
        <v>200048</v>
      </c>
      <c r="B637" s="223" t="s">
        <v>1979</v>
      </c>
      <c r="C637" s="221" t="s">
        <v>1978</v>
      </c>
    </row>
    <row r="638" spans="1:3" x14ac:dyDescent="0.25">
      <c r="A638" s="222">
        <v>200049</v>
      </c>
      <c r="B638" s="223" t="s">
        <v>1982</v>
      </c>
      <c r="C638" s="221" t="s">
        <v>1983</v>
      </c>
    </row>
    <row r="639" spans="1:3" x14ac:dyDescent="0.25">
      <c r="A639" s="222">
        <v>200049</v>
      </c>
      <c r="B639" s="223" t="s">
        <v>1982</v>
      </c>
      <c r="C639" s="221" t="s">
        <v>1981</v>
      </c>
    </row>
    <row r="640" spans="1:3" x14ac:dyDescent="0.25">
      <c r="A640" s="222">
        <v>200050</v>
      </c>
      <c r="B640" s="223" t="s">
        <v>1985</v>
      </c>
      <c r="C640" s="221" t="s">
        <v>1986</v>
      </c>
    </row>
    <row r="641" spans="1:3" x14ac:dyDescent="0.25">
      <c r="A641" s="222">
        <v>200050</v>
      </c>
      <c r="B641" s="223" t="s">
        <v>1985</v>
      </c>
      <c r="C641" s="221" t="s">
        <v>1984</v>
      </c>
    </row>
    <row r="642" spans="1:3" x14ac:dyDescent="0.25">
      <c r="A642" s="222">
        <v>200051</v>
      </c>
      <c r="B642" s="223" t="s">
        <v>1988</v>
      </c>
      <c r="C642" s="221" t="s">
        <v>1989</v>
      </c>
    </row>
    <row r="643" spans="1:3" x14ac:dyDescent="0.25">
      <c r="A643" s="222">
        <v>200051</v>
      </c>
      <c r="B643" s="223" t="s">
        <v>1988</v>
      </c>
      <c r="C643" s="221" t="s">
        <v>1990</v>
      </c>
    </row>
    <row r="644" spans="1:3" x14ac:dyDescent="0.25">
      <c r="A644" s="222">
        <v>200051</v>
      </c>
      <c r="B644" s="223" t="s">
        <v>1988</v>
      </c>
      <c r="C644" s="221" t="s">
        <v>1987</v>
      </c>
    </row>
    <row r="645" spans="1:3" x14ac:dyDescent="0.25">
      <c r="A645" s="222">
        <v>200052</v>
      </c>
      <c r="B645" s="223" t="s">
        <v>1992</v>
      </c>
      <c r="C645" s="221" t="s">
        <v>1993</v>
      </c>
    </row>
    <row r="646" spans="1:3" x14ac:dyDescent="0.25">
      <c r="A646" s="222">
        <v>200052</v>
      </c>
      <c r="B646" s="223" t="s">
        <v>1992</v>
      </c>
      <c r="C646" s="221" t="s">
        <v>1991</v>
      </c>
    </row>
    <row r="647" spans="1:3" x14ac:dyDescent="0.25">
      <c r="A647" s="222">
        <v>200053</v>
      </c>
      <c r="B647" s="223" t="s">
        <v>1995</v>
      </c>
      <c r="C647" s="221" t="s">
        <v>1996</v>
      </c>
    </row>
    <row r="648" spans="1:3" x14ac:dyDescent="0.25">
      <c r="A648" s="222">
        <v>200053</v>
      </c>
      <c r="B648" s="223" t="s">
        <v>1995</v>
      </c>
      <c r="C648" s="221" t="s">
        <v>1994</v>
      </c>
    </row>
    <row r="649" spans="1:3" x14ac:dyDescent="0.25">
      <c r="A649" s="222">
        <v>200054</v>
      </c>
      <c r="B649" s="223" t="s">
        <v>1998</v>
      </c>
      <c r="C649" s="221" t="s">
        <v>1999</v>
      </c>
    </row>
    <row r="650" spans="1:3" x14ac:dyDescent="0.25">
      <c r="A650" s="222">
        <v>200054</v>
      </c>
      <c r="B650" s="223" t="s">
        <v>1998</v>
      </c>
      <c r="C650" s="221" t="s">
        <v>1997</v>
      </c>
    </row>
    <row r="651" spans="1:3" x14ac:dyDescent="0.25">
      <c r="A651" s="222">
        <v>200055</v>
      </c>
      <c r="B651" s="223" t="s">
        <v>2001</v>
      </c>
      <c r="C651" s="221" t="s">
        <v>2002</v>
      </c>
    </row>
    <row r="652" spans="1:3" x14ac:dyDescent="0.25">
      <c r="A652" s="222">
        <v>200055</v>
      </c>
      <c r="B652" s="223" t="s">
        <v>2001</v>
      </c>
      <c r="C652" s="221" t="s">
        <v>2000</v>
      </c>
    </row>
    <row r="653" spans="1:3" x14ac:dyDescent="0.25">
      <c r="A653" s="222">
        <v>200056</v>
      </c>
      <c r="B653" s="223" t="s">
        <v>2004</v>
      </c>
      <c r="C653" s="221" t="s">
        <v>2005</v>
      </c>
    </row>
    <row r="654" spans="1:3" x14ac:dyDescent="0.25">
      <c r="A654" s="222">
        <v>200056</v>
      </c>
      <c r="B654" s="223" t="s">
        <v>2004</v>
      </c>
      <c r="C654" s="221" t="s">
        <v>2003</v>
      </c>
    </row>
    <row r="655" spans="1:3" x14ac:dyDescent="0.25">
      <c r="A655" s="222">
        <v>200057</v>
      </c>
      <c r="B655" s="223" t="s">
        <v>2007</v>
      </c>
      <c r="C655" s="221" t="s">
        <v>2008</v>
      </c>
    </row>
    <row r="656" spans="1:3" x14ac:dyDescent="0.25">
      <c r="A656" s="222">
        <v>200057</v>
      </c>
      <c r="B656" s="223" t="s">
        <v>2007</v>
      </c>
      <c r="C656" s="221" t="s">
        <v>2006</v>
      </c>
    </row>
    <row r="657" spans="1:3" x14ac:dyDescent="0.25">
      <c r="A657" s="222">
        <v>200058</v>
      </c>
      <c r="B657" s="223" t="s">
        <v>2010</v>
      </c>
      <c r="C657" s="221" t="s">
        <v>2011</v>
      </c>
    </row>
    <row r="658" spans="1:3" x14ac:dyDescent="0.25">
      <c r="A658" s="222">
        <v>200058</v>
      </c>
      <c r="B658" s="223" t="s">
        <v>2010</v>
      </c>
      <c r="C658" s="221" t="s">
        <v>2009</v>
      </c>
    </row>
    <row r="659" spans="1:3" x14ac:dyDescent="0.25">
      <c r="A659" s="222">
        <v>200059</v>
      </c>
      <c r="B659" s="223" t="s">
        <v>2013</v>
      </c>
      <c r="C659" s="221" t="s">
        <v>2014</v>
      </c>
    </row>
    <row r="660" spans="1:3" x14ac:dyDescent="0.25">
      <c r="A660" s="222">
        <v>200059</v>
      </c>
      <c r="B660" s="223" t="s">
        <v>2013</v>
      </c>
      <c r="C660" s="221" t="s">
        <v>2012</v>
      </c>
    </row>
    <row r="661" spans="1:3" x14ac:dyDescent="0.25">
      <c r="A661" s="222">
        <v>200060</v>
      </c>
      <c r="B661" s="223" t="s">
        <v>2016</v>
      </c>
      <c r="C661" s="221" t="s">
        <v>2017</v>
      </c>
    </row>
    <row r="662" spans="1:3" x14ac:dyDescent="0.25">
      <c r="A662" s="222">
        <v>200060</v>
      </c>
      <c r="B662" s="223" t="s">
        <v>2016</v>
      </c>
      <c r="C662" s="221" t="s">
        <v>2015</v>
      </c>
    </row>
    <row r="663" spans="1:3" x14ac:dyDescent="0.25">
      <c r="A663" s="222">
        <v>200061</v>
      </c>
      <c r="B663" s="223" t="s">
        <v>2019</v>
      </c>
      <c r="C663" s="221" t="s">
        <v>2020</v>
      </c>
    </row>
    <row r="664" spans="1:3" x14ac:dyDescent="0.25">
      <c r="A664" s="222">
        <v>200061</v>
      </c>
      <c r="B664" s="223" t="s">
        <v>2019</v>
      </c>
      <c r="C664" s="221" t="s">
        <v>2018</v>
      </c>
    </row>
    <row r="665" spans="1:3" x14ac:dyDescent="0.25">
      <c r="A665" s="222">
        <v>200062</v>
      </c>
      <c r="B665" s="223" t="s">
        <v>2022</v>
      </c>
      <c r="C665" s="221" t="s">
        <v>2023</v>
      </c>
    </row>
    <row r="666" spans="1:3" x14ac:dyDescent="0.25">
      <c r="A666" s="222">
        <v>200062</v>
      </c>
      <c r="B666" s="223" t="s">
        <v>2022</v>
      </c>
      <c r="C666" s="221" t="s">
        <v>2021</v>
      </c>
    </row>
    <row r="667" spans="1:3" x14ac:dyDescent="0.25">
      <c r="A667" s="222">
        <v>200064</v>
      </c>
      <c r="B667" s="223" t="s">
        <v>2025</v>
      </c>
      <c r="C667" s="221" t="s">
        <v>2026</v>
      </c>
    </row>
    <row r="668" spans="1:3" x14ac:dyDescent="0.25">
      <c r="A668" s="222">
        <v>200064</v>
      </c>
      <c r="B668" s="223" t="s">
        <v>2025</v>
      </c>
      <c r="C668" s="221" t="s">
        <v>2024</v>
      </c>
    </row>
    <row r="669" spans="1:3" x14ac:dyDescent="0.25">
      <c r="A669" s="222">
        <v>200066</v>
      </c>
      <c r="B669" s="223" t="s">
        <v>2028</v>
      </c>
      <c r="C669" s="221" t="s">
        <v>2029</v>
      </c>
    </row>
    <row r="670" spans="1:3" x14ac:dyDescent="0.25">
      <c r="A670" s="222">
        <v>200066</v>
      </c>
      <c r="B670" s="223" t="s">
        <v>2028</v>
      </c>
      <c r="C670" s="221" t="s">
        <v>2030</v>
      </c>
    </row>
    <row r="671" spans="1:3" x14ac:dyDescent="0.25">
      <c r="A671" s="222">
        <v>200066</v>
      </c>
      <c r="B671" s="223" t="s">
        <v>2028</v>
      </c>
      <c r="C671" s="221" t="s">
        <v>2027</v>
      </c>
    </row>
    <row r="672" spans="1:3" x14ac:dyDescent="0.25">
      <c r="A672" s="222">
        <v>200067</v>
      </c>
      <c r="B672" s="223" t="s">
        <v>2032</v>
      </c>
      <c r="C672" s="221" t="s">
        <v>2033</v>
      </c>
    </row>
    <row r="673" spans="1:3" x14ac:dyDescent="0.25">
      <c r="A673" s="222">
        <v>200067</v>
      </c>
      <c r="B673" s="223" t="s">
        <v>2032</v>
      </c>
      <c r="C673" s="221" t="s">
        <v>2031</v>
      </c>
    </row>
    <row r="674" spans="1:3" x14ac:dyDescent="0.25">
      <c r="A674" s="222">
        <v>200068</v>
      </c>
      <c r="B674" s="223" t="s">
        <v>2035</v>
      </c>
      <c r="C674" s="221" t="s">
        <v>2036</v>
      </c>
    </row>
    <row r="675" spans="1:3" x14ac:dyDescent="0.25">
      <c r="A675" s="222">
        <v>200068</v>
      </c>
      <c r="B675" s="223" t="s">
        <v>2035</v>
      </c>
      <c r="C675" s="221" t="s">
        <v>2034</v>
      </c>
    </row>
    <row r="676" spans="1:3" x14ac:dyDescent="0.25">
      <c r="A676" s="222">
        <v>200069</v>
      </c>
      <c r="B676" s="223" t="s">
        <v>2038</v>
      </c>
      <c r="C676" s="221" t="s">
        <v>2039</v>
      </c>
    </row>
    <row r="677" spans="1:3" x14ac:dyDescent="0.25">
      <c r="A677" s="222">
        <v>200069</v>
      </c>
      <c r="B677" s="223" t="s">
        <v>2038</v>
      </c>
      <c r="C677" s="221" t="s">
        <v>2037</v>
      </c>
    </row>
    <row r="678" spans="1:3" x14ac:dyDescent="0.25">
      <c r="A678" s="222">
        <v>200070</v>
      </c>
      <c r="B678" s="223" t="s">
        <v>2041</v>
      </c>
      <c r="C678" s="221" t="s">
        <v>2042</v>
      </c>
    </row>
    <row r="679" spans="1:3" x14ac:dyDescent="0.25">
      <c r="A679" s="222">
        <v>200070</v>
      </c>
      <c r="B679" s="223" t="s">
        <v>2041</v>
      </c>
      <c r="C679" s="221" t="s">
        <v>2040</v>
      </c>
    </row>
    <row r="680" spans="1:3" x14ac:dyDescent="0.25">
      <c r="A680" s="222">
        <v>200071</v>
      </c>
      <c r="B680" s="223" t="s">
        <v>2044</v>
      </c>
      <c r="C680" s="221" t="s">
        <v>2045</v>
      </c>
    </row>
    <row r="681" spans="1:3" x14ac:dyDescent="0.25">
      <c r="A681" s="222">
        <v>200071</v>
      </c>
      <c r="B681" s="223" t="s">
        <v>2044</v>
      </c>
      <c r="C681" s="221" t="s">
        <v>2043</v>
      </c>
    </row>
    <row r="682" spans="1:3" x14ac:dyDescent="0.25">
      <c r="A682" s="222">
        <v>200072</v>
      </c>
      <c r="B682" s="223" t="s">
        <v>2047</v>
      </c>
      <c r="C682" s="221" t="s">
        <v>2048</v>
      </c>
    </row>
    <row r="683" spans="1:3" x14ac:dyDescent="0.25">
      <c r="A683" s="222">
        <v>200072</v>
      </c>
      <c r="B683" s="223" t="s">
        <v>2047</v>
      </c>
      <c r="C683" s="221" t="s">
        <v>2046</v>
      </c>
    </row>
    <row r="684" spans="1:3" x14ac:dyDescent="0.25">
      <c r="A684" s="222">
        <v>200073</v>
      </c>
      <c r="B684" s="223" t="s">
        <v>2050</v>
      </c>
      <c r="C684" s="221" t="s">
        <v>2051</v>
      </c>
    </row>
    <row r="685" spans="1:3" x14ac:dyDescent="0.25">
      <c r="A685" s="222">
        <v>200073</v>
      </c>
      <c r="B685" s="223" t="s">
        <v>2050</v>
      </c>
      <c r="C685" s="221" t="s">
        <v>2049</v>
      </c>
    </row>
    <row r="686" spans="1:3" x14ac:dyDescent="0.25">
      <c r="A686" s="222">
        <v>200074</v>
      </c>
      <c r="B686" s="223" t="s">
        <v>2053</v>
      </c>
      <c r="C686" s="221" t="s">
        <v>2054</v>
      </c>
    </row>
    <row r="687" spans="1:3" x14ac:dyDescent="0.25">
      <c r="A687" s="222">
        <v>200074</v>
      </c>
      <c r="B687" s="223" t="s">
        <v>2053</v>
      </c>
      <c r="C687" s="221" t="s">
        <v>2052</v>
      </c>
    </row>
    <row r="688" spans="1:3" x14ac:dyDescent="0.25">
      <c r="A688" s="222">
        <v>200075</v>
      </c>
      <c r="B688" s="223" t="s">
        <v>2056</v>
      </c>
      <c r="C688" s="221" t="s">
        <v>2057</v>
      </c>
    </row>
    <row r="689" spans="1:3" x14ac:dyDescent="0.25">
      <c r="A689" s="222">
        <v>200075</v>
      </c>
      <c r="B689" s="223" t="s">
        <v>2056</v>
      </c>
      <c r="C689" s="221" t="s">
        <v>2055</v>
      </c>
    </row>
    <row r="690" spans="1:3" x14ac:dyDescent="0.25">
      <c r="A690" s="222">
        <v>200076</v>
      </c>
      <c r="B690" s="223" t="s">
        <v>2059</v>
      </c>
      <c r="C690" s="221" t="s">
        <v>2060</v>
      </c>
    </row>
    <row r="691" spans="1:3" x14ac:dyDescent="0.25">
      <c r="A691" s="222">
        <v>200076</v>
      </c>
      <c r="B691" s="223" t="s">
        <v>2059</v>
      </c>
      <c r="C691" s="221" t="s">
        <v>2058</v>
      </c>
    </row>
    <row r="692" spans="1:3" x14ac:dyDescent="0.25">
      <c r="A692" s="222">
        <v>200077</v>
      </c>
      <c r="B692" s="223" t="s">
        <v>2062</v>
      </c>
      <c r="C692" s="221" t="s">
        <v>2063</v>
      </c>
    </row>
    <row r="693" spans="1:3" x14ac:dyDescent="0.25">
      <c r="A693" s="222">
        <v>200077</v>
      </c>
      <c r="B693" s="223" t="s">
        <v>2062</v>
      </c>
      <c r="C693" s="221" t="s">
        <v>2061</v>
      </c>
    </row>
    <row r="694" spans="1:3" x14ac:dyDescent="0.25">
      <c r="A694" s="222">
        <v>200078</v>
      </c>
      <c r="B694" s="223" t="s">
        <v>2065</v>
      </c>
      <c r="C694" s="221" t="s">
        <v>2066</v>
      </c>
    </row>
    <row r="695" spans="1:3" x14ac:dyDescent="0.25">
      <c r="A695" s="222">
        <v>200078</v>
      </c>
      <c r="B695" s="223" t="s">
        <v>2065</v>
      </c>
      <c r="C695" s="221" t="s">
        <v>2064</v>
      </c>
    </row>
    <row r="696" spans="1:3" x14ac:dyDescent="0.25">
      <c r="A696" s="222">
        <v>200079</v>
      </c>
      <c r="B696" s="223" t="s">
        <v>2068</v>
      </c>
      <c r="C696" s="221" t="s">
        <v>2069</v>
      </c>
    </row>
    <row r="697" spans="1:3" x14ac:dyDescent="0.25">
      <c r="A697" s="222">
        <v>200079</v>
      </c>
      <c r="B697" s="223" t="s">
        <v>2068</v>
      </c>
      <c r="C697" s="221" t="s">
        <v>2067</v>
      </c>
    </row>
    <row r="698" spans="1:3" x14ac:dyDescent="0.25">
      <c r="A698" s="222">
        <v>200080</v>
      </c>
      <c r="B698" s="223" t="s">
        <v>2071</v>
      </c>
      <c r="C698" s="221" t="s">
        <v>2072</v>
      </c>
    </row>
    <row r="699" spans="1:3" x14ac:dyDescent="0.25">
      <c r="A699" s="222">
        <v>200080</v>
      </c>
      <c r="B699" s="223" t="s">
        <v>2071</v>
      </c>
      <c r="C699" s="221" t="s">
        <v>2070</v>
      </c>
    </row>
    <row r="700" spans="1:3" x14ac:dyDescent="0.25">
      <c r="A700" s="222">
        <v>200081</v>
      </c>
      <c r="B700" s="223" t="s">
        <v>2074</v>
      </c>
      <c r="C700" s="221" t="s">
        <v>2075</v>
      </c>
    </row>
    <row r="701" spans="1:3" x14ac:dyDescent="0.25">
      <c r="A701" s="222">
        <v>200081</v>
      </c>
      <c r="B701" s="223" t="s">
        <v>2074</v>
      </c>
      <c r="C701" s="221" t="s">
        <v>2073</v>
      </c>
    </row>
    <row r="702" spans="1:3" x14ac:dyDescent="0.25">
      <c r="A702" s="222">
        <v>200082</v>
      </c>
      <c r="B702" s="223" t="s">
        <v>2077</v>
      </c>
      <c r="C702" s="221" t="s">
        <v>2078</v>
      </c>
    </row>
    <row r="703" spans="1:3" x14ac:dyDescent="0.25">
      <c r="A703" s="222">
        <v>200082</v>
      </c>
      <c r="B703" s="223" t="s">
        <v>2077</v>
      </c>
      <c r="C703" s="221" t="s">
        <v>2076</v>
      </c>
    </row>
    <row r="704" spans="1:3" x14ac:dyDescent="0.25">
      <c r="A704" s="222">
        <v>200083</v>
      </c>
      <c r="B704" s="223" t="s">
        <v>2080</v>
      </c>
      <c r="C704" s="221" t="s">
        <v>2081</v>
      </c>
    </row>
    <row r="705" spans="1:3" x14ac:dyDescent="0.25">
      <c r="A705" s="222">
        <v>200083</v>
      </c>
      <c r="B705" s="223" t="s">
        <v>2080</v>
      </c>
      <c r="C705" s="221" t="s">
        <v>2079</v>
      </c>
    </row>
    <row r="706" spans="1:3" x14ac:dyDescent="0.25">
      <c r="A706" s="222">
        <v>200084</v>
      </c>
      <c r="B706" s="223" t="s">
        <v>2083</v>
      </c>
      <c r="C706" s="221" t="s">
        <v>2084</v>
      </c>
    </row>
    <row r="707" spans="1:3" x14ac:dyDescent="0.25">
      <c r="A707" s="222">
        <v>200084</v>
      </c>
      <c r="B707" s="223" t="s">
        <v>2083</v>
      </c>
      <c r="C707" s="221" t="s">
        <v>2082</v>
      </c>
    </row>
    <row r="708" spans="1:3" x14ac:dyDescent="0.25">
      <c r="A708" s="222">
        <v>200085</v>
      </c>
      <c r="B708" s="223" t="s">
        <v>2086</v>
      </c>
      <c r="C708" s="221" t="s">
        <v>2087</v>
      </c>
    </row>
    <row r="709" spans="1:3" x14ac:dyDescent="0.25">
      <c r="A709" s="222">
        <v>200085</v>
      </c>
      <c r="B709" s="223" t="s">
        <v>2086</v>
      </c>
      <c r="C709" s="221" t="s">
        <v>2085</v>
      </c>
    </row>
    <row r="710" spans="1:3" x14ac:dyDescent="0.25">
      <c r="A710" s="222">
        <v>200086</v>
      </c>
      <c r="B710" s="223" t="s">
        <v>2089</v>
      </c>
      <c r="C710" s="221" t="s">
        <v>2090</v>
      </c>
    </row>
    <row r="711" spans="1:3" x14ac:dyDescent="0.25">
      <c r="A711" s="222">
        <v>200086</v>
      </c>
      <c r="B711" s="223" t="s">
        <v>2089</v>
      </c>
      <c r="C711" s="221" t="s">
        <v>2088</v>
      </c>
    </row>
    <row r="712" spans="1:3" x14ac:dyDescent="0.25">
      <c r="A712" s="222">
        <v>200087</v>
      </c>
      <c r="B712" s="223" t="s">
        <v>2092</v>
      </c>
      <c r="C712" s="221" t="s">
        <v>2093</v>
      </c>
    </row>
    <row r="713" spans="1:3" x14ac:dyDescent="0.25">
      <c r="A713" s="222">
        <v>200087</v>
      </c>
      <c r="B713" s="223" t="s">
        <v>2092</v>
      </c>
      <c r="C713" s="221" t="s">
        <v>2091</v>
      </c>
    </row>
    <row r="714" spans="1:3" x14ac:dyDescent="0.25">
      <c r="A714" s="222">
        <v>200088</v>
      </c>
      <c r="B714" s="223" t="s">
        <v>2095</v>
      </c>
      <c r="C714" s="221" t="s">
        <v>2096</v>
      </c>
    </row>
    <row r="715" spans="1:3" x14ac:dyDescent="0.25">
      <c r="A715" s="222">
        <v>200088</v>
      </c>
      <c r="B715" s="223" t="s">
        <v>2095</v>
      </c>
      <c r="C715" s="221" t="s">
        <v>2094</v>
      </c>
    </row>
    <row r="716" spans="1:3" x14ac:dyDescent="0.25">
      <c r="A716" s="222">
        <v>200089</v>
      </c>
      <c r="B716" s="223" t="s">
        <v>2098</v>
      </c>
      <c r="C716" s="221" t="s">
        <v>2099</v>
      </c>
    </row>
    <row r="717" spans="1:3" x14ac:dyDescent="0.25">
      <c r="A717" s="222">
        <v>200089</v>
      </c>
      <c r="B717" s="223" t="s">
        <v>2098</v>
      </c>
      <c r="C717" s="221" t="s">
        <v>2097</v>
      </c>
    </row>
    <row r="718" spans="1:3" x14ac:dyDescent="0.25">
      <c r="A718" s="222">
        <v>200090</v>
      </c>
      <c r="B718" s="223" t="s">
        <v>2101</v>
      </c>
      <c r="C718" s="221" t="s">
        <v>2102</v>
      </c>
    </row>
    <row r="719" spans="1:3" x14ac:dyDescent="0.25">
      <c r="A719" s="222">
        <v>200090</v>
      </c>
      <c r="B719" s="223" t="s">
        <v>2101</v>
      </c>
      <c r="C719" s="221" t="s">
        <v>2100</v>
      </c>
    </row>
    <row r="720" spans="1:3" x14ac:dyDescent="0.25">
      <c r="A720" s="222">
        <v>200091</v>
      </c>
      <c r="B720" s="223" t="s">
        <v>2104</v>
      </c>
      <c r="C720" s="221" t="s">
        <v>2105</v>
      </c>
    </row>
    <row r="721" spans="1:3" x14ac:dyDescent="0.25">
      <c r="A721" s="222">
        <v>200091</v>
      </c>
      <c r="B721" s="223" t="s">
        <v>2104</v>
      </c>
      <c r="C721" s="221" t="s">
        <v>2103</v>
      </c>
    </row>
    <row r="722" spans="1:3" x14ac:dyDescent="0.25">
      <c r="A722" s="222">
        <v>200092</v>
      </c>
      <c r="B722" s="223" t="s">
        <v>2107</v>
      </c>
      <c r="C722" s="221" t="s">
        <v>2108</v>
      </c>
    </row>
    <row r="723" spans="1:3" x14ac:dyDescent="0.25">
      <c r="A723" s="222">
        <v>200092</v>
      </c>
      <c r="B723" s="223" t="s">
        <v>2107</v>
      </c>
      <c r="C723" s="221" t="s">
        <v>2106</v>
      </c>
    </row>
    <row r="724" spans="1:3" x14ac:dyDescent="0.25">
      <c r="A724" s="222">
        <v>200092</v>
      </c>
      <c r="B724" s="223" t="s">
        <v>2107</v>
      </c>
      <c r="C724" s="221" t="s">
        <v>2106</v>
      </c>
    </row>
    <row r="725" spans="1:3" x14ac:dyDescent="0.25">
      <c r="A725" s="222">
        <v>200093</v>
      </c>
      <c r="B725" s="223" t="s">
        <v>2110</v>
      </c>
      <c r="C725" s="221" t="s">
        <v>2111</v>
      </c>
    </row>
    <row r="726" spans="1:3" x14ac:dyDescent="0.25">
      <c r="A726" s="222">
        <v>200093</v>
      </c>
      <c r="B726" s="223" t="s">
        <v>2110</v>
      </c>
      <c r="C726" s="221" t="s">
        <v>2109</v>
      </c>
    </row>
    <row r="727" spans="1:3" x14ac:dyDescent="0.25">
      <c r="A727" s="222">
        <v>200094</v>
      </c>
      <c r="B727" s="223" t="s">
        <v>2113</v>
      </c>
      <c r="C727" s="221" t="s">
        <v>2114</v>
      </c>
    </row>
    <row r="728" spans="1:3" x14ac:dyDescent="0.25">
      <c r="A728" s="222">
        <v>200094</v>
      </c>
      <c r="B728" s="223" t="s">
        <v>2113</v>
      </c>
      <c r="C728" s="221" t="s">
        <v>2112</v>
      </c>
    </row>
    <row r="729" spans="1:3" x14ac:dyDescent="0.25">
      <c r="A729" s="222">
        <v>200095</v>
      </c>
      <c r="B729" s="223" t="s">
        <v>2116</v>
      </c>
      <c r="C729" s="221" t="s">
        <v>2117</v>
      </c>
    </row>
    <row r="730" spans="1:3" x14ac:dyDescent="0.25">
      <c r="A730" s="222">
        <v>200095</v>
      </c>
      <c r="B730" s="223" t="s">
        <v>2116</v>
      </c>
      <c r="C730" s="221" t="s">
        <v>2115</v>
      </c>
    </row>
    <row r="731" spans="1:3" x14ac:dyDescent="0.25">
      <c r="A731" s="222">
        <v>200096</v>
      </c>
      <c r="B731" s="223" t="s">
        <v>2119</v>
      </c>
      <c r="C731" s="221" t="s">
        <v>2120</v>
      </c>
    </row>
    <row r="732" spans="1:3" x14ac:dyDescent="0.25">
      <c r="A732" s="222">
        <v>200096</v>
      </c>
      <c r="B732" s="223" t="s">
        <v>2119</v>
      </c>
      <c r="C732" s="221" t="s">
        <v>2118</v>
      </c>
    </row>
    <row r="733" spans="1:3" x14ac:dyDescent="0.25">
      <c r="A733" s="222">
        <v>200097</v>
      </c>
      <c r="B733" s="223" t="s">
        <v>2122</v>
      </c>
      <c r="C733" s="221" t="s">
        <v>2123</v>
      </c>
    </row>
    <row r="734" spans="1:3" x14ac:dyDescent="0.25">
      <c r="A734" s="222">
        <v>200097</v>
      </c>
      <c r="B734" s="223" t="s">
        <v>2122</v>
      </c>
      <c r="C734" s="221" t="s">
        <v>2121</v>
      </c>
    </row>
    <row r="735" spans="1:3" x14ac:dyDescent="0.25">
      <c r="A735" s="222">
        <v>200098</v>
      </c>
      <c r="B735" s="223" t="s">
        <v>2125</v>
      </c>
      <c r="C735" s="221" t="s">
        <v>2126</v>
      </c>
    </row>
    <row r="736" spans="1:3" x14ac:dyDescent="0.25">
      <c r="A736" s="222">
        <v>200098</v>
      </c>
      <c r="B736" s="223" t="s">
        <v>2125</v>
      </c>
      <c r="C736" s="221" t="s">
        <v>2124</v>
      </c>
    </row>
    <row r="737" spans="1:3" x14ac:dyDescent="0.25">
      <c r="A737" s="222">
        <v>200099</v>
      </c>
      <c r="B737" s="223" t="s">
        <v>2128</v>
      </c>
      <c r="C737" s="221" t="s">
        <v>2129</v>
      </c>
    </row>
    <row r="738" spans="1:3" x14ac:dyDescent="0.25">
      <c r="A738" s="222">
        <v>200099</v>
      </c>
      <c r="B738" s="223" t="s">
        <v>2128</v>
      </c>
      <c r="C738" s="221" t="s">
        <v>2127</v>
      </c>
    </row>
    <row r="739" spans="1:3" x14ac:dyDescent="0.25">
      <c r="A739" s="222">
        <v>200100</v>
      </c>
      <c r="B739" s="223" t="s">
        <v>2131</v>
      </c>
      <c r="C739" s="221" t="s">
        <v>2132</v>
      </c>
    </row>
    <row r="740" spans="1:3" x14ac:dyDescent="0.25">
      <c r="A740" s="222">
        <v>200100</v>
      </c>
      <c r="B740" s="223" t="s">
        <v>2131</v>
      </c>
      <c r="C740" s="221" t="s">
        <v>2130</v>
      </c>
    </row>
    <row r="741" spans="1:3" x14ac:dyDescent="0.25">
      <c r="A741" s="222">
        <v>200101</v>
      </c>
      <c r="B741" s="223" t="s">
        <v>2134</v>
      </c>
      <c r="C741" s="221" t="s">
        <v>2135</v>
      </c>
    </row>
    <row r="742" spans="1:3" x14ac:dyDescent="0.25">
      <c r="A742" s="222">
        <v>200101</v>
      </c>
      <c r="B742" s="223" t="s">
        <v>2134</v>
      </c>
      <c r="C742" s="221" t="s">
        <v>2133</v>
      </c>
    </row>
    <row r="743" spans="1:3" x14ac:dyDescent="0.25">
      <c r="A743" s="222">
        <v>200102</v>
      </c>
      <c r="B743" s="223" t="s">
        <v>2137</v>
      </c>
      <c r="C743" s="221" t="s">
        <v>2138</v>
      </c>
    </row>
    <row r="744" spans="1:3" x14ac:dyDescent="0.25">
      <c r="A744" s="222">
        <v>200102</v>
      </c>
      <c r="B744" s="223" t="s">
        <v>2137</v>
      </c>
      <c r="C744" s="221" t="s">
        <v>2136</v>
      </c>
    </row>
    <row r="745" spans="1:3" x14ac:dyDescent="0.25">
      <c r="A745" s="222">
        <v>200103</v>
      </c>
      <c r="B745" s="223" t="s">
        <v>2140</v>
      </c>
      <c r="C745" s="221" t="s">
        <v>2141</v>
      </c>
    </row>
    <row r="746" spans="1:3" x14ac:dyDescent="0.25">
      <c r="A746" s="222">
        <v>200103</v>
      </c>
      <c r="B746" s="223" t="s">
        <v>2140</v>
      </c>
      <c r="C746" s="221" t="s">
        <v>2139</v>
      </c>
    </row>
    <row r="747" spans="1:3" x14ac:dyDescent="0.25">
      <c r="A747" s="222">
        <v>200104</v>
      </c>
      <c r="B747" s="223" t="s">
        <v>2143</v>
      </c>
      <c r="C747" s="221" t="s">
        <v>2144</v>
      </c>
    </row>
    <row r="748" spans="1:3" x14ac:dyDescent="0.25">
      <c r="A748" s="222">
        <v>200104</v>
      </c>
      <c r="B748" s="223" t="s">
        <v>2143</v>
      </c>
      <c r="C748" s="221" t="s">
        <v>2142</v>
      </c>
    </row>
    <row r="749" spans="1:3" x14ac:dyDescent="0.25">
      <c r="A749" s="222">
        <v>200105</v>
      </c>
      <c r="B749" s="223" t="s">
        <v>2146</v>
      </c>
      <c r="C749" s="221" t="s">
        <v>2147</v>
      </c>
    </row>
    <row r="750" spans="1:3" x14ac:dyDescent="0.25">
      <c r="A750" s="222">
        <v>200105</v>
      </c>
      <c r="B750" s="223" t="s">
        <v>2146</v>
      </c>
      <c r="C750" s="221" t="s">
        <v>2145</v>
      </c>
    </row>
    <row r="751" spans="1:3" x14ac:dyDescent="0.25">
      <c r="A751" s="222">
        <v>200106</v>
      </c>
      <c r="B751" s="223" t="s">
        <v>2149</v>
      </c>
      <c r="C751" s="221" t="s">
        <v>2150</v>
      </c>
    </row>
    <row r="752" spans="1:3" x14ac:dyDescent="0.25">
      <c r="A752" s="222">
        <v>200106</v>
      </c>
      <c r="B752" s="223" t="s">
        <v>2149</v>
      </c>
      <c r="C752" s="221" t="s">
        <v>2148</v>
      </c>
    </row>
    <row r="753" spans="1:3" x14ac:dyDescent="0.25">
      <c r="A753" s="222">
        <v>200107</v>
      </c>
      <c r="B753" s="223" t="s">
        <v>2152</v>
      </c>
      <c r="C753" s="221" t="s">
        <v>2153</v>
      </c>
    </row>
    <row r="754" spans="1:3" x14ac:dyDescent="0.25">
      <c r="A754" s="222">
        <v>200107</v>
      </c>
      <c r="B754" s="223" t="s">
        <v>2152</v>
      </c>
      <c r="C754" s="221" t="s">
        <v>2151</v>
      </c>
    </row>
    <row r="755" spans="1:3" x14ac:dyDescent="0.25">
      <c r="A755" s="222">
        <v>200108</v>
      </c>
      <c r="B755" s="223" t="s">
        <v>2155</v>
      </c>
      <c r="C755" s="221" t="s">
        <v>2156</v>
      </c>
    </row>
    <row r="756" spans="1:3" x14ac:dyDescent="0.25">
      <c r="A756" s="222">
        <v>200108</v>
      </c>
      <c r="B756" s="223" t="s">
        <v>2155</v>
      </c>
      <c r="C756" s="221" t="s">
        <v>2154</v>
      </c>
    </row>
    <row r="757" spans="1:3" x14ac:dyDescent="0.25">
      <c r="A757" s="222">
        <v>200109</v>
      </c>
      <c r="B757" s="223" t="s">
        <v>2158</v>
      </c>
      <c r="C757" s="221" t="s">
        <v>2159</v>
      </c>
    </row>
    <row r="758" spans="1:3" x14ac:dyDescent="0.25">
      <c r="A758" s="222">
        <v>200109</v>
      </c>
      <c r="B758" s="223" t="s">
        <v>2158</v>
      </c>
      <c r="C758" s="221" t="s">
        <v>2157</v>
      </c>
    </row>
    <row r="759" spans="1:3" x14ac:dyDescent="0.25">
      <c r="A759" s="222">
        <v>200110</v>
      </c>
      <c r="B759" s="223" t="s">
        <v>2161</v>
      </c>
      <c r="C759" s="221" t="s">
        <v>2162</v>
      </c>
    </row>
    <row r="760" spans="1:3" x14ac:dyDescent="0.25">
      <c r="A760" s="222">
        <v>200110</v>
      </c>
      <c r="B760" s="223" t="s">
        <v>2161</v>
      </c>
      <c r="C760" s="221" t="s">
        <v>2160</v>
      </c>
    </row>
    <row r="761" spans="1:3" x14ac:dyDescent="0.25">
      <c r="A761" s="222">
        <v>200111</v>
      </c>
      <c r="B761" s="223" t="s">
        <v>2164</v>
      </c>
      <c r="C761" s="221" t="s">
        <v>2165</v>
      </c>
    </row>
    <row r="762" spans="1:3" x14ac:dyDescent="0.25">
      <c r="A762" s="222">
        <v>200111</v>
      </c>
      <c r="B762" s="223" t="s">
        <v>2164</v>
      </c>
      <c r="C762" s="221" t="s">
        <v>2163</v>
      </c>
    </row>
    <row r="763" spans="1:3" x14ac:dyDescent="0.25">
      <c r="A763" s="222">
        <v>200112</v>
      </c>
      <c r="B763" s="223" t="s">
        <v>2167</v>
      </c>
      <c r="C763" s="221" t="s">
        <v>2168</v>
      </c>
    </row>
    <row r="764" spans="1:3" x14ac:dyDescent="0.25">
      <c r="A764" s="222">
        <v>200112</v>
      </c>
      <c r="B764" s="223" t="s">
        <v>2167</v>
      </c>
      <c r="C764" s="221" t="s">
        <v>2166</v>
      </c>
    </row>
    <row r="765" spans="1:3" x14ac:dyDescent="0.25">
      <c r="A765" s="222">
        <v>200113</v>
      </c>
      <c r="B765" s="223" t="s">
        <v>2170</v>
      </c>
      <c r="C765" s="221" t="s">
        <v>2171</v>
      </c>
    </row>
    <row r="766" spans="1:3" x14ac:dyDescent="0.25">
      <c r="A766" s="222">
        <v>200113</v>
      </c>
      <c r="B766" s="223" t="s">
        <v>2170</v>
      </c>
      <c r="C766" s="221" t="s">
        <v>2169</v>
      </c>
    </row>
    <row r="767" spans="1:3" x14ac:dyDescent="0.25">
      <c r="A767" s="222">
        <v>200115</v>
      </c>
      <c r="B767" s="223" t="s">
        <v>2173</v>
      </c>
      <c r="C767" s="221" t="s">
        <v>2174</v>
      </c>
    </row>
    <row r="768" spans="1:3" x14ac:dyDescent="0.25">
      <c r="A768" s="222">
        <v>200115</v>
      </c>
      <c r="B768" s="223" t="s">
        <v>2173</v>
      </c>
      <c r="C768" s="221" t="s">
        <v>2172</v>
      </c>
    </row>
    <row r="769" spans="1:3" x14ac:dyDescent="0.25">
      <c r="A769" s="222">
        <v>200116</v>
      </c>
      <c r="B769" s="223" t="s">
        <v>2176</v>
      </c>
      <c r="C769" s="221" t="s">
        <v>2177</v>
      </c>
    </row>
    <row r="770" spans="1:3" x14ac:dyDescent="0.25">
      <c r="A770" s="222">
        <v>200116</v>
      </c>
      <c r="B770" s="223" t="s">
        <v>2176</v>
      </c>
      <c r="C770" s="221" t="s">
        <v>2175</v>
      </c>
    </row>
    <row r="771" spans="1:3" x14ac:dyDescent="0.25">
      <c r="A771" s="222">
        <v>200117</v>
      </c>
      <c r="B771" s="223" t="s">
        <v>2176</v>
      </c>
      <c r="C771" s="221" t="s">
        <v>2179</v>
      </c>
    </row>
    <row r="772" spans="1:3" x14ac:dyDescent="0.25">
      <c r="A772" s="222">
        <v>200117</v>
      </c>
      <c r="B772" s="223" t="s">
        <v>2176</v>
      </c>
      <c r="C772" s="221" t="s">
        <v>2178</v>
      </c>
    </row>
    <row r="773" spans="1:3" x14ac:dyDescent="0.25">
      <c r="A773" s="222">
        <v>200118</v>
      </c>
      <c r="B773" s="223" t="s">
        <v>2181</v>
      </c>
      <c r="C773" s="221" t="s">
        <v>2182</v>
      </c>
    </row>
    <row r="774" spans="1:3" x14ac:dyDescent="0.25">
      <c r="A774" s="222">
        <v>200118</v>
      </c>
      <c r="B774" s="223" t="s">
        <v>2181</v>
      </c>
      <c r="C774" s="221" t="s">
        <v>2180</v>
      </c>
    </row>
    <row r="775" spans="1:3" x14ac:dyDescent="0.25">
      <c r="A775" s="222">
        <v>200119</v>
      </c>
      <c r="B775" s="223" t="s">
        <v>2184</v>
      </c>
      <c r="C775" s="221" t="s">
        <v>2185</v>
      </c>
    </row>
    <row r="776" spans="1:3" x14ac:dyDescent="0.25">
      <c r="A776" s="222">
        <v>200119</v>
      </c>
      <c r="B776" s="223" t="s">
        <v>2184</v>
      </c>
      <c r="C776" s="221" t="s">
        <v>2183</v>
      </c>
    </row>
    <row r="777" spans="1:3" x14ac:dyDescent="0.25">
      <c r="A777" s="222">
        <v>200120</v>
      </c>
      <c r="B777" s="223" t="s">
        <v>2184</v>
      </c>
      <c r="C777" s="221" t="s">
        <v>2186</v>
      </c>
    </row>
    <row r="778" spans="1:3" x14ac:dyDescent="0.25">
      <c r="A778" s="222">
        <v>200120</v>
      </c>
      <c r="B778" s="223" t="s">
        <v>2184</v>
      </c>
      <c r="C778" s="221" t="s">
        <v>2187</v>
      </c>
    </row>
    <row r="779" spans="1:3" x14ac:dyDescent="0.25">
      <c r="A779" s="222">
        <v>200121</v>
      </c>
      <c r="B779" s="223" t="s">
        <v>2189</v>
      </c>
      <c r="C779" s="221" t="s">
        <v>2190</v>
      </c>
    </row>
    <row r="780" spans="1:3" x14ac:dyDescent="0.25">
      <c r="A780" s="222">
        <v>200121</v>
      </c>
      <c r="B780" s="223" t="s">
        <v>2189</v>
      </c>
      <c r="C780" s="221" t="s">
        <v>2188</v>
      </c>
    </row>
    <row r="781" spans="1:3" x14ac:dyDescent="0.25">
      <c r="A781" s="222">
        <v>200122</v>
      </c>
      <c r="B781" s="223" t="s">
        <v>2192</v>
      </c>
      <c r="C781" s="221" t="s">
        <v>2193</v>
      </c>
    </row>
    <row r="782" spans="1:3" x14ac:dyDescent="0.25">
      <c r="A782" s="222">
        <v>200122</v>
      </c>
      <c r="B782" s="223" t="s">
        <v>2192</v>
      </c>
      <c r="C782" s="221" t="s">
        <v>2191</v>
      </c>
    </row>
    <row r="783" spans="1:3" x14ac:dyDescent="0.25">
      <c r="A783" s="222">
        <v>200123</v>
      </c>
      <c r="B783" s="223" t="s">
        <v>2195</v>
      </c>
      <c r="C783" s="221" t="s">
        <v>2196</v>
      </c>
    </row>
    <row r="784" spans="1:3" x14ac:dyDescent="0.25">
      <c r="A784" s="222">
        <v>200123</v>
      </c>
      <c r="B784" s="223" t="s">
        <v>2195</v>
      </c>
      <c r="C784" s="221" t="s">
        <v>2197</v>
      </c>
    </row>
    <row r="785" spans="1:3" x14ac:dyDescent="0.25">
      <c r="A785" s="222">
        <v>200123</v>
      </c>
      <c r="B785" s="223" t="s">
        <v>2195</v>
      </c>
      <c r="C785" s="221" t="s">
        <v>2194</v>
      </c>
    </row>
    <row r="786" spans="1:3" x14ac:dyDescent="0.25">
      <c r="A786" s="222">
        <v>200124</v>
      </c>
      <c r="B786" s="223" t="s">
        <v>2199</v>
      </c>
      <c r="C786" s="221" t="s">
        <v>2200</v>
      </c>
    </row>
    <row r="787" spans="1:3" x14ac:dyDescent="0.25">
      <c r="A787" s="222">
        <v>200124</v>
      </c>
      <c r="B787" s="223" t="s">
        <v>2199</v>
      </c>
      <c r="C787" s="221" t="s">
        <v>2198</v>
      </c>
    </row>
    <row r="788" spans="1:3" x14ac:dyDescent="0.25">
      <c r="A788" s="222">
        <v>200125</v>
      </c>
      <c r="B788" s="223" t="s">
        <v>2202</v>
      </c>
      <c r="C788" s="221" t="s">
        <v>2203</v>
      </c>
    </row>
    <row r="789" spans="1:3" x14ac:dyDescent="0.25">
      <c r="A789" s="222">
        <v>200125</v>
      </c>
      <c r="B789" s="223" t="s">
        <v>2202</v>
      </c>
      <c r="C789" s="221" t="s">
        <v>2201</v>
      </c>
    </row>
    <row r="790" spans="1:3" x14ac:dyDescent="0.25">
      <c r="A790" s="222">
        <v>200126</v>
      </c>
      <c r="B790" s="223" t="s">
        <v>2205</v>
      </c>
      <c r="C790" s="221" t="s">
        <v>2206</v>
      </c>
    </row>
    <row r="791" spans="1:3" x14ac:dyDescent="0.25">
      <c r="A791" s="222">
        <v>200126</v>
      </c>
      <c r="B791" s="223" t="s">
        <v>2205</v>
      </c>
      <c r="C791" s="221" t="s">
        <v>2204</v>
      </c>
    </row>
    <row r="792" spans="1:3" x14ac:dyDescent="0.25">
      <c r="A792" s="222">
        <v>200127</v>
      </c>
      <c r="B792" s="223" t="s">
        <v>2208</v>
      </c>
      <c r="C792" s="221" t="s">
        <v>2209</v>
      </c>
    </row>
    <row r="793" spans="1:3" x14ac:dyDescent="0.25">
      <c r="A793" s="222">
        <v>200127</v>
      </c>
      <c r="B793" s="223" t="s">
        <v>2208</v>
      </c>
      <c r="C793" s="221" t="s">
        <v>2207</v>
      </c>
    </row>
    <row r="794" spans="1:3" x14ac:dyDescent="0.25">
      <c r="A794" s="222">
        <v>200128</v>
      </c>
      <c r="B794" s="223" t="s">
        <v>2211</v>
      </c>
      <c r="C794" s="221" t="s">
        <v>2212</v>
      </c>
    </row>
    <row r="795" spans="1:3" x14ac:dyDescent="0.25">
      <c r="A795" s="222">
        <v>200128</v>
      </c>
      <c r="B795" s="223" t="s">
        <v>2211</v>
      </c>
      <c r="C795" s="221" t="s">
        <v>2210</v>
      </c>
    </row>
    <row r="796" spans="1:3" x14ac:dyDescent="0.25">
      <c r="A796" s="222">
        <v>200129</v>
      </c>
      <c r="B796" s="223" t="s">
        <v>2214</v>
      </c>
      <c r="C796" s="221" t="s">
        <v>2215</v>
      </c>
    </row>
    <row r="797" spans="1:3" x14ac:dyDescent="0.25">
      <c r="A797" s="222">
        <v>200129</v>
      </c>
      <c r="B797" s="223" t="s">
        <v>2214</v>
      </c>
      <c r="C797" s="221" t="s">
        <v>2213</v>
      </c>
    </row>
    <row r="798" spans="1:3" x14ac:dyDescent="0.25">
      <c r="A798" s="222">
        <v>200130</v>
      </c>
      <c r="B798" s="223" t="s">
        <v>2217</v>
      </c>
      <c r="C798" s="221" t="s">
        <v>2218</v>
      </c>
    </row>
    <row r="799" spans="1:3" x14ac:dyDescent="0.25">
      <c r="A799" s="222">
        <v>200130</v>
      </c>
      <c r="B799" s="223" t="s">
        <v>2217</v>
      </c>
      <c r="C799" s="221" t="s">
        <v>2216</v>
      </c>
    </row>
    <row r="800" spans="1:3" x14ac:dyDescent="0.25">
      <c r="A800" s="222">
        <v>200131</v>
      </c>
      <c r="B800" s="223" t="s">
        <v>2220</v>
      </c>
      <c r="C800" s="221" t="s">
        <v>2221</v>
      </c>
    </row>
    <row r="801" spans="1:3" x14ac:dyDescent="0.25">
      <c r="A801" s="222">
        <v>200131</v>
      </c>
      <c r="B801" s="223" t="s">
        <v>2220</v>
      </c>
      <c r="C801" s="221" t="s">
        <v>2219</v>
      </c>
    </row>
    <row r="802" spans="1:3" x14ac:dyDescent="0.25">
      <c r="A802" s="222">
        <v>200132</v>
      </c>
      <c r="B802" s="223" t="s">
        <v>2223</v>
      </c>
      <c r="C802" s="221" t="s">
        <v>2224</v>
      </c>
    </row>
    <row r="803" spans="1:3" x14ac:dyDescent="0.25">
      <c r="A803" s="222">
        <v>200132</v>
      </c>
      <c r="B803" s="223" t="s">
        <v>2223</v>
      </c>
      <c r="C803" s="221" t="s">
        <v>2222</v>
      </c>
    </row>
    <row r="804" spans="1:3" x14ac:dyDescent="0.25">
      <c r="A804" s="222">
        <v>200133</v>
      </c>
      <c r="B804" s="223" t="s">
        <v>2226</v>
      </c>
      <c r="C804" s="221" t="s">
        <v>2227</v>
      </c>
    </row>
    <row r="805" spans="1:3" x14ac:dyDescent="0.25">
      <c r="A805" s="222">
        <v>200133</v>
      </c>
      <c r="B805" s="223" t="s">
        <v>2226</v>
      </c>
      <c r="C805" s="221" t="s">
        <v>2225</v>
      </c>
    </row>
    <row r="806" spans="1:3" x14ac:dyDescent="0.25">
      <c r="A806" s="222">
        <v>200134</v>
      </c>
      <c r="B806" s="223" t="s">
        <v>2229</v>
      </c>
      <c r="C806" s="221" t="s">
        <v>2230</v>
      </c>
    </row>
    <row r="807" spans="1:3" x14ac:dyDescent="0.25">
      <c r="A807" s="222">
        <v>200134</v>
      </c>
      <c r="B807" s="223" t="s">
        <v>2229</v>
      </c>
      <c r="C807" s="221" t="s">
        <v>2228</v>
      </c>
    </row>
    <row r="808" spans="1:3" x14ac:dyDescent="0.25">
      <c r="A808" s="222">
        <v>200135</v>
      </c>
      <c r="B808" s="223" t="s">
        <v>2232</v>
      </c>
      <c r="C808" s="221" t="s">
        <v>2233</v>
      </c>
    </row>
    <row r="809" spans="1:3" x14ac:dyDescent="0.25">
      <c r="A809" s="222">
        <v>200135</v>
      </c>
      <c r="B809" s="223" t="s">
        <v>2232</v>
      </c>
      <c r="C809" s="221" t="s">
        <v>2231</v>
      </c>
    </row>
    <row r="810" spans="1:3" x14ac:dyDescent="0.25">
      <c r="A810" s="222">
        <v>200136</v>
      </c>
      <c r="B810" s="223" t="s">
        <v>2235</v>
      </c>
      <c r="C810" s="221" t="s">
        <v>2236</v>
      </c>
    </row>
    <row r="811" spans="1:3" x14ac:dyDescent="0.25">
      <c r="A811" s="222">
        <v>200136</v>
      </c>
      <c r="B811" s="223" t="s">
        <v>2235</v>
      </c>
      <c r="C811" s="221" t="s">
        <v>2234</v>
      </c>
    </row>
    <row r="812" spans="1:3" x14ac:dyDescent="0.25">
      <c r="A812" s="222">
        <v>200137</v>
      </c>
      <c r="B812" s="223" t="s">
        <v>2238</v>
      </c>
      <c r="C812" s="221" t="s">
        <v>2239</v>
      </c>
    </row>
    <row r="813" spans="1:3" x14ac:dyDescent="0.25">
      <c r="A813" s="222">
        <v>200137</v>
      </c>
      <c r="B813" s="223" t="s">
        <v>2238</v>
      </c>
      <c r="C813" s="221" t="s">
        <v>2237</v>
      </c>
    </row>
    <row r="814" spans="1:3" x14ac:dyDescent="0.25">
      <c r="A814" s="222">
        <v>200138</v>
      </c>
      <c r="B814" s="223" t="s">
        <v>2241</v>
      </c>
      <c r="C814" s="221" t="s">
        <v>2242</v>
      </c>
    </row>
    <row r="815" spans="1:3" x14ac:dyDescent="0.25">
      <c r="A815" s="222">
        <v>200138</v>
      </c>
      <c r="B815" s="223" t="s">
        <v>2241</v>
      </c>
      <c r="C815" s="221" t="s">
        <v>2243</v>
      </c>
    </row>
    <row r="816" spans="1:3" x14ac:dyDescent="0.25">
      <c r="A816" s="222">
        <v>200138</v>
      </c>
      <c r="B816" s="223" t="s">
        <v>2241</v>
      </c>
      <c r="C816" s="221" t="s">
        <v>2240</v>
      </c>
    </row>
    <row r="817" spans="1:3" x14ac:dyDescent="0.25">
      <c r="A817" s="222">
        <v>200139</v>
      </c>
      <c r="B817" s="223" t="s">
        <v>2245</v>
      </c>
      <c r="C817" s="221" t="s">
        <v>2246</v>
      </c>
    </row>
    <row r="818" spans="1:3" x14ac:dyDescent="0.25">
      <c r="A818" s="222">
        <v>200139</v>
      </c>
      <c r="B818" s="223" t="s">
        <v>2245</v>
      </c>
      <c r="C818" s="221" t="s">
        <v>2244</v>
      </c>
    </row>
    <row r="819" spans="1:3" x14ac:dyDescent="0.25">
      <c r="A819" s="222">
        <v>200140</v>
      </c>
      <c r="B819" s="223" t="s">
        <v>2248</v>
      </c>
      <c r="C819" s="221" t="s">
        <v>2249</v>
      </c>
    </row>
    <row r="820" spans="1:3" x14ac:dyDescent="0.25">
      <c r="A820" s="222">
        <v>200140</v>
      </c>
      <c r="B820" s="223" t="s">
        <v>2248</v>
      </c>
      <c r="C820" s="221" t="s">
        <v>2247</v>
      </c>
    </row>
    <row r="821" spans="1:3" x14ac:dyDescent="0.25">
      <c r="A821" s="222">
        <v>200141</v>
      </c>
      <c r="B821" s="223" t="s">
        <v>2251</v>
      </c>
      <c r="C821" s="221" t="s">
        <v>2252</v>
      </c>
    </row>
    <row r="822" spans="1:3" x14ac:dyDescent="0.25">
      <c r="A822" s="222">
        <v>200141</v>
      </c>
      <c r="B822" s="223" t="s">
        <v>2251</v>
      </c>
      <c r="C822" s="221" t="s">
        <v>2250</v>
      </c>
    </row>
    <row r="823" spans="1:3" x14ac:dyDescent="0.25">
      <c r="A823" s="222">
        <v>200142</v>
      </c>
      <c r="B823" s="223" t="s">
        <v>2254</v>
      </c>
      <c r="C823" s="221" t="s">
        <v>2255</v>
      </c>
    </row>
    <row r="824" spans="1:3" x14ac:dyDescent="0.25">
      <c r="A824" s="222">
        <v>200142</v>
      </c>
      <c r="B824" s="223" t="s">
        <v>2254</v>
      </c>
      <c r="C824" s="221" t="s">
        <v>2253</v>
      </c>
    </row>
    <row r="825" spans="1:3" x14ac:dyDescent="0.25">
      <c r="A825" s="222">
        <v>200143</v>
      </c>
      <c r="B825" s="223" t="s">
        <v>2257</v>
      </c>
      <c r="C825" s="221" t="s">
        <v>2258</v>
      </c>
    </row>
    <row r="826" spans="1:3" x14ac:dyDescent="0.25">
      <c r="A826" s="222">
        <v>200143</v>
      </c>
      <c r="B826" s="223" t="s">
        <v>2257</v>
      </c>
      <c r="C826" s="221" t="s">
        <v>2256</v>
      </c>
    </row>
    <row r="827" spans="1:3" x14ac:dyDescent="0.25">
      <c r="A827" s="222">
        <v>200144</v>
      </c>
      <c r="B827" s="223" t="s">
        <v>2260</v>
      </c>
      <c r="C827" s="221" t="s">
        <v>2261</v>
      </c>
    </row>
    <row r="828" spans="1:3" x14ac:dyDescent="0.25">
      <c r="A828" s="222">
        <v>200144</v>
      </c>
      <c r="B828" s="223" t="s">
        <v>2260</v>
      </c>
      <c r="C828" s="221" t="s">
        <v>2259</v>
      </c>
    </row>
    <row r="829" spans="1:3" x14ac:dyDescent="0.25">
      <c r="A829" s="222">
        <v>200145</v>
      </c>
      <c r="B829" s="223" t="s">
        <v>2260</v>
      </c>
      <c r="C829" s="221" t="s">
        <v>2263</v>
      </c>
    </row>
    <row r="830" spans="1:3" x14ac:dyDescent="0.25">
      <c r="A830" s="222">
        <v>200145</v>
      </c>
      <c r="B830" s="223" t="s">
        <v>2260</v>
      </c>
      <c r="C830" s="221" t="s">
        <v>2262</v>
      </c>
    </row>
    <row r="831" spans="1:3" x14ac:dyDescent="0.25">
      <c r="A831" s="222">
        <v>200146</v>
      </c>
      <c r="B831" s="223" t="s">
        <v>2265</v>
      </c>
      <c r="C831" s="221" t="s">
        <v>2266</v>
      </c>
    </row>
    <row r="832" spans="1:3" x14ac:dyDescent="0.25">
      <c r="A832" s="222">
        <v>200146</v>
      </c>
      <c r="B832" s="223" t="s">
        <v>2265</v>
      </c>
      <c r="C832" s="221" t="s">
        <v>2264</v>
      </c>
    </row>
    <row r="833" spans="1:3" x14ac:dyDescent="0.25">
      <c r="A833" s="222">
        <v>200147</v>
      </c>
      <c r="B833" s="223" t="s">
        <v>2268</v>
      </c>
      <c r="C833" s="221" t="s">
        <v>2269</v>
      </c>
    </row>
    <row r="834" spans="1:3" x14ac:dyDescent="0.25">
      <c r="A834" s="222">
        <v>200147</v>
      </c>
      <c r="B834" s="223" t="s">
        <v>2268</v>
      </c>
      <c r="C834" s="221" t="s">
        <v>2267</v>
      </c>
    </row>
    <row r="835" spans="1:3" x14ac:dyDescent="0.25">
      <c r="A835" s="222">
        <v>200148</v>
      </c>
      <c r="B835" s="223" t="s">
        <v>2271</v>
      </c>
      <c r="C835" s="221" t="s">
        <v>2272</v>
      </c>
    </row>
    <row r="836" spans="1:3" x14ac:dyDescent="0.25">
      <c r="A836" s="222">
        <v>200148</v>
      </c>
      <c r="B836" s="223" t="s">
        <v>2271</v>
      </c>
      <c r="C836" s="221" t="s">
        <v>2270</v>
      </c>
    </row>
    <row r="837" spans="1:3" x14ac:dyDescent="0.25">
      <c r="A837" s="222">
        <v>200149</v>
      </c>
      <c r="B837" s="223" t="s">
        <v>2271</v>
      </c>
      <c r="C837" s="221" t="s">
        <v>2274</v>
      </c>
    </row>
    <row r="838" spans="1:3" x14ac:dyDescent="0.25">
      <c r="A838" s="222">
        <v>200149</v>
      </c>
      <c r="B838" s="223" t="s">
        <v>2271</v>
      </c>
      <c r="C838" s="221" t="s">
        <v>2273</v>
      </c>
    </row>
    <row r="839" spans="1:3" x14ac:dyDescent="0.25">
      <c r="A839" s="222">
        <v>200150</v>
      </c>
      <c r="B839" s="223" t="s">
        <v>2276</v>
      </c>
      <c r="C839" s="221" t="s">
        <v>2277</v>
      </c>
    </row>
    <row r="840" spans="1:3" x14ac:dyDescent="0.25">
      <c r="A840" s="222">
        <v>200150</v>
      </c>
      <c r="B840" s="223" t="s">
        <v>2276</v>
      </c>
      <c r="C840" s="221" t="s">
        <v>2275</v>
      </c>
    </row>
    <row r="841" spans="1:3" x14ac:dyDescent="0.25">
      <c r="A841" s="222">
        <v>200151</v>
      </c>
      <c r="B841" s="223" t="s">
        <v>2279</v>
      </c>
      <c r="C841" s="221" t="s">
        <v>2280</v>
      </c>
    </row>
    <row r="842" spans="1:3" x14ac:dyDescent="0.25">
      <c r="A842" s="222">
        <v>200151</v>
      </c>
      <c r="B842" s="223" t="s">
        <v>2279</v>
      </c>
      <c r="C842" s="221" t="s">
        <v>2278</v>
      </c>
    </row>
    <row r="843" spans="1:3" x14ac:dyDescent="0.25">
      <c r="A843" s="222">
        <v>200152</v>
      </c>
      <c r="B843" s="223" t="s">
        <v>2282</v>
      </c>
      <c r="C843" s="221" t="s">
        <v>2283</v>
      </c>
    </row>
    <row r="844" spans="1:3" x14ac:dyDescent="0.25">
      <c r="A844" s="222">
        <v>200152</v>
      </c>
      <c r="B844" s="223" t="s">
        <v>2282</v>
      </c>
      <c r="C844" s="221" t="s">
        <v>2281</v>
      </c>
    </row>
    <row r="845" spans="1:3" x14ac:dyDescent="0.25">
      <c r="A845" s="222">
        <v>200153</v>
      </c>
      <c r="B845" s="223" t="s">
        <v>2285</v>
      </c>
      <c r="C845" s="221" t="s">
        <v>2286</v>
      </c>
    </row>
    <row r="846" spans="1:3" x14ac:dyDescent="0.25">
      <c r="A846" s="222">
        <v>200153</v>
      </c>
      <c r="B846" s="223" t="s">
        <v>2285</v>
      </c>
      <c r="C846" s="221" t="s">
        <v>2284</v>
      </c>
    </row>
    <row r="847" spans="1:3" x14ac:dyDescent="0.25">
      <c r="A847" s="222">
        <v>200154</v>
      </c>
      <c r="B847" s="223" t="s">
        <v>2288</v>
      </c>
      <c r="C847" s="221" t="s">
        <v>2289</v>
      </c>
    </row>
    <row r="848" spans="1:3" x14ac:dyDescent="0.25">
      <c r="A848" s="222">
        <v>200154</v>
      </c>
      <c r="B848" s="223" t="s">
        <v>2288</v>
      </c>
      <c r="C848" s="221" t="s">
        <v>2287</v>
      </c>
    </row>
    <row r="849" spans="1:3" x14ac:dyDescent="0.25">
      <c r="A849" s="222">
        <v>200155</v>
      </c>
      <c r="B849" s="223" t="s">
        <v>2291</v>
      </c>
      <c r="C849" s="221" t="s">
        <v>2292</v>
      </c>
    </row>
    <row r="850" spans="1:3" x14ac:dyDescent="0.25">
      <c r="A850" s="222">
        <v>200155</v>
      </c>
      <c r="B850" s="223" t="s">
        <v>2291</v>
      </c>
      <c r="C850" s="221" t="s">
        <v>2290</v>
      </c>
    </row>
    <row r="851" spans="1:3" x14ac:dyDescent="0.25">
      <c r="A851" s="222">
        <v>200156</v>
      </c>
      <c r="B851" s="223" t="s">
        <v>2294</v>
      </c>
      <c r="C851" s="221" t="s">
        <v>2295</v>
      </c>
    </row>
    <row r="852" spans="1:3" x14ac:dyDescent="0.25">
      <c r="A852" s="222">
        <v>200156</v>
      </c>
      <c r="B852" s="223" t="s">
        <v>2294</v>
      </c>
      <c r="C852" s="221" t="s">
        <v>2293</v>
      </c>
    </row>
    <row r="853" spans="1:3" x14ac:dyDescent="0.25">
      <c r="A853" s="222">
        <v>200157</v>
      </c>
      <c r="B853" s="223" t="s">
        <v>2297</v>
      </c>
      <c r="C853" s="221" t="s">
        <v>2298</v>
      </c>
    </row>
    <row r="854" spans="1:3" x14ac:dyDescent="0.25">
      <c r="A854" s="222">
        <v>200157</v>
      </c>
      <c r="B854" s="223" t="s">
        <v>2297</v>
      </c>
      <c r="C854" s="221" t="s">
        <v>2296</v>
      </c>
    </row>
    <row r="855" spans="1:3" x14ac:dyDescent="0.25">
      <c r="A855" s="222">
        <v>200158</v>
      </c>
      <c r="B855" s="223" t="s">
        <v>2300</v>
      </c>
      <c r="C855" s="221" t="s">
        <v>2301</v>
      </c>
    </row>
    <row r="856" spans="1:3" x14ac:dyDescent="0.25">
      <c r="A856" s="222">
        <v>200158</v>
      </c>
      <c r="B856" s="223" t="s">
        <v>2300</v>
      </c>
      <c r="C856" s="221" t="s">
        <v>2299</v>
      </c>
    </row>
    <row r="857" spans="1:3" x14ac:dyDescent="0.25">
      <c r="A857" s="222">
        <v>200159</v>
      </c>
      <c r="B857" s="223" t="s">
        <v>2303</v>
      </c>
      <c r="C857" s="221" t="s">
        <v>2304</v>
      </c>
    </row>
    <row r="858" spans="1:3" x14ac:dyDescent="0.25">
      <c r="A858" s="222">
        <v>200159</v>
      </c>
      <c r="B858" s="223" t="s">
        <v>2303</v>
      </c>
      <c r="C858" s="221" t="s">
        <v>2302</v>
      </c>
    </row>
    <row r="859" spans="1:3" x14ac:dyDescent="0.25">
      <c r="A859" s="222">
        <v>200160</v>
      </c>
      <c r="B859" s="223" t="s">
        <v>2306</v>
      </c>
      <c r="C859" s="221" t="s">
        <v>2307</v>
      </c>
    </row>
    <row r="860" spans="1:3" x14ac:dyDescent="0.25">
      <c r="A860" s="222">
        <v>200160</v>
      </c>
      <c r="B860" s="223" t="s">
        <v>2306</v>
      </c>
      <c r="C860" s="221" t="s">
        <v>2305</v>
      </c>
    </row>
    <row r="861" spans="1:3" x14ac:dyDescent="0.25">
      <c r="A861" s="222">
        <v>200161</v>
      </c>
      <c r="B861" s="223" t="s">
        <v>2309</v>
      </c>
      <c r="C861" s="221" t="s">
        <v>2310</v>
      </c>
    </row>
    <row r="862" spans="1:3" x14ac:dyDescent="0.25">
      <c r="A862" s="222">
        <v>200161</v>
      </c>
      <c r="B862" s="223" t="s">
        <v>2309</v>
      </c>
      <c r="C862" s="221" t="s">
        <v>2308</v>
      </c>
    </row>
    <row r="863" spans="1:3" x14ac:dyDescent="0.25">
      <c r="A863" s="222">
        <v>200162</v>
      </c>
      <c r="B863" s="223" t="s">
        <v>2312</v>
      </c>
      <c r="C863" s="221" t="s">
        <v>2313</v>
      </c>
    </row>
    <row r="864" spans="1:3" x14ac:dyDescent="0.25">
      <c r="A864" s="222">
        <v>200162</v>
      </c>
      <c r="B864" s="223" t="s">
        <v>2312</v>
      </c>
      <c r="C864" s="221" t="s">
        <v>2311</v>
      </c>
    </row>
    <row r="865" spans="1:3" x14ac:dyDescent="0.25">
      <c r="A865" s="222">
        <v>200163</v>
      </c>
      <c r="B865" s="223" t="s">
        <v>2315</v>
      </c>
      <c r="C865" s="221" t="s">
        <v>2316</v>
      </c>
    </row>
    <row r="866" spans="1:3" x14ac:dyDescent="0.25">
      <c r="A866" s="222">
        <v>200163</v>
      </c>
      <c r="B866" s="223" t="s">
        <v>2315</v>
      </c>
      <c r="C866" s="221" t="s">
        <v>2314</v>
      </c>
    </row>
    <row r="867" spans="1:3" x14ac:dyDescent="0.25">
      <c r="A867" s="222">
        <v>200164</v>
      </c>
      <c r="B867" s="223" t="s">
        <v>2318</v>
      </c>
      <c r="C867" s="221" t="s">
        <v>2319</v>
      </c>
    </row>
    <row r="868" spans="1:3" x14ac:dyDescent="0.25">
      <c r="A868" s="222">
        <v>200164</v>
      </c>
      <c r="B868" s="223" t="s">
        <v>2318</v>
      </c>
      <c r="C868" s="221" t="s">
        <v>2317</v>
      </c>
    </row>
    <row r="869" spans="1:3" x14ac:dyDescent="0.25">
      <c r="A869" s="222">
        <v>200165</v>
      </c>
      <c r="B869" s="223" t="s">
        <v>2321</v>
      </c>
      <c r="C869" s="221" t="s">
        <v>2322</v>
      </c>
    </row>
    <row r="870" spans="1:3" x14ac:dyDescent="0.25">
      <c r="A870" s="222">
        <v>200165</v>
      </c>
      <c r="B870" s="223" t="s">
        <v>2321</v>
      </c>
      <c r="C870" s="221" t="s">
        <v>2323</v>
      </c>
    </row>
    <row r="871" spans="1:3" x14ac:dyDescent="0.25">
      <c r="A871" s="222">
        <v>200165</v>
      </c>
      <c r="B871" s="223" t="s">
        <v>2321</v>
      </c>
      <c r="C871" s="221" t="s">
        <v>2320</v>
      </c>
    </row>
    <row r="872" spans="1:3" x14ac:dyDescent="0.25">
      <c r="A872" s="222">
        <v>200169</v>
      </c>
      <c r="B872" s="223" t="s">
        <v>2325</v>
      </c>
      <c r="C872" s="221" t="s">
        <v>2326</v>
      </c>
    </row>
    <row r="873" spans="1:3" x14ac:dyDescent="0.25">
      <c r="A873" s="222">
        <v>200169</v>
      </c>
      <c r="B873" s="223" t="s">
        <v>2325</v>
      </c>
      <c r="C873" s="221" t="s">
        <v>2324</v>
      </c>
    </row>
    <row r="874" spans="1:3" x14ac:dyDescent="0.25">
      <c r="A874" s="222">
        <v>200170</v>
      </c>
      <c r="B874" s="223" t="s">
        <v>2328</v>
      </c>
      <c r="C874" s="221" t="s">
        <v>2329</v>
      </c>
    </row>
    <row r="875" spans="1:3" x14ac:dyDescent="0.25">
      <c r="A875" s="222">
        <v>200170</v>
      </c>
      <c r="B875" s="223" t="s">
        <v>2328</v>
      </c>
      <c r="C875" s="221" t="s">
        <v>2327</v>
      </c>
    </row>
    <row r="876" spans="1:3" x14ac:dyDescent="0.25">
      <c r="A876" s="222">
        <v>200171</v>
      </c>
      <c r="B876" s="223" t="s">
        <v>2331</v>
      </c>
      <c r="C876" s="221" t="s">
        <v>2332</v>
      </c>
    </row>
    <row r="877" spans="1:3" x14ac:dyDescent="0.25">
      <c r="A877" s="222">
        <v>200171</v>
      </c>
      <c r="B877" s="223" t="s">
        <v>2331</v>
      </c>
      <c r="C877" s="221" t="s">
        <v>2330</v>
      </c>
    </row>
    <row r="878" spans="1:3" x14ac:dyDescent="0.25">
      <c r="A878" s="222">
        <v>200172</v>
      </c>
      <c r="B878" s="223" t="s">
        <v>2334</v>
      </c>
      <c r="C878" s="221" t="s">
        <v>2333</v>
      </c>
    </row>
    <row r="879" spans="1:3" x14ac:dyDescent="0.25">
      <c r="A879" s="222">
        <v>200173</v>
      </c>
      <c r="B879" s="223" t="s">
        <v>2336</v>
      </c>
      <c r="C879" s="221" t="s">
        <v>2335</v>
      </c>
    </row>
    <row r="880" spans="1:3" x14ac:dyDescent="0.25">
      <c r="A880" s="222">
        <v>200174</v>
      </c>
      <c r="B880" s="223" t="s">
        <v>2338</v>
      </c>
      <c r="C880" s="221" t="s">
        <v>2337</v>
      </c>
    </row>
    <row r="881" spans="1:3" x14ac:dyDescent="0.25">
      <c r="A881" s="222">
        <v>200175</v>
      </c>
      <c r="B881" s="223" t="s">
        <v>2340</v>
      </c>
      <c r="C881" s="221" t="s">
        <v>2339</v>
      </c>
    </row>
    <row r="882" spans="1:3" x14ac:dyDescent="0.25">
      <c r="A882" s="222">
        <v>200176</v>
      </c>
      <c r="B882" s="223" t="s">
        <v>2342</v>
      </c>
      <c r="C882" s="221" t="s">
        <v>2341</v>
      </c>
    </row>
    <row r="883" spans="1:3" x14ac:dyDescent="0.25">
      <c r="A883" s="222">
        <v>200177</v>
      </c>
      <c r="B883" s="223" t="s">
        <v>2344</v>
      </c>
      <c r="C883" s="221" t="s">
        <v>2343</v>
      </c>
    </row>
    <row r="884" spans="1:3" x14ac:dyDescent="0.25">
      <c r="A884" s="222">
        <v>200178</v>
      </c>
      <c r="B884" s="223" t="s">
        <v>2346</v>
      </c>
      <c r="C884" s="221" t="s">
        <v>2345</v>
      </c>
    </row>
    <row r="885" spans="1:3" x14ac:dyDescent="0.25">
      <c r="A885" s="222">
        <v>200179</v>
      </c>
      <c r="B885" s="223" t="s">
        <v>2348</v>
      </c>
      <c r="C885" s="221" t="s">
        <v>2347</v>
      </c>
    </row>
    <row r="886" spans="1:3" x14ac:dyDescent="0.25">
      <c r="A886" s="222">
        <v>200180</v>
      </c>
      <c r="B886" s="223" t="s">
        <v>2350</v>
      </c>
      <c r="C886" s="221" t="s">
        <v>2349</v>
      </c>
    </row>
    <row r="887" spans="1:3" x14ac:dyDescent="0.25">
      <c r="A887" s="222">
        <v>200181</v>
      </c>
      <c r="B887" s="223" t="s">
        <v>2352</v>
      </c>
      <c r="C887" s="221" t="s">
        <v>2351</v>
      </c>
    </row>
    <row r="888" spans="1:3" x14ac:dyDescent="0.25">
      <c r="A888" s="222">
        <v>200182</v>
      </c>
      <c r="B888" s="223" t="s">
        <v>2354</v>
      </c>
      <c r="C888" s="221" t="s">
        <v>2353</v>
      </c>
    </row>
    <row r="889" spans="1:3" x14ac:dyDescent="0.25">
      <c r="A889" s="222">
        <v>200183</v>
      </c>
      <c r="B889" s="223" t="s">
        <v>2356</v>
      </c>
      <c r="C889" s="221" t="s">
        <v>2355</v>
      </c>
    </row>
    <row r="890" spans="1:3" x14ac:dyDescent="0.25">
      <c r="A890" s="222">
        <v>200184</v>
      </c>
      <c r="B890" s="223" t="s">
        <v>2358</v>
      </c>
      <c r="C890" s="221" t="s">
        <v>2357</v>
      </c>
    </row>
    <row r="891" spans="1:3" x14ac:dyDescent="0.25">
      <c r="A891" s="222">
        <v>200185</v>
      </c>
      <c r="B891" s="223" t="s">
        <v>2360</v>
      </c>
      <c r="C891" s="221" t="s">
        <v>2359</v>
      </c>
    </row>
    <row r="892" spans="1:3" x14ac:dyDescent="0.25">
      <c r="A892" s="222">
        <v>200186</v>
      </c>
      <c r="B892" s="223" t="s">
        <v>2362</v>
      </c>
      <c r="C892" s="221" t="s">
        <v>2361</v>
      </c>
    </row>
    <row r="893" spans="1:3" x14ac:dyDescent="0.25">
      <c r="A893" s="222">
        <v>200187</v>
      </c>
      <c r="B893" s="223" t="s">
        <v>2364</v>
      </c>
      <c r="C893" s="221" t="s">
        <v>2363</v>
      </c>
    </row>
    <row r="894" spans="1:3" x14ac:dyDescent="0.25">
      <c r="A894" s="222">
        <v>200188</v>
      </c>
      <c r="B894" s="223" t="s">
        <v>2366</v>
      </c>
      <c r="C894" s="221" t="s">
        <v>2365</v>
      </c>
    </row>
    <row r="895" spans="1:3" x14ac:dyDescent="0.25">
      <c r="A895" s="222">
        <v>200189</v>
      </c>
      <c r="B895" s="223" t="s">
        <v>2368</v>
      </c>
      <c r="C895" s="221" t="s">
        <v>2367</v>
      </c>
    </row>
    <row r="896" spans="1:3" x14ac:dyDescent="0.25">
      <c r="A896" s="222">
        <v>200190</v>
      </c>
      <c r="B896" s="223" t="s">
        <v>2370</v>
      </c>
      <c r="C896" s="221" t="s">
        <v>2369</v>
      </c>
    </row>
    <row r="897" spans="1:3" x14ac:dyDescent="0.25">
      <c r="A897" s="222">
        <v>200191</v>
      </c>
      <c r="B897" s="223" t="s">
        <v>2372</v>
      </c>
      <c r="C897" s="221" t="s">
        <v>2371</v>
      </c>
    </row>
    <row r="898" spans="1:3" x14ac:dyDescent="0.25">
      <c r="A898" s="222">
        <v>200192</v>
      </c>
      <c r="B898" s="223" t="s">
        <v>2374</v>
      </c>
      <c r="C898" s="221" t="s">
        <v>2373</v>
      </c>
    </row>
    <row r="899" spans="1:3" x14ac:dyDescent="0.25">
      <c r="A899" s="222">
        <v>200193</v>
      </c>
      <c r="B899" s="223" t="s">
        <v>2376</v>
      </c>
      <c r="C899" s="221" t="s">
        <v>2375</v>
      </c>
    </row>
    <row r="900" spans="1:3" x14ac:dyDescent="0.25">
      <c r="A900" s="222">
        <v>200194</v>
      </c>
      <c r="B900" s="223" t="s">
        <v>2378</v>
      </c>
      <c r="C900" s="221" t="s">
        <v>2377</v>
      </c>
    </row>
    <row r="901" spans="1:3" x14ac:dyDescent="0.25">
      <c r="A901" s="222">
        <v>200195</v>
      </c>
      <c r="B901" s="223" t="s">
        <v>2380</v>
      </c>
      <c r="C901" s="221" t="s">
        <v>2379</v>
      </c>
    </row>
    <row r="902" spans="1:3" x14ac:dyDescent="0.25">
      <c r="A902" s="222">
        <v>200196</v>
      </c>
      <c r="B902" s="223" t="s">
        <v>2382</v>
      </c>
      <c r="C902" s="221" t="s">
        <v>2381</v>
      </c>
    </row>
    <row r="903" spans="1:3" x14ac:dyDescent="0.25">
      <c r="A903" s="222">
        <v>200197</v>
      </c>
      <c r="B903" s="223" t="s">
        <v>2384</v>
      </c>
      <c r="C903" s="221" t="s">
        <v>2383</v>
      </c>
    </row>
    <row r="904" spans="1:3" x14ac:dyDescent="0.25">
      <c r="A904" s="222">
        <v>200198</v>
      </c>
      <c r="B904" s="223" t="s">
        <v>2386</v>
      </c>
      <c r="C904" s="221" t="s">
        <v>2385</v>
      </c>
    </row>
    <row r="905" spans="1:3" x14ac:dyDescent="0.25">
      <c r="A905" s="222">
        <v>200199</v>
      </c>
      <c r="B905" s="223" t="s">
        <v>2388</v>
      </c>
      <c r="C905" s="221" t="s">
        <v>2387</v>
      </c>
    </row>
    <row r="906" spans="1:3" x14ac:dyDescent="0.25">
      <c r="A906" s="222">
        <v>200200</v>
      </c>
      <c r="B906" s="223" t="s">
        <v>2390</v>
      </c>
      <c r="C906" s="221" t="s">
        <v>2389</v>
      </c>
    </row>
    <row r="907" spans="1:3" x14ac:dyDescent="0.25">
      <c r="A907" s="222">
        <v>200201</v>
      </c>
      <c r="B907" s="223" t="s">
        <v>2391</v>
      </c>
      <c r="C907" s="221" t="s">
        <v>2392</v>
      </c>
    </row>
    <row r="908" spans="1:3" x14ac:dyDescent="0.25">
      <c r="A908" s="222">
        <v>200202</v>
      </c>
      <c r="B908" s="223" t="s">
        <v>2394</v>
      </c>
      <c r="C908" s="221" t="s">
        <v>2393</v>
      </c>
    </row>
    <row r="909" spans="1:3" x14ac:dyDescent="0.25">
      <c r="A909" s="222">
        <v>200203</v>
      </c>
      <c r="B909" s="223" t="s">
        <v>2396</v>
      </c>
      <c r="C909" s="221" t="s">
        <v>2395</v>
      </c>
    </row>
    <row r="910" spans="1:3" x14ac:dyDescent="0.25">
      <c r="A910" s="222">
        <v>200204</v>
      </c>
      <c r="B910" s="223" t="s">
        <v>2398</v>
      </c>
      <c r="C910" s="221" t="s">
        <v>2397</v>
      </c>
    </row>
    <row r="911" spans="1:3" x14ac:dyDescent="0.25">
      <c r="A911" s="222">
        <v>200205</v>
      </c>
      <c r="B911" s="223" t="s">
        <v>2400</v>
      </c>
      <c r="C911" s="221" t="s">
        <v>2399</v>
      </c>
    </row>
    <row r="912" spans="1:3" x14ac:dyDescent="0.25">
      <c r="A912" s="222">
        <v>200206</v>
      </c>
      <c r="B912" s="223" t="s">
        <v>2402</v>
      </c>
      <c r="C912" s="221" t="s">
        <v>2401</v>
      </c>
    </row>
    <row r="913" spans="1:3" x14ac:dyDescent="0.25">
      <c r="A913" s="222">
        <v>200207</v>
      </c>
      <c r="B913" s="223" t="s">
        <v>2404</v>
      </c>
      <c r="C913" s="221" t="s">
        <v>2403</v>
      </c>
    </row>
    <row r="914" spans="1:3" x14ac:dyDescent="0.25">
      <c r="A914" s="222">
        <v>200208</v>
      </c>
      <c r="B914" s="223" t="s">
        <v>2406</v>
      </c>
      <c r="C914" s="221" t="s">
        <v>2405</v>
      </c>
    </row>
    <row r="915" spans="1:3" x14ac:dyDescent="0.25">
      <c r="A915" s="222">
        <v>200209</v>
      </c>
      <c r="B915" s="223" t="s">
        <v>2408</v>
      </c>
      <c r="C915" s="221" t="s">
        <v>2407</v>
      </c>
    </row>
    <row r="916" spans="1:3" x14ac:dyDescent="0.25">
      <c r="A916" s="222">
        <v>200210</v>
      </c>
      <c r="B916" s="223" t="s">
        <v>2410</v>
      </c>
      <c r="C916" s="221" t="s">
        <v>2409</v>
      </c>
    </row>
    <row r="917" spans="1:3" x14ac:dyDescent="0.25">
      <c r="A917" s="222">
        <v>200211</v>
      </c>
      <c r="B917" s="223" t="s">
        <v>2412</v>
      </c>
      <c r="C917" s="221" t="s">
        <v>2411</v>
      </c>
    </row>
    <row r="918" spans="1:3" x14ac:dyDescent="0.25">
      <c r="A918" s="222">
        <v>200212</v>
      </c>
      <c r="B918" s="223" t="s">
        <v>2414</v>
      </c>
      <c r="C918" s="221" t="s">
        <v>2413</v>
      </c>
    </row>
    <row r="919" spans="1:3" x14ac:dyDescent="0.25">
      <c r="A919" s="222">
        <v>200213</v>
      </c>
      <c r="B919" s="223" t="s">
        <v>2416</v>
      </c>
      <c r="C919" s="221" t="s">
        <v>2415</v>
      </c>
    </row>
    <row r="920" spans="1:3" x14ac:dyDescent="0.25">
      <c r="A920" s="222">
        <v>200214</v>
      </c>
      <c r="B920" s="223" t="s">
        <v>2418</v>
      </c>
      <c r="C920" s="221" t="s">
        <v>2417</v>
      </c>
    </row>
    <row r="921" spans="1:3" x14ac:dyDescent="0.25">
      <c r="A921" s="222">
        <v>200215</v>
      </c>
      <c r="B921" s="223" t="s">
        <v>2420</v>
      </c>
      <c r="C921" s="221" t="s">
        <v>2419</v>
      </c>
    </row>
    <row r="922" spans="1:3" x14ac:dyDescent="0.25">
      <c r="A922" s="222">
        <v>200216</v>
      </c>
      <c r="B922" s="223" t="s">
        <v>2422</v>
      </c>
      <c r="C922" s="221" t="s">
        <v>2421</v>
      </c>
    </row>
    <row r="923" spans="1:3" x14ac:dyDescent="0.25">
      <c r="A923" s="222">
        <v>200217</v>
      </c>
      <c r="B923" s="223" t="s">
        <v>2424</v>
      </c>
      <c r="C923" s="221" t="s">
        <v>2423</v>
      </c>
    </row>
    <row r="924" spans="1:3" x14ac:dyDescent="0.25">
      <c r="A924" s="222">
        <v>200218</v>
      </c>
      <c r="B924" s="223" t="s">
        <v>2426</v>
      </c>
      <c r="C924" s="221" t="s">
        <v>2425</v>
      </c>
    </row>
    <row r="925" spans="1:3" x14ac:dyDescent="0.25">
      <c r="A925" s="222">
        <v>200219</v>
      </c>
      <c r="B925" s="223" t="s">
        <v>2428</v>
      </c>
      <c r="C925" s="221" t="s">
        <v>2427</v>
      </c>
    </row>
    <row r="926" spans="1:3" x14ac:dyDescent="0.25">
      <c r="A926" s="222">
        <v>200220</v>
      </c>
      <c r="B926" s="223" t="s">
        <v>2430</v>
      </c>
      <c r="C926" s="221" t="s">
        <v>2429</v>
      </c>
    </row>
    <row r="927" spans="1:3" x14ac:dyDescent="0.25">
      <c r="A927" s="222">
        <v>200221</v>
      </c>
      <c r="B927" s="223" t="s">
        <v>2432</v>
      </c>
      <c r="C927" s="221" t="s">
        <v>2431</v>
      </c>
    </row>
    <row r="928" spans="1:3" x14ac:dyDescent="0.25">
      <c r="A928" s="222">
        <v>200222</v>
      </c>
      <c r="B928" s="223" t="s">
        <v>2434</v>
      </c>
      <c r="C928" s="221" t="s">
        <v>2433</v>
      </c>
    </row>
    <row r="929" spans="1:3" x14ac:dyDescent="0.25">
      <c r="A929" s="222">
        <v>200223</v>
      </c>
      <c r="B929" s="223" t="s">
        <v>2436</v>
      </c>
      <c r="C929" s="221" t="s">
        <v>2435</v>
      </c>
    </row>
    <row r="930" spans="1:3" x14ac:dyDescent="0.25">
      <c r="A930" s="222">
        <v>200224</v>
      </c>
      <c r="B930" s="223" t="s">
        <v>2438</v>
      </c>
      <c r="C930" s="221" t="s">
        <v>2437</v>
      </c>
    </row>
    <row r="931" spans="1:3" x14ac:dyDescent="0.25">
      <c r="A931" s="222">
        <v>200225</v>
      </c>
      <c r="B931" s="223" t="s">
        <v>2440</v>
      </c>
      <c r="C931" s="221" t="s">
        <v>2439</v>
      </c>
    </row>
    <row r="932" spans="1:3" x14ac:dyDescent="0.25">
      <c r="A932" s="222">
        <v>200226</v>
      </c>
      <c r="B932" s="223" t="s">
        <v>2442</v>
      </c>
      <c r="C932" s="221" t="s">
        <v>2441</v>
      </c>
    </row>
    <row r="933" spans="1:3" x14ac:dyDescent="0.25">
      <c r="A933" s="222">
        <v>200227</v>
      </c>
      <c r="B933" s="223" t="s">
        <v>2444</v>
      </c>
      <c r="C933" s="221" t="s">
        <v>2443</v>
      </c>
    </row>
    <row r="934" spans="1:3" x14ac:dyDescent="0.25">
      <c r="A934" s="222">
        <v>200228</v>
      </c>
      <c r="B934" s="223" t="s">
        <v>2446</v>
      </c>
      <c r="C934" s="221" t="s">
        <v>2445</v>
      </c>
    </row>
    <row r="935" spans="1:3" x14ac:dyDescent="0.25">
      <c r="A935" s="222">
        <v>200229</v>
      </c>
      <c r="B935" s="223" t="s">
        <v>2448</v>
      </c>
      <c r="C935" s="221" t="s">
        <v>2447</v>
      </c>
    </row>
    <row r="936" spans="1:3" x14ac:dyDescent="0.25">
      <c r="A936" s="222">
        <v>200230</v>
      </c>
      <c r="B936" s="223" t="s">
        <v>2450</v>
      </c>
      <c r="C936" s="221" t="s">
        <v>2449</v>
      </c>
    </row>
    <row r="937" spans="1:3" x14ac:dyDescent="0.25">
      <c r="A937" s="222">
        <v>200231</v>
      </c>
      <c r="B937" s="223" t="s">
        <v>2452</v>
      </c>
      <c r="C937" s="221" t="s">
        <v>2451</v>
      </c>
    </row>
    <row r="938" spans="1:3" x14ac:dyDescent="0.25">
      <c r="A938" s="222">
        <v>200232</v>
      </c>
      <c r="B938" s="223" t="s">
        <v>2454</v>
      </c>
      <c r="C938" s="221" t="s">
        <v>2453</v>
      </c>
    </row>
    <row r="939" spans="1:3" x14ac:dyDescent="0.25">
      <c r="A939" s="222">
        <v>200232</v>
      </c>
      <c r="B939" s="223" t="s">
        <v>2454</v>
      </c>
      <c r="C939" s="221" t="s">
        <v>2453</v>
      </c>
    </row>
    <row r="940" spans="1:3" x14ac:dyDescent="0.25">
      <c r="A940" s="222">
        <v>200233</v>
      </c>
      <c r="B940" s="223" t="s">
        <v>2456</v>
      </c>
      <c r="C940" s="221" t="s">
        <v>2455</v>
      </c>
    </row>
    <row r="941" spans="1:3" x14ac:dyDescent="0.25">
      <c r="A941" s="222">
        <v>200234</v>
      </c>
      <c r="B941" s="223" t="s">
        <v>2458</v>
      </c>
      <c r="C941" s="221" t="s">
        <v>2457</v>
      </c>
    </row>
    <row r="942" spans="1:3" x14ac:dyDescent="0.25">
      <c r="A942" s="222">
        <v>200235</v>
      </c>
      <c r="B942" s="223" t="s">
        <v>2460</v>
      </c>
      <c r="C942" s="221" t="s">
        <v>2459</v>
      </c>
    </row>
    <row r="943" spans="1:3" x14ac:dyDescent="0.25">
      <c r="A943" s="222">
        <v>200251</v>
      </c>
      <c r="B943" s="223" t="s">
        <v>2462</v>
      </c>
      <c r="C943" s="221" t="s">
        <v>2461</v>
      </c>
    </row>
    <row r="944" spans="1:3" x14ac:dyDescent="0.25">
      <c r="A944" s="222">
        <v>200254</v>
      </c>
      <c r="B944" s="223" t="s">
        <v>2463</v>
      </c>
      <c r="C944" s="221" t="s">
        <v>2464</v>
      </c>
    </row>
    <row r="945" spans="1:3" x14ac:dyDescent="0.25">
      <c r="A945" s="222">
        <v>200278</v>
      </c>
      <c r="B945" s="223" t="s">
        <v>2465</v>
      </c>
      <c r="C945" s="221" t="s">
        <v>2466</v>
      </c>
    </row>
    <row r="946" spans="1:3" x14ac:dyDescent="0.25">
      <c r="A946" s="222">
        <v>200279</v>
      </c>
      <c r="B946" s="223" t="s">
        <v>2467</v>
      </c>
      <c r="C946" s="221" t="s">
        <v>2468</v>
      </c>
    </row>
    <row r="947" spans="1:3" x14ac:dyDescent="0.25">
      <c r="A947" s="222">
        <v>200281</v>
      </c>
      <c r="B947" s="223" t="s">
        <v>2469</v>
      </c>
      <c r="C947" s="221" t="s">
        <v>2470</v>
      </c>
    </row>
    <row r="948" spans="1:3" x14ac:dyDescent="0.25">
      <c r="A948" s="222">
        <v>200296</v>
      </c>
      <c r="B948" s="223" t="s">
        <v>2472</v>
      </c>
      <c r="C948" s="221" t="s">
        <v>2471</v>
      </c>
    </row>
    <row r="949" spans="1:3" x14ac:dyDescent="0.25">
      <c r="A949" s="222">
        <v>200296</v>
      </c>
      <c r="B949" s="223" t="s">
        <v>2472</v>
      </c>
      <c r="C949" s="221" t="s">
        <v>2471</v>
      </c>
    </row>
    <row r="950" spans="1:3" x14ac:dyDescent="0.25">
      <c r="A950" s="222">
        <v>210001</v>
      </c>
      <c r="B950" s="223" t="s">
        <v>2474</v>
      </c>
      <c r="C950" s="221" t="s">
        <v>2475</v>
      </c>
    </row>
    <row r="951" spans="1:3" x14ac:dyDescent="0.25">
      <c r="A951" s="222">
        <v>210001</v>
      </c>
      <c r="B951" s="223" t="s">
        <v>2474</v>
      </c>
      <c r="C951" s="221" t="s">
        <v>2473</v>
      </c>
    </row>
    <row r="952" spans="1:3" x14ac:dyDescent="0.25">
      <c r="A952" s="222">
        <v>210002</v>
      </c>
      <c r="B952" s="223" t="s">
        <v>2477</v>
      </c>
      <c r="C952" s="221" t="s">
        <v>2478</v>
      </c>
    </row>
    <row r="953" spans="1:3" x14ac:dyDescent="0.25">
      <c r="A953" s="222">
        <v>210002</v>
      </c>
      <c r="B953" s="223" t="s">
        <v>2477</v>
      </c>
      <c r="C953" s="221" t="s">
        <v>2476</v>
      </c>
    </row>
    <row r="954" spans="1:3" x14ac:dyDescent="0.25">
      <c r="A954" s="222">
        <v>210003</v>
      </c>
      <c r="B954" s="223" t="s">
        <v>2480</v>
      </c>
      <c r="C954" s="221" t="s">
        <v>2481</v>
      </c>
    </row>
    <row r="955" spans="1:3" x14ac:dyDescent="0.25">
      <c r="A955" s="222">
        <v>210003</v>
      </c>
      <c r="B955" s="223" t="s">
        <v>2480</v>
      </c>
      <c r="C955" s="221" t="s">
        <v>2479</v>
      </c>
    </row>
    <row r="956" spans="1:3" x14ac:dyDescent="0.25">
      <c r="A956" s="222">
        <v>210004</v>
      </c>
      <c r="B956" s="223" t="s">
        <v>2483</v>
      </c>
      <c r="C956" s="221" t="s">
        <v>2484</v>
      </c>
    </row>
    <row r="957" spans="1:3" x14ac:dyDescent="0.25">
      <c r="A957" s="222">
        <v>210004</v>
      </c>
      <c r="B957" s="223" t="s">
        <v>2483</v>
      </c>
      <c r="C957" s="221" t="s">
        <v>2482</v>
      </c>
    </row>
    <row r="958" spans="1:3" x14ac:dyDescent="0.25">
      <c r="A958" s="222">
        <v>210005</v>
      </c>
      <c r="B958" s="223" t="s">
        <v>2486</v>
      </c>
      <c r="C958" s="221" t="s">
        <v>2487</v>
      </c>
    </row>
    <row r="959" spans="1:3" x14ac:dyDescent="0.25">
      <c r="A959" s="222">
        <v>210005</v>
      </c>
      <c r="B959" s="223" t="s">
        <v>2486</v>
      </c>
      <c r="C959" s="221" t="s">
        <v>2485</v>
      </c>
    </row>
    <row r="960" spans="1:3" x14ac:dyDescent="0.25">
      <c r="A960" s="222">
        <v>210006</v>
      </c>
      <c r="B960" s="223" t="s">
        <v>2489</v>
      </c>
      <c r="C960" s="221" t="s">
        <v>2490</v>
      </c>
    </row>
    <row r="961" spans="1:3" x14ac:dyDescent="0.25">
      <c r="A961" s="222">
        <v>210006</v>
      </c>
      <c r="B961" s="223" t="s">
        <v>2489</v>
      </c>
      <c r="C961" s="221" t="s">
        <v>2488</v>
      </c>
    </row>
    <row r="962" spans="1:3" x14ac:dyDescent="0.25">
      <c r="A962" s="222">
        <v>210007</v>
      </c>
      <c r="B962" s="223" t="s">
        <v>2492</v>
      </c>
      <c r="C962" s="221" t="s">
        <v>2493</v>
      </c>
    </row>
    <row r="963" spans="1:3" x14ac:dyDescent="0.25">
      <c r="A963" s="222">
        <v>210007</v>
      </c>
      <c r="B963" s="223" t="s">
        <v>2492</v>
      </c>
      <c r="C963" s="221" t="s">
        <v>2491</v>
      </c>
    </row>
    <row r="964" spans="1:3" x14ac:dyDescent="0.25">
      <c r="A964" s="222">
        <v>210008</v>
      </c>
      <c r="B964" s="223" t="s">
        <v>2495</v>
      </c>
      <c r="C964" s="221" t="s">
        <v>2496</v>
      </c>
    </row>
    <row r="965" spans="1:3" x14ac:dyDescent="0.25">
      <c r="A965" s="222">
        <v>210008</v>
      </c>
      <c r="B965" s="223" t="s">
        <v>2495</v>
      </c>
      <c r="C965" s="221" t="s">
        <v>2494</v>
      </c>
    </row>
    <row r="966" spans="1:3" x14ac:dyDescent="0.25">
      <c r="A966" s="222">
        <v>210009</v>
      </c>
      <c r="B966" s="223" t="s">
        <v>2498</v>
      </c>
      <c r="C966" s="221" t="s">
        <v>2499</v>
      </c>
    </row>
    <row r="967" spans="1:3" x14ac:dyDescent="0.25">
      <c r="A967" s="222">
        <v>210009</v>
      </c>
      <c r="B967" s="223" t="s">
        <v>2498</v>
      </c>
      <c r="C967" s="221" t="s">
        <v>2497</v>
      </c>
    </row>
    <row r="968" spans="1:3" x14ac:dyDescent="0.25">
      <c r="A968" s="222">
        <v>210010</v>
      </c>
      <c r="B968" s="223" t="s">
        <v>2501</v>
      </c>
      <c r="C968" s="221" t="s">
        <v>2502</v>
      </c>
    </row>
    <row r="969" spans="1:3" x14ac:dyDescent="0.25">
      <c r="A969" s="222">
        <v>210010</v>
      </c>
      <c r="B969" s="223" t="s">
        <v>2501</v>
      </c>
      <c r="C969" s="221" t="s">
        <v>2500</v>
      </c>
    </row>
    <row r="970" spans="1:3" x14ac:dyDescent="0.25">
      <c r="A970" s="222">
        <v>210011</v>
      </c>
      <c r="B970" s="223" t="s">
        <v>2504</v>
      </c>
      <c r="C970" s="221" t="s">
        <v>2505</v>
      </c>
    </row>
    <row r="971" spans="1:3" x14ac:dyDescent="0.25">
      <c r="A971" s="222">
        <v>210011</v>
      </c>
      <c r="B971" s="223" t="s">
        <v>2504</v>
      </c>
      <c r="C971" s="221" t="s">
        <v>2503</v>
      </c>
    </row>
    <row r="972" spans="1:3" x14ac:dyDescent="0.25">
      <c r="A972" s="222">
        <v>210012</v>
      </c>
      <c r="B972" s="223" t="s">
        <v>2507</v>
      </c>
      <c r="C972" s="221" t="s">
        <v>2508</v>
      </c>
    </row>
    <row r="973" spans="1:3" x14ac:dyDescent="0.25">
      <c r="A973" s="222">
        <v>210012</v>
      </c>
      <c r="B973" s="223" t="s">
        <v>2507</v>
      </c>
      <c r="C973" s="221" t="s">
        <v>2506</v>
      </c>
    </row>
    <row r="974" spans="1:3" x14ac:dyDescent="0.25">
      <c r="A974" s="222">
        <v>210013</v>
      </c>
      <c r="B974" s="223" t="s">
        <v>2510</v>
      </c>
      <c r="C974" s="221" t="s">
        <v>2511</v>
      </c>
    </row>
    <row r="975" spans="1:3" x14ac:dyDescent="0.25">
      <c r="A975" s="222">
        <v>210013</v>
      </c>
      <c r="B975" s="223" t="s">
        <v>2510</v>
      </c>
      <c r="C975" s="221" t="s">
        <v>2509</v>
      </c>
    </row>
    <row r="976" spans="1:3" x14ac:dyDescent="0.25">
      <c r="A976" s="222">
        <v>210014</v>
      </c>
      <c r="B976" s="223" t="s">
        <v>2513</v>
      </c>
      <c r="C976" s="221" t="s">
        <v>2514</v>
      </c>
    </row>
    <row r="977" spans="1:3" x14ac:dyDescent="0.25">
      <c r="A977" s="222">
        <v>210014</v>
      </c>
      <c r="B977" s="223" t="s">
        <v>2513</v>
      </c>
      <c r="C977" s="221" t="s">
        <v>2512</v>
      </c>
    </row>
    <row r="978" spans="1:3" x14ac:dyDescent="0.25">
      <c r="A978" s="222">
        <v>210015</v>
      </c>
      <c r="B978" s="223" t="s">
        <v>2516</v>
      </c>
      <c r="C978" s="221" t="s">
        <v>2517</v>
      </c>
    </row>
    <row r="979" spans="1:3" x14ac:dyDescent="0.25">
      <c r="A979" s="222">
        <v>210015</v>
      </c>
      <c r="B979" s="223" t="s">
        <v>2516</v>
      </c>
      <c r="C979" s="221" t="s">
        <v>2515</v>
      </c>
    </row>
    <row r="980" spans="1:3" x14ac:dyDescent="0.25">
      <c r="A980" s="222">
        <v>210016</v>
      </c>
      <c r="B980" s="223" t="s">
        <v>2519</v>
      </c>
      <c r="C980" s="221" t="s">
        <v>2520</v>
      </c>
    </row>
    <row r="981" spans="1:3" x14ac:dyDescent="0.25">
      <c r="A981" s="222">
        <v>210016</v>
      </c>
      <c r="B981" s="223" t="s">
        <v>2519</v>
      </c>
      <c r="C981" s="221" t="s">
        <v>2518</v>
      </c>
    </row>
    <row r="982" spans="1:3" x14ac:dyDescent="0.25">
      <c r="A982" s="222">
        <v>210017</v>
      </c>
      <c r="B982" s="223" t="s">
        <v>2522</v>
      </c>
      <c r="C982" s="221" t="s">
        <v>2523</v>
      </c>
    </row>
    <row r="983" spans="1:3" x14ac:dyDescent="0.25">
      <c r="A983" s="222">
        <v>210017</v>
      </c>
      <c r="B983" s="223" t="s">
        <v>2522</v>
      </c>
      <c r="C983" s="221" t="s">
        <v>2521</v>
      </c>
    </row>
    <row r="984" spans="1:3" x14ac:dyDescent="0.25">
      <c r="A984" s="222">
        <v>210018</v>
      </c>
      <c r="B984" s="223" t="s">
        <v>2525</v>
      </c>
      <c r="C984" s="221" t="s">
        <v>2526</v>
      </c>
    </row>
    <row r="985" spans="1:3" x14ac:dyDescent="0.25">
      <c r="A985" s="222">
        <v>210018</v>
      </c>
      <c r="B985" s="223" t="s">
        <v>2525</v>
      </c>
      <c r="C985" s="221" t="s">
        <v>2524</v>
      </c>
    </row>
    <row r="986" spans="1:3" x14ac:dyDescent="0.25">
      <c r="A986" s="222">
        <v>210019</v>
      </c>
      <c r="B986" s="223" t="s">
        <v>2528</v>
      </c>
      <c r="C986" s="221" t="s">
        <v>2529</v>
      </c>
    </row>
    <row r="987" spans="1:3" x14ac:dyDescent="0.25">
      <c r="A987" s="222">
        <v>210019</v>
      </c>
      <c r="B987" s="223" t="s">
        <v>2528</v>
      </c>
      <c r="C987" s="221" t="s">
        <v>2527</v>
      </c>
    </row>
    <row r="988" spans="1:3" x14ac:dyDescent="0.25">
      <c r="A988" s="222">
        <v>210020</v>
      </c>
      <c r="B988" s="223" t="s">
        <v>2531</v>
      </c>
      <c r="C988" s="221" t="s">
        <v>2532</v>
      </c>
    </row>
    <row r="989" spans="1:3" x14ac:dyDescent="0.25">
      <c r="A989" s="222">
        <v>210020</v>
      </c>
      <c r="B989" s="223" t="s">
        <v>2531</v>
      </c>
      <c r="C989" s="221" t="s">
        <v>2530</v>
      </c>
    </row>
    <row r="990" spans="1:3" x14ac:dyDescent="0.25">
      <c r="A990" s="222">
        <v>210021</v>
      </c>
      <c r="B990" s="223" t="s">
        <v>2531</v>
      </c>
      <c r="C990" s="221" t="s">
        <v>2534</v>
      </c>
    </row>
    <row r="991" spans="1:3" x14ac:dyDescent="0.25">
      <c r="A991" s="222">
        <v>210021</v>
      </c>
      <c r="B991" s="223" t="s">
        <v>2531</v>
      </c>
      <c r="C991" s="221" t="s">
        <v>2533</v>
      </c>
    </row>
    <row r="992" spans="1:3" x14ac:dyDescent="0.25">
      <c r="A992" s="222">
        <v>210022</v>
      </c>
      <c r="B992" s="223" t="s">
        <v>2536</v>
      </c>
      <c r="C992" s="221" t="s">
        <v>2537</v>
      </c>
    </row>
    <row r="993" spans="1:3" x14ac:dyDescent="0.25">
      <c r="A993" s="222">
        <v>210022</v>
      </c>
      <c r="B993" s="223" t="s">
        <v>2536</v>
      </c>
      <c r="C993" s="221" t="s">
        <v>2535</v>
      </c>
    </row>
    <row r="994" spans="1:3" x14ac:dyDescent="0.25">
      <c r="A994" s="222">
        <v>210023</v>
      </c>
      <c r="B994" s="223" t="s">
        <v>2539</v>
      </c>
      <c r="C994" s="221" t="s">
        <v>2540</v>
      </c>
    </row>
    <row r="995" spans="1:3" x14ac:dyDescent="0.25">
      <c r="A995" s="222">
        <v>210023</v>
      </c>
      <c r="B995" s="223" t="s">
        <v>2539</v>
      </c>
      <c r="C995" s="221" t="s">
        <v>2538</v>
      </c>
    </row>
    <row r="996" spans="1:3" x14ac:dyDescent="0.25">
      <c r="A996" s="222">
        <v>210024</v>
      </c>
      <c r="B996" s="223" t="s">
        <v>2536</v>
      </c>
      <c r="C996" s="221" t="s">
        <v>2542</v>
      </c>
    </row>
    <row r="997" spans="1:3" x14ac:dyDescent="0.25">
      <c r="A997" s="222">
        <v>210024</v>
      </c>
      <c r="B997" s="223" t="s">
        <v>2536</v>
      </c>
      <c r="C997" s="221" t="s">
        <v>2541</v>
      </c>
    </row>
    <row r="998" spans="1:3" x14ac:dyDescent="0.25">
      <c r="A998" s="222">
        <v>210025</v>
      </c>
      <c r="B998" s="223" t="s">
        <v>2544</v>
      </c>
      <c r="C998" s="221" t="s">
        <v>2545</v>
      </c>
    </row>
    <row r="999" spans="1:3" x14ac:dyDescent="0.25">
      <c r="A999" s="222">
        <v>210025</v>
      </c>
      <c r="B999" s="223" t="s">
        <v>2544</v>
      </c>
      <c r="C999" s="221" t="s">
        <v>2543</v>
      </c>
    </row>
    <row r="1000" spans="1:3" x14ac:dyDescent="0.25">
      <c r="A1000" s="222">
        <v>210026</v>
      </c>
      <c r="B1000" s="223" t="s">
        <v>2547</v>
      </c>
      <c r="C1000" s="221" t="s">
        <v>2548</v>
      </c>
    </row>
    <row r="1001" spans="1:3" x14ac:dyDescent="0.25">
      <c r="A1001" s="222">
        <v>210026</v>
      </c>
      <c r="B1001" s="223" t="s">
        <v>2547</v>
      </c>
      <c r="C1001" s="221" t="s">
        <v>2546</v>
      </c>
    </row>
    <row r="1002" spans="1:3" x14ac:dyDescent="0.25">
      <c r="A1002" s="222">
        <v>210027</v>
      </c>
      <c r="B1002" s="223" t="s">
        <v>2547</v>
      </c>
      <c r="C1002" s="221" t="s">
        <v>2550</v>
      </c>
    </row>
    <row r="1003" spans="1:3" x14ac:dyDescent="0.25">
      <c r="A1003" s="222">
        <v>210027</v>
      </c>
      <c r="B1003" s="223" t="s">
        <v>2547</v>
      </c>
      <c r="C1003" s="221" t="s">
        <v>2549</v>
      </c>
    </row>
    <row r="1004" spans="1:3" x14ac:dyDescent="0.25">
      <c r="A1004" s="222">
        <v>210028</v>
      </c>
      <c r="B1004" s="223" t="s">
        <v>2552</v>
      </c>
      <c r="C1004" s="221" t="s">
        <v>2553</v>
      </c>
    </row>
    <row r="1005" spans="1:3" x14ac:dyDescent="0.25">
      <c r="A1005" s="222">
        <v>210028</v>
      </c>
      <c r="B1005" s="223" t="s">
        <v>2552</v>
      </c>
      <c r="C1005" s="221" t="s">
        <v>2551</v>
      </c>
    </row>
    <row r="1006" spans="1:3" x14ac:dyDescent="0.25">
      <c r="A1006" s="222">
        <v>210029</v>
      </c>
      <c r="B1006" s="223" t="s">
        <v>2555</v>
      </c>
      <c r="C1006" s="221" t="s">
        <v>2556</v>
      </c>
    </row>
    <row r="1007" spans="1:3" x14ac:dyDescent="0.25">
      <c r="A1007" s="222">
        <v>210029</v>
      </c>
      <c r="B1007" s="223" t="s">
        <v>2555</v>
      </c>
      <c r="C1007" s="221" t="s">
        <v>2554</v>
      </c>
    </row>
    <row r="1008" spans="1:3" x14ac:dyDescent="0.25">
      <c r="A1008" s="222">
        <v>210030</v>
      </c>
      <c r="B1008" s="223" t="s">
        <v>2558</v>
      </c>
      <c r="C1008" s="221" t="s">
        <v>2559</v>
      </c>
    </row>
    <row r="1009" spans="1:3" x14ac:dyDescent="0.25">
      <c r="A1009" s="222">
        <v>210030</v>
      </c>
      <c r="B1009" s="223" t="s">
        <v>2558</v>
      </c>
      <c r="C1009" s="221" t="s">
        <v>2557</v>
      </c>
    </row>
    <row r="1010" spans="1:3" x14ac:dyDescent="0.25">
      <c r="A1010" s="222">
        <v>210031</v>
      </c>
      <c r="B1010" s="223" t="s">
        <v>2561</v>
      </c>
      <c r="C1010" s="221" t="s">
        <v>2562</v>
      </c>
    </row>
    <row r="1011" spans="1:3" x14ac:dyDescent="0.25">
      <c r="A1011" s="222">
        <v>210031</v>
      </c>
      <c r="B1011" s="223" t="s">
        <v>2561</v>
      </c>
      <c r="C1011" s="221" t="s">
        <v>2560</v>
      </c>
    </row>
    <row r="1012" spans="1:3" x14ac:dyDescent="0.25">
      <c r="A1012" s="222">
        <v>210032</v>
      </c>
      <c r="B1012" s="223" t="s">
        <v>2564</v>
      </c>
      <c r="C1012" s="221" t="s">
        <v>2565</v>
      </c>
    </row>
    <row r="1013" spans="1:3" x14ac:dyDescent="0.25">
      <c r="A1013" s="222">
        <v>210032</v>
      </c>
      <c r="B1013" s="223" t="s">
        <v>2564</v>
      </c>
      <c r="C1013" s="221" t="s">
        <v>2563</v>
      </c>
    </row>
    <row r="1014" spans="1:3" x14ac:dyDescent="0.25">
      <c r="A1014" s="222">
        <v>210033</v>
      </c>
      <c r="B1014" s="223" t="s">
        <v>2567</v>
      </c>
      <c r="C1014" s="221" t="s">
        <v>2568</v>
      </c>
    </row>
    <row r="1015" spans="1:3" x14ac:dyDescent="0.25">
      <c r="A1015" s="222">
        <v>210033</v>
      </c>
      <c r="B1015" s="223" t="s">
        <v>2567</v>
      </c>
      <c r="C1015" s="221" t="s">
        <v>2566</v>
      </c>
    </row>
    <row r="1016" spans="1:3" x14ac:dyDescent="0.25">
      <c r="A1016" s="222">
        <v>210034</v>
      </c>
      <c r="B1016" s="223" t="s">
        <v>2570</v>
      </c>
      <c r="C1016" s="221" t="s">
        <v>2571</v>
      </c>
    </row>
    <row r="1017" spans="1:3" x14ac:dyDescent="0.25">
      <c r="A1017" s="222">
        <v>210034</v>
      </c>
      <c r="B1017" s="223" t="s">
        <v>2570</v>
      </c>
      <c r="C1017" s="221" t="s">
        <v>2569</v>
      </c>
    </row>
    <row r="1018" spans="1:3" x14ac:dyDescent="0.25">
      <c r="A1018" s="222">
        <v>210035</v>
      </c>
      <c r="B1018" s="223" t="s">
        <v>2573</v>
      </c>
      <c r="C1018" s="221" t="s">
        <v>2574</v>
      </c>
    </row>
    <row r="1019" spans="1:3" x14ac:dyDescent="0.25">
      <c r="A1019" s="222">
        <v>210035</v>
      </c>
      <c r="B1019" s="223" t="s">
        <v>2573</v>
      </c>
      <c r="C1019" s="221" t="s">
        <v>2572</v>
      </c>
    </row>
    <row r="1020" spans="1:3" x14ac:dyDescent="0.25">
      <c r="A1020" s="222">
        <v>210036</v>
      </c>
      <c r="B1020" s="223" t="s">
        <v>2576</v>
      </c>
      <c r="C1020" s="221" t="s">
        <v>2577</v>
      </c>
    </row>
    <row r="1021" spans="1:3" x14ac:dyDescent="0.25">
      <c r="A1021" s="222">
        <v>210036</v>
      </c>
      <c r="B1021" s="223" t="s">
        <v>2576</v>
      </c>
      <c r="C1021" s="221" t="s">
        <v>2575</v>
      </c>
    </row>
    <row r="1022" spans="1:3" x14ac:dyDescent="0.25">
      <c r="A1022" s="222">
        <v>210037</v>
      </c>
      <c r="B1022" s="223" t="s">
        <v>2579</v>
      </c>
      <c r="C1022" s="221" t="s">
        <v>2580</v>
      </c>
    </row>
    <row r="1023" spans="1:3" x14ac:dyDescent="0.25">
      <c r="A1023" s="222">
        <v>210037</v>
      </c>
      <c r="B1023" s="223" t="s">
        <v>2579</v>
      </c>
      <c r="C1023" s="221" t="s">
        <v>2578</v>
      </c>
    </row>
    <row r="1024" spans="1:3" x14ac:dyDescent="0.25">
      <c r="A1024" s="222">
        <v>210038</v>
      </c>
      <c r="B1024" s="223" t="s">
        <v>2582</v>
      </c>
      <c r="C1024" s="221" t="s">
        <v>2583</v>
      </c>
    </row>
    <row r="1025" spans="1:3" x14ac:dyDescent="0.25">
      <c r="A1025" s="222">
        <v>210038</v>
      </c>
      <c r="B1025" s="223" t="s">
        <v>2582</v>
      </c>
      <c r="C1025" s="221" t="s">
        <v>2581</v>
      </c>
    </row>
    <row r="1026" spans="1:3" x14ac:dyDescent="0.25">
      <c r="A1026" s="222">
        <v>210039</v>
      </c>
      <c r="B1026" s="223" t="s">
        <v>2585</v>
      </c>
      <c r="C1026" s="221" t="s">
        <v>2586</v>
      </c>
    </row>
    <row r="1027" spans="1:3" x14ac:dyDescent="0.25">
      <c r="A1027" s="222">
        <v>210039</v>
      </c>
      <c r="B1027" s="223" t="s">
        <v>2585</v>
      </c>
      <c r="C1027" s="221" t="s">
        <v>2584</v>
      </c>
    </row>
    <row r="1028" spans="1:3" x14ac:dyDescent="0.25">
      <c r="A1028" s="222">
        <v>210040</v>
      </c>
      <c r="B1028" s="223" t="s">
        <v>2588</v>
      </c>
      <c r="C1028" s="221" t="s">
        <v>2589</v>
      </c>
    </row>
    <row r="1029" spans="1:3" x14ac:dyDescent="0.25">
      <c r="A1029" s="222">
        <v>210040</v>
      </c>
      <c r="B1029" s="223" t="s">
        <v>2588</v>
      </c>
      <c r="C1029" s="221" t="s">
        <v>2587</v>
      </c>
    </row>
    <row r="1030" spans="1:3" x14ac:dyDescent="0.25">
      <c r="A1030" s="222">
        <v>210041</v>
      </c>
      <c r="B1030" s="223" t="s">
        <v>2591</v>
      </c>
      <c r="C1030" s="221" t="s">
        <v>2592</v>
      </c>
    </row>
    <row r="1031" spans="1:3" x14ac:dyDescent="0.25">
      <c r="A1031" s="222">
        <v>210041</v>
      </c>
      <c r="B1031" s="223" t="s">
        <v>2591</v>
      </c>
      <c r="C1031" s="221" t="s">
        <v>2590</v>
      </c>
    </row>
    <row r="1032" spans="1:3" x14ac:dyDescent="0.25">
      <c r="A1032" s="222">
        <v>210042</v>
      </c>
      <c r="B1032" s="223" t="s">
        <v>2594</v>
      </c>
      <c r="C1032" s="221" t="s">
        <v>2595</v>
      </c>
    </row>
    <row r="1033" spans="1:3" x14ac:dyDescent="0.25">
      <c r="A1033" s="222">
        <v>210042</v>
      </c>
      <c r="B1033" s="223" t="s">
        <v>2594</v>
      </c>
      <c r="C1033" s="221" t="s">
        <v>2593</v>
      </c>
    </row>
    <row r="1034" spans="1:3" x14ac:dyDescent="0.25">
      <c r="A1034" s="222">
        <v>210043</v>
      </c>
      <c r="B1034" s="223" t="s">
        <v>2597</v>
      </c>
      <c r="C1034" s="221" t="s">
        <v>2598</v>
      </c>
    </row>
    <row r="1035" spans="1:3" x14ac:dyDescent="0.25">
      <c r="A1035" s="222">
        <v>210043</v>
      </c>
      <c r="B1035" s="223" t="s">
        <v>2597</v>
      </c>
      <c r="C1035" s="221" t="s">
        <v>2596</v>
      </c>
    </row>
    <row r="1036" spans="1:3" x14ac:dyDescent="0.25">
      <c r="A1036" s="222">
        <v>210044</v>
      </c>
      <c r="B1036" s="223" t="s">
        <v>2600</v>
      </c>
      <c r="C1036" s="221" t="s">
        <v>2601</v>
      </c>
    </row>
    <row r="1037" spans="1:3" x14ac:dyDescent="0.25">
      <c r="A1037" s="222">
        <v>210044</v>
      </c>
      <c r="B1037" s="223" t="s">
        <v>2600</v>
      </c>
      <c r="C1037" s="221" t="s">
        <v>2599</v>
      </c>
    </row>
    <row r="1038" spans="1:3" x14ac:dyDescent="0.25">
      <c r="A1038" s="222">
        <v>210045</v>
      </c>
      <c r="B1038" s="223" t="s">
        <v>2603</v>
      </c>
      <c r="C1038" s="221" t="s">
        <v>2604</v>
      </c>
    </row>
    <row r="1039" spans="1:3" x14ac:dyDescent="0.25">
      <c r="A1039" s="222">
        <v>210045</v>
      </c>
      <c r="B1039" s="223" t="s">
        <v>2603</v>
      </c>
      <c r="C1039" s="221" t="s">
        <v>2602</v>
      </c>
    </row>
    <row r="1040" spans="1:3" x14ac:dyDescent="0.25">
      <c r="A1040" s="222">
        <v>210046</v>
      </c>
      <c r="B1040" s="223" t="s">
        <v>2606</v>
      </c>
      <c r="C1040" s="221" t="s">
        <v>2607</v>
      </c>
    </row>
    <row r="1041" spans="1:3" x14ac:dyDescent="0.25">
      <c r="A1041" s="222">
        <v>210046</v>
      </c>
      <c r="B1041" s="223" t="s">
        <v>2606</v>
      </c>
      <c r="C1041" s="221" t="s">
        <v>2605</v>
      </c>
    </row>
    <row r="1042" spans="1:3" x14ac:dyDescent="0.25">
      <c r="A1042" s="222">
        <v>210047</v>
      </c>
      <c r="B1042" s="223" t="s">
        <v>2609</v>
      </c>
      <c r="C1042" s="221" t="s">
        <v>2610</v>
      </c>
    </row>
    <row r="1043" spans="1:3" x14ac:dyDescent="0.25">
      <c r="A1043" s="222">
        <v>210047</v>
      </c>
      <c r="B1043" s="223" t="s">
        <v>2609</v>
      </c>
      <c r="C1043" s="221" t="s">
        <v>2608</v>
      </c>
    </row>
    <row r="1044" spans="1:3" x14ac:dyDescent="0.25">
      <c r="A1044" s="222">
        <v>210048</v>
      </c>
      <c r="B1044" s="223" t="s">
        <v>2612</v>
      </c>
      <c r="C1044" s="221" t="s">
        <v>2613</v>
      </c>
    </row>
    <row r="1045" spans="1:3" x14ac:dyDescent="0.25">
      <c r="A1045" s="222">
        <v>210048</v>
      </c>
      <c r="B1045" s="223" t="s">
        <v>2612</v>
      </c>
      <c r="C1045" s="221" t="s">
        <v>2611</v>
      </c>
    </row>
    <row r="1046" spans="1:3" x14ac:dyDescent="0.25">
      <c r="A1046" s="222">
        <v>210049</v>
      </c>
      <c r="B1046" s="223" t="s">
        <v>2615</v>
      </c>
      <c r="C1046" s="221" t="s">
        <v>2616</v>
      </c>
    </row>
    <row r="1047" spans="1:3" x14ac:dyDescent="0.25">
      <c r="A1047" s="222">
        <v>210049</v>
      </c>
      <c r="B1047" s="223" t="s">
        <v>2615</v>
      </c>
      <c r="C1047" s="221" t="s">
        <v>2614</v>
      </c>
    </row>
    <row r="1048" spans="1:3" x14ac:dyDescent="0.25">
      <c r="A1048" s="222">
        <v>210050</v>
      </c>
      <c r="B1048" s="223" t="s">
        <v>2618</v>
      </c>
      <c r="C1048" s="221" t="s">
        <v>2619</v>
      </c>
    </row>
    <row r="1049" spans="1:3" x14ac:dyDescent="0.25">
      <c r="A1049" s="222">
        <v>210050</v>
      </c>
      <c r="B1049" s="223" t="s">
        <v>2618</v>
      </c>
      <c r="C1049" s="221" t="s">
        <v>2617</v>
      </c>
    </row>
    <row r="1050" spans="1:3" x14ac:dyDescent="0.25">
      <c r="A1050" s="222">
        <v>210051</v>
      </c>
      <c r="B1050" s="223" t="s">
        <v>2621</v>
      </c>
      <c r="C1050" s="221" t="s">
        <v>2622</v>
      </c>
    </row>
    <row r="1051" spans="1:3" x14ac:dyDescent="0.25">
      <c r="A1051" s="222">
        <v>210051</v>
      </c>
      <c r="B1051" s="223" t="s">
        <v>2621</v>
      </c>
      <c r="C1051" s="221" t="s">
        <v>2620</v>
      </c>
    </row>
    <row r="1052" spans="1:3" x14ac:dyDescent="0.25">
      <c r="A1052" s="222">
        <v>210052</v>
      </c>
      <c r="B1052" s="223" t="s">
        <v>2624</v>
      </c>
      <c r="C1052" s="221" t="s">
        <v>2625</v>
      </c>
    </row>
    <row r="1053" spans="1:3" x14ac:dyDescent="0.25">
      <c r="A1053" s="222">
        <v>210052</v>
      </c>
      <c r="B1053" s="223" t="s">
        <v>2624</v>
      </c>
      <c r="C1053" s="221" t="s">
        <v>2623</v>
      </c>
    </row>
    <row r="1054" spans="1:3" x14ac:dyDescent="0.25">
      <c r="A1054" s="222">
        <v>210053</v>
      </c>
      <c r="B1054" s="223" t="s">
        <v>2627</v>
      </c>
      <c r="C1054" s="221" t="s">
        <v>2628</v>
      </c>
    </row>
    <row r="1055" spans="1:3" x14ac:dyDescent="0.25">
      <c r="A1055" s="222">
        <v>210053</v>
      </c>
      <c r="B1055" s="223" t="s">
        <v>2627</v>
      </c>
      <c r="C1055" s="221" t="s">
        <v>2626</v>
      </c>
    </row>
    <row r="1056" spans="1:3" x14ac:dyDescent="0.25">
      <c r="A1056" s="222">
        <v>210054</v>
      </c>
      <c r="B1056" s="223" t="s">
        <v>2630</v>
      </c>
      <c r="C1056" s="221" t="s">
        <v>2631</v>
      </c>
    </row>
    <row r="1057" spans="1:3" x14ac:dyDescent="0.25">
      <c r="A1057" s="222">
        <v>210054</v>
      </c>
      <c r="B1057" s="223" t="s">
        <v>2630</v>
      </c>
      <c r="C1057" s="221" t="s">
        <v>2629</v>
      </c>
    </row>
    <row r="1058" spans="1:3" x14ac:dyDescent="0.25">
      <c r="A1058" s="222">
        <v>210055</v>
      </c>
      <c r="B1058" s="223" t="s">
        <v>2633</v>
      </c>
      <c r="C1058" s="221" t="s">
        <v>2634</v>
      </c>
    </row>
    <row r="1059" spans="1:3" x14ac:dyDescent="0.25">
      <c r="A1059" s="222">
        <v>210055</v>
      </c>
      <c r="B1059" s="223" t="s">
        <v>2633</v>
      </c>
      <c r="C1059" s="221" t="s">
        <v>2632</v>
      </c>
    </row>
    <row r="1060" spans="1:3" x14ac:dyDescent="0.25">
      <c r="A1060" s="222">
        <v>210056</v>
      </c>
      <c r="B1060" s="223" t="s">
        <v>2636</v>
      </c>
      <c r="C1060" s="221" t="s">
        <v>2637</v>
      </c>
    </row>
    <row r="1061" spans="1:3" x14ac:dyDescent="0.25">
      <c r="A1061" s="222">
        <v>210056</v>
      </c>
      <c r="B1061" s="223" t="s">
        <v>2636</v>
      </c>
      <c r="C1061" s="221" t="s">
        <v>2635</v>
      </c>
    </row>
    <row r="1062" spans="1:3" x14ac:dyDescent="0.25">
      <c r="A1062" s="222">
        <v>210057</v>
      </c>
      <c r="B1062" s="223" t="s">
        <v>2639</v>
      </c>
      <c r="C1062" s="221" t="s">
        <v>2640</v>
      </c>
    </row>
    <row r="1063" spans="1:3" x14ac:dyDescent="0.25">
      <c r="A1063" s="222">
        <v>210057</v>
      </c>
      <c r="B1063" s="223" t="s">
        <v>2639</v>
      </c>
      <c r="C1063" s="221" t="s">
        <v>2638</v>
      </c>
    </row>
    <row r="1064" spans="1:3" x14ac:dyDescent="0.25">
      <c r="A1064" s="222">
        <v>210058</v>
      </c>
      <c r="B1064" s="223" t="s">
        <v>2642</v>
      </c>
      <c r="C1064" s="221" t="s">
        <v>2643</v>
      </c>
    </row>
    <row r="1065" spans="1:3" x14ac:dyDescent="0.25">
      <c r="A1065" s="222">
        <v>210058</v>
      </c>
      <c r="B1065" s="223" t="s">
        <v>2642</v>
      </c>
      <c r="C1065" s="221" t="s">
        <v>2641</v>
      </c>
    </row>
    <row r="1066" spans="1:3" x14ac:dyDescent="0.25">
      <c r="A1066" s="222">
        <v>210059</v>
      </c>
      <c r="B1066" s="223" t="s">
        <v>2645</v>
      </c>
      <c r="C1066" s="221" t="s">
        <v>2646</v>
      </c>
    </row>
    <row r="1067" spans="1:3" x14ac:dyDescent="0.25">
      <c r="A1067" s="222">
        <v>210059</v>
      </c>
      <c r="B1067" s="223" t="s">
        <v>2645</v>
      </c>
      <c r="C1067" s="221" t="s">
        <v>2644</v>
      </c>
    </row>
    <row r="1068" spans="1:3" x14ac:dyDescent="0.25">
      <c r="A1068" s="222">
        <v>210060</v>
      </c>
      <c r="B1068" s="223" t="s">
        <v>2648</v>
      </c>
      <c r="C1068" s="221" t="s">
        <v>2649</v>
      </c>
    </row>
    <row r="1069" spans="1:3" x14ac:dyDescent="0.25">
      <c r="A1069" s="222">
        <v>210060</v>
      </c>
      <c r="B1069" s="223" t="s">
        <v>2648</v>
      </c>
      <c r="C1069" s="221" t="s">
        <v>2647</v>
      </c>
    </row>
    <row r="1070" spans="1:3" x14ac:dyDescent="0.25">
      <c r="A1070" s="222">
        <v>210061</v>
      </c>
      <c r="B1070" s="223" t="s">
        <v>2651</v>
      </c>
      <c r="C1070" s="221" t="s">
        <v>2652</v>
      </c>
    </row>
    <row r="1071" spans="1:3" x14ac:dyDescent="0.25">
      <c r="A1071" s="222">
        <v>210061</v>
      </c>
      <c r="B1071" s="223" t="s">
        <v>2651</v>
      </c>
      <c r="C1071" s="221" t="s">
        <v>2650</v>
      </c>
    </row>
    <row r="1072" spans="1:3" x14ac:dyDescent="0.25">
      <c r="A1072" s="222">
        <v>210062</v>
      </c>
      <c r="B1072" s="223" t="s">
        <v>2654</v>
      </c>
      <c r="C1072" s="221" t="s">
        <v>2655</v>
      </c>
    </row>
    <row r="1073" spans="1:3" x14ac:dyDescent="0.25">
      <c r="A1073" s="222">
        <v>210062</v>
      </c>
      <c r="B1073" s="223" t="s">
        <v>2654</v>
      </c>
      <c r="C1073" s="221" t="s">
        <v>2653</v>
      </c>
    </row>
    <row r="1074" spans="1:3" x14ac:dyDescent="0.25">
      <c r="A1074" s="222">
        <v>210063</v>
      </c>
      <c r="B1074" s="223" t="s">
        <v>2657</v>
      </c>
      <c r="C1074" s="221" t="s">
        <v>2658</v>
      </c>
    </row>
    <row r="1075" spans="1:3" x14ac:dyDescent="0.25">
      <c r="A1075" s="222">
        <v>210063</v>
      </c>
      <c r="B1075" s="223" t="s">
        <v>2657</v>
      </c>
      <c r="C1075" s="221" t="s">
        <v>2656</v>
      </c>
    </row>
    <row r="1076" spans="1:3" x14ac:dyDescent="0.25">
      <c r="A1076" s="222">
        <v>210064</v>
      </c>
      <c r="B1076" s="223" t="s">
        <v>2660</v>
      </c>
      <c r="C1076" s="221" t="s">
        <v>2661</v>
      </c>
    </row>
    <row r="1077" spans="1:3" x14ac:dyDescent="0.25">
      <c r="A1077" s="222">
        <v>210064</v>
      </c>
      <c r="B1077" s="223" t="s">
        <v>2660</v>
      </c>
      <c r="C1077" s="221" t="s">
        <v>2659</v>
      </c>
    </row>
    <row r="1078" spans="1:3" x14ac:dyDescent="0.25">
      <c r="A1078" s="222">
        <v>210065</v>
      </c>
      <c r="B1078" s="223" t="s">
        <v>2663</v>
      </c>
      <c r="C1078" s="221" t="s">
        <v>2664</v>
      </c>
    </row>
    <row r="1079" spans="1:3" x14ac:dyDescent="0.25">
      <c r="A1079" s="222">
        <v>210065</v>
      </c>
      <c r="B1079" s="223" t="s">
        <v>2663</v>
      </c>
      <c r="C1079" s="221" t="s">
        <v>2662</v>
      </c>
    </row>
    <row r="1080" spans="1:3" x14ac:dyDescent="0.25">
      <c r="A1080" s="222">
        <v>210066</v>
      </c>
      <c r="B1080" s="223" t="s">
        <v>2666</v>
      </c>
      <c r="C1080" s="221" t="s">
        <v>2667</v>
      </c>
    </row>
    <row r="1081" spans="1:3" x14ac:dyDescent="0.25">
      <c r="A1081" s="222">
        <v>210066</v>
      </c>
      <c r="B1081" s="223" t="s">
        <v>2666</v>
      </c>
      <c r="C1081" s="221" t="s">
        <v>2665</v>
      </c>
    </row>
    <row r="1082" spans="1:3" x14ac:dyDescent="0.25">
      <c r="A1082" s="222">
        <v>210067</v>
      </c>
      <c r="B1082" s="223" t="s">
        <v>2666</v>
      </c>
      <c r="C1082" s="221" t="s">
        <v>2669</v>
      </c>
    </row>
    <row r="1083" spans="1:3" x14ac:dyDescent="0.25">
      <c r="A1083" s="222">
        <v>210067</v>
      </c>
      <c r="B1083" s="223" t="s">
        <v>2666</v>
      </c>
      <c r="C1083" s="221" t="s">
        <v>2668</v>
      </c>
    </row>
    <row r="1084" spans="1:3" x14ac:dyDescent="0.25">
      <c r="A1084" s="222">
        <v>210068</v>
      </c>
      <c r="B1084" s="223" t="s">
        <v>2671</v>
      </c>
      <c r="C1084" s="221" t="s">
        <v>2672</v>
      </c>
    </row>
    <row r="1085" spans="1:3" x14ac:dyDescent="0.25">
      <c r="A1085" s="222">
        <v>210068</v>
      </c>
      <c r="B1085" s="223" t="s">
        <v>2671</v>
      </c>
      <c r="C1085" s="221" t="s">
        <v>2670</v>
      </c>
    </row>
    <row r="1086" spans="1:3" x14ac:dyDescent="0.25">
      <c r="A1086" s="222">
        <v>210069</v>
      </c>
      <c r="B1086" s="223" t="s">
        <v>2671</v>
      </c>
      <c r="C1086" s="221" t="s">
        <v>2674</v>
      </c>
    </row>
    <row r="1087" spans="1:3" x14ac:dyDescent="0.25">
      <c r="A1087" s="222">
        <v>210069</v>
      </c>
      <c r="B1087" s="223" t="s">
        <v>2671</v>
      </c>
      <c r="C1087" s="221" t="s">
        <v>2673</v>
      </c>
    </row>
    <row r="1088" spans="1:3" x14ac:dyDescent="0.25">
      <c r="A1088" s="222">
        <v>210070</v>
      </c>
      <c r="B1088" s="223" t="s">
        <v>2676</v>
      </c>
      <c r="C1088" s="221" t="s">
        <v>2677</v>
      </c>
    </row>
    <row r="1089" spans="1:3" x14ac:dyDescent="0.25">
      <c r="A1089" s="222">
        <v>210070</v>
      </c>
      <c r="B1089" s="223" t="s">
        <v>2676</v>
      </c>
      <c r="C1089" s="221" t="s">
        <v>2675</v>
      </c>
    </row>
    <row r="1090" spans="1:3" x14ac:dyDescent="0.25">
      <c r="A1090" s="222">
        <v>210071</v>
      </c>
      <c r="B1090" s="223" t="s">
        <v>2676</v>
      </c>
      <c r="C1090" s="221" t="s">
        <v>2679</v>
      </c>
    </row>
    <row r="1091" spans="1:3" x14ac:dyDescent="0.25">
      <c r="A1091" s="222">
        <v>210071</v>
      </c>
      <c r="B1091" s="223" t="s">
        <v>2676</v>
      </c>
      <c r="C1091" s="221" t="s">
        <v>2678</v>
      </c>
    </row>
    <row r="1092" spans="1:3" x14ac:dyDescent="0.25">
      <c r="A1092" s="222">
        <v>210072</v>
      </c>
      <c r="B1092" s="223" t="s">
        <v>2681</v>
      </c>
      <c r="C1092" s="221" t="s">
        <v>2682</v>
      </c>
    </row>
    <row r="1093" spans="1:3" x14ac:dyDescent="0.25">
      <c r="A1093" s="222">
        <v>210072</v>
      </c>
      <c r="B1093" s="223" t="s">
        <v>2681</v>
      </c>
      <c r="C1093" s="221" t="s">
        <v>2680</v>
      </c>
    </row>
    <row r="1094" spans="1:3" x14ac:dyDescent="0.25">
      <c r="A1094" s="222">
        <v>210073</v>
      </c>
      <c r="B1094" s="223" t="s">
        <v>2681</v>
      </c>
      <c r="C1094" s="221" t="s">
        <v>2684</v>
      </c>
    </row>
    <row r="1095" spans="1:3" x14ac:dyDescent="0.25">
      <c r="A1095" s="222">
        <v>210073</v>
      </c>
      <c r="B1095" s="223" t="s">
        <v>2681</v>
      </c>
      <c r="C1095" s="221" t="s">
        <v>2683</v>
      </c>
    </row>
    <row r="1096" spans="1:3" x14ac:dyDescent="0.25">
      <c r="A1096" s="222">
        <v>210074</v>
      </c>
      <c r="B1096" s="223" t="s">
        <v>2686</v>
      </c>
      <c r="C1096" s="221" t="s">
        <v>2687</v>
      </c>
    </row>
    <row r="1097" spans="1:3" x14ac:dyDescent="0.25">
      <c r="A1097" s="222">
        <v>210074</v>
      </c>
      <c r="B1097" s="223" t="s">
        <v>2686</v>
      </c>
      <c r="C1097" s="221" t="s">
        <v>2685</v>
      </c>
    </row>
    <row r="1098" spans="1:3" x14ac:dyDescent="0.25">
      <c r="A1098" s="222">
        <v>210075</v>
      </c>
      <c r="B1098" s="223" t="s">
        <v>2686</v>
      </c>
      <c r="C1098" s="221" t="s">
        <v>2689</v>
      </c>
    </row>
    <row r="1099" spans="1:3" x14ac:dyDescent="0.25">
      <c r="A1099" s="222">
        <v>210075</v>
      </c>
      <c r="B1099" s="223" t="s">
        <v>2686</v>
      </c>
      <c r="C1099" s="221" t="s">
        <v>2688</v>
      </c>
    </row>
    <row r="1100" spans="1:3" x14ac:dyDescent="0.25">
      <c r="A1100" s="222">
        <v>210076</v>
      </c>
      <c r="B1100" s="223" t="s">
        <v>2686</v>
      </c>
      <c r="C1100" s="221" t="s">
        <v>2691</v>
      </c>
    </row>
    <row r="1101" spans="1:3" x14ac:dyDescent="0.25">
      <c r="A1101" s="222">
        <v>210076</v>
      </c>
      <c r="B1101" s="223" t="s">
        <v>2686</v>
      </c>
      <c r="C1101" s="221" t="s">
        <v>2690</v>
      </c>
    </row>
    <row r="1102" spans="1:3" x14ac:dyDescent="0.25">
      <c r="A1102" s="222">
        <v>210077</v>
      </c>
      <c r="B1102" s="223" t="s">
        <v>2693</v>
      </c>
      <c r="C1102" s="221" t="s">
        <v>2694</v>
      </c>
    </row>
    <row r="1103" spans="1:3" x14ac:dyDescent="0.25">
      <c r="A1103" s="222">
        <v>210077</v>
      </c>
      <c r="B1103" s="223" t="s">
        <v>2693</v>
      </c>
      <c r="C1103" s="221" t="s">
        <v>2692</v>
      </c>
    </row>
    <row r="1104" spans="1:3" x14ac:dyDescent="0.25">
      <c r="A1104" s="222">
        <v>210078</v>
      </c>
      <c r="B1104" s="223" t="s">
        <v>2686</v>
      </c>
      <c r="C1104" s="221" t="s">
        <v>2696</v>
      </c>
    </row>
    <row r="1105" spans="1:3" x14ac:dyDescent="0.25">
      <c r="A1105" s="222">
        <v>210078</v>
      </c>
      <c r="B1105" s="223" t="s">
        <v>2686</v>
      </c>
      <c r="C1105" s="221" t="s">
        <v>2695</v>
      </c>
    </row>
    <row r="1106" spans="1:3" x14ac:dyDescent="0.25">
      <c r="A1106" s="222">
        <v>210079</v>
      </c>
      <c r="B1106" s="223" t="s">
        <v>2698</v>
      </c>
      <c r="C1106" s="221" t="s">
        <v>2699</v>
      </c>
    </row>
    <row r="1107" spans="1:3" x14ac:dyDescent="0.25">
      <c r="A1107" s="222">
        <v>210079</v>
      </c>
      <c r="B1107" s="223" t="s">
        <v>2698</v>
      </c>
      <c r="C1107" s="221" t="s">
        <v>2697</v>
      </c>
    </row>
    <row r="1108" spans="1:3" x14ac:dyDescent="0.25">
      <c r="A1108" s="222">
        <v>210080</v>
      </c>
      <c r="B1108" s="223" t="s">
        <v>2701</v>
      </c>
      <c r="C1108" s="221" t="s">
        <v>2702</v>
      </c>
    </row>
    <row r="1109" spans="1:3" x14ac:dyDescent="0.25">
      <c r="A1109" s="222">
        <v>210080</v>
      </c>
      <c r="B1109" s="223" t="s">
        <v>2701</v>
      </c>
      <c r="C1109" s="221" t="s">
        <v>2700</v>
      </c>
    </row>
    <row r="1110" spans="1:3" x14ac:dyDescent="0.25">
      <c r="A1110" s="222">
        <v>210081</v>
      </c>
      <c r="B1110" s="223" t="s">
        <v>2704</v>
      </c>
      <c r="C1110" s="221" t="s">
        <v>2705</v>
      </c>
    </row>
    <row r="1111" spans="1:3" x14ac:dyDescent="0.25">
      <c r="A1111" s="222">
        <v>210081</v>
      </c>
      <c r="B1111" s="223" t="s">
        <v>2704</v>
      </c>
      <c r="C1111" s="221" t="s">
        <v>2703</v>
      </c>
    </row>
    <row r="1112" spans="1:3" x14ac:dyDescent="0.25">
      <c r="A1112" s="222">
        <v>210082</v>
      </c>
      <c r="B1112" s="223" t="s">
        <v>2701</v>
      </c>
      <c r="C1112" s="221" t="s">
        <v>2707</v>
      </c>
    </row>
    <row r="1113" spans="1:3" x14ac:dyDescent="0.25">
      <c r="A1113" s="222">
        <v>210082</v>
      </c>
      <c r="B1113" s="223" t="s">
        <v>2701</v>
      </c>
      <c r="C1113" s="221" t="s">
        <v>2706</v>
      </c>
    </row>
    <row r="1114" spans="1:3" x14ac:dyDescent="0.25">
      <c r="A1114" s="222">
        <v>210083</v>
      </c>
      <c r="B1114" s="223" t="s">
        <v>2704</v>
      </c>
      <c r="C1114" s="221" t="s">
        <v>2709</v>
      </c>
    </row>
    <row r="1115" spans="1:3" x14ac:dyDescent="0.25">
      <c r="A1115" s="222">
        <v>210083</v>
      </c>
      <c r="B1115" s="223" t="s">
        <v>2704</v>
      </c>
      <c r="C1115" s="221" t="s">
        <v>2708</v>
      </c>
    </row>
    <row r="1116" spans="1:3" x14ac:dyDescent="0.25">
      <c r="A1116" s="222">
        <v>210084</v>
      </c>
      <c r="B1116" s="223" t="s">
        <v>2711</v>
      </c>
      <c r="C1116" s="221" t="s">
        <v>2712</v>
      </c>
    </row>
    <row r="1117" spans="1:3" x14ac:dyDescent="0.25">
      <c r="A1117" s="222">
        <v>210084</v>
      </c>
      <c r="B1117" s="223" t="s">
        <v>2711</v>
      </c>
      <c r="C1117" s="221" t="s">
        <v>2710</v>
      </c>
    </row>
    <row r="1118" spans="1:3" x14ac:dyDescent="0.25">
      <c r="A1118" s="222">
        <v>210085</v>
      </c>
      <c r="B1118" s="223" t="s">
        <v>2714</v>
      </c>
      <c r="C1118" s="221" t="s">
        <v>2715</v>
      </c>
    </row>
    <row r="1119" spans="1:3" x14ac:dyDescent="0.25">
      <c r="A1119" s="222">
        <v>210085</v>
      </c>
      <c r="B1119" s="223" t="s">
        <v>2714</v>
      </c>
      <c r="C1119" s="221" t="s">
        <v>2713</v>
      </c>
    </row>
    <row r="1120" spans="1:3" x14ac:dyDescent="0.25">
      <c r="A1120" s="222">
        <v>210086</v>
      </c>
      <c r="B1120" s="223" t="s">
        <v>2717</v>
      </c>
      <c r="C1120" s="221" t="s">
        <v>2718</v>
      </c>
    </row>
    <row r="1121" spans="1:3" x14ac:dyDescent="0.25">
      <c r="A1121" s="222">
        <v>210086</v>
      </c>
      <c r="B1121" s="223" t="s">
        <v>2717</v>
      </c>
      <c r="C1121" s="221" t="s">
        <v>2716</v>
      </c>
    </row>
    <row r="1122" spans="1:3" x14ac:dyDescent="0.25">
      <c r="A1122" s="222">
        <v>210087</v>
      </c>
      <c r="B1122" s="223" t="s">
        <v>2720</v>
      </c>
      <c r="C1122" s="221" t="s">
        <v>2721</v>
      </c>
    </row>
    <row r="1123" spans="1:3" x14ac:dyDescent="0.25">
      <c r="A1123" s="222">
        <v>210087</v>
      </c>
      <c r="B1123" s="223" t="s">
        <v>2720</v>
      </c>
      <c r="C1123" s="221" t="s">
        <v>2719</v>
      </c>
    </row>
    <row r="1124" spans="1:3" x14ac:dyDescent="0.25">
      <c r="A1124" s="222">
        <v>210088</v>
      </c>
      <c r="B1124" s="223" t="s">
        <v>2723</v>
      </c>
      <c r="C1124" s="221" t="s">
        <v>2724</v>
      </c>
    </row>
    <row r="1125" spans="1:3" x14ac:dyDescent="0.25">
      <c r="A1125" s="222">
        <v>210088</v>
      </c>
      <c r="B1125" s="223" t="s">
        <v>2723</v>
      </c>
      <c r="C1125" s="221" t="s">
        <v>2722</v>
      </c>
    </row>
    <row r="1126" spans="1:3" x14ac:dyDescent="0.25">
      <c r="A1126" s="222">
        <v>210089</v>
      </c>
      <c r="B1126" s="223" t="s">
        <v>2726</v>
      </c>
      <c r="C1126" s="221" t="s">
        <v>2727</v>
      </c>
    </row>
    <row r="1127" spans="1:3" x14ac:dyDescent="0.25">
      <c r="A1127" s="222">
        <v>210089</v>
      </c>
      <c r="B1127" s="223" t="s">
        <v>2726</v>
      </c>
      <c r="C1127" s="221" t="s">
        <v>2725</v>
      </c>
    </row>
    <row r="1128" spans="1:3" x14ac:dyDescent="0.25">
      <c r="A1128" s="222">
        <v>210090</v>
      </c>
      <c r="B1128" s="223" t="s">
        <v>2723</v>
      </c>
      <c r="C1128" s="221" t="s">
        <v>2729</v>
      </c>
    </row>
    <row r="1129" spans="1:3" x14ac:dyDescent="0.25">
      <c r="A1129" s="222">
        <v>210090</v>
      </c>
      <c r="B1129" s="223" t="s">
        <v>2723</v>
      </c>
      <c r="C1129" s="221" t="s">
        <v>2728</v>
      </c>
    </row>
    <row r="1130" spans="1:3" x14ac:dyDescent="0.25">
      <c r="A1130" s="222">
        <v>210091</v>
      </c>
      <c r="B1130" s="223" t="s">
        <v>2731</v>
      </c>
      <c r="C1130" s="221" t="s">
        <v>2732</v>
      </c>
    </row>
    <row r="1131" spans="1:3" x14ac:dyDescent="0.25">
      <c r="A1131" s="222">
        <v>210091</v>
      </c>
      <c r="B1131" s="223" t="s">
        <v>2731</v>
      </c>
      <c r="C1131" s="221" t="s">
        <v>2730</v>
      </c>
    </row>
    <row r="1132" spans="1:3" x14ac:dyDescent="0.25">
      <c r="A1132" s="222">
        <v>210092</v>
      </c>
      <c r="B1132" s="223" t="s">
        <v>2734</v>
      </c>
      <c r="C1132" s="221" t="s">
        <v>2735</v>
      </c>
    </row>
    <row r="1133" spans="1:3" x14ac:dyDescent="0.25">
      <c r="A1133" s="222">
        <v>210092</v>
      </c>
      <c r="B1133" s="223" t="s">
        <v>2734</v>
      </c>
      <c r="C1133" s="221" t="s">
        <v>2733</v>
      </c>
    </row>
    <row r="1134" spans="1:3" x14ac:dyDescent="0.25">
      <c r="A1134" s="222">
        <v>210093</v>
      </c>
      <c r="B1134" s="223" t="s">
        <v>2731</v>
      </c>
      <c r="C1134" s="221" t="s">
        <v>2737</v>
      </c>
    </row>
    <row r="1135" spans="1:3" x14ac:dyDescent="0.25">
      <c r="A1135" s="222">
        <v>210093</v>
      </c>
      <c r="B1135" s="223" t="s">
        <v>2731</v>
      </c>
      <c r="C1135" s="221" t="s">
        <v>2736</v>
      </c>
    </row>
    <row r="1136" spans="1:3" x14ac:dyDescent="0.25">
      <c r="A1136" s="222">
        <v>210094</v>
      </c>
      <c r="B1136" s="223" t="s">
        <v>2739</v>
      </c>
      <c r="C1136" s="221" t="s">
        <v>2740</v>
      </c>
    </row>
    <row r="1137" spans="1:3" x14ac:dyDescent="0.25">
      <c r="A1137" s="222">
        <v>210094</v>
      </c>
      <c r="B1137" s="223" t="s">
        <v>2739</v>
      </c>
      <c r="C1137" s="221" t="s">
        <v>2738</v>
      </c>
    </row>
    <row r="1138" spans="1:3" x14ac:dyDescent="0.25">
      <c r="A1138" s="222">
        <v>210095</v>
      </c>
      <c r="B1138" s="223" t="s">
        <v>2742</v>
      </c>
      <c r="C1138" s="221" t="s">
        <v>2743</v>
      </c>
    </row>
    <row r="1139" spans="1:3" x14ac:dyDescent="0.25">
      <c r="A1139" s="222">
        <v>210095</v>
      </c>
      <c r="B1139" s="223" t="s">
        <v>2742</v>
      </c>
      <c r="C1139" s="221" t="s">
        <v>2741</v>
      </c>
    </row>
    <row r="1140" spans="1:3" x14ac:dyDescent="0.25">
      <c r="A1140" s="222">
        <v>210096</v>
      </c>
      <c r="B1140" s="223" t="s">
        <v>2739</v>
      </c>
      <c r="C1140" s="221" t="s">
        <v>2745</v>
      </c>
    </row>
    <row r="1141" spans="1:3" x14ac:dyDescent="0.25">
      <c r="A1141" s="222">
        <v>210096</v>
      </c>
      <c r="B1141" s="223" t="s">
        <v>2739</v>
      </c>
      <c r="C1141" s="221" t="s">
        <v>2744</v>
      </c>
    </row>
    <row r="1142" spans="1:3" x14ac:dyDescent="0.25">
      <c r="A1142" s="222">
        <v>210097</v>
      </c>
      <c r="B1142" s="223" t="s">
        <v>2747</v>
      </c>
      <c r="C1142" s="221" t="s">
        <v>2748</v>
      </c>
    </row>
    <row r="1143" spans="1:3" x14ac:dyDescent="0.25">
      <c r="A1143" s="222">
        <v>210097</v>
      </c>
      <c r="B1143" s="223" t="s">
        <v>2747</v>
      </c>
      <c r="C1143" s="221" t="s">
        <v>2746</v>
      </c>
    </row>
    <row r="1144" spans="1:3" x14ac:dyDescent="0.25">
      <c r="A1144" s="222">
        <v>210098</v>
      </c>
      <c r="B1144" s="223" t="s">
        <v>2750</v>
      </c>
      <c r="C1144" s="221" t="s">
        <v>2751</v>
      </c>
    </row>
    <row r="1145" spans="1:3" x14ac:dyDescent="0.25">
      <c r="A1145" s="222">
        <v>210098</v>
      </c>
      <c r="B1145" s="223" t="s">
        <v>2750</v>
      </c>
      <c r="C1145" s="221" t="s">
        <v>2749</v>
      </c>
    </row>
    <row r="1146" spans="1:3" x14ac:dyDescent="0.25">
      <c r="A1146" s="222">
        <v>210099</v>
      </c>
      <c r="B1146" s="223" t="s">
        <v>2753</v>
      </c>
      <c r="C1146" s="221" t="s">
        <v>2754</v>
      </c>
    </row>
    <row r="1147" spans="1:3" x14ac:dyDescent="0.25">
      <c r="A1147" s="222">
        <v>210099</v>
      </c>
      <c r="B1147" s="223" t="s">
        <v>2753</v>
      </c>
      <c r="C1147" s="221" t="s">
        <v>2752</v>
      </c>
    </row>
    <row r="1148" spans="1:3" x14ac:dyDescent="0.25">
      <c r="A1148" s="222">
        <v>210100</v>
      </c>
      <c r="B1148" s="223" t="s">
        <v>2756</v>
      </c>
      <c r="C1148" s="221" t="s">
        <v>2757</v>
      </c>
    </row>
    <row r="1149" spans="1:3" x14ac:dyDescent="0.25">
      <c r="A1149" s="222">
        <v>210100</v>
      </c>
      <c r="B1149" s="223" t="s">
        <v>2756</v>
      </c>
      <c r="C1149" s="221" t="s">
        <v>2755</v>
      </c>
    </row>
    <row r="1150" spans="1:3" x14ac:dyDescent="0.25">
      <c r="A1150" s="222">
        <v>210101</v>
      </c>
      <c r="B1150" s="223" t="s">
        <v>2759</v>
      </c>
      <c r="C1150" s="221" t="s">
        <v>2760</v>
      </c>
    </row>
    <row r="1151" spans="1:3" x14ac:dyDescent="0.25">
      <c r="A1151" s="222">
        <v>210101</v>
      </c>
      <c r="B1151" s="223" t="s">
        <v>2759</v>
      </c>
      <c r="C1151" s="221" t="s">
        <v>2758</v>
      </c>
    </row>
    <row r="1152" spans="1:3" x14ac:dyDescent="0.25">
      <c r="A1152" s="222">
        <v>210102</v>
      </c>
      <c r="B1152" s="223" t="s">
        <v>2762</v>
      </c>
      <c r="C1152" s="221" t="s">
        <v>2763</v>
      </c>
    </row>
    <row r="1153" spans="1:3" x14ac:dyDescent="0.25">
      <c r="A1153" s="222">
        <v>210102</v>
      </c>
      <c r="B1153" s="223" t="s">
        <v>2762</v>
      </c>
      <c r="C1153" s="221" t="s">
        <v>2761</v>
      </c>
    </row>
    <row r="1154" spans="1:3" x14ac:dyDescent="0.25">
      <c r="A1154" s="222">
        <v>210103</v>
      </c>
      <c r="B1154" s="223" t="s">
        <v>2765</v>
      </c>
      <c r="C1154" s="221" t="s">
        <v>2766</v>
      </c>
    </row>
    <row r="1155" spans="1:3" x14ac:dyDescent="0.25">
      <c r="A1155" s="222">
        <v>210103</v>
      </c>
      <c r="B1155" s="223" t="s">
        <v>2765</v>
      </c>
      <c r="C1155" s="221" t="s">
        <v>2764</v>
      </c>
    </row>
    <row r="1156" spans="1:3" x14ac:dyDescent="0.25">
      <c r="A1156" s="222">
        <v>210104</v>
      </c>
      <c r="B1156" s="223" t="s">
        <v>2768</v>
      </c>
      <c r="C1156" s="221" t="s">
        <v>2769</v>
      </c>
    </row>
    <row r="1157" spans="1:3" x14ac:dyDescent="0.25">
      <c r="A1157" s="222">
        <v>210104</v>
      </c>
      <c r="B1157" s="223" t="s">
        <v>2768</v>
      </c>
      <c r="C1157" s="221" t="s">
        <v>2767</v>
      </c>
    </row>
    <row r="1158" spans="1:3" x14ac:dyDescent="0.25">
      <c r="A1158" s="222">
        <v>210105</v>
      </c>
      <c r="B1158" s="223" t="s">
        <v>2771</v>
      </c>
      <c r="C1158" s="221" t="s">
        <v>2772</v>
      </c>
    </row>
    <row r="1159" spans="1:3" x14ac:dyDescent="0.25">
      <c r="A1159" s="222">
        <v>210105</v>
      </c>
      <c r="B1159" s="223" t="s">
        <v>2771</v>
      </c>
      <c r="C1159" s="221" t="s">
        <v>2770</v>
      </c>
    </row>
    <row r="1160" spans="1:3" x14ac:dyDescent="0.25">
      <c r="A1160" s="222">
        <v>210106</v>
      </c>
      <c r="B1160" s="223" t="s">
        <v>2774</v>
      </c>
      <c r="C1160" s="221" t="s">
        <v>2775</v>
      </c>
    </row>
    <row r="1161" spans="1:3" x14ac:dyDescent="0.25">
      <c r="A1161" s="222">
        <v>210106</v>
      </c>
      <c r="B1161" s="223" t="s">
        <v>2774</v>
      </c>
      <c r="C1161" s="221" t="s">
        <v>2773</v>
      </c>
    </row>
    <row r="1162" spans="1:3" x14ac:dyDescent="0.25">
      <c r="A1162" s="222">
        <v>210107</v>
      </c>
      <c r="B1162" s="223" t="s">
        <v>2777</v>
      </c>
      <c r="C1162" s="221" t="s">
        <v>2778</v>
      </c>
    </row>
    <row r="1163" spans="1:3" x14ac:dyDescent="0.25">
      <c r="A1163" s="222">
        <v>210107</v>
      </c>
      <c r="B1163" s="223" t="s">
        <v>2777</v>
      </c>
      <c r="C1163" s="221" t="s">
        <v>2776</v>
      </c>
    </row>
    <row r="1164" spans="1:3" x14ac:dyDescent="0.25">
      <c r="A1164" s="222">
        <v>210108</v>
      </c>
      <c r="B1164" s="223" t="s">
        <v>2780</v>
      </c>
      <c r="C1164" s="221" t="s">
        <v>2781</v>
      </c>
    </row>
    <row r="1165" spans="1:3" x14ac:dyDescent="0.25">
      <c r="A1165" s="222">
        <v>210108</v>
      </c>
      <c r="B1165" s="223" t="s">
        <v>2780</v>
      </c>
      <c r="C1165" s="221" t="s">
        <v>2779</v>
      </c>
    </row>
    <row r="1166" spans="1:3" x14ac:dyDescent="0.25">
      <c r="A1166" s="222">
        <v>210109</v>
      </c>
      <c r="B1166" s="223" t="s">
        <v>2783</v>
      </c>
      <c r="C1166" s="221" t="s">
        <v>2784</v>
      </c>
    </row>
    <row r="1167" spans="1:3" x14ac:dyDescent="0.25">
      <c r="A1167" s="222">
        <v>210109</v>
      </c>
      <c r="B1167" s="223" t="s">
        <v>2783</v>
      </c>
      <c r="C1167" s="221" t="s">
        <v>2782</v>
      </c>
    </row>
    <row r="1168" spans="1:3" x14ac:dyDescent="0.25">
      <c r="A1168" s="222">
        <v>210110</v>
      </c>
      <c r="B1168" s="223" t="s">
        <v>2786</v>
      </c>
      <c r="C1168" s="221" t="s">
        <v>2787</v>
      </c>
    </row>
    <row r="1169" spans="1:3" x14ac:dyDescent="0.25">
      <c r="A1169" s="222">
        <v>210110</v>
      </c>
      <c r="B1169" s="223" t="s">
        <v>2786</v>
      </c>
      <c r="C1169" s="221" t="s">
        <v>2785</v>
      </c>
    </row>
    <row r="1170" spans="1:3" x14ac:dyDescent="0.25">
      <c r="A1170" s="222">
        <v>210111</v>
      </c>
      <c r="B1170" s="223" t="s">
        <v>2789</v>
      </c>
      <c r="C1170" s="221" t="s">
        <v>2790</v>
      </c>
    </row>
    <row r="1171" spans="1:3" x14ac:dyDescent="0.25">
      <c r="A1171" s="222">
        <v>210111</v>
      </c>
      <c r="B1171" s="223" t="s">
        <v>2789</v>
      </c>
      <c r="C1171" s="221" t="s">
        <v>2788</v>
      </c>
    </row>
    <row r="1172" spans="1:3" x14ac:dyDescent="0.25">
      <c r="A1172" s="222">
        <v>210112</v>
      </c>
      <c r="B1172" s="223" t="s">
        <v>2792</v>
      </c>
      <c r="C1172" s="221" t="s">
        <v>2793</v>
      </c>
    </row>
    <row r="1173" spans="1:3" x14ac:dyDescent="0.25">
      <c r="A1173" s="222">
        <v>210112</v>
      </c>
      <c r="B1173" s="223" t="s">
        <v>2792</v>
      </c>
      <c r="C1173" s="221" t="s">
        <v>2791</v>
      </c>
    </row>
    <row r="1174" spans="1:3" x14ac:dyDescent="0.25">
      <c r="A1174" s="222">
        <v>210113</v>
      </c>
      <c r="B1174" s="223" t="s">
        <v>2795</v>
      </c>
      <c r="C1174" s="221" t="s">
        <v>2796</v>
      </c>
    </row>
    <row r="1175" spans="1:3" x14ac:dyDescent="0.25">
      <c r="A1175" s="222">
        <v>210113</v>
      </c>
      <c r="B1175" s="223" t="s">
        <v>2795</v>
      </c>
      <c r="C1175" s="221" t="s">
        <v>2794</v>
      </c>
    </row>
    <row r="1176" spans="1:3" x14ac:dyDescent="0.25">
      <c r="A1176" s="222">
        <v>210114</v>
      </c>
      <c r="B1176" s="223" t="s">
        <v>2798</v>
      </c>
      <c r="C1176" s="221" t="s">
        <v>2799</v>
      </c>
    </row>
    <row r="1177" spans="1:3" x14ac:dyDescent="0.25">
      <c r="A1177" s="222">
        <v>210114</v>
      </c>
      <c r="B1177" s="223" t="s">
        <v>2798</v>
      </c>
      <c r="C1177" s="221" t="s">
        <v>2797</v>
      </c>
    </row>
    <row r="1178" spans="1:3" x14ac:dyDescent="0.25">
      <c r="A1178" s="222">
        <v>210115</v>
      </c>
      <c r="B1178" s="223" t="s">
        <v>2801</v>
      </c>
      <c r="C1178" s="221" t="s">
        <v>2802</v>
      </c>
    </row>
    <row r="1179" spans="1:3" x14ac:dyDescent="0.25">
      <c r="A1179" s="222">
        <v>210115</v>
      </c>
      <c r="B1179" s="223" t="s">
        <v>2801</v>
      </c>
      <c r="C1179" s="221" t="s">
        <v>2800</v>
      </c>
    </row>
    <row r="1180" spans="1:3" x14ac:dyDescent="0.25">
      <c r="A1180" s="222">
        <v>210116</v>
      </c>
      <c r="B1180" s="223" t="s">
        <v>2801</v>
      </c>
      <c r="C1180" s="221" t="s">
        <v>2804</v>
      </c>
    </row>
    <row r="1181" spans="1:3" x14ac:dyDescent="0.25">
      <c r="A1181" s="222">
        <v>210116</v>
      </c>
      <c r="B1181" s="223" t="s">
        <v>2801</v>
      </c>
      <c r="C1181" s="221" t="s">
        <v>2803</v>
      </c>
    </row>
    <row r="1182" spans="1:3" x14ac:dyDescent="0.25">
      <c r="A1182" s="222">
        <v>210117</v>
      </c>
      <c r="B1182" s="223" t="s">
        <v>2806</v>
      </c>
      <c r="C1182" s="221" t="s">
        <v>2807</v>
      </c>
    </row>
    <row r="1183" spans="1:3" x14ac:dyDescent="0.25">
      <c r="A1183" s="222">
        <v>210117</v>
      </c>
      <c r="B1183" s="223" t="s">
        <v>2806</v>
      </c>
      <c r="C1183" s="221" t="s">
        <v>2805</v>
      </c>
    </row>
    <row r="1184" spans="1:3" x14ac:dyDescent="0.25">
      <c r="A1184" s="222">
        <v>210118</v>
      </c>
      <c r="B1184" s="223" t="s">
        <v>2806</v>
      </c>
      <c r="C1184" s="221" t="s">
        <v>2809</v>
      </c>
    </row>
    <row r="1185" spans="1:3" x14ac:dyDescent="0.25">
      <c r="A1185" s="222">
        <v>210118</v>
      </c>
      <c r="B1185" s="223" t="s">
        <v>2806</v>
      </c>
      <c r="C1185" s="221" t="s">
        <v>2808</v>
      </c>
    </row>
    <row r="1186" spans="1:3" x14ac:dyDescent="0.25">
      <c r="A1186" s="222">
        <v>210119</v>
      </c>
      <c r="B1186" s="223" t="s">
        <v>2811</v>
      </c>
      <c r="C1186" s="221" t="s">
        <v>2812</v>
      </c>
    </row>
    <row r="1187" spans="1:3" x14ac:dyDescent="0.25">
      <c r="A1187" s="222">
        <v>210119</v>
      </c>
      <c r="B1187" s="223" t="s">
        <v>2811</v>
      </c>
      <c r="C1187" s="221" t="s">
        <v>2810</v>
      </c>
    </row>
    <row r="1188" spans="1:3" x14ac:dyDescent="0.25">
      <c r="A1188" s="222">
        <v>210120</v>
      </c>
      <c r="B1188" s="223" t="s">
        <v>2811</v>
      </c>
      <c r="C1188" s="221" t="s">
        <v>2814</v>
      </c>
    </row>
    <row r="1189" spans="1:3" x14ac:dyDescent="0.25">
      <c r="A1189" s="222">
        <v>210120</v>
      </c>
      <c r="B1189" s="223" t="s">
        <v>2811</v>
      </c>
      <c r="C1189" s="221" t="s">
        <v>2813</v>
      </c>
    </row>
    <row r="1190" spans="1:3" x14ac:dyDescent="0.25">
      <c r="A1190" s="222">
        <v>210121</v>
      </c>
      <c r="B1190" s="223" t="s">
        <v>2816</v>
      </c>
      <c r="C1190" s="221" t="s">
        <v>2817</v>
      </c>
    </row>
    <row r="1191" spans="1:3" x14ac:dyDescent="0.25">
      <c r="A1191" s="222">
        <v>210121</v>
      </c>
      <c r="B1191" s="223" t="s">
        <v>2816</v>
      </c>
      <c r="C1191" s="221" t="s">
        <v>2815</v>
      </c>
    </row>
    <row r="1192" spans="1:3" x14ac:dyDescent="0.25">
      <c r="A1192" s="222">
        <v>210122</v>
      </c>
      <c r="B1192" s="223" t="s">
        <v>2819</v>
      </c>
      <c r="C1192" s="221" t="s">
        <v>2820</v>
      </c>
    </row>
    <row r="1193" spans="1:3" x14ac:dyDescent="0.25">
      <c r="A1193" s="222">
        <v>210122</v>
      </c>
      <c r="B1193" s="223" t="s">
        <v>2819</v>
      </c>
      <c r="C1193" s="221" t="s">
        <v>2818</v>
      </c>
    </row>
    <row r="1194" spans="1:3" x14ac:dyDescent="0.25">
      <c r="A1194" s="222">
        <v>210123</v>
      </c>
      <c r="B1194" s="223" t="s">
        <v>2819</v>
      </c>
      <c r="C1194" s="221" t="s">
        <v>2822</v>
      </c>
    </row>
    <row r="1195" spans="1:3" x14ac:dyDescent="0.25">
      <c r="A1195" s="222">
        <v>210123</v>
      </c>
      <c r="B1195" s="223" t="s">
        <v>2819</v>
      </c>
      <c r="C1195" s="221" t="s">
        <v>2821</v>
      </c>
    </row>
    <row r="1196" spans="1:3" x14ac:dyDescent="0.25">
      <c r="A1196" s="222">
        <v>210124</v>
      </c>
      <c r="B1196" s="223" t="s">
        <v>2824</v>
      </c>
      <c r="C1196" s="221" t="s">
        <v>2825</v>
      </c>
    </row>
    <row r="1197" spans="1:3" x14ac:dyDescent="0.25">
      <c r="A1197" s="222">
        <v>210124</v>
      </c>
      <c r="B1197" s="223" t="s">
        <v>2824</v>
      </c>
      <c r="C1197" s="221" t="s">
        <v>2823</v>
      </c>
    </row>
    <row r="1198" spans="1:3" x14ac:dyDescent="0.25">
      <c r="A1198" s="222">
        <v>210125</v>
      </c>
      <c r="B1198" s="223" t="s">
        <v>2827</v>
      </c>
      <c r="C1198" s="221" t="s">
        <v>2828</v>
      </c>
    </row>
    <row r="1199" spans="1:3" x14ac:dyDescent="0.25">
      <c r="A1199" s="222">
        <v>210125</v>
      </c>
      <c r="B1199" s="223" t="s">
        <v>2827</v>
      </c>
      <c r="C1199" s="221" t="s">
        <v>2826</v>
      </c>
    </row>
    <row r="1200" spans="1:3" x14ac:dyDescent="0.25">
      <c r="A1200" s="222">
        <v>210126</v>
      </c>
      <c r="B1200" s="223" t="s">
        <v>2830</v>
      </c>
      <c r="C1200" s="221" t="s">
        <v>2831</v>
      </c>
    </row>
    <row r="1201" spans="1:3" x14ac:dyDescent="0.25">
      <c r="A1201" s="222">
        <v>210126</v>
      </c>
      <c r="B1201" s="223" t="s">
        <v>2830</v>
      </c>
      <c r="C1201" s="221" t="s">
        <v>2829</v>
      </c>
    </row>
    <row r="1202" spans="1:3" x14ac:dyDescent="0.25">
      <c r="A1202" s="222">
        <v>210127</v>
      </c>
      <c r="B1202" s="223" t="s">
        <v>2833</v>
      </c>
      <c r="C1202" s="221" t="s">
        <v>2834</v>
      </c>
    </row>
    <row r="1203" spans="1:3" x14ac:dyDescent="0.25">
      <c r="A1203" s="222">
        <v>210127</v>
      </c>
      <c r="B1203" s="223" t="s">
        <v>2833</v>
      </c>
      <c r="C1203" s="221" t="s">
        <v>2832</v>
      </c>
    </row>
    <row r="1204" spans="1:3" x14ac:dyDescent="0.25">
      <c r="A1204" s="222">
        <v>210128</v>
      </c>
      <c r="B1204" s="223" t="s">
        <v>2836</v>
      </c>
      <c r="C1204" s="221" t="s">
        <v>2837</v>
      </c>
    </row>
    <row r="1205" spans="1:3" x14ac:dyDescent="0.25">
      <c r="A1205" s="222">
        <v>210128</v>
      </c>
      <c r="B1205" s="223" t="s">
        <v>2836</v>
      </c>
      <c r="C1205" s="221" t="s">
        <v>2835</v>
      </c>
    </row>
    <row r="1206" spans="1:3" x14ac:dyDescent="0.25">
      <c r="A1206" s="222">
        <v>210129</v>
      </c>
      <c r="B1206" s="223" t="s">
        <v>2839</v>
      </c>
      <c r="C1206" s="221" t="s">
        <v>2840</v>
      </c>
    </row>
    <row r="1207" spans="1:3" x14ac:dyDescent="0.25">
      <c r="A1207" s="222">
        <v>210129</v>
      </c>
      <c r="B1207" s="223" t="s">
        <v>2839</v>
      </c>
      <c r="C1207" s="221" t="s">
        <v>2838</v>
      </c>
    </row>
    <row r="1208" spans="1:3" x14ac:dyDescent="0.25">
      <c r="A1208" s="222">
        <v>210130</v>
      </c>
      <c r="B1208" s="223" t="s">
        <v>2842</v>
      </c>
      <c r="C1208" s="221" t="s">
        <v>2843</v>
      </c>
    </row>
    <row r="1209" spans="1:3" x14ac:dyDescent="0.25">
      <c r="A1209" s="222">
        <v>210130</v>
      </c>
      <c r="B1209" s="223" t="s">
        <v>2842</v>
      </c>
      <c r="C1209" s="221" t="s">
        <v>2841</v>
      </c>
    </row>
    <row r="1210" spans="1:3" x14ac:dyDescent="0.25">
      <c r="A1210" s="222">
        <v>210131</v>
      </c>
      <c r="B1210" s="223" t="s">
        <v>2845</v>
      </c>
      <c r="C1210" s="221" t="s">
        <v>2846</v>
      </c>
    </row>
    <row r="1211" spans="1:3" x14ac:dyDescent="0.25">
      <c r="A1211" s="222">
        <v>210131</v>
      </c>
      <c r="B1211" s="223" t="s">
        <v>2845</v>
      </c>
      <c r="C1211" s="221" t="s">
        <v>2844</v>
      </c>
    </row>
    <row r="1212" spans="1:3" x14ac:dyDescent="0.25">
      <c r="A1212" s="222">
        <v>210132</v>
      </c>
      <c r="B1212" s="223" t="s">
        <v>2848</v>
      </c>
      <c r="C1212" s="221" t="s">
        <v>2849</v>
      </c>
    </row>
    <row r="1213" spans="1:3" x14ac:dyDescent="0.25">
      <c r="A1213" s="222">
        <v>210132</v>
      </c>
      <c r="B1213" s="223" t="s">
        <v>2848</v>
      </c>
      <c r="C1213" s="221" t="s">
        <v>2847</v>
      </c>
    </row>
    <row r="1214" spans="1:3" x14ac:dyDescent="0.25">
      <c r="A1214" s="222">
        <v>210133</v>
      </c>
      <c r="B1214" s="223" t="s">
        <v>2851</v>
      </c>
      <c r="C1214" s="221" t="s">
        <v>2852</v>
      </c>
    </row>
    <row r="1215" spans="1:3" x14ac:dyDescent="0.25">
      <c r="A1215" s="222">
        <v>210133</v>
      </c>
      <c r="B1215" s="223" t="s">
        <v>2851</v>
      </c>
      <c r="C1215" s="221" t="s">
        <v>2850</v>
      </c>
    </row>
    <row r="1216" spans="1:3" x14ac:dyDescent="0.25">
      <c r="A1216" s="222">
        <v>210134</v>
      </c>
      <c r="B1216" s="223" t="s">
        <v>2854</v>
      </c>
      <c r="C1216" s="221" t="s">
        <v>2855</v>
      </c>
    </row>
    <row r="1217" spans="1:3" x14ac:dyDescent="0.25">
      <c r="A1217" s="222">
        <v>210134</v>
      </c>
      <c r="B1217" s="223" t="s">
        <v>2854</v>
      </c>
      <c r="C1217" s="221" t="s">
        <v>2853</v>
      </c>
    </row>
    <row r="1218" spans="1:3" x14ac:dyDescent="0.25">
      <c r="A1218" s="222">
        <v>210135</v>
      </c>
      <c r="B1218" s="223" t="s">
        <v>2854</v>
      </c>
      <c r="C1218" s="221" t="s">
        <v>2857</v>
      </c>
    </row>
    <row r="1219" spans="1:3" x14ac:dyDescent="0.25">
      <c r="A1219" s="222">
        <v>210135</v>
      </c>
      <c r="B1219" s="223" t="s">
        <v>2854</v>
      </c>
      <c r="C1219" s="221" t="s">
        <v>2856</v>
      </c>
    </row>
    <row r="1220" spans="1:3" x14ac:dyDescent="0.25">
      <c r="A1220" s="222">
        <v>210136</v>
      </c>
      <c r="B1220" s="223" t="s">
        <v>2859</v>
      </c>
      <c r="C1220" s="221" t="s">
        <v>2860</v>
      </c>
    </row>
    <row r="1221" spans="1:3" x14ac:dyDescent="0.25">
      <c r="A1221" s="222">
        <v>210136</v>
      </c>
      <c r="B1221" s="223" t="s">
        <v>2859</v>
      </c>
      <c r="C1221" s="221" t="s">
        <v>2858</v>
      </c>
    </row>
    <row r="1222" spans="1:3" x14ac:dyDescent="0.25">
      <c r="A1222" s="222">
        <v>210137</v>
      </c>
      <c r="B1222" s="223" t="s">
        <v>2859</v>
      </c>
      <c r="C1222" s="221" t="s">
        <v>2862</v>
      </c>
    </row>
    <row r="1223" spans="1:3" x14ac:dyDescent="0.25">
      <c r="A1223" s="222">
        <v>210137</v>
      </c>
      <c r="B1223" s="223" t="s">
        <v>2859</v>
      </c>
      <c r="C1223" s="221" t="s">
        <v>2861</v>
      </c>
    </row>
    <row r="1224" spans="1:3" x14ac:dyDescent="0.25">
      <c r="A1224" s="222">
        <v>210138</v>
      </c>
      <c r="B1224" s="223" t="s">
        <v>2864</v>
      </c>
      <c r="C1224" s="221" t="s">
        <v>2865</v>
      </c>
    </row>
    <row r="1225" spans="1:3" x14ac:dyDescent="0.25">
      <c r="A1225" s="222">
        <v>210138</v>
      </c>
      <c r="B1225" s="223" t="s">
        <v>2864</v>
      </c>
      <c r="C1225" s="221" t="s">
        <v>2863</v>
      </c>
    </row>
    <row r="1226" spans="1:3" x14ac:dyDescent="0.25">
      <c r="A1226" s="222">
        <v>210139</v>
      </c>
      <c r="B1226" s="223" t="s">
        <v>2867</v>
      </c>
      <c r="C1226" s="221" t="s">
        <v>2868</v>
      </c>
    </row>
    <row r="1227" spans="1:3" x14ac:dyDescent="0.25">
      <c r="A1227" s="222">
        <v>210139</v>
      </c>
      <c r="B1227" s="223" t="s">
        <v>2867</v>
      </c>
      <c r="C1227" s="221" t="s">
        <v>2866</v>
      </c>
    </row>
    <row r="1228" spans="1:3" x14ac:dyDescent="0.25">
      <c r="A1228" s="222">
        <v>210140</v>
      </c>
      <c r="B1228" s="223" t="s">
        <v>2870</v>
      </c>
      <c r="C1228" s="221" t="s">
        <v>2871</v>
      </c>
    </row>
    <row r="1229" spans="1:3" x14ac:dyDescent="0.25">
      <c r="A1229" s="222">
        <v>210140</v>
      </c>
      <c r="B1229" s="223" t="s">
        <v>2870</v>
      </c>
      <c r="C1229" s="221" t="s">
        <v>2869</v>
      </c>
    </row>
    <row r="1230" spans="1:3" x14ac:dyDescent="0.25">
      <c r="A1230" s="222">
        <v>210141</v>
      </c>
      <c r="B1230" s="223" t="s">
        <v>2873</v>
      </c>
      <c r="C1230" s="221" t="s">
        <v>2874</v>
      </c>
    </row>
    <row r="1231" spans="1:3" x14ac:dyDescent="0.25">
      <c r="A1231" s="222">
        <v>210141</v>
      </c>
      <c r="B1231" s="223" t="s">
        <v>2873</v>
      </c>
      <c r="C1231" s="221" t="s">
        <v>2872</v>
      </c>
    </row>
    <row r="1232" spans="1:3" x14ac:dyDescent="0.25">
      <c r="A1232" s="222">
        <v>210142</v>
      </c>
      <c r="B1232" s="223" t="s">
        <v>2876</v>
      </c>
      <c r="C1232" s="221" t="s">
        <v>2877</v>
      </c>
    </row>
    <row r="1233" spans="1:3" x14ac:dyDescent="0.25">
      <c r="A1233" s="222">
        <v>210142</v>
      </c>
      <c r="B1233" s="223" t="s">
        <v>2876</v>
      </c>
      <c r="C1233" s="221" t="s">
        <v>2875</v>
      </c>
    </row>
    <row r="1234" spans="1:3" x14ac:dyDescent="0.25">
      <c r="A1234" s="222">
        <v>210143</v>
      </c>
      <c r="B1234" s="223" t="s">
        <v>2876</v>
      </c>
      <c r="C1234" s="221" t="s">
        <v>2879</v>
      </c>
    </row>
    <row r="1235" spans="1:3" x14ac:dyDescent="0.25">
      <c r="A1235" s="222">
        <v>210143</v>
      </c>
      <c r="B1235" s="223" t="s">
        <v>2876</v>
      </c>
      <c r="C1235" s="221" t="s">
        <v>2878</v>
      </c>
    </row>
    <row r="1236" spans="1:3" x14ac:dyDescent="0.25">
      <c r="A1236" s="222">
        <v>210144</v>
      </c>
      <c r="B1236" s="223" t="s">
        <v>2881</v>
      </c>
      <c r="C1236" s="221" t="s">
        <v>2882</v>
      </c>
    </row>
    <row r="1237" spans="1:3" x14ac:dyDescent="0.25">
      <c r="A1237" s="222">
        <v>210144</v>
      </c>
      <c r="B1237" s="223" t="s">
        <v>2881</v>
      </c>
      <c r="C1237" s="221" t="s">
        <v>2880</v>
      </c>
    </row>
    <row r="1238" spans="1:3" x14ac:dyDescent="0.25">
      <c r="A1238" s="222">
        <v>210145</v>
      </c>
      <c r="B1238" s="223" t="s">
        <v>2884</v>
      </c>
      <c r="C1238" s="221" t="s">
        <v>2885</v>
      </c>
    </row>
    <row r="1239" spans="1:3" x14ac:dyDescent="0.25">
      <c r="A1239" s="222">
        <v>210145</v>
      </c>
      <c r="B1239" s="223" t="s">
        <v>2884</v>
      </c>
      <c r="C1239" s="221" t="s">
        <v>2883</v>
      </c>
    </row>
    <row r="1240" spans="1:3" x14ac:dyDescent="0.25">
      <c r="A1240" s="222">
        <v>210146</v>
      </c>
      <c r="B1240" s="223" t="s">
        <v>2887</v>
      </c>
      <c r="C1240" s="221" t="s">
        <v>2888</v>
      </c>
    </row>
    <row r="1241" spans="1:3" x14ac:dyDescent="0.25">
      <c r="A1241" s="222">
        <v>210146</v>
      </c>
      <c r="B1241" s="223" t="s">
        <v>2887</v>
      </c>
      <c r="C1241" s="221" t="s">
        <v>2886</v>
      </c>
    </row>
    <row r="1242" spans="1:3" x14ac:dyDescent="0.25">
      <c r="A1242" s="222">
        <v>210147</v>
      </c>
      <c r="B1242" s="223" t="s">
        <v>2890</v>
      </c>
      <c r="C1242" s="221" t="s">
        <v>2891</v>
      </c>
    </row>
    <row r="1243" spans="1:3" x14ac:dyDescent="0.25">
      <c r="A1243" s="222">
        <v>210147</v>
      </c>
      <c r="B1243" s="223" t="s">
        <v>2890</v>
      </c>
      <c r="C1243" s="221" t="s">
        <v>2889</v>
      </c>
    </row>
    <row r="1244" spans="1:3" x14ac:dyDescent="0.25">
      <c r="A1244" s="222">
        <v>210148</v>
      </c>
      <c r="B1244" s="223" t="s">
        <v>2893</v>
      </c>
      <c r="C1244" s="221" t="s">
        <v>2894</v>
      </c>
    </row>
    <row r="1245" spans="1:3" x14ac:dyDescent="0.25">
      <c r="A1245" s="222">
        <v>210148</v>
      </c>
      <c r="B1245" s="223" t="s">
        <v>2893</v>
      </c>
      <c r="C1245" s="221" t="s">
        <v>2892</v>
      </c>
    </row>
    <row r="1246" spans="1:3" x14ac:dyDescent="0.25">
      <c r="A1246" s="222">
        <v>210149</v>
      </c>
      <c r="B1246" s="223" t="s">
        <v>2896</v>
      </c>
      <c r="C1246" s="221" t="s">
        <v>2897</v>
      </c>
    </row>
    <row r="1247" spans="1:3" x14ac:dyDescent="0.25">
      <c r="A1247" s="222">
        <v>210149</v>
      </c>
      <c r="B1247" s="223" t="s">
        <v>2896</v>
      </c>
      <c r="C1247" s="221" t="s">
        <v>2895</v>
      </c>
    </row>
    <row r="1248" spans="1:3" x14ac:dyDescent="0.25">
      <c r="A1248" s="222">
        <v>210150</v>
      </c>
      <c r="B1248" s="223" t="s">
        <v>2899</v>
      </c>
      <c r="C1248" s="221" t="s">
        <v>2900</v>
      </c>
    </row>
    <row r="1249" spans="1:3" x14ac:dyDescent="0.25">
      <c r="A1249" s="222">
        <v>210150</v>
      </c>
      <c r="B1249" s="223" t="s">
        <v>2899</v>
      </c>
      <c r="C1249" s="221" t="s">
        <v>2898</v>
      </c>
    </row>
    <row r="1250" spans="1:3" x14ac:dyDescent="0.25">
      <c r="A1250" s="222">
        <v>210151</v>
      </c>
      <c r="B1250" s="223" t="s">
        <v>2902</v>
      </c>
      <c r="C1250" s="221" t="s">
        <v>2903</v>
      </c>
    </row>
    <row r="1251" spans="1:3" x14ac:dyDescent="0.25">
      <c r="A1251" s="222">
        <v>210151</v>
      </c>
      <c r="B1251" s="223" t="s">
        <v>2902</v>
      </c>
      <c r="C1251" s="221" t="s">
        <v>2901</v>
      </c>
    </row>
    <row r="1252" spans="1:3" x14ac:dyDescent="0.25">
      <c r="A1252" s="222">
        <v>210152</v>
      </c>
      <c r="B1252" s="223" t="s">
        <v>2905</v>
      </c>
      <c r="C1252" s="221" t="s">
        <v>2906</v>
      </c>
    </row>
    <row r="1253" spans="1:3" x14ac:dyDescent="0.25">
      <c r="A1253" s="222">
        <v>210152</v>
      </c>
      <c r="B1253" s="223" t="s">
        <v>2905</v>
      </c>
      <c r="C1253" s="221" t="s">
        <v>2904</v>
      </c>
    </row>
    <row r="1254" spans="1:3" x14ac:dyDescent="0.25">
      <c r="A1254" s="222">
        <v>210153</v>
      </c>
      <c r="B1254" s="223" t="s">
        <v>2908</v>
      </c>
      <c r="C1254" s="221" t="s">
        <v>2909</v>
      </c>
    </row>
    <row r="1255" spans="1:3" x14ac:dyDescent="0.25">
      <c r="A1255" s="222">
        <v>210153</v>
      </c>
      <c r="B1255" s="223" t="s">
        <v>2908</v>
      </c>
      <c r="C1255" s="221" t="s">
        <v>2907</v>
      </c>
    </row>
    <row r="1256" spans="1:3" x14ac:dyDescent="0.25">
      <c r="A1256" s="222">
        <v>210154</v>
      </c>
      <c r="B1256" s="223" t="s">
        <v>2911</v>
      </c>
      <c r="C1256" s="221" t="s">
        <v>2912</v>
      </c>
    </row>
    <row r="1257" spans="1:3" x14ac:dyDescent="0.25">
      <c r="A1257" s="222">
        <v>210154</v>
      </c>
      <c r="B1257" s="223" t="s">
        <v>2911</v>
      </c>
      <c r="C1257" s="221" t="s">
        <v>2910</v>
      </c>
    </row>
    <row r="1258" spans="1:3" x14ac:dyDescent="0.25">
      <c r="A1258" s="222">
        <v>210155</v>
      </c>
      <c r="B1258" s="223" t="s">
        <v>2914</v>
      </c>
      <c r="C1258" s="221" t="s">
        <v>2915</v>
      </c>
    </row>
    <row r="1259" spans="1:3" x14ac:dyDescent="0.25">
      <c r="A1259" s="222">
        <v>210155</v>
      </c>
      <c r="B1259" s="223" t="s">
        <v>2914</v>
      </c>
      <c r="C1259" s="221" t="s">
        <v>2913</v>
      </c>
    </row>
    <row r="1260" spans="1:3" x14ac:dyDescent="0.25">
      <c r="A1260" s="222">
        <v>210156</v>
      </c>
      <c r="B1260" s="223" t="s">
        <v>2917</v>
      </c>
      <c r="C1260" s="221" t="s">
        <v>2918</v>
      </c>
    </row>
    <row r="1261" spans="1:3" x14ac:dyDescent="0.25">
      <c r="A1261" s="222">
        <v>210156</v>
      </c>
      <c r="B1261" s="223" t="s">
        <v>2917</v>
      </c>
      <c r="C1261" s="221" t="s">
        <v>2916</v>
      </c>
    </row>
    <row r="1262" spans="1:3" x14ac:dyDescent="0.25">
      <c r="A1262" s="222">
        <v>210157</v>
      </c>
      <c r="B1262" s="223" t="s">
        <v>2920</v>
      </c>
      <c r="C1262" s="221" t="s">
        <v>2921</v>
      </c>
    </row>
    <row r="1263" spans="1:3" x14ac:dyDescent="0.25">
      <c r="A1263" s="222">
        <v>210157</v>
      </c>
      <c r="B1263" s="223" t="s">
        <v>2920</v>
      </c>
      <c r="C1263" s="221" t="s">
        <v>2919</v>
      </c>
    </row>
    <row r="1264" spans="1:3" x14ac:dyDescent="0.25">
      <c r="A1264" s="222">
        <v>210158</v>
      </c>
      <c r="B1264" s="223" t="s">
        <v>2923</v>
      </c>
      <c r="C1264" s="221" t="s">
        <v>2924</v>
      </c>
    </row>
    <row r="1265" spans="1:3" x14ac:dyDescent="0.25">
      <c r="A1265" s="222">
        <v>210158</v>
      </c>
      <c r="B1265" s="223" t="s">
        <v>2923</v>
      </c>
      <c r="C1265" s="221" t="s">
        <v>2922</v>
      </c>
    </row>
    <row r="1266" spans="1:3" x14ac:dyDescent="0.25">
      <c r="A1266" s="222">
        <v>210159</v>
      </c>
      <c r="B1266" s="223" t="s">
        <v>2920</v>
      </c>
      <c r="C1266" s="221" t="s">
        <v>2926</v>
      </c>
    </row>
    <row r="1267" spans="1:3" x14ac:dyDescent="0.25">
      <c r="A1267" s="222">
        <v>210159</v>
      </c>
      <c r="B1267" s="223" t="s">
        <v>2920</v>
      </c>
      <c r="C1267" s="221" t="s">
        <v>2925</v>
      </c>
    </row>
    <row r="1268" spans="1:3" x14ac:dyDescent="0.25">
      <c r="A1268" s="222">
        <v>210160</v>
      </c>
      <c r="B1268" s="223" t="s">
        <v>2928</v>
      </c>
      <c r="C1268" s="221" t="s">
        <v>2929</v>
      </c>
    </row>
    <row r="1269" spans="1:3" x14ac:dyDescent="0.25">
      <c r="A1269" s="222">
        <v>210160</v>
      </c>
      <c r="B1269" s="223" t="s">
        <v>2928</v>
      </c>
      <c r="C1269" s="221" t="s">
        <v>2927</v>
      </c>
    </row>
    <row r="1270" spans="1:3" x14ac:dyDescent="0.25">
      <c r="A1270" s="222">
        <v>210161</v>
      </c>
      <c r="B1270" s="223" t="s">
        <v>2931</v>
      </c>
      <c r="C1270" s="221" t="s">
        <v>2932</v>
      </c>
    </row>
    <row r="1271" spans="1:3" x14ac:dyDescent="0.25">
      <c r="A1271" s="222">
        <v>210161</v>
      </c>
      <c r="B1271" s="223" t="s">
        <v>2931</v>
      </c>
      <c r="C1271" s="221" t="s">
        <v>2930</v>
      </c>
    </row>
    <row r="1272" spans="1:3" x14ac:dyDescent="0.25">
      <c r="A1272" s="222">
        <v>210162</v>
      </c>
      <c r="B1272" s="223" t="s">
        <v>2928</v>
      </c>
      <c r="C1272" s="221" t="s">
        <v>2934</v>
      </c>
    </row>
    <row r="1273" spans="1:3" x14ac:dyDescent="0.25">
      <c r="A1273" s="222">
        <v>210162</v>
      </c>
      <c r="B1273" s="223" t="s">
        <v>2928</v>
      </c>
      <c r="C1273" s="221" t="s">
        <v>2933</v>
      </c>
    </row>
    <row r="1274" spans="1:3" x14ac:dyDescent="0.25">
      <c r="A1274" s="222">
        <v>210163</v>
      </c>
      <c r="B1274" s="223" t="s">
        <v>2936</v>
      </c>
      <c r="C1274" s="221" t="s">
        <v>2937</v>
      </c>
    </row>
    <row r="1275" spans="1:3" x14ac:dyDescent="0.25">
      <c r="A1275" s="222">
        <v>210163</v>
      </c>
      <c r="B1275" s="223" t="s">
        <v>2936</v>
      </c>
      <c r="C1275" s="221" t="s">
        <v>2935</v>
      </c>
    </row>
    <row r="1276" spans="1:3" x14ac:dyDescent="0.25">
      <c r="A1276" s="222">
        <v>210164</v>
      </c>
      <c r="B1276" s="223" t="s">
        <v>2939</v>
      </c>
      <c r="C1276" s="221" t="s">
        <v>2940</v>
      </c>
    </row>
    <row r="1277" spans="1:3" x14ac:dyDescent="0.25">
      <c r="A1277" s="222">
        <v>210164</v>
      </c>
      <c r="B1277" s="223" t="s">
        <v>2939</v>
      </c>
      <c r="C1277" s="221" t="s">
        <v>2938</v>
      </c>
    </row>
    <row r="1278" spans="1:3" x14ac:dyDescent="0.25">
      <c r="A1278" s="222">
        <v>210165</v>
      </c>
      <c r="B1278" s="223" t="s">
        <v>2942</v>
      </c>
      <c r="C1278" s="221" t="s">
        <v>2943</v>
      </c>
    </row>
    <row r="1279" spans="1:3" x14ac:dyDescent="0.25">
      <c r="A1279" s="222">
        <v>210165</v>
      </c>
      <c r="B1279" s="223" t="s">
        <v>2942</v>
      </c>
      <c r="C1279" s="221" t="s">
        <v>2941</v>
      </c>
    </row>
    <row r="1280" spans="1:3" x14ac:dyDescent="0.25">
      <c r="A1280" s="222">
        <v>210166</v>
      </c>
      <c r="B1280" s="223" t="s">
        <v>2942</v>
      </c>
      <c r="C1280" s="221" t="s">
        <v>2945</v>
      </c>
    </row>
    <row r="1281" spans="1:3" x14ac:dyDescent="0.25">
      <c r="A1281" s="222">
        <v>210166</v>
      </c>
      <c r="B1281" s="223" t="s">
        <v>2942</v>
      </c>
      <c r="C1281" s="221" t="s">
        <v>2944</v>
      </c>
    </row>
    <row r="1282" spans="1:3" x14ac:dyDescent="0.25">
      <c r="A1282" s="222">
        <v>210167</v>
      </c>
      <c r="B1282" s="223" t="s">
        <v>2947</v>
      </c>
      <c r="C1282" s="221" t="s">
        <v>2948</v>
      </c>
    </row>
    <row r="1283" spans="1:3" x14ac:dyDescent="0.25">
      <c r="A1283" s="222">
        <v>210167</v>
      </c>
      <c r="B1283" s="223" t="s">
        <v>2947</v>
      </c>
      <c r="C1283" s="221" t="s">
        <v>2946</v>
      </c>
    </row>
    <row r="1284" spans="1:3" x14ac:dyDescent="0.25">
      <c r="A1284" s="222">
        <v>210168</v>
      </c>
      <c r="B1284" s="223" t="s">
        <v>2950</v>
      </c>
      <c r="C1284" s="221" t="s">
        <v>2951</v>
      </c>
    </row>
    <row r="1285" spans="1:3" x14ac:dyDescent="0.25">
      <c r="A1285" s="222">
        <v>210168</v>
      </c>
      <c r="B1285" s="223" t="s">
        <v>2950</v>
      </c>
      <c r="C1285" s="221" t="s">
        <v>2949</v>
      </c>
    </row>
    <row r="1286" spans="1:3" x14ac:dyDescent="0.25">
      <c r="A1286" s="222">
        <v>210169</v>
      </c>
      <c r="B1286" s="223" t="s">
        <v>2953</v>
      </c>
      <c r="C1286" s="221" t="s">
        <v>2954</v>
      </c>
    </row>
    <row r="1287" spans="1:3" x14ac:dyDescent="0.25">
      <c r="A1287" s="222">
        <v>210169</v>
      </c>
      <c r="B1287" s="223" t="s">
        <v>2953</v>
      </c>
      <c r="C1287" s="221" t="s">
        <v>2952</v>
      </c>
    </row>
    <row r="1288" spans="1:3" x14ac:dyDescent="0.25">
      <c r="A1288" s="222">
        <v>210170</v>
      </c>
      <c r="B1288" s="223" t="s">
        <v>2956</v>
      </c>
      <c r="C1288" s="221" t="s">
        <v>2957</v>
      </c>
    </row>
    <row r="1289" spans="1:3" x14ac:dyDescent="0.25">
      <c r="A1289" s="222">
        <v>210170</v>
      </c>
      <c r="B1289" s="223" t="s">
        <v>2956</v>
      </c>
      <c r="C1289" s="221" t="s">
        <v>2955</v>
      </c>
    </row>
    <row r="1290" spans="1:3" x14ac:dyDescent="0.25">
      <c r="A1290" s="222">
        <v>210171</v>
      </c>
      <c r="B1290" s="223" t="s">
        <v>2959</v>
      </c>
      <c r="C1290" s="221" t="s">
        <v>2960</v>
      </c>
    </row>
    <row r="1291" spans="1:3" x14ac:dyDescent="0.25">
      <c r="A1291" s="222">
        <v>210171</v>
      </c>
      <c r="B1291" s="223" t="s">
        <v>2959</v>
      </c>
      <c r="C1291" s="221" t="s">
        <v>2958</v>
      </c>
    </row>
    <row r="1292" spans="1:3" x14ac:dyDescent="0.25">
      <c r="A1292" s="222">
        <v>210172</v>
      </c>
      <c r="B1292" s="223" t="s">
        <v>2962</v>
      </c>
      <c r="C1292" s="221" t="s">
        <v>2963</v>
      </c>
    </row>
    <row r="1293" spans="1:3" x14ac:dyDescent="0.25">
      <c r="A1293" s="222">
        <v>210172</v>
      </c>
      <c r="B1293" s="223" t="s">
        <v>2962</v>
      </c>
      <c r="C1293" s="221" t="s">
        <v>2961</v>
      </c>
    </row>
    <row r="1294" spans="1:3" x14ac:dyDescent="0.25">
      <c r="A1294" s="222">
        <v>210173</v>
      </c>
      <c r="B1294" s="223" t="s">
        <v>2965</v>
      </c>
      <c r="C1294" s="221" t="s">
        <v>2966</v>
      </c>
    </row>
    <row r="1295" spans="1:3" x14ac:dyDescent="0.25">
      <c r="A1295" s="222">
        <v>210173</v>
      </c>
      <c r="B1295" s="223" t="s">
        <v>2965</v>
      </c>
      <c r="C1295" s="221" t="s">
        <v>2964</v>
      </c>
    </row>
    <row r="1296" spans="1:3" x14ac:dyDescent="0.25">
      <c r="A1296" s="222">
        <v>210174</v>
      </c>
      <c r="B1296" s="223" t="s">
        <v>2968</v>
      </c>
      <c r="C1296" s="221" t="s">
        <v>2969</v>
      </c>
    </row>
    <row r="1297" spans="1:3" x14ac:dyDescent="0.25">
      <c r="A1297" s="222">
        <v>210174</v>
      </c>
      <c r="B1297" s="223" t="s">
        <v>2968</v>
      </c>
      <c r="C1297" s="221" t="s">
        <v>2967</v>
      </c>
    </row>
    <row r="1298" spans="1:3" x14ac:dyDescent="0.25">
      <c r="A1298" s="222">
        <v>210175</v>
      </c>
      <c r="B1298" s="223" t="s">
        <v>2971</v>
      </c>
      <c r="C1298" s="221" t="s">
        <v>2972</v>
      </c>
    </row>
    <row r="1299" spans="1:3" x14ac:dyDescent="0.25">
      <c r="A1299" s="222">
        <v>210175</v>
      </c>
      <c r="B1299" s="223" t="s">
        <v>2971</v>
      </c>
      <c r="C1299" s="221" t="s">
        <v>2970</v>
      </c>
    </row>
    <row r="1300" spans="1:3" x14ac:dyDescent="0.25">
      <c r="A1300" s="222">
        <v>210176</v>
      </c>
      <c r="B1300" s="223" t="s">
        <v>2974</v>
      </c>
      <c r="C1300" s="221" t="s">
        <v>2975</v>
      </c>
    </row>
    <row r="1301" spans="1:3" x14ac:dyDescent="0.25">
      <c r="A1301" s="222">
        <v>210176</v>
      </c>
      <c r="B1301" s="223" t="s">
        <v>2974</v>
      </c>
      <c r="C1301" s="221" t="s">
        <v>2973</v>
      </c>
    </row>
    <row r="1302" spans="1:3" x14ac:dyDescent="0.25">
      <c r="A1302" s="222">
        <v>210177</v>
      </c>
      <c r="B1302" s="223" t="s">
        <v>2977</v>
      </c>
      <c r="C1302" s="221" t="s">
        <v>2978</v>
      </c>
    </row>
    <row r="1303" spans="1:3" x14ac:dyDescent="0.25">
      <c r="A1303" s="222">
        <v>210177</v>
      </c>
      <c r="B1303" s="223" t="s">
        <v>2977</v>
      </c>
      <c r="C1303" s="221" t="s">
        <v>2976</v>
      </c>
    </row>
    <row r="1304" spans="1:3" x14ac:dyDescent="0.25">
      <c r="A1304" s="222">
        <v>210178</v>
      </c>
      <c r="B1304" s="223" t="s">
        <v>2980</v>
      </c>
      <c r="C1304" s="221" t="s">
        <v>2981</v>
      </c>
    </row>
    <row r="1305" spans="1:3" x14ac:dyDescent="0.25">
      <c r="A1305" s="222">
        <v>210178</v>
      </c>
      <c r="B1305" s="223" t="s">
        <v>2980</v>
      </c>
      <c r="C1305" s="221" t="s">
        <v>2979</v>
      </c>
    </row>
    <row r="1306" spans="1:3" x14ac:dyDescent="0.25">
      <c r="A1306" s="222">
        <v>210179</v>
      </c>
      <c r="B1306" s="223" t="s">
        <v>2983</v>
      </c>
      <c r="C1306" s="221" t="s">
        <v>2984</v>
      </c>
    </row>
    <row r="1307" spans="1:3" x14ac:dyDescent="0.25">
      <c r="A1307" s="222">
        <v>210179</v>
      </c>
      <c r="B1307" s="223" t="s">
        <v>2983</v>
      </c>
      <c r="C1307" s="221" t="s">
        <v>2982</v>
      </c>
    </row>
    <row r="1308" spans="1:3" x14ac:dyDescent="0.25">
      <c r="A1308" s="222">
        <v>210180</v>
      </c>
      <c r="B1308" s="223" t="s">
        <v>2986</v>
      </c>
      <c r="C1308" s="221" t="s">
        <v>2987</v>
      </c>
    </row>
    <row r="1309" spans="1:3" x14ac:dyDescent="0.25">
      <c r="A1309" s="222">
        <v>210180</v>
      </c>
      <c r="B1309" s="223" t="s">
        <v>2986</v>
      </c>
      <c r="C1309" s="221" t="s">
        <v>2985</v>
      </c>
    </row>
    <row r="1310" spans="1:3" x14ac:dyDescent="0.25">
      <c r="A1310" s="222">
        <v>210181</v>
      </c>
      <c r="B1310" s="223" t="s">
        <v>2989</v>
      </c>
      <c r="C1310" s="221" t="s">
        <v>2990</v>
      </c>
    </row>
    <row r="1311" spans="1:3" x14ac:dyDescent="0.25">
      <c r="A1311" s="222">
        <v>210181</v>
      </c>
      <c r="B1311" s="223" t="s">
        <v>2989</v>
      </c>
      <c r="C1311" s="221" t="s">
        <v>2988</v>
      </c>
    </row>
    <row r="1312" spans="1:3" x14ac:dyDescent="0.25">
      <c r="A1312" s="222">
        <v>210182</v>
      </c>
      <c r="B1312" s="223" t="s">
        <v>2992</v>
      </c>
      <c r="C1312" s="221" t="s">
        <v>2993</v>
      </c>
    </row>
    <row r="1313" spans="1:3" x14ac:dyDescent="0.25">
      <c r="A1313" s="222">
        <v>210182</v>
      </c>
      <c r="B1313" s="223" t="s">
        <v>2992</v>
      </c>
      <c r="C1313" s="221" t="s">
        <v>2991</v>
      </c>
    </row>
    <row r="1314" spans="1:3" x14ac:dyDescent="0.25">
      <c r="A1314" s="222">
        <v>210183</v>
      </c>
      <c r="B1314" s="223" t="s">
        <v>2995</v>
      </c>
      <c r="C1314" s="221" t="s">
        <v>2996</v>
      </c>
    </row>
    <row r="1315" spans="1:3" x14ac:dyDescent="0.25">
      <c r="A1315" s="222">
        <v>210183</v>
      </c>
      <c r="B1315" s="223" t="s">
        <v>2995</v>
      </c>
      <c r="C1315" s="221" t="s">
        <v>2994</v>
      </c>
    </row>
    <row r="1316" spans="1:3" x14ac:dyDescent="0.25">
      <c r="A1316" s="222">
        <v>210184</v>
      </c>
      <c r="B1316" s="223" t="s">
        <v>2998</v>
      </c>
      <c r="C1316" s="221" t="s">
        <v>2999</v>
      </c>
    </row>
    <row r="1317" spans="1:3" x14ac:dyDescent="0.25">
      <c r="A1317" s="222">
        <v>210184</v>
      </c>
      <c r="B1317" s="223" t="s">
        <v>2998</v>
      </c>
      <c r="C1317" s="221" t="s">
        <v>2997</v>
      </c>
    </row>
    <row r="1318" spans="1:3" x14ac:dyDescent="0.25">
      <c r="A1318" s="222">
        <v>210185</v>
      </c>
      <c r="B1318" s="223" t="s">
        <v>3001</v>
      </c>
      <c r="C1318" s="221" t="s">
        <v>3002</v>
      </c>
    </row>
    <row r="1319" spans="1:3" x14ac:dyDescent="0.25">
      <c r="A1319" s="222">
        <v>210185</v>
      </c>
      <c r="B1319" s="223" t="s">
        <v>3001</v>
      </c>
      <c r="C1319" s="221" t="s">
        <v>3000</v>
      </c>
    </row>
    <row r="1320" spans="1:3" x14ac:dyDescent="0.25">
      <c r="A1320" s="222">
        <v>210186</v>
      </c>
      <c r="B1320" s="223" t="s">
        <v>3004</v>
      </c>
      <c r="C1320" s="221" t="s">
        <v>3005</v>
      </c>
    </row>
    <row r="1321" spans="1:3" x14ac:dyDescent="0.25">
      <c r="A1321" s="222">
        <v>210186</v>
      </c>
      <c r="B1321" s="223" t="s">
        <v>3004</v>
      </c>
      <c r="C1321" s="221" t="s">
        <v>3003</v>
      </c>
    </row>
    <row r="1322" spans="1:3" x14ac:dyDescent="0.25">
      <c r="A1322" s="222">
        <v>210187</v>
      </c>
      <c r="B1322" s="223" t="s">
        <v>3007</v>
      </c>
      <c r="C1322" s="221" t="s">
        <v>3008</v>
      </c>
    </row>
    <row r="1323" spans="1:3" x14ac:dyDescent="0.25">
      <c r="A1323" s="222">
        <v>210187</v>
      </c>
      <c r="B1323" s="223" t="s">
        <v>3007</v>
      </c>
      <c r="C1323" s="221" t="s">
        <v>3006</v>
      </c>
    </row>
    <row r="1324" spans="1:3" x14ac:dyDescent="0.25">
      <c r="A1324" s="222">
        <v>210188</v>
      </c>
      <c r="B1324" s="223" t="s">
        <v>3010</v>
      </c>
      <c r="C1324" s="221" t="s">
        <v>3011</v>
      </c>
    </row>
    <row r="1325" spans="1:3" x14ac:dyDescent="0.25">
      <c r="A1325" s="222">
        <v>210188</v>
      </c>
      <c r="B1325" s="223" t="s">
        <v>3010</v>
      </c>
      <c r="C1325" s="221" t="s">
        <v>3009</v>
      </c>
    </row>
    <row r="1326" spans="1:3" x14ac:dyDescent="0.25">
      <c r="A1326" s="222">
        <v>210189</v>
      </c>
      <c r="B1326" s="223" t="s">
        <v>3013</v>
      </c>
      <c r="C1326" s="221" t="s">
        <v>3014</v>
      </c>
    </row>
    <row r="1327" spans="1:3" x14ac:dyDescent="0.25">
      <c r="A1327" s="222">
        <v>210189</v>
      </c>
      <c r="B1327" s="223" t="s">
        <v>3013</v>
      </c>
      <c r="C1327" s="221" t="s">
        <v>3012</v>
      </c>
    </row>
    <row r="1328" spans="1:3" x14ac:dyDescent="0.25">
      <c r="A1328" s="222">
        <v>210190</v>
      </c>
      <c r="B1328" s="223" t="s">
        <v>3016</v>
      </c>
      <c r="C1328" s="221" t="s">
        <v>3017</v>
      </c>
    </row>
    <row r="1329" spans="1:3" x14ac:dyDescent="0.25">
      <c r="A1329" s="222">
        <v>210190</v>
      </c>
      <c r="B1329" s="223" t="s">
        <v>3016</v>
      </c>
      <c r="C1329" s="221" t="s">
        <v>3015</v>
      </c>
    </row>
    <row r="1330" spans="1:3" x14ac:dyDescent="0.25">
      <c r="A1330" s="222">
        <v>210191</v>
      </c>
      <c r="B1330" s="223" t="s">
        <v>3019</v>
      </c>
      <c r="C1330" s="221" t="s">
        <v>3020</v>
      </c>
    </row>
    <row r="1331" spans="1:3" x14ac:dyDescent="0.25">
      <c r="A1331" s="222">
        <v>210191</v>
      </c>
      <c r="B1331" s="223" t="s">
        <v>3019</v>
      </c>
      <c r="C1331" s="221" t="s">
        <v>3018</v>
      </c>
    </row>
    <row r="1332" spans="1:3" x14ac:dyDescent="0.25">
      <c r="A1332" s="222">
        <v>210192</v>
      </c>
      <c r="B1332" s="223" t="s">
        <v>3022</v>
      </c>
      <c r="C1332" s="221" t="s">
        <v>3023</v>
      </c>
    </row>
    <row r="1333" spans="1:3" x14ac:dyDescent="0.25">
      <c r="A1333" s="222">
        <v>210192</v>
      </c>
      <c r="B1333" s="223" t="s">
        <v>3022</v>
      </c>
      <c r="C1333" s="221" t="s">
        <v>3021</v>
      </c>
    </row>
    <row r="1334" spans="1:3" x14ac:dyDescent="0.25">
      <c r="A1334" s="222">
        <v>210193</v>
      </c>
      <c r="B1334" s="223" t="s">
        <v>3025</v>
      </c>
      <c r="C1334" s="221" t="s">
        <v>3026</v>
      </c>
    </row>
    <row r="1335" spans="1:3" x14ac:dyDescent="0.25">
      <c r="A1335" s="222">
        <v>210193</v>
      </c>
      <c r="B1335" s="223" t="s">
        <v>3025</v>
      </c>
      <c r="C1335" s="221" t="s">
        <v>3024</v>
      </c>
    </row>
    <row r="1336" spans="1:3" x14ac:dyDescent="0.25">
      <c r="A1336" s="222">
        <v>210194</v>
      </c>
      <c r="B1336" s="223" t="s">
        <v>3028</v>
      </c>
      <c r="C1336" s="221" t="s">
        <v>3029</v>
      </c>
    </row>
    <row r="1337" spans="1:3" x14ac:dyDescent="0.25">
      <c r="A1337" s="222">
        <v>210194</v>
      </c>
      <c r="B1337" s="223" t="s">
        <v>3028</v>
      </c>
      <c r="C1337" s="221" t="s">
        <v>3027</v>
      </c>
    </row>
    <row r="1338" spans="1:3" x14ac:dyDescent="0.25">
      <c r="A1338" s="222">
        <v>210195</v>
      </c>
      <c r="B1338" s="223" t="s">
        <v>3031</v>
      </c>
      <c r="C1338" s="221" t="s">
        <v>3032</v>
      </c>
    </row>
    <row r="1339" spans="1:3" x14ac:dyDescent="0.25">
      <c r="A1339" s="222">
        <v>210195</v>
      </c>
      <c r="B1339" s="223" t="s">
        <v>3031</v>
      </c>
      <c r="C1339" s="221" t="s">
        <v>3030</v>
      </c>
    </row>
    <row r="1340" spans="1:3" x14ac:dyDescent="0.25">
      <c r="A1340" s="222">
        <v>210196</v>
      </c>
      <c r="B1340" s="223" t="s">
        <v>3034</v>
      </c>
      <c r="C1340" s="221" t="s">
        <v>3033</v>
      </c>
    </row>
    <row r="1341" spans="1:3" x14ac:dyDescent="0.25">
      <c r="A1341" s="222">
        <v>210197</v>
      </c>
      <c r="B1341" s="223" t="s">
        <v>3036</v>
      </c>
      <c r="C1341" s="221" t="s">
        <v>3035</v>
      </c>
    </row>
    <row r="1342" spans="1:3" x14ac:dyDescent="0.25">
      <c r="A1342" s="222">
        <v>210198</v>
      </c>
      <c r="B1342" s="223" t="s">
        <v>3038</v>
      </c>
      <c r="C1342" s="221" t="s">
        <v>3037</v>
      </c>
    </row>
    <row r="1343" spans="1:3" x14ac:dyDescent="0.25">
      <c r="A1343" s="222">
        <v>210199</v>
      </c>
      <c r="B1343" s="223" t="s">
        <v>3040</v>
      </c>
      <c r="C1343" s="221" t="s">
        <v>3039</v>
      </c>
    </row>
    <row r="1344" spans="1:3" x14ac:dyDescent="0.25">
      <c r="A1344" s="222">
        <v>210200</v>
      </c>
      <c r="B1344" s="223" t="s">
        <v>3042</v>
      </c>
      <c r="C1344" s="221" t="s">
        <v>3041</v>
      </c>
    </row>
    <row r="1345" spans="1:3" x14ac:dyDescent="0.25">
      <c r="A1345" s="222">
        <v>210201</v>
      </c>
      <c r="B1345" s="223" t="s">
        <v>3044</v>
      </c>
      <c r="C1345" s="221" t="s">
        <v>3043</v>
      </c>
    </row>
    <row r="1346" spans="1:3" x14ac:dyDescent="0.25">
      <c r="A1346" s="222">
        <v>210202</v>
      </c>
      <c r="B1346" s="223" t="s">
        <v>3046</v>
      </c>
      <c r="C1346" s="221" t="s">
        <v>3045</v>
      </c>
    </row>
    <row r="1347" spans="1:3" x14ac:dyDescent="0.25">
      <c r="A1347" s="222">
        <v>210203</v>
      </c>
      <c r="B1347" s="223" t="s">
        <v>3048</v>
      </c>
      <c r="C1347" s="221" t="s">
        <v>3047</v>
      </c>
    </row>
    <row r="1348" spans="1:3" x14ac:dyDescent="0.25">
      <c r="A1348" s="222">
        <v>210204</v>
      </c>
      <c r="B1348" s="223" t="s">
        <v>3050</v>
      </c>
      <c r="C1348" s="221" t="s">
        <v>3049</v>
      </c>
    </row>
    <row r="1349" spans="1:3" x14ac:dyDescent="0.25">
      <c r="A1349" s="222">
        <v>210205</v>
      </c>
      <c r="B1349" s="223" t="s">
        <v>3052</v>
      </c>
      <c r="C1349" s="221" t="s">
        <v>3051</v>
      </c>
    </row>
    <row r="1350" spans="1:3" x14ac:dyDescent="0.25">
      <c r="A1350" s="222">
        <v>210206</v>
      </c>
      <c r="B1350" s="223" t="s">
        <v>3054</v>
      </c>
      <c r="C1350" s="221" t="s">
        <v>3053</v>
      </c>
    </row>
    <row r="1351" spans="1:3" x14ac:dyDescent="0.25">
      <c r="A1351" s="222">
        <v>210207</v>
      </c>
      <c r="B1351" s="223" t="s">
        <v>3056</v>
      </c>
      <c r="C1351" s="221" t="s">
        <v>3055</v>
      </c>
    </row>
    <row r="1352" spans="1:3" x14ac:dyDescent="0.25">
      <c r="A1352" s="222">
        <v>210208</v>
      </c>
      <c r="B1352" s="223" t="s">
        <v>3058</v>
      </c>
      <c r="C1352" s="221" t="s">
        <v>3057</v>
      </c>
    </row>
    <row r="1353" spans="1:3" x14ac:dyDescent="0.25">
      <c r="A1353" s="222">
        <v>210209</v>
      </c>
      <c r="B1353" s="223" t="s">
        <v>3060</v>
      </c>
      <c r="C1353" s="221" t="s">
        <v>3059</v>
      </c>
    </row>
    <row r="1354" spans="1:3" x14ac:dyDescent="0.25">
      <c r="A1354" s="222">
        <v>210210</v>
      </c>
      <c r="B1354" s="223" t="s">
        <v>3062</v>
      </c>
      <c r="C1354" s="221" t="s">
        <v>3061</v>
      </c>
    </row>
    <row r="1355" spans="1:3" x14ac:dyDescent="0.25">
      <c r="A1355" s="222">
        <v>210266</v>
      </c>
      <c r="B1355" s="223" t="s">
        <v>3063</v>
      </c>
      <c r="C1355" s="221" t="s">
        <v>3064</v>
      </c>
    </row>
    <row r="1356" spans="1:3" x14ac:dyDescent="0.25">
      <c r="A1356" s="222">
        <v>220001</v>
      </c>
      <c r="B1356" s="223" t="s">
        <v>3065</v>
      </c>
      <c r="C1356" s="221" t="s">
        <v>3066</v>
      </c>
    </row>
    <row r="1357" spans="1:3" x14ac:dyDescent="0.25">
      <c r="A1357" s="222">
        <v>220001</v>
      </c>
      <c r="B1357" s="223" t="s">
        <v>3065</v>
      </c>
      <c r="C1357" s="221" t="s">
        <v>3067</v>
      </c>
    </row>
    <row r="1358" spans="1:3" x14ac:dyDescent="0.25">
      <c r="A1358" s="222">
        <v>220002</v>
      </c>
      <c r="B1358" s="223" t="s">
        <v>3068</v>
      </c>
      <c r="C1358" s="221" t="s">
        <v>3069</v>
      </c>
    </row>
    <row r="1359" spans="1:3" x14ac:dyDescent="0.25">
      <c r="A1359" s="222">
        <v>220002</v>
      </c>
      <c r="B1359" s="223" t="s">
        <v>3068</v>
      </c>
      <c r="C1359" s="221" t="s">
        <v>3070</v>
      </c>
    </row>
    <row r="1360" spans="1:3" x14ac:dyDescent="0.25">
      <c r="A1360" s="222">
        <v>220003</v>
      </c>
      <c r="B1360" s="223" t="s">
        <v>3071</v>
      </c>
      <c r="C1360" s="221" t="s">
        <v>3072</v>
      </c>
    </row>
    <row r="1361" spans="1:3" x14ac:dyDescent="0.25">
      <c r="A1361" s="222">
        <v>220003</v>
      </c>
      <c r="B1361" s="223" t="s">
        <v>3071</v>
      </c>
      <c r="C1361" s="221" t="s">
        <v>3073</v>
      </c>
    </row>
    <row r="1362" spans="1:3" x14ac:dyDescent="0.25">
      <c r="A1362" s="222">
        <v>220004</v>
      </c>
      <c r="B1362" s="223" t="s">
        <v>3074</v>
      </c>
      <c r="C1362" s="221" t="s">
        <v>3075</v>
      </c>
    </row>
    <row r="1363" spans="1:3" x14ac:dyDescent="0.25">
      <c r="A1363" s="222">
        <v>220004</v>
      </c>
      <c r="B1363" s="223" t="s">
        <v>3074</v>
      </c>
      <c r="C1363" s="221" t="s">
        <v>3076</v>
      </c>
    </row>
    <row r="1364" spans="1:3" x14ac:dyDescent="0.25">
      <c r="A1364" s="222">
        <v>220005</v>
      </c>
      <c r="B1364" s="223" t="s">
        <v>3077</v>
      </c>
      <c r="C1364" s="221" t="s">
        <v>3078</v>
      </c>
    </row>
    <row r="1365" spans="1:3" x14ac:dyDescent="0.25">
      <c r="A1365" s="222">
        <v>220005</v>
      </c>
      <c r="B1365" s="223" t="s">
        <v>3077</v>
      </c>
      <c r="C1365" s="221" t="s">
        <v>3079</v>
      </c>
    </row>
    <row r="1366" spans="1:3" x14ac:dyDescent="0.25">
      <c r="A1366" s="222">
        <v>220006</v>
      </c>
      <c r="B1366" s="223" t="s">
        <v>3080</v>
      </c>
      <c r="C1366" s="221" t="s">
        <v>3081</v>
      </c>
    </row>
    <row r="1367" spans="1:3" x14ac:dyDescent="0.25">
      <c r="A1367" s="222">
        <v>220006</v>
      </c>
      <c r="B1367" s="223" t="s">
        <v>3080</v>
      </c>
      <c r="C1367" s="221" t="s">
        <v>3082</v>
      </c>
    </row>
    <row r="1368" spans="1:3" x14ac:dyDescent="0.25">
      <c r="A1368" s="222">
        <v>220007</v>
      </c>
      <c r="B1368" s="223" t="s">
        <v>3083</v>
      </c>
      <c r="C1368" s="221" t="s">
        <v>3084</v>
      </c>
    </row>
    <row r="1369" spans="1:3" x14ac:dyDescent="0.25">
      <c r="A1369" s="222">
        <v>220007</v>
      </c>
      <c r="B1369" s="223" t="s">
        <v>3083</v>
      </c>
      <c r="C1369" s="221" t="s">
        <v>3085</v>
      </c>
    </row>
    <row r="1370" spans="1:3" x14ac:dyDescent="0.25">
      <c r="A1370" s="222">
        <v>220008</v>
      </c>
      <c r="B1370" s="223" t="s">
        <v>3086</v>
      </c>
      <c r="C1370" s="221" t="s">
        <v>3087</v>
      </c>
    </row>
    <row r="1371" spans="1:3" x14ac:dyDescent="0.25">
      <c r="A1371" s="222">
        <v>220008</v>
      </c>
      <c r="B1371" s="223" t="s">
        <v>3086</v>
      </c>
      <c r="C1371" s="221" t="s">
        <v>3088</v>
      </c>
    </row>
    <row r="1372" spans="1:3" x14ac:dyDescent="0.25">
      <c r="A1372" s="222">
        <v>220009</v>
      </c>
      <c r="B1372" s="223" t="s">
        <v>3090</v>
      </c>
      <c r="C1372" s="221" t="s">
        <v>3091</v>
      </c>
    </row>
    <row r="1373" spans="1:3" x14ac:dyDescent="0.25">
      <c r="A1373" s="222">
        <v>220009</v>
      </c>
      <c r="B1373" s="223" t="s">
        <v>3090</v>
      </c>
      <c r="C1373" s="221" t="s">
        <v>3089</v>
      </c>
    </row>
    <row r="1374" spans="1:3" x14ac:dyDescent="0.25">
      <c r="A1374" s="222">
        <v>220010</v>
      </c>
      <c r="B1374" s="223" t="s">
        <v>3093</v>
      </c>
      <c r="C1374" s="221" t="s">
        <v>3094</v>
      </c>
    </row>
    <row r="1375" spans="1:3" x14ac:dyDescent="0.25">
      <c r="A1375" s="222">
        <v>220010</v>
      </c>
      <c r="B1375" s="223" t="s">
        <v>3093</v>
      </c>
      <c r="C1375" s="221" t="s">
        <v>3092</v>
      </c>
    </row>
    <row r="1376" spans="1:3" x14ac:dyDescent="0.25">
      <c r="A1376" s="222">
        <v>220011</v>
      </c>
      <c r="B1376" s="223" t="s">
        <v>3095</v>
      </c>
      <c r="C1376" s="221" t="s">
        <v>3096</v>
      </c>
    </row>
    <row r="1377" spans="1:3" x14ac:dyDescent="0.25">
      <c r="A1377" s="222">
        <v>220011</v>
      </c>
      <c r="B1377" s="223" t="s">
        <v>3095</v>
      </c>
      <c r="C1377" s="221" t="s">
        <v>3097</v>
      </c>
    </row>
    <row r="1378" spans="1:3" x14ac:dyDescent="0.25">
      <c r="A1378" s="222">
        <v>220012</v>
      </c>
      <c r="B1378" s="223" t="s">
        <v>3098</v>
      </c>
      <c r="C1378" s="221" t="s">
        <v>3099</v>
      </c>
    </row>
    <row r="1379" spans="1:3" x14ac:dyDescent="0.25">
      <c r="A1379" s="222">
        <v>220012</v>
      </c>
      <c r="B1379" s="223" t="s">
        <v>3098</v>
      </c>
      <c r="C1379" s="221" t="s">
        <v>3100</v>
      </c>
    </row>
    <row r="1380" spans="1:3" x14ac:dyDescent="0.25">
      <c r="A1380" s="222">
        <v>220013</v>
      </c>
      <c r="B1380" s="223" t="s">
        <v>3102</v>
      </c>
      <c r="C1380" s="221" t="s">
        <v>3103</v>
      </c>
    </row>
    <row r="1381" spans="1:3" x14ac:dyDescent="0.25">
      <c r="A1381" s="222">
        <v>220013</v>
      </c>
      <c r="B1381" s="223" t="s">
        <v>3102</v>
      </c>
      <c r="C1381" s="221" t="s">
        <v>3101</v>
      </c>
    </row>
    <row r="1382" spans="1:3" x14ac:dyDescent="0.25">
      <c r="A1382" s="222">
        <v>220014</v>
      </c>
      <c r="B1382" s="223" t="s">
        <v>3105</v>
      </c>
      <c r="C1382" s="221" t="s">
        <v>3106</v>
      </c>
    </row>
    <row r="1383" spans="1:3" x14ac:dyDescent="0.25">
      <c r="A1383" s="222">
        <v>220014</v>
      </c>
      <c r="B1383" s="223" t="s">
        <v>3105</v>
      </c>
      <c r="C1383" s="221" t="s">
        <v>3104</v>
      </c>
    </row>
    <row r="1384" spans="1:3" x14ac:dyDescent="0.25">
      <c r="A1384" s="222">
        <v>220015</v>
      </c>
      <c r="B1384" s="223" t="s">
        <v>3108</v>
      </c>
      <c r="C1384" s="221" t="s">
        <v>3109</v>
      </c>
    </row>
    <row r="1385" spans="1:3" x14ac:dyDescent="0.25">
      <c r="A1385" s="222">
        <v>220015</v>
      </c>
      <c r="B1385" s="223" t="s">
        <v>3108</v>
      </c>
      <c r="C1385" s="221" t="s">
        <v>3107</v>
      </c>
    </row>
    <row r="1386" spans="1:3" x14ac:dyDescent="0.25">
      <c r="A1386" s="222">
        <v>220016</v>
      </c>
      <c r="B1386" s="223" t="s">
        <v>3111</v>
      </c>
      <c r="C1386" s="221" t="s">
        <v>3112</v>
      </c>
    </row>
    <row r="1387" spans="1:3" x14ac:dyDescent="0.25">
      <c r="A1387" s="222">
        <v>220016</v>
      </c>
      <c r="B1387" s="223" t="s">
        <v>3111</v>
      </c>
      <c r="C1387" s="221" t="s">
        <v>3110</v>
      </c>
    </row>
    <row r="1388" spans="1:3" x14ac:dyDescent="0.25">
      <c r="A1388" s="222">
        <v>220017</v>
      </c>
      <c r="B1388" s="223" t="s">
        <v>3114</v>
      </c>
      <c r="C1388" s="221" t="s">
        <v>3115</v>
      </c>
    </row>
    <row r="1389" spans="1:3" x14ac:dyDescent="0.25">
      <c r="A1389" s="222">
        <v>220017</v>
      </c>
      <c r="B1389" s="223" t="s">
        <v>3114</v>
      </c>
      <c r="C1389" s="221" t="s">
        <v>3113</v>
      </c>
    </row>
    <row r="1390" spans="1:3" x14ac:dyDescent="0.25">
      <c r="A1390" s="222">
        <v>220018</v>
      </c>
      <c r="B1390" s="223" t="s">
        <v>3117</v>
      </c>
      <c r="C1390" s="221" t="s">
        <v>3118</v>
      </c>
    </row>
    <row r="1391" spans="1:3" x14ac:dyDescent="0.25">
      <c r="A1391" s="222">
        <v>220018</v>
      </c>
      <c r="B1391" s="223" t="s">
        <v>3117</v>
      </c>
      <c r="C1391" s="221" t="s">
        <v>3116</v>
      </c>
    </row>
    <row r="1392" spans="1:3" x14ac:dyDescent="0.25">
      <c r="A1392" s="222">
        <v>220019</v>
      </c>
      <c r="B1392" s="223" t="s">
        <v>3120</v>
      </c>
      <c r="C1392" s="221" t="s">
        <v>3121</v>
      </c>
    </row>
    <row r="1393" spans="1:3" x14ac:dyDescent="0.25">
      <c r="A1393" s="222">
        <v>220019</v>
      </c>
      <c r="B1393" s="223" t="s">
        <v>3120</v>
      </c>
      <c r="C1393" s="221" t="s">
        <v>3119</v>
      </c>
    </row>
    <row r="1394" spans="1:3" x14ac:dyDescent="0.25">
      <c r="A1394" s="222">
        <v>220020</v>
      </c>
      <c r="B1394" s="223" t="s">
        <v>3122</v>
      </c>
      <c r="C1394" s="221" t="s">
        <v>3123</v>
      </c>
    </row>
    <row r="1395" spans="1:3" x14ac:dyDescent="0.25">
      <c r="A1395" s="222">
        <v>220020</v>
      </c>
      <c r="B1395" s="223" t="s">
        <v>3122</v>
      </c>
      <c r="C1395" s="221" t="s">
        <v>3124</v>
      </c>
    </row>
    <row r="1396" spans="1:3" x14ac:dyDescent="0.25">
      <c r="A1396" s="222">
        <v>220021</v>
      </c>
      <c r="B1396" s="223" t="s">
        <v>3125</v>
      </c>
      <c r="C1396" s="221" t="s">
        <v>3126</v>
      </c>
    </row>
    <row r="1397" spans="1:3" x14ac:dyDescent="0.25">
      <c r="A1397" s="222">
        <v>220021</v>
      </c>
      <c r="B1397" s="223" t="s">
        <v>3125</v>
      </c>
      <c r="C1397" s="221" t="s">
        <v>3127</v>
      </c>
    </row>
    <row r="1398" spans="1:3" x14ac:dyDescent="0.25">
      <c r="A1398" s="222">
        <v>220022</v>
      </c>
      <c r="B1398" s="223" t="s">
        <v>3128</v>
      </c>
      <c r="C1398" s="221" t="s">
        <v>3129</v>
      </c>
    </row>
    <row r="1399" spans="1:3" x14ac:dyDescent="0.25">
      <c r="A1399" s="222">
        <v>220022</v>
      </c>
      <c r="B1399" s="223" t="s">
        <v>3128</v>
      </c>
      <c r="C1399" s="221" t="s">
        <v>3130</v>
      </c>
    </row>
    <row r="1400" spans="1:3" x14ac:dyDescent="0.25">
      <c r="A1400" s="222">
        <v>220023</v>
      </c>
      <c r="B1400" s="223" t="s">
        <v>3132</v>
      </c>
      <c r="C1400" s="221" t="s">
        <v>3133</v>
      </c>
    </row>
    <row r="1401" spans="1:3" x14ac:dyDescent="0.25">
      <c r="A1401" s="222">
        <v>220023</v>
      </c>
      <c r="B1401" s="223" t="s">
        <v>3132</v>
      </c>
      <c r="C1401" s="221" t="s">
        <v>3131</v>
      </c>
    </row>
    <row r="1402" spans="1:3" x14ac:dyDescent="0.25">
      <c r="A1402" s="222">
        <v>220023</v>
      </c>
      <c r="B1402" s="223" t="s">
        <v>3132</v>
      </c>
      <c r="C1402" s="221" t="s">
        <v>3134</v>
      </c>
    </row>
    <row r="1403" spans="1:3" x14ac:dyDescent="0.25">
      <c r="A1403" s="222">
        <v>220024</v>
      </c>
      <c r="B1403" s="223" t="s">
        <v>3136</v>
      </c>
      <c r="C1403" s="221" t="s">
        <v>3137</v>
      </c>
    </row>
    <row r="1404" spans="1:3" x14ac:dyDescent="0.25">
      <c r="A1404" s="222">
        <v>220024</v>
      </c>
      <c r="B1404" s="223" t="s">
        <v>3136</v>
      </c>
      <c r="C1404" s="221" t="s">
        <v>3135</v>
      </c>
    </row>
    <row r="1405" spans="1:3" x14ac:dyDescent="0.25">
      <c r="A1405" s="222">
        <v>220025</v>
      </c>
      <c r="B1405" s="223" t="s">
        <v>3138</v>
      </c>
      <c r="C1405" s="221" t="s">
        <v>3139</v>
      </c>
    </row>
    <row r="1406" spans="1:3" x14ac:dyDescent="0.25">
      <c r="A1406" s="222">
        <v>220025</v>
      </c>
      <c r="B1406" s="223" t="s">
        <v>3138</v>
      </c>
      <c r="C1406" s="221" t="s">
        <v>3140</v>
      </c>
    </row>
    <row r="1407" spans="1:3" x14ac:dyDescent="0.25">
      <c r="A1407" s="222">
        <v>220026</v>
      </c>
      <c r="B1407" s="223" t="s">
        <v>3142</v>
      </c>
      <c r="C1407" s="221" t="s">
        <v>3143</v>
      </c>
    </row>
    <row r="1408" spans="1:3" x14ac:dyDescent="0.25">
      <c r="A1408" s="222">
        <v>220026</v>
      </c>
      <c r="B1408" s="223" t="s">
        <v>3142</v>
      </c>
      <c r="C1408" s="221" t="s">
        <v>3141</v>
      </c>
    </row>
    <row r="1409" spans="1:3" x14ac:dyDescent="0.25">
      <c r="A1409" s="222">
        <v>220027</v>
      </c>
      <c r="B1409" s="223" t="s">
        <v>3145</v>
      </c>
      <c r="C1409" s="221" t="s">
        <v>3146</v>
      </c>
    </row>
    <row r="1410" spans="1:3" x14ac:dyDescent="0.25">
      <c r="A1410" s="222">
        <v>220027</v>
      </c>
      <c r="B1410" s="223" t="s">
        <v>3145</v>
      </c>
      <c r="C1410" s="221" t="s">
        <v>3144</v>
      </c>
    </row>
    <row r="1411" spans="1:3" x14ac:dyDescent="0.25">
      <c r="A1411" s="222">
        <v>220028</v>
      </c>
      <c r="B1411" s="223" t="s">
        <v>3147</v>
      </c>
      <c r="C1411" s="221" t="s">
        <v>3148</v>
      </c>
    </row>
    <row r="1412" spans="1:3" x14ac:dyDescent="0.25">
      <c r="A1412" s="222">
        <v>220028</v>
      </c>
      <c r="B1412" s="223" t="s">
        <v>3147</v>
      </c>
      <c r="C1412" s="221" t="s">
        <v>3149</v>
      </c>
    </row>
    <row r="1413" spans="1:3" x14ac:dyDescent="0.25">
      <c r="A1413" s="222">
        <v>220029</v>
      </c>
      <c r="B1413" s="223" t="s">
        <v>3150</v>
      </c>
      <c r="C1413" s="221" t="s">
        <v>3151</v>
      </c>
    </row>
    <row r="1414" spans="1:3" x14ac:dyDescent="0.25">
      <c r="A1414" s="222">
        <v>220029</v>
      </c>
      <c r="B1414" s="223" t="s">
        <v>3150</v>
      </c>
      <c r="C1414" s="221" t="s">
        <v>3152</v>
      </c>
    </row>
    <row r="1415" spans="1:3" x14ac:dyDescent="0.25">
      <c r="A1415" s="222">
        <v>220030</v>
      </c>
      <c r="B1415" s="223" t="s">
        <v>3153</v>
      </c>
      <c r="C1415" s="221" t="s">
        <v>3154</v>
      </c>
    </row>
    <row r="1416" spans="1:3" x14ac:dyDescent="0.25">
      <c r="A1416" s="222">
        <v>220030</v>
      </c>
      <c r="B1416" s="223" t="s">
        <v>3153</v>
      </c>
      <c r="C1416" s="221" t="s">
        <v>3155</v>
      </c>
    </row>
    <row r="1417" spans="1:3" x14ac:dyDescent="0.25">
      <c r="A1417" s="222">
        <v>220031</v>
      </c>
      <c r="B1417" s="223" t="s">
        <v>3157</v>
      </c>
      <c r="C1417" s="221" t="s">
        <v>3158</v>
      </c>
    </row>
    <row r="1418" spans="1:3" x14ac:dyDescent="0.25">
      <c r="A1418" s="222">
        <v>220031</v>
      </c>
      <c r="B1418" s="223" t="s">
        <v>3157</v>
      </c>
      <c r="C1418" s="221" t="s">
        <v>3156</v>
      </c>
    </row>
    <row r="1419" spans="1:3" x14ac:dyDescent="0.25">
      <c r="A1419" s="222">
        <v>220031</v>
      </c>
      <c r="B1419" s="223" t="s">
        <v>3157</v>
      </c>
      <c r="C1419" s="221" t="s">
        <v>3159</v>
      </c>
    </row>
    <row r="1420" spans="1:3" x14ac:dyDescent="0.25">
      <c r="A1420" s="222">
        <v>220032</v>
      </c>
      <c r="B1420" s="223" t="s">
        <v>3160</v>
      </c>
      <c r="C1420" s="221" t="s">
        <v>3161</v>
      </c>
    </row>
    <row r="1421" spans="1:3" x14ac:dyDescent="0.25">
      <c r="A1421" s="222">
        <v>220032</v>
      </c>
      <c r="B1421" s="223" t="s">
        <v>3160</v>
      </c>
      <c r="C1421" s="221" t="s">
        <v>3162</v>
      </c>
    </row>
    <row r="1422" spans="1:3" x14ac:dyDescent="0.25">
      <c r="A1422" s="222">
        <v>220033</v>
      </c>
      <c r="B1422" s="223" t="s">
        <v>3163</v>
      </c>
      <c r="C1422" s="221" t="s">
        <v>3164</v>
      </c>
    </row>
    <row r="1423" spans="1:3" x14ac:dyDescent="0.25">
      <c r="A1423" s="222">
        <v>220033</v>
      </c>
      <c r="B1423" s="223" t="s">
        <v>3163</v>
      </c>
      <c r="C1423" s="221" t="s">
        <v>3165</v>
      </c>
    </row>
    <row r="1424" spans="1:3" x14ac:dyDescent="0.25">
      <c r="A1424" s="222">
        <v>220034</v>
      </c>
      <c r="B1424" s="223" t="s">
        <v>3166</v>
      </c>
      <c r="C1424" s="221" t="s">
        <v>3167</v>
      </c>
    </row>
    <row r="1425" spans="1:3" x14ac:dyDescent="0.25">
      <c r="A1425" s="222">
        <v>220034</v>
      </c>
      <c r="B1425" s="223" t="s">
        <v>3166</v>
      </c>
      <c r="C1425" s="221" t="s">
        <v>3168</v>
      </c>
    </row>
    <row r="1426" spans="1:3" x14ac:dyDescent="0.25">
      <c r="A1426" s="222">
        <v>220035</v>
      </c>
      <c r="B1426" s="223" t="s">
        <v>3169</v>
      </c>
      <c r="C1426" s="221" t="s">
        <v>3170</v>
      </c>
    </row>
    <row r="1427" spans="1:3" x14ac:dyDescent="0.25">
      <c r="A1427" s="222">
        <v>220035</v>
      </c>
      <c r="B1427" s="223" t="s">
        <v>3169</v>
      </c>
      <c r="C1427" s="221" t="s">
        <v>3171</v>
      </c>
    </row>
    <row r="1428" spans="1:3" x14ac:dyDescent="0.25">
      <c r="A1428" s="222">
        <v>220036</v>
      </c>
      <c r="B1428" s="223" t="s">
        <v>3172</v>
      </c>
      <c r="C1428" s="221" t="s">
        <v>3173</v>
      </c>
    </row>
    <row r="1429" spans="1:3" x14ac:dyDescent="0.25">
      <c r="A1429" s="222">
        <v>220036</v>
      </c>
      <c r="B1429" s="223" t="s">
        <v>3172</v>
      </c>
      <c r="C1429" s="221" t="s">
        <v>3174</v>
      </c>
    </row>
    <row r="1430" spans="1:3" x14ac:dyDescent="0.25">
      <c r="A1430" s="222">
        <v>220037</v>
      </c>
      <c r="B1430" s="223" t="s">
        <v>3175</v>
      </c>
      <c r="C1430" s="221" t="s">
        <v>3176</v>
      </c>
    </row>
    <row r="1431" spans="1:3" x14ac:dyDescent="0.25">
      <c r="A1431" s="222">
        <v>220037</v>
      </c>
      <c r="B1431" s="223" t="s">
        <v>3175</v>
      </c>
      <c r="C1431" s="221" t="s">
        <v>3177</v>
      </c>
    </row>
    <row r="1432" spans="1:3" x14ac:dyDescent="0.25">
      <c r="A1432" s="222">
        <v>220038</v>
      </c>
      <c r="B1432" s="223" t="s">
        <v>3178</v>
      </c>
      <c r="C1432" s="221" t="s">
        <v>3179</v>
      </c>
    </row>
    <row r="1433" spans="1:3" x14ac:dyDescent="0.25">
      <c r="A1433" s="222">
        <v>220038</v>
      </c>
      <c r="B1433" s="223" t="s">
        <v>3178</v>
      </c>
      <c r="C1433" s="221" t="s">
        <v>3180</v>
      </c>
    </row>
    <row r="1434" spans="1:3" x14ac:dyDescent="0.25">
      <c r="A1434" s="222">
        <v>220039</v>
      </c>
      <c r="B1434" s="223" t="s">
        <v>3181</v>
      </c>
      <c r="C1434" s="221" t="s">
        <v>3182</v>
      </c>
    </row>
    <row r="1435" spans="1:3" x14ac:dyDescent="0.25">
      <c r="A1435" s="222">
        <v>220039</v>
      </c>
      <c r="B1435" s="223" t="s">
        <v>3181</v>
      </c>
      <c r="C1435" s="221" t="s">
        <v>3183</v>
      </c>
    </row>
    <row r="1436" spans="1:3" x14ac:dyDescent="0.25">
      <c r="A1436" s="222">
        <v>220040</v>
      </c>
      <c r="B1436" s="223" t="s">
        <v>3184</v>
      </c>
      <c r="C1436" s="221" t="s">
        <v>3185</v>
      </c>
    </row>
    <row r="1437" spans="1:3" x14ac:dyDescent="0.25">
      <c r="A1437" s="222">
        <v>220040</v>
      </c>
      <c r="B1437" s="223" t="s">
        <v>3184</v>
      </c>
      <c r="C1437" s="221" t="s">
        <v>3186</v>
      </c>
    </row>
    <row r="1438" spans="1:3" x14ac:dyDescent="0.25">
      <c r="A1438" s="222">
        <v>220041</v>
      </c>
      <c r="B1438" s="223" t="s">
        <v>3187</v>
      </c>
      <c r="C1438" s="221" t="s">
        <v>3188</v>
      </c>
    </row>
    <row r="1439" spans="1:3" x14ac:dyDescent="0.25">
      <c r="A1439" s="222">
        <v>220041</v>
      </c>
      <c r="B1439" s="223" t="s">
        <v>3187</v>
      </c>
      <c r="C1439" s="221" t="s">
        <v>3189</v>
      </c>
    </row>
    <row r="1440" spans="1:3" x14ac:dyDescent="0.25">
      <c r="A1440" s="222">
        <v>220042</v>
      </c>
      <c r="B1440" s="223" t="s">
        <v>3191</v>
      </c>
      <c r="C1440" s="221" t="s">
        <v>3192</v>
      </c>
    </row>
    <row r="1441" spans="1:3" x14ac:dyDescent="0.25">
      <c r="A1441" s="222">
        <v>220042</v>
      </c>
      <c r="B1441" s="223" t="s">
        <v>3191</v>
      </c>
      <c r="C1441" s="221" t="s">
        <v>3190</v>
      </c>
    </row>
    <row r="1442" spans="1:3" x14ac:dyDescent="0.25">
      <c r="A1442" s="222">
        <v>220043</v>
      </c>
      <c r="B1442" s="223" t="s">
        <v>3194</v>
      </c>
      <c r="C1442" s="221" t="s">
        <v>3195</v>
      </c>
    </row>
    <row r="1443" spans="1:3" x14ac:dyDescent="0.25">
      <c r="A1443" s="222">
        <v>220043</v>
      </c>
      <c r="B1443" s="223" t="s">
        <v>3194</v>
      </c>
      <c r="C1443" s="221" t="s">
        <v>3193</v>
      </c>
    </row>
    <row r="1444" spans="1:3" x14ac:dyDescent="0.25">
      <c r="A1444" s="222">
        <v>220043</v>
      </c>
      <c r="B1444" s="223" t="s">
        <v>3194</v>
      </c>
      <c r="C1444" s="221" t="s">
        <v>3196</v>
      </c>
    </row>
    <row r="1445" spans="1:3" x14ac:dyDescent="0.25">
      <c r="A1445" s="222">
        <v>220044</v>
      </c>
      <c r="B1445" s="223" t="s">
        <v>3197</v>
      </c>
      <c r="C1445" s="221" t="s">
        <v>3198</v>
      </c>
    </row>
    <row r="1446" spans="1:3" x14ac:dyDescent="0.25">
      <c r="A1446" s="222">
        <v>220044</v>
      </c>
      <c r="B1446" s="223" t="s">
        <v>3197</v>
      </c>
      <c r="C1446" s="221" t="s">
        <v>3199</v>
      </c>
    </row>
    <row r="1447" spans="1:3" x14ac:dyDescent="0.25">
      <c r="A1447" s="222">
        <v>220045</v>
      </c>
      <c r="B1447" s="223" t="s">
        <v>3200</v>
      </c>
      <c r="C1447" s="221" t="s">
        <v>3201</v>
      </c>
    </row>
    <row r="1448" spans="1:3" x14ac:dyDescent="0.25">
      <c r="A1448" s="222">
        <v>220045</v>
      </c>
      <c r="B1448" s="223" t="s">
        <v>3200</v>
      </c>
      <c r="C1448" s="221" t="s">
        <v>3202</v>
      </c>
    </row>
    <row r="1449" spans="1:3" x14ac:dyDescent="0.25">
      <c r="A1449" s="222">
        <v>220046</v>
      </c>
      <c r="B1449" s="223" t="s">
        <v>3204</v>
      </c>
      <c r="C1449" s="221" t="s">
        <v>3205</v>
      </c>
    </row>
    <row r="1450" spans="1:3" x14ac:dyDescent="0.25">
      <c r="A1450" s="222">
        <v>220046</v>
      </c>
      <c r="B1450" s="223" t="s">
        <v>3204</v>
      </c>
      <c r="C1450" s="221" t="s">
        <v>3203</v>
      </c>
    </row>
    <row r="1451" spans="1:3" x14ac:dyDescent="0.25">
      <c r="A1451" s="222">
        <v>220047</v>
      </c>
      <c r="B1451" s="223" t="s">
        <v>3206</v>
      </c>
      <c r="C1451" s="221" t="s">
        <v>3207</v>
      </c>
    </row>
    <row r="1452" spans="1:3" x14ac:dyDescent="0.25">
      <c r="A1452" s="222">
        <v>220047</v>
      </c>
      <c r="B1452" s="223" t="s">
        <v>3206</v>
      </c>
      <c r="C1452" s="221" t="s">
        <v>3208</v>
      </c>
    </row>
    <row r="1453" spans="1:3" x14ac:dyDescent="0.25">
      <c r="A1453" s="222">
        <v>220048</v>
      </c>
      <c r="B1453" s="223" t="s">
        <v>3209</v>
      </c>
      <c r="C1453" s="221" t="s">
        <v>3210</v>
      </c>
    </row>
    <row r="1454" spans="1:3" x14ac:dyDescent="0.25">
      <c r="A1454" s="222">
        <v>220048</v>
      </c>
      <c r="B1454" s="223" t="s">
        <v>3209</v>
      </c>
      <c r="C1454" s="221" t="s">
        <v>3211</v>
      </c>
    </row>
    <row r="1455" spans="1:3" x14ac:dyDescent="0.25">
      <c r="A1455" s="222">
        <v>220049</v>
      </c>
      <c r="B1455" s="223" t="s">
        <v>3212</v>
      </c>
      <c r="C1455" s="221" t="s">
        <v>3213</v>
      </c>
    </row>
    <row r="1456" spans="1:3" x14ac:dyDescent="0.25">
      <c r="A1456" s="222">
        <v>220049</v>
      </c>
      <c r="B1456" s="223" t="s">
        <v>3212</v>
      </c>
      <c r="C1456" s="221" t="s">
        <v>3214</v>
      </c>
    </row>
    <row r="1457" spans="1:3" x14ac:dyDescent="0.25">
      <c r="A1457" s="222">
        <v>220050</v>
      </c>
      <c r="B1457" s="223" t="s">
        <v>3215</v>
      </c>
      <c r="C1457" s="221" t="s">
        <v>3216</v>
      </c>
    </row>
    <row r="1458" spans="1:3" x14ac:dyDescent="0.25">
      <c r="A1458" s="222">
        <v>220050</v>
      </c>
      <c r="B1458" s="223" t="s">
        <v>3215</v>
      </c>
      <c r="C1458" s="221" t="s">
        <v>3217</v>
      </c>
    </row>
    <row r="1459" spans="1:3" x14ac:dyDescent="0.25">
      <c r="A1459" s="222">
        <v>220051</v>
      </c>
      <c r="B1459" s="223" t="s">
        <v>3218</v>
      </c>
      <c r="C1459" s="221" t="s">
        <v>3219</v>
      </c>
    </row>
    <row r="1460" spans="1:3" x14ac:dyDescent="0.25">
      <c r="A1460" s="222">
        <v>220051</v>
      </c>
      <c r="B1460" s="223" t="s">
        <v>3218</v>
      </c>
      <c r="C1460" s="221" t="s">
        <v>3220</v>
      </c>
    </row>
    <row r="1461" spans="1:3" x14ac:dyDescent="0.25">
      <c r="A1461" s="222">
        <v>220052</v>
      </c>
      <c r="B1461" s="223" t="s">
        <v>3222</v>
      </c>
      <c r="C1461" s="221" t="s">
        <v>3223</v>
      </c>
    </row>
    <row r="1462" spans="1:3" x14ac:dyDescent="0.25">
      <c r="A1462" s="222">
        <v>220052</v>
      </c>
      <c r="B1462" s="223" t="s">
        <v>3222</v>
      </c>
      <c r="C1462" s="221" t="s">
        <v>3221</v>
      </c>
    </row>
    <row r="1463" spans="1:3" x14ac:dyDescent="0.25">
      <c r="A1463" s="222">
        <v>220053</v>
      </c>
      <c r="B1463" s="223" t="s">
        <v>3225</v>
      </c>
      <c r="C1463" s="221" t="s">
        <v>3226</v>
      </c>
    </row>
    <row r="1464" spans="1:3" x14ac:dyDescent="0.25">
      <c r="A1464" s="222">
        <v>220053</v>
      </c>
      <c r="B1464" s="223" t="s">
        <v>3225</v>
      </c>
      <c r="C1464" s="221" t="s">
        <v>3224</v>
      </c>
    </row>
    <row r="1465" spans="1:3" x14ac:dyDescent="0.25">
      <c r="A1465" s="222">
        <v>220054</v>
      </c>
      <c r="B1465" s="223" t="s">
        <v>3228</v>
      </c>
      <c r="C1465" s="221" t="s">
        <v>3229</v>
      </c>
    </row>
    <row r="1466" spans="1:3" x14ac:dyDescent="0.25">
      <c r="A1466" s="222">
        <v>220054</v>
      </c>
      <c r="B1466" s="223" t="s">
        <v>3228</v>
      </c>
      <c r="C1466" s="221" t="s">
        <v>3227</v>
      </c>
    </row>
    <row r="1467" spans="1:3" x14ac:dyDescent="0.25">
      <c r="A1467" s="222">
        <v>220055</v>
      </c>
      <c r="B1467" s="223" t="s">
        <v>3231</v>
      </c>
      <c r="C1467" s="221" t="s">
        <v>3232</v>
      </c>
    </row>
    <row r="1468" spans="1:3" x14ac:dyDescent="0.25">
      <c r="A1468" s="222">
        <v>220055</v>
      </c>
      <c r="B1468" s="223" t="s">
        <v>3231</v>
      </c>
      <c r="C1468" s="221" t="s">
        <v>3230</v>
      </c>
    </row>
    <row r="1469" spans="1:3" x14ac:dyDescent="0.25">
      <c r="A1469" s="222">
        <v>220056</v>
      </c>
      <c r="B1469" s="223" t="s">
        <v>3234</v>
      </c>
      <c r="C1469" s="221" t="s">
        <v>3235</v>
      </c>
    </row>
    <row r="1470" spans="1:3" x14ac:dyDescent="0.25">
      <c r="A1470" s="222">
        <v>220056</v>
      </c>
      <c r="B1470" s="223" t="s">
        <v>3234</v>
      </c>
      <c r="C1470" s="221" t="s">
        <v>3233</v>
      </c>
    </row>
    <row r="1471" spans="1:3" x14ac:dyDescent="0.25">
      <c r="A1471" s="222">
        <v>220057</v>
      </c>
      <c r="B1471" s="223" t="s">
        <v>3237</v>
      </c>
      <c r="C1471" s="221" t="s">
        <v>3238</v>
      </c>
    </row>
    <row r="1472" spans="1:3" x14ac:dyDescent="0.25">
      <c r="A1472" s="222">
        <v>220057</v>
      </c>
      <c r="B1472" s="223" t="s">
        <v>3237</v>
      </c>
      <c r="C1472" s="221" t="s">
        <v>3236</v>
      </c>
    </row>
    <row r="1473" spans="1:3" x14ac:dyDescent="0.25">
      <c r="A1473" s="222">
        <v>220058</v>
      </c>
      <c r="B1473" s="223" t="s">
        <v>3239</v>
      </c>
      <c r="C1473" s="221" t="s">
        <v>3240</v>
      </c>
    </row>
    <row r="1474" spans="1:3" x14ac:dyDescent="0.25">
      <c r="A1474" s="222">
        <v>220058</v>
      </c>
      <c r="B1474" s="223" t="s">
        <v>3239</v>
      </c>
      <c r="C1474" s="221" t="s">
        <v>3241</v>
      </c>
    </row>
    <row r="1475" spans="1:3" x14ac:dyDescent="0.25">
      <c r="A1475" s="222">
        <v>220059</v>
      </c>
      <c r="B1475" s="223" t="s">
        <v>3243</v>
      </c>
      <c r="C1475" s="221" t="s">
        <v>3244</v>
      </c>
    </row>
    <row r="1476" spans="1:3" x14ac:dyDescent="0.25">
      <c r="A1476" s="222">
        <v>220059</v>
      </c>
      <c r="B1476" s="223" t="s">
        <v>3243</v>
      </c>
      <c r="C1476" s="221" t="s">
        <v>3242</v>
      </c>
    </row>
    <row r="1477" spans="1:3" x14ac:dyDescent="0.25">
      <c r="A1477" s="222">
        <v>220060</v>
      </c>
      <c r="B1477" s="223" t="s">
        <v>3245</v>
      </c>
      <c r="C1477" s="221" t="s">
        <v>3246</v>
      </c>
    </row>
    <row r="1478" spans="1:3" x14ac:dyDescent="0.25">
      <c r="A1478" s="222">
        <v>220060</v>
      </c>
      <c r="B1478" s="223" t="s">
        <v>3245</v>
      </c>
      <c r="C1478" s="221" t="s">
        <v>3247</v>
      </c>
    </row>
    <row r="1479" spans="1:3" x14ac:dyDescent="0.25">
      <c r="A1479" s="222">
        <v>220061</v>
      </c>
      <c r="B1479" s="223" t="s">
        <v>3249</v>
      </c>
      <c r="C1479" s="221" t="s">
        <v>3250</v>
      </c>
    </row>
    <row r="1480" spans="1:3" x14ac:dyDescent="0.25">
      <c r="A1480" s="222">
        <v>220061</v>
      </c>
      <c r="B1480" s="223" t="s">
        <v>3249</v>
      </c>
      <c r="C1480" s="221" t="s">
        <v>3248</v>
      </c>
    </row>
    <row r="1481" spans="1:3" x14ac:dyDescent="0.25">
      <c r="A1481" s="222">
        <v>220062</v>
      </c>
      <c r="B1481" s="223" t="s">
        <v>3252</v>
      </c>
      <c r="C1481" s="221" t="s">
        <v>3253</v>
      </c>
    </row>
    <row r="1482" spans="1:3" x14ac:dyDescent="0.25">
      <c r="A1482" s="222">
        <v>220062</v>
      </c>
      <c r="B1482" s="223" t="s">
        <v>3252</v>
      </c>
      <c r="C1482" s="221" t="s">
        <v>3251</v>
      </c>
    </row>
    <row r="1483" spans="1:3" x14ac:dyDescent="0.25">
      <c r="A1483" s="222">
        <v>220063</v>
      </c>
      <c r="B1483" s="223" t="s">
        <v>3254</v>
      </c>
      <c r="C1483" s="221" t="s">
        <v>3255</v>
      </c>
    </row>
    <row r="1484" spans="1:3" x14ac:dyDescent="0.25">
      <c r="A1484" s="222">
        <v>220063</v>
      </c>
      <c r="B1484" s="223" t="s">
        <v>3254</v>
      </c>
      <c r="C1484" s="221" t="s">
        <v>3256</v>
      </c>
    </row>
    <row r="1485" spans="1:3" x14ac:dyDescent="0.25">
      <c r="A1485" s="222">
        <v>220064</v>
      </c>
      <c r="B1485" s="223" t="s">
        <v>3258</v>
      </c>
      <c r="C1485" s="221" t="s">
        <v>3259</v>
      </c>
    </row>
    <row r="1486" spans="1:3" x14ac:dyDescent="0.25">
      <c r="A1486" s="222">
        <v>220064</v>
      </c>
      <c r="B1486" s="223" t="s">
        <v>3258</v>
      </c>
      <c r="C1486" s="221" t="s">
        <v>3257</v>
      </c>
    </row>
    <row r="1487" spans="1:3" x14ac:dyDescent="0.25">
      <c r="A1487" s="222">
        <v>220065</v>
      </c>
      <c r="B1487" s="223" t="s">
        <v>3261</v>
      </c>
      <c r="C1487" s="221" t="s">
        <v>3262</v>
      </c>
    </row>
    <row r="1488" spans="1:3" x14ac:dyDescent="0.25">
      <c r="A1488" s="222">
        <v>220065</v>
      </c>
      <c r="B1488" s="223" t="s">
        <v>3261</v>
      </c>
      <c r="C1488" s="221" t="s">
        <v>3260</v>
      </c>
    </row>
    <row r="1489" spans="1:3" x14ac:dyDescent="0.25">
      <c r="A1489" s="222">
        <v>220066</v>
      </c>
      <c r="B1489" s="223" t="s">
        <v>3264</v>
      </c>
      <c r="C1489" s="221" t="s">
        <v>3265</v>
      </c>
    </row>
    <row r="1490" spans="1:3" x14ac:dyDescent="0.25">
      <c r="A1490" s="222">
        <v>220066</v>
      </c>
      <c r="B1490" s="223" t="s">
        <v>3264</v>
      </c>
      <c r="C1490" s="221" t="s">
        <v>3263</v>
      </c>
    </row>
    <row r="1491" spans="1:3" x14ac:dyDescent="0.25">
      <c r="A1491" s="222">
        <v>220067</v>
      </c>
      <c r="B1491" s="223" t="s">
        <v>3267</v>
      </c>
      <c r="C1491" s="221" t="s">
        <v>3268</v>
      </c>
    </row>
    <row r="1492" spans="1:3" x14ac:dyDescent="0.25">
      <c r="A1492" s="222">
        <v>220067</v>
      </c>
      <c r="B1492" s="223" t="s">
        <v>3267</v>
      </c>
      <c r="C1492" s="221" t="s">
        <v>3266</v>
      </c>
    </row>
    <row r="1493" spans="1:3" x14ac:dyDescent="0.25">
      <c r="A1493" s="222">
        <v>220068</v>
      </c>
      <c r="B1493" s="223" t="s">
        <v>3270</v>
      </c>
      <c r="C1493" s="221" t="s">
        <v>3271</v>
      </c>
    </row>
    <row r="1494" spans="1:3" x14ac:dyDescent="0.25">
      <c r="A1494" s="222">
        <v>220068</v>
      </c>
      <c r="B1494" s="223" t="s">
        <v>3270</v>
      </c>
      <c r="C1494" s="221" t="s">
        <v>3269</v>
      </c>
    </row>
    <row r="1495" spans="1:3" x14ac:dyDescent="0.25">
      <c r="A1495" s="222">
        <v>220069</v>
      </c>
      <c r="B1495" s="223" t="s">
        <v>3272</v>
      </c>
      <c r="C1495" s="221" t="s">
        <v>3273</v>
      </c>
    </row>
    <row r="1496" spans="1:3" x14ac:dyDescent="0.25">
      <c r="A1496" s="222">
        <v>220069</v>
      </c>
      <c r="B1496" s="223" t="s">
        <v>3272</v>
      </c>
      <c r="C1496" s="221" t="s">
        <v>3274</v>
      </c>
    </row>
    <row r="1497" spans="1:3" x14ac:dyDescent="0.25">
      <c r="A1497" s="222">
        <v>220070</v>
      </c>
      <c r="B1497" s="223" t="s">
        <v>3275</v>
      </c>
      <c r="C1497" s="221" t="s">
        <v>3276</v>
      </c>
    </row>
    <row r="1498" spans="1:3" x14ac:dyDescent="0.25">
      <c r="A1498" s="222">
        <v>220070</v>
      </c>
      <c r="B1498" s="223" t="s">
        <v>3275</v>
      </c>
      <c r="C1498" s="221" t="s">
        <v>3277</v>
      </c>
    </row>
    <row r="1499" spans="1:3" x14ac:dyDescent="0.25">
      <c r="A1499" s="222">
        <v>220071</v>
      </c>
      <c r="B1499" s="223" t="s">
        <v>3278</v>
      </c>
      <c r="C1499" s="221" t="s">
        <v>3279</v>
      </c>
    </row>
    <row r="1500" spans="1:3" x14ac:dyDescent="0.25">
      <c r="A1500" s="222">
        <v>220071</v>
      </c>
      <c r="B1500" s="223" t="s">
        <v>3278</v>
      </c>
      <c r="C1500" s="221" t="s">
        <v>3280</v>
      </c>
    </row>
    <row r="1501" spans="1:3" x14ac:dyDescent="0.25">
      <c r="A1501" s="222">
        <v>220072</v>
      </c>
      <c r="B1501" s="223" t="s">
        <v>3281</v>
      </c>
      <c r="C1501" s="221" t="s">
        <v>3282</v>
      </c>
    </row>
    <row r="1502" spans="1:3" x14ac:dyDescent="0.25">
      <c r="A1502" s="222">
        <v>220072</v>
      </c>
      <c r="B1502" s="223" t="s">
        <v>3281</v>
      </c>
      <c r="C1502" s="221" t="s">
        <v>3283</v>
      </c>
    </row>
    <row r="1503" spans="1:3" x14ac:dyDescent="0.25">
      <c r="A1503" s="222">
        <v>220073</v>
      </c>
      <c r="B1503" s="223" t="s">
        <v>3284</v>
      </c>
      <c r="C1503" s="221" t="s">
        <v>3285</v>
      </c>
    </row>
    <row r="1504" spans="1:3" x14ac:dyDescent="0.25">
      <c r="A1504" s="222">
        <v>220073</v>
      </c>
      <c r="B1504" s="223" t="s">
        <v>3284</v>
      </c>
      <c r="C1504" s="221" t="s">
        <v>3286</v>
      </c>
    </row>
    <row r="1505" spans="1:3" x14ac:dyDescent="0.25">
      <c r="A1505" s="222">
        <v>220073</v>
      </c>
      <c r="B1505" s="223" t="s">
        <v>3284</v>
      </c>
      <c r="C1505" s="221" t="s">
        <v>3287</v>
      </c>
    </row>
    <row r="1506" spans="1:3" x14ac:dyDescent="0.25">
      <c r="A1506" s="222">
        <v>220074</v>
      </c>
      <c r="B1506" s="223" t="s">
        <v>3288</v>
      </c>
      <c r="C1506" s="221" t="s">
        <v>3289</v>
      </c>
    </row>
    <row r="1507" spans="1:3" x14ac:dyDescent="0.25">
      <c r="A1507" s="222">
        <v>220074</v>
      </c>
      <c r="B1507" s="223" t="s">
        <v>3288</v>
      </c>
      <c r="C1507" s="221" t="s">
        <v>3290</v>
      </c>
    </row>
    <row r="1508" spans="1:3" x14ac:dyDescent="0.25">
      <c r="A1508" s="222">
        <v>220075</v>
      </c>
      <c r="B1508" s="223" t="s">
        <v>3291</v>
      </c>
      <c r="C1508" s="221" t="s">
        <v>3292</v>
      </c>
    </row>
    <row r="1509" spans="1:3" x14ac:dyDescent="0.25">
      <c r="A1509" s="222">
        <v>220075</v>
      </c>
      <c r="B1509" s="223" t="s">
        <v>3291</v>
      </c>
      <c r="C1509" s="221" t="s">
        <v>3293</v>
      </c>
    </row>
    <row r="1510" spans="1:3" x14ac:dyDescent="0.25">
      <c r="A1510" s="222">
        <v>220076</v>
      </c>
      <c r="B1510" s="223" t="s">
        <v>3294</v>
      </c>
      <c r="C1510" s="221" t="s">
        <v>3295</v>
      </c>
    </row>
    <row r="1511" spans="1:3" x14ac:dyDescent="0.25">
      <c r="A1511" s="222">
        <v>220076</v>
      </c>
      <c r="B1511" s="223" t="s">
        <v>3294</v>
      </c>
      <c r="C1511" s="221" t="s">
        <v>3296</v>
      </c>
    </row>
    <row r="1512" spans="1:3" x14ac:dyDescent="0.25">
      <c r="A1512" s="222">
        <v>220077</v>
      </c>
      <c r="B1512" s="223" t="s">
        <v>3297</v>
      </c>
      <c r="C1512" s="221" t="s">
        <v>3298</v>
      </c>
    </row>
    <row r="1513" spans="1:3" x14ac:dyDescent="0.25">
      <c r="A1513" s="222">
        <v>220077</v>
      </c>
      <c r="B1513" s="223" t="s">
        <v>3297</v>
      </c>
      <c r="C1513" s="221" t="s">
        <v>3299</v>
      </c>
    </row>
    <row r="1514" spans="1:3" x14ac:dyDescent="0.25">
      <c r="A1514" s="222">
        <v>220078</v>
      </c>
      <c r="B1514" s="223" t="s">
        <v>3300</v>
      </c>
      <c r="C1514" s="221" t="s">
        <v>3301</v>
      </c>
    </row>
    <row r="1515" spans="1:3" x14ac:dyDescent="0.25">
      <c r="A1515" s="222">
        <v>220079</v>
      </c>
      <c r="B1515" s="223" t="s">
        <v>3302</v>
      </c>
      <c r="C1515" s="221" t="s">
        <v>3303</v>
      </c>
    </row>
    <row r="1516" spans="1:3" x14ac:dyDescent="0.25">
      <c r="A1516" s="222">
        <v>220080</v>
      </c>
      <c r="B1516" s="223" t="s">
        <v>3305</v>
      </c>
      <c r="C1516" s="221" t="s">
        <v>3306</v>
      </c>
    </row>
    <row r="1517" spans="1:3" x14ac:dyDescent="0.25">
      <c r="A1517" s="222">
        <v>220080</v>
      </c>
      <c r="B1517" s="223" t="s">
        <v>3305</v>
      </c>
      <c r="C1517" s="221" t="s">
        <v>3304</v>
      </c>
    </row>
    <row r="1518" spans="1:3" x14ac:dyDescent="0.25">
      <c r="A1518" s="222">
        <v>220081</v>
      </c>
      <c r="B1518" s="223" t="s">
        <v>3308</v>
      </c>
      <c r="C1518" s="221" t="s">
        <v>3309</v>
      </c>
    </row>
    <row r="1519" spans="1:3" x14ac:dyDescent="0.25">
      <c r="A1519" s="222">
        <v>220081</v>
      </c>
      <c r="B1519" s="223" t="s">
        <v>3308</v>
      </c>
      <c r="C1519" s="221" t="s">
        <v>3307</v>
      </c>
    </row>
    <row r="1520" spans="1:3" x14ac:dyDescent="0.25">
      <c r="A1520" s="222">
        <v>220082</v>
      </c>
      <c r="B1520" s="223" t="s">
        <v>3311</v>
      </c>
      <c r="C1520" s="221" t="s">
        <v>3312</v>
      </c>
    </row>
    <row r="1521" spans="1:3" x14ac:dyDescent="0.25">
      <c r="A1521" s="222">
        <v>220082</v>
      </c>
      <c r="B1521" s="223" t="s">
        <v>3311</v>
      </c>
      <c r="C1521" s="221" t="s">
        <v>3310</v>
      </c>
    </row>
    <row r="1522" spans="1:3" x14ac:dyDescent="0.25">
      <c r="A1522" s="222">
        <v>220083</v>
      </c>
      <c r="B1522" s="223" t="s">
        <v>3314</v>
      </c>
      <c r="C1522" s="221" t="s">
        <v>3315</v>
      </c>
    </row>
    <row r="1523" spans="1:3" x14ac:dyDescent="0.25">
      <c r="A1523" s="222">
        <v>220083</v>
      </c>
      <c r="B1523" s="223" t="s">
        <v>3314</v>
      </c>
      <c r="C1523" s="221" t="s">
        <v>3313</v>
      </c>
    </row>
    <row r="1524" spans="1:3" x14ac:dyDescent="0.25">
      <c r="A1524" s="222">
        <v>220084</v>
      </c>
      <c r="B1524" s="223" t="s">
        <v>3317</v>
      </c>
      <c r="C1524" s="221" t="s">
        <v>3318</v>
      </c>
    </row>
    <row r="1525" spans="1:3" x14ac:dyDescent="0.25">
      <c r="A1525" s="222">
        <v>220084</v>
      </c>
      <c r="B1525" s="223" t="s">
        <v>3317</v>
      </c>
      <c r="C1525" s="221" t="s">
        <v>3316</v>
      </c>
    </row>
    <row r="1526" spans="1:3" x14ac:dyDescent="0.25">
      <c r="A1526" s="222">
        <v>220085</v>
      </c>
      <c r="B1526" s="223" t="s">
        <v>3320</v>
      </c>
      <c r="C1526" s="221" t="s">
        <v>3321</v>
      </c>
    </row>
    <row r="1527" spans="1:3" x14ac:dyDescent="0.25">
      <c r="A1527" s="222">
        <v>220085</v>
      </c>
      <c r="B1527" s="223" t="s">
        <v>3320</v>
      </c>
      <c r="C1527" s="221" t="s">
        <v>3319</v>
      </c>
    </row>
    <row r="1528" spans="1:3" x14ac:dyDescent="0.25">
      <c r="A1528" s="222">
        <v>220086</v>
      </c>
      <c r="B1528" s="223" t="s">
        <v>3323</v>
      </c>
      <c r="C1528" s="221" t="s">
        <v>3324</v>
      </c>
    </row>
    <row r="1529" spans="1:3" x14ac:dyDescent="0.25">
      <c r="A1529" s="222">
        <v>220086</v>
      </c>
      <c r="B1529" s="223" t="s">
        <v>3323</v>
      </c>
      <c r="C1529" s="221" t="s">
        <v>3322</v>
      </c>
    </row>
    <row r="1530" spans="1:3" x14ac:dyDescent="0.25">
      <c r="A1530" s="222">
        <v>220087</v>
      </c>
      <c r="B1530" s="223" t="s">
        <v>3326</v>
      </c>
      <c r="C1530" s="221" t="s">
        <v>3327</v>
      </c>
    </row>
    <row r="1531" spans="1:3" x14ac:dyDescent="0.25">
      <c r="A1531" s="222">
        <v>220087</v>
      </c>
      <c r="B1531" s="223" t="s">
        <v>3326</v>
      </c>
      <c r="C1531" s="221" t="s">
        <v>3325</v>
      </c>
    </row>
    <row r="1532" spans="1:3" x14ac:dyDescent="0.25">
      <c r="A1532" s="222">
        <v>220088</v>
      </c>
      <c r="B1532" s="223" t="s">
        <v>3329</v>
      </c>
      <c r="C1532" s="221" t="s">
        <v>3330</v>
      </c>
    </row>
    <row r="1533" spans="1:3" x14ac:dyDescent="0.25">
      <c r="A1533" s="222">
        <v>220088</v>
      </c>
      <c r="B1533" s="223" t="s">
        <v>3329</v>
      </c>
      <c r="C1533" s="221" t="s">
        <v>3328</v>
      </c>
    </row>
    <row r="1534" spans="1:3" x14ac:dyDescent="0.25">
      <c r="A1534" s="222">
        <v>220089</v>
      </c>
      <c r="B1534" s="223" t="s">
        <v>3332</v>
      </c>
      <c r="C1534" s="221" t="s">
        <v>3333</v>
      </c>
    </row>
    <row r="1535" spans="1:3" x14ac:dyDescent="0.25">
      <c r="A1535" s="222">
        <v>220089</v>
      </c>
      <c r="B1535" s="223" t="s">
        <v>3332</v>
      </c>
      <c r="C1535" s="221" t="s">
        <v>3331</v>
      </c>
    </row>
    <row r="1536" spans="1:3" x14ac:dyDescent="0.25">
      <c r="A1536" s="222">
        <v>220090</v>
      </c>
      <c r="B1536" s="223" t="s">
        <v>3335</v>
      </c>
      <c r="C1536" s="221" t="s">
        <v>3336</v>
      </c>
    </row>
    <row r="1537" spans="1:3" x14ac:dyDescent="0.25">
      <c r="A1537" s="222">
        <v>220090</v>
      </c>
      <c r="B1537" s="223" t="s">
        <v>3335</v>
      </c>
      <c r="C1537" s="221" t="s">
        <v>3334</v>
      </c>
    </row>
    <row r="1538" spans="1:3" x14ac:dyDescent="0.25">
      <c r="A1538" s="222">
        <v>220091</v>
      </c>
      <c r="B1538" s="223" t="s">
        <v>3338</v>
      </c>
      <c r="C1538" s="221" t="s">
        <v>3339</v>
      </c>
    </row>
    <row r="1539" spans="1:3" x14ac:dyDescent="0.25">
      <c r="A1539" s="222">
        <v>220091</v>
      </c>
      <c r="B1539" s="223" t="s">
        <v>3338</v>
      </c>
      <c r="C1539" s="221" t="s">
        <v>3337</v>
      </c>
    </row>
    <row r="1540" spans="1:3" x14ac:dyDescent="0.25">
      <c r="A1540" s="222">
        <v>220092</v>
      </c>
      <c r="B1540" s="223" t="s">
        <v>3341</v>
      </c>
      <c r="C1540" s="221" t="s">
        <v>3342</v>
      </c>
    </row>
    <row r="1541" spans="1:3" x14ac:dyDescent="0.25">
      <c r="A1541" s="222">
        <v>220092</v>
      </c>
      <c r="B1541" s="223" t="s">
        <v>3341</v>
      </c>
      <c r="C1541" s="221" t="s">
        <v>3340</v>
      </c>
    </row>
    <row r="1542" spans="1:3" x14ac:dyDescent="0.25">
      <c r="A1542" s="222">
        <v>220093</v>
      </c>
      <c r="B1542" s="223" t="s">
        <v>3344</v>
      </c>
      <c r="C1542" s="221" t="s">
        <v>3345</v>
      </c>
    </row>
    <row r="1543" spans="1:3" x14ac:dyDescent="0.25">
      <c r="A1543" s="222">
        <v>220093</v>
      </c>
      <c r="B1543" s="223" t="s">
        <v>3344</v>
      </c>
      <c r="C1543" s="221" t="s">
        <v>3343</v>
      </c>
    </row>
    <row r="1544" spans="1:3" x14ac:dyDescent="0.25">
      <c r="A1544" s="222">
        <v>220094</v>
      </c>
      <c r="B1544" s="223" t="s">
        <v>3347</v>
      </c>
      <c r="C1544" s="221" t="s">
        <v>3348</v>
      </c>
    </row>
    <row r="1545" spans="1:3" x14ac:dyDescent="0.25">
      <c r="A1545" s="222">
        <v>220094</v>
      </c>
      <c r="B1545" s="223" t="s">
        <v>3347</v>
      </c>
      <c r="C1545" s="221" t="s">
        <v>3346</v>
      </c>
    </row>
    <row r="1546" spans="1:3" x14ac:dyDescent="0.25">
      <c r="A1546" s="222">
        <v>220095</v>
      </c>
      <c r="B1546" s="223" t="s">
        <v>3350</v>
      </c>
      <c r="C1546" s="221" t="s">
        <v>3351</v>
      </c>
    </row>
    <row r="1547" spans="1:3" x14ac:dyDescent="0.25">
      <c r="A1547" s="222">
        <v>220095</v>
      </c>
      <c r="B1547" s="223" t="s">
        <v>3350</v>
      </c>
      <c r="C1547" s="221" t="s">
        <v>3349</v>
      </c>
    </row>
    <row r="1548" spans="1:3" x14ac:dyDescent="0.25">
      <c r="A1548" s="222">
        <v>220096</v>
      </c>
      <c r="B1548" s="223" t="s">
        <v>3353</v>
      </c>
      <c r="C1548" s="221" t="s">
        <v>3354</v>
      </c>
    </row>
    <row r="1549" spans="1:3" x14ac:dyDescent="0.25">
      <c r="A1549" s="222">
        <v>220096</v>
      </c>
      <c r="B1549" s="223" t="s">
        <v>3353</v>
      </c>
      <c r="C1549" s="221" t="s">
        <v>3352</v>
      </c>
    </row>
    <row r="1550" spans="1:3" x14ac:dyDescent="0.25">
      <c r="A1550" s="222">
        <v>220097</v>
      </c>
      <c r="B1550" s="223" t="s">
        <v>3356</v>
      </c>
      <c r="C1550" s="221" t="s">
        <v>3357</v>
      </c>
    </row>
    <row r="1551" spans="1:3" x14ac:dyDescent="0.25">
      <c r="A1551" s="222">
        <v>220097</v>
      </c>
      <c r="B1551" s="223" t="s">
        <v>3356</v>
      </c>
      <c r="C1551" s="221" t="s">
        <v>3355</v>
      </c>
    </row>
    <row r="1552" spans="1:3" x14ac:dyDescent="0.25">
      <c r="A1552" s="222">
        <v>220098</v>
      </c>
      <c r="B1552" s="223" t="s">
        <v>3359</v>
      </c>
      <c r="C1552" s="221" t="s">
        <v>3360</v>
      </c>
    </row>
    <row r="1553" spans="1:3" x14ac:dyDescent="0.25">
      <c r="A1553" s="222">
        <v>220098</v>
      </c>
      <c r="B1553" s="223" t="s">
        <v>3359</v>
      </c>
      <c r="C1553" s="221" t="s">
        <v>3358</v>
      </c>
    </row>
    <row r="1554" spans="1:3" x14ac:dyDescent="0.25">
      <c r="A1554" s="222">
        <v>220099</v>
      </c>
      <c r="B1554" s="223" t="s">
        <v>3362</v>
      </c>
      <c r="C1554" s="221" t="s">
        <v>3363</v>
      </c>
    </row>
    <row r="1555" spans="1:3" x14ac:dyDescent="0.25">
      <c r="A1555" s="222">
        <v>220099</v>
      </c>
      <c r="B1555" s="223" t="s">
        <v>3362</v>
      </c>
      <c r="C1555" s="221" t="s">
        <v>3361</v>
      </c>
    </row>
    <row r="1556" spans="1:3" x14ac:dyDescent="0.25">
      <c r="A1556" s="222">
        <v>220100</v>
      </c>
      <c r="B1556" s="223" t="s">
        <v>3365</v>
      </c>
      <c r="C1556" s="221" t="s">
        <v>3366</v>
      </c>
    </row>
    <row r="1557" spans="1:3" x14ac:dyDescent="0.25">
      <c r="A1557" s="222">
        <v>220100</v>
      </c>
      <c r="B1557" s="223" t="s">
        <v>3365</v>
      </c>
      <c r="C1557" s="221" t="s">
        <v>3364</v>
      </c>
    </row>
    <row r="1558" spans="1:3" x14ac:dyDescent="0.25">
      <c r="A1558" s="222">
        <v>220101</v>
      </c>
      <c r="B1558" s="223" t="s">
        <v>3368</v>
      </c>
      <c r="C1558" s="221" t="s">
        <v>3369</v>
      </c>
    </row>
    <row r="1559" spans="1:3" x14ac:dyDescent="0.25">
      <c r="A1559" s="222">
        <v>220101</v>
      </c>
      <c r="B1559" s="223" t="s">
        <v>3368</v>
      </c>
      <c r="C1559" s="221" t="s">
        <v>3367</v>
      </c>
    </row>
    <row r="1560" spans="1:3" x14ac:dyDescent="0.25">
      <c r="A1560" s="222">
        <v>220102</v>
      </c>
      <c r="B1560" s="223" t="s">
        <v>3371</v>
      </c>
      <c r="C1560" s="221" t="s">
        <v>3372</v>
      </c>
    </row>
    <row r="1561" spans="1:3" x14ac:dyDescent="0.25">
      <c r="A1561" s="222">
        <v>220102</v>
      </c>
      <c r="B1561" s="223" t="s">
        <v>3371</v>
      </c>
      <c r="C1561" s="221" t="s">
        <v>3370</v>
      </c>
    </row>
    <row r="1562" spans="1:3" x14ac:dyDescent="0.25">
      <c r="A1562" s="222">
        <v>220103</v>
      </c>
      <c r="B1562" s="223" t="s">
        <v>3374</v>
      </c>
      <c r="C1562" s="221" t="s">
        <v>3375</v>
      </c>
    </row>
    <row r="1563" spans="1:3" x14ac:dyDescent="0.25">
      <c r="A1563" s="222">
        <v>220103</v>
      </c>
      <c r="B1563" s="223" t="s">
        <v>3374</v>
      </c>
      <c r="C1563" s="221" t="s">
        <v>3373</v>
      </c>
    </row>
    <row r="1564" spans="1:3" x14ac:dyDescent="0.25">
      <c r="A1564" s="222">
        <v>220104</v>
      </c>
      <c r="B1564" s="223" t="s">
        <v>3377</v>
      </c>
      <c r="C1564" s="221" t="s">
        <v>3378</v>
      </c>
    </row>
    <row r="1565" spans="1:3" x14ac:dyDescent="0.25">
      <c r="A1565" s="222">
        <v>220104</v>
      </c>
      <c r="B1565" s="223" t="s">
        <v>3377</v>
      </c>
      <c r="C1565" s="221" t="s">
        <v>3376</v>
      </c>
    </row>
    <row r="1566" spans="1:3" x14ac:dyDescent="0.25">
      <c r="A1566" s="222">
        <v>220105</v>
      </c>
      <c r="B1566" s="223" t="s">
        <v>3380</v>
      </c>
      <c r="C1566" s="221" t="s">
        <v>3381</v>
      </c>
    </row>
    <row r="1567" spans="1:3" x14ac:dyDescent="0.25">
      <c r="A1567" s="222">
        <v>220105</v>
      </c>
      <c r="B1567" s="223" t="s">
        <v>3380</v>
      </c>
      <c r="C1567" s="221" t="s">
        <v>3379</v>
      </c>
    </row>
    <row r="1568" spans="1:3" x14ac:dyDescent="0.25">
      <c r="A1568" s="222">
        <v>220106</v>
      </c>
      <c r="B1568" s="223" t="s">
        <v>3383</v>
      </c>
      <c r="C1568" s="221" t="s">
        <v>3384</v>
      </c>
    </row>
    <row r="1569" spans="1:3" x14ac:dyDescent="0.25">
      <c r="A1569" s="222">
        <v>220106</v>
      </c>
      <c r="B1569" s="223" t="s">
        <v>3383</v>
      </c>
      <c r="C1569" s="221" t="s">
        <v>3382</v>
      </c>
    </row>
    <row r="1570" spans="1:3" x14ac:dyDescent="0.25">
      <c r="A1570" s="222">
        <v>220107</v>
      </c>
      <c r="B1570" s="223" t="s">
        <v>3386</v>
      </c>
      <c r="C1570" s="221" t="s">
        <v>3387</v>
      </c>
    </row>
    <row r="1571" spans="1:3" x14ac:dyDescent="0.25">
      <c r="A1571" s="222">
        <v>220107</v>
      </c>
      <c r="B1571" s="223" t="s">
        <v>3386</v>
      </c>
      <c r="C1571" s="221" t="s">
        <v>3385</v>
      </c>
    </row>
    <row r="1572" spans="1:3" x14ac:dyDescent="0.25">
      <c r="A1572" s="222">
        <v>220108</v>
      </c>
      <c r="B1572" s="223" t="s">
        <v>3389</v>
      </c>
      <c r="C1572" s="221" t="s">
        <v>3390</v>
      </c>
    </row>
    <row r="1573" spans="1:3" x14ac:dyDescent="0.25">
      <c r="A1573" s="222">
        <v>220108</v>
      </c>
      <c r="B1573" s="223" t="s">
        <v>3389</v>
      </c>
      <c r="C1573" s="221" t="s">
        <v>3388</v>
      </c>
    </row>
    <row r="1574" spans="1:3" x14ac:dyDescent="0.25">
      <c r="A1574" s="222">
        <v>220109</v>
      </c>
      <c r="B1574" s="223" t="s">
        <v>3392</v>
      </c>
      <c r="C1574" s="221" t="s">
        <v>3393</v>
      </c>
    </row>
    <row r="1575" spans="1:3" x14ac:dyDescent="0.25">
      <c r="A1575" s="222">
        <v>220109</v>
      </c>
      <c r="B1575" s="223" t="s">
        <v>3392</v>
      </c>
      <c r="C1575" s="221" t="s">
        <v>3391</v>
      </c>
    </row>
    <row r="1576" spans="1:3" x14ac:dyDescent="0.25">
      <c r="A1576" s="222">
        <v>220110</v>
      </c>
      <c r="B1576" s="223" t="s">
        <v>3395</v>
      </c>
      <c r="C1576" s="221" t="s">
        <v>3396</v>
      </c>
    </row>
    <row r="1577" spans="1:3" x14ac:dyDescent="0.25">
      <c r="A1577" s="222">
        <v>220110</v>
      </c>
      <c r="B1577" s="223" t="s">
        <v>3395</v>
      </c>
      <c r="C1577" s="221" t="s">
        <v>3394</v>
      </c>
    </row>
    <row r="1578" spans="1:3" x14ac:dyDescent="0.25">
      <c r="A1578" s="222">
        <v>220111</v>
      </c>
      <c r="B1578" s="223" t="s">
        <v>3398</v>
      </c>
      <c r="C1578" s="221" t="s">
        <v>3399</v>
      </c>
    </row>
    <row r="1579" spans="1:3" x14ac:dyDescent="0.25">
      <c r="A1579" s="222">
        <v>220111</v>
      </c>
      <c r="B1579" s="223" t="s">
        <v>3398</v>
      </c>
      <c r="C1579" s="221" t="s">
        <v>3397</v>
      </c>
    </row>
    <row r="1580" spans="1:3" x14ac:dyDescent="0.25">
      <c r="A1580" s="222">
        <v>220112</v>
      </c>
      <c r="B1580" s="223" t="s">
        <v>3401</v>
      </c>
      <c r="C1580" s="221" t="s">
        <v>3402</v>
      </c>
    </row>
    <row r="1581" spans="1:3" x14ac:dyDescent="0.25">
      <c r="A1581" s="222">
        <v>220112</v>
      </c>
      <c r="B1581" s="223" t="s">
        <v>3401</v>
      </c>
      <c r="C1581" s="221" t="s">
        <v>3400</v>
      </c>
    </row>
    <row r="1582" spans="1:3" x14ac:dyDescent="0.25">
      <c r="A1582" s="222">
        <v>220113</v>
      </c>
      <c r="B1582" s="223" t="s">
        <v>3404</v>
      </c>
      <c r="C1582" s="221" t="s">
        <v>3405</v>
      </c>
    </row>
    <row r="1583" spans="1:3" x14ac:dyDescent="0.25">
      <c r="A1583" s="222">
        <v>220113</v>
      </c>
      <c r="B1583" s="223" t="s">
        <v>3404</v>
      </c>
      <c r="C1583" s="221" t="s">
        <v>3403</v>
      </c>
    </row>
    <row r="1584" spans="1:3" x14ac:dyDescent="0.25">
      <c r="A1584" s="222">
        <v>220114</v>
      </c>
      <c r="B1584" s="223" t="s">
        <v>3407</v>
      </c>
      <c r="C1584" s="221" t="s">
        <v>3408</v>
      </c>
    </row>
    <row r="1585" spans="1:3" x14ac:dyDescent="0.25">
      <c r="A1585" s="222">
        <v>220114</v>
      </c>
      <c r="B1585" s="223" t="s">
        <v>3407</v>
      </c>
      <c r="C1585" s="221" t="s">
        <v>3406</v>
      </c>
    </row>
    <row r="1586" spans="1:3" x14ac:dyDescent="0.25">
      <c r="A1586" s="222">
        <v>220115</v>
      </c>
      <c r="B1586" s="223" t="s">
        <v>3410</v>
      </c>
      <c r="C1586" s="221" t="s">
        <v>3411</v>
      </c>
    </row>
    <row r="1587" spans="1:3" x14ac:dyDescent="0.25">
      <c r="A1587" s="222">
        <v>220115</v>
      </c>
      <c r="B1587" s="223" t="s">
        <v>3410</v>
      </c>
      <c r="C1587" s="221" t="s">
        <v>3409</v>
      </c>
    </row>
    <row r="1588" spans="1:3" x14ac:dyDescent="0.25">
      <c r="A1588" s="222">
        <v>220116</v>
      </c>
      <c r="B1588" s="223" t="s">
        <v>3413</v>
      </c>
      <c r="C1588" s="221" t="s">
        <v>3414</v>
      </c>
    </row>
    <row r="1589" spans="1:3" x14ac:dyDescent="0.25">
      <c r="A1589" s="222">
        <v>220116</v>
      </c>
      <c r="B1589" s="223" t="s">
        <v>3413</v>
      </c>
      <c r="C1589" s="221" t="s">
        <v>3412</v>
      </c>
    </row>
    <row r="1590" spans="1:3" x14ac:dyDescent="0.25">
      <c r="A1590" s="222">
        <v>220117</v>
      </c>
      <c r="B1590" s="223" t="s">
        <v>3416</v>
      </c>
      <c r="C1590" s="221" t="s">
        <v>3417</v>
      </c>
    </row>
    <row r="1591" spans="1:3" x14ac:dyDescent="0.25">
      <c r="A1591" s="222">
        <v>220117</v>
      </c>
      <c r="B1591" s="223" t="s">
        <v>3416</v>
      </c>
      <c r="C1591" s="221" t="s">
        <v>3415</v>
      </c>
    </row>
    <row r="1592" spans="1:3" x14ac:dyDescent="0.25">
      <c r="A1592" s="222">
        <v>220118</v>
      </c>
      <c r="B1592" s="223" t="s">
        <v>3419</v>
      </c>
      <c r="C1592" s="221" t="s">
        <v>3420</v>
      </c>
    </row>
    <row r="1593" spans="1:3" x14ac:dyDescent="0.25">
      <c r="A1593" s="222">
        <v>220118</v>
      </c>
      <c r="B1593" s="223" t="s">
        <v>3419</v>
      </c>
      <c r="C1593" s="221" t="s">
        <v>3418</v>
      </c>
    </row>
    <row r="1594" spans="1:3" x14ac:dyDescent="0.25">
      <c r="A1594" s="222">
        <v>220119</v>
      </c>
      <c r="B1594" s="223" t="s">
        <v>3422</v>
      </c>
      <c r="C1594" s="221" t="s">
        <v>3423</v>
      </c>
    </row>
    <row r="1595" spans="1:3" x14ac:dyDescent="0.25">
      <c r="A1595" s="222">
        <v>220119</v>
      </c>
      <c r="B1595" s="223" t="s">
        <v>3422</v>
      </c>
      <c r="C1595" s="221" t="s">
        <v>3421</v>
      </c>
    </row>
    <row r="1596" spans="1:3" x14ac:dyDescent="0.25">
      <c r="A1596" s="222">
        <v>220120</v>
      </c>
      <c r="B1596" s="223" t="s">
        <v>3425</v>
      </c>
      <c r="C1596" s="221" t="s">
        <v>3426</v>
      </c>
    </row>
    <row r="1597" spans="1:3" x14ac:dyDescent="0.25">
      <c r="A1597" s="222">
        <v>220120</v>
      </c>
      <c r="B1597" s="223" t="s">
        <v>3425</v>
      </c>
      <c r="C1597" s="221" t="s">
        <v>3424</v>
      </c>
    </row>
    <row r="1598" spans="1:3" x14ac:dyDescent="0.25">
      <c r="A1598" s="222">
        <v>220121</v>
      </c>
      <c r="B1598" s="223" t="s">
        <v>3428</v>
      </c>
      <c r="C1598" s="221" t="s">
        <v>3429</v>
      </c>
    </row>
    <row r="1599" spans="1:3" x14ac:dyDescent="0.25">
      <c r="A1599" s="222">
        <v>220121</v>
      </c>
      <c r="B1599" s="223" t="s">
        <v>3428</v>
      </c>
      <c r="C1599" s="221" t="s">
        <v>3427</v>
      </c>
    </row>
    <row r="1600" spans="1:3" x14ac:dyDescent="0.25">
      <c r="A1600" s="222">
        <v>220122</v>
      </c>
      <c r="B1600" s="223" t="s">
        <v>3431</v>
      </c>
      <c r="C1600" s="221" t="s">
        <v>3432</v>
      </c>
    </row>
    <row r="1601" spans="1:3" x14ac:dyDescent="0.25">
      <c r="A1601" s="222">
        <v>220122</v>
      </c>
      <c r="B1601" s="223" t="s">
        <v>3431</v>
      </c>
      <c r="C1601" s="221" t="s">
        <v>3430</v>
      </c>
    </row>
    <row r="1602" spans="1:3" x14ac:dyDescent="0.25">
      <c r="A1602" s="222">
        <v>220123</v>
      </c>
      <c r="B1602" s="223" t="s">
        <v>3434</v>
      </c>
      <c r="C1602" s="221" t="s">
        <v>3435</v>
      </c>
    </row>
    <row r="1603" spans="1:3" x14ac:dyDescent="0.25">
      <c r="A1603" s="222">
        <v>220123</v>
      </c>
      <c r="B1603" s="223" t="s">
        <v>3434</v>
      </c>
      <c r="C1603" s="221" t="s">
        <v>3433</v>
      </c>
    </row>
    <row r="1604" spans="1:3" x14ac:dyDescent="0.25">
      <c r="A1604" s="222">
        <v>220124</v>
      </c>
      <c r="B1604" s="223" t="s">
        <v>3437</v>
      </c>
      <c r="C1604" s="221" t="s">
        <v>3438</v>
      </c>
    </row>
    <row r="1605" spans="1:3" x14ac:dyDescent="0.25">
      <c r="A1605" s="222">
        <v>220124</v>
      </c>
      <c r="B1605" s="223" t="s">
        <v>3437</v>
      </c>
      <c r="C1605" s="221" t="s">
        <v>3436</v>
      </c>
    </row>
    <row r="1606" spans="1:3" x14ac:dyDescent="0.25">
      <c r="A1606" s="222">
        <v>220125</v>
      </c>
      <c r="B1606" s="223" t="s">
        <v>3440</v>
      </c>
      <c r="C1606" s="221" t="s">
        <v>3441</v>
      </c>
    </row>
    <row r="1607" spans="1:3" x14ac:dyDescent="0.25">
      <c r="A1607" s="222">
        <v>220125</v>
      </c>
      <c r="B1607" s="223" t="s">
        <v>3440</v>
      </c>
      <c r="C1607" s="221" t="s">
        <v>3439</v>
      </c>
    </row>
    <row r="1608" spans="1:3" x14ac:dyDescent="0.25">
      <c r="A1608" s="222">
        <v>220126</v>
      </c>
      <c r="B1608" s="223" t="s">
        <v>3443</v>
      </c>
      <c r="C1608" s="221" t="s">
        <v>3444</v>
      </c>
    </row>
    <row r="1609" spans="1:3" x14ac:dyDescent="0.25">
      <c r="A1609" s="222">
        <v>220126</v>
      </c>
      <c r="B1609" s="223" t="s">
        <v>3443</v>
      </c>
      <c r="C1609" s="221" t="s">
        <v>3442</v>
      </c>
    </row>
    <row r="1610" spans="1:3" x14ac:dyDescent="0.25">
      <c r="A1610" s="222">
        <v>220127</v>
      </c>
      <c r="B1610" s="223" t="s">
        <v>3446</v>
      </c>
      <c r="C1610" s="221" t="s">
        <v>3447</v>
      </c>
    </row>
    <row r="1611" spans="1:3" x14ac:dyDescent="0.25">
      <c r="A1611" s="222">
        <v>220127</v>
      </c>
      <c r="B1611" s="223" t="s">
        <v>3446</v>
      </c>
      <c r="C1611" s="221" t="s">
        <v>3445</v>
      </c>
    </row>
    <row r="1612" spans="1:3" x14ac:dyDescent="0.25">
      <c r="A1612" s="222">
        <v>220128</v>
      </c>
      <c r="B1612" s="223" t="s">
        <v>3449</v>
      </c>
      <c r="C1612" s="221" t="s">
        <v>3450</v>
      </c>
    </row>
    <row r="1613" spans="1:3" x14ac:dyDescent="0.25">
      <c r="A1613" s="222">
        <v>220128</v>
      </c>
      <c r="B1613" s="223" t="s">
        <v>3449</v>
      </c>
      <c r="C1613" s="221" t="s">
        <v>3448</v>
      </c>
    </row>
    <row r="1614" spans="1:3" x14ac:dyDescent="0.25">
      <c r="A1614" s="222">
        <v>220129</v>
      </c>
      <c r="B1614" s="223" t="s">
        <v>3452</v>
      </c>
      <c r="C1614" s="221" t="s">
        <v>3453</v>
      </c>
    </row>
    <row r="1615" spans="1:3" x14ac:dyDescent="0.25">
      <c r="A1615" s="222">
        <v>220129</v>
      </c>
      <c r="B1615" s="223" t="s">
        <v>3452</v>
      </c>
      <c r="C1615" s="221" t="s">
        <v>3451</v>
      </c>
    </row>
    <row r="1616" spans="1:3" x14ac:dyDescent="0.25">
      <c r="A1616" s="222">
        <v>220130</v>
      </c>
      <c r="B1616" s="223" t="s">
        <v>3455</v>
      </c>
      <c r="C1616" s="221" t="s">
        <v>3456</v>
      </c>
    </row>
    <row r="1617" spans="1:3" x14ac:dyDescent="0.25">
      <c r="A1617" s="222">
        <v>220130</v>
      </c>
      <c r="B1617" s="223" t="s">
        <v>3455</v>
      </c>
      <c r="C1617" s="221" t="s">
        <v>3454</v>
      </c>
    </row>
    <row r="1618" spans="1:3" x14ac:dyDescent="0.25">
      <c r="A1618" s="222">
        <v>220131</v>
      </c>
      <c r="B1618" s="223" t="s">
        <v>3458</v>
      </c>
      <c r="C1618" s="221" t="s">
        <v>3459</v>
      </c>
    </row>
    <row r="1619" spans="1:3" x14ac:dyDescent="0.25">
      <c r="A1619" s="222">
        <v>220131</v>
      </c>
      <c r="B1619" s="223" t="s">
        <v>3458</v>
      </c>
      <c r="C1619" s="221" t="s">
        <v>3457</v>
      </c>
    </row>
    <row r="1620" spans="1:3" x14ac:dyDescent="0.25">
      <c r="A1620" s="222">
        <v>220132</v>
      </c>
      <c r="B1620" s="223" t="s">
        <v>3461</v>
      </c>
      <c r="C1620" s="221" t="s">
        <v>3462</v>
      </c>
    </row>
    <row r="1621" spans="1:3" x14ac:dyDescent="0.25">
      <c r="A1621" s="222">
        <v>220132</v>
      </c>
      <c r="B1621" s="223" t="s">
        <v>3461</v>
      </c>
      <c r="C1621" s="221" t="s">
        <v>3460</v>
      </c>
    </row>
    <row r="1622" spans="1:3" x14ac:dyDescent="0.25">
      <c r="A1622" s="222">
        <v>220133</v>
      </c>
      <c r="B1622" s="223" t="s">
        <v>3464</v>
      </c>
      <c r="C1622" s="221" t="s">
        <v>3465</v>
      </c>
    </row>
    <row r="1623" spans="1:3" x14ac:dyDescent="0.25">
      <c r="A1623" s="222">
        <v>220133</v>
      </c>
      <c r="B1623" s="223" t="s">
        <v>3464</v>
      </c>
      <c r="C1623" s="221" t="s">
        <v>3463</v>
      </c>
    </row>
    <row r="1624" spans="1:3" x14ac:dyDescent="0.25">
      <c r="A1624" s="222">
        <v>220134</v>
      </c>
      <c r="B1624" s="223" t="s">
        <v>3467</v>
      </c>
      <c r="C1624" s="221" t="s">
        <v>3468</v>
      </c>
    </row>
    <row r="1625" spans="1:3" x14ac:dyDescent="0.25">
      <c r="A1625" s="222">
        <v>220134</v>
      </c>
      <c r="B1625" s="223" t="s">
        <v>3467</v>
      </c>
      <c r="C1625" s="221" t="s">
        <v>3466</v>
      </c>
    </row>
    <row r="1626" spans="1:3" x14ac:dyDescent="0.25">
      <c r="A1626" s="222">
        <v>220135</v>
      </c>
      <c r="B1626" s="223" t="s">
        <v>3470</v>
      </c>
      <c r="C1626" s="221" t="s">
        <v>3471</v>
      </c>
    </row>
    <row r="1627" spans="1:3" x14ac:dyDescent="0.25">
      <c r="A1627" s="222">
        <v>220135</v>
      </c>
      <c r="B1627" s="223" t="s">
        <v>3470</v>
      </c>
      <c r="C1627" s="221" t="s">
        <v>3469</v>
      </c>
    </row>
    <row r="1628" spans="1:3" x14ac:dyDescent="0.25">
      <c r="A1628" s="222">
        <v>220136</v>
      </c>
      <c r="B1628" s="223" t="s">
        <v>3473</v>
      </c>
      <c r="C1628" s="221" t="s">
        <v>3474</v>
      </c>
    </row>
    <row r="1629" spans="1:3" x14ac:dyDescent="0.25">
      <c r="A1629" s="222">
        <v>220136</v>
      </c>
      <c r="B1629" s="223" t="s">
        <v>3473</v>
      </c>
      <c r="C1629" s="221" t="s">
        <v>3472</v>
      </c>
    </row>
    <row r="1630" spans="1:3" x14ac:dyDescent="0.25">
      <c r="A1630" s="222">
        <v>220137</v>
      </c>
      <c r="B1630" s="223" t="s">
        <v>3476</v>
      </c>
      <c r="C1630" s="221" t="s">
        <v>3477</v>
      </c>
    </row>
    <row r="1631" spans="1:3" x14ac:dyDescent="0.25">
      <c r="A1631" s="222">
        <v>220137</v>
      </c>
      <c r="B1631" s="223" t="s">
        <v>3476</v>
      </c>
      <c r="C1631" s="221" t="s">
        <v>3475</v>
      </c>
    </row>
    <row r="1632" spans="1:3" x14ac:dyDescent="0.25">
      <c r="A1632" s="222">
        <v>220138</v>
      </c>
      <c r="B1632" s="223" t="s">
        <v>3476</v>
      </c>
      <c r="C1632" s="221" t="s">
        <v>3479</v>
      </c>
    </row>
    <row r="1633" spans="1:3" x14ac:dyDescent="0.25">
      <c r="A1633" s="222">
        <v>220138</v>
      </c>
      <c r="B1633" s="223" t="s">
        <v>3476</v>
      </c>
      <c r="C1633" s="221" t="s">
        <v>3478</v>
      </c>
    </row>
    <row r="1634" spans="1:3" x14ac:dyDescent="0.25">
      <c r="A1634" s="222">
        <v>220139</v>
      </c>
      <c r="B1634" s="223" t="s">
        <v>3481</v>
      </c>
      <c r="C1634" s="221" t="s">
        <v>3482</v>
      </c>
    </row>
    <row r="1635" spans="1:3" x14ac:dyDescent="0.25">
      <c r="A1635" s="222">
        <v>220139</v>
      </c>
      <c r="B1635" s="223" t="s">
        <v>3481</v>
      </c>
      <c r="C1635" s="221" t="s">
        <v>3480</v>
      </c>
    </row>
    <row r="1636" spans="1:3" x14ac:dyDescent="0.25">
      <c r="A1636" s="222">
        <v>220140</v>
      </c>
      <c r="B1636" s="223" t="s">
        <v>3481</v>
      </c>
      <c r="C1636" s="221" t="s">
        <v>3484</v>
      </c>
    </row>
    <row r="1637" spans="1:3" x14ac:dyDescent="0.25">
      <c r="A1637" s="222">
        <v>220140</v>
      </c>
      <c r="B1637" s="223" t="s">
        <v>3481</v>
      </c>
      <c r="C1637" s="221" t="s">
        <v>3483</v>
      </c>
    </row>
    <row r="1638" spans="1:3" x14ac:dyDescent="0.25">
      <c r="A1638" s="222">
        <v>220141</v>
      </c>
      <c r="B1638" s="223" t="s">
        <v>3486</v>
      </c>
      <c r="C1638" s="221" t="s">
        <v>3487</v>
      </c>
    </row>
    <row r="1639" spans="1:3" x14ac:dyDescent="0.25">
      <c r="A1639" s="222">
        <v>220141</v>
      </c>
      <c r="B1639" s="223" t="s">
        <v>3486</v>
      </c>
      <c r="C1639" s="221" t="s">
        <v>3485</v>
      </c>
    </row>
    <row r="1640" spans="1:3" x14ac:dyDescent="0.25">
      <c r="A1640" s="222">
        <v>220142</v>
      </c>
      <c r="B1640" s="223" t="s">
        <v>3489</v>
      </c>
      <c r="C1640" s="221" t="s">
        <v>3490</v>
      </c>
    </row>
    <row r="1641" spans="1:3" x14ac:dyDescent="0.25">
      <c r="A1641" s="222">
        <v>220142</v>
      </c>
      <c r="B1641" s="223" t="s">
        <v>3489</v>
      </c>
      <c r="C1641" s="221" t="s">
        <v>3488</v>
      </c>
    </row>
    <row r="1642" spans="1:3" x14ac:dyDescent="0.25">
      <c r="A1642" s="222">
        <v>220143</v>
      </c>
      <c r="B1642" s="223" t="s">
        <v>3492</v>
      </c>
      <c r="C1642" s="221" t="s">
        <v>3493</v>
      </c>
    </row>
    <row r="1643" spans="1:3" x14ac:dyDescent="0.25">
      <c r="A1643" s="222">
        <v>220143</v>
      </c>
      <c r="B1643" s="223" t="s">
        <v>3492</v>
      </c>
      <c r="C1643" s="221" t="s">
        <v>3491</v>
      </c>
    </row>
    <row r="1644" spans="1:3" x14ac:dyDescent="0.25">
      <c r="A1644" s="222">
        <v>220144</v>
      </c>
      <c r="B1644" s="223" t="s">
        <v>3495</v>
      </c>
      <c r="C1644" s="221" t="s">
        <v>3496</v>
      </c>
    </row>
    <row r="1645" spans="1:3" x14ac:dyDescent="0.25">
      <c r="A1645" s="222">
        <v>220144</v>
      </c>
      <c r="B1645" s="223" t="s">
        <v>3495</v>
      </c>
      <c r="C1645" s="221" t="s">
        <v>3494</v>
      </c>
    </row>
    <row r="1646" spans="1:3" x14ac:dyDescent="0.25">
      <c r="A1646" s="222">
        <v>220145</v>
      </c>
      <c r="B1646" s="223" t="s">
        <v>3498</v>
      </c>
      <c r="C1646" s="221" t="s">
        <v>3499</v>
      </c>
    </row>
    <row r="1647" spans="1:3" x14ac:dyDescent="0.25">
      <c r="A1647" s="222">
        <v>220145</v>
      </c>
      <c r="B1647" s="223" t="s">
        <v>3498</v>
      </c>
      <c r="C1647" s="221" t="s">
        <v>3497</v>
      </c>
    </row>
    <row r="1648" spans="1:3" x14ac:dyDescent="0.25">
      <c r="A1648" s="222">
        <v>220146</v>
      </c>
      <c r="B1648" s="223" t="s">
        <v>3501</v>
      </c>
      <c r="C1648" s="221" t="s">
        <v>3502</v>
      </c>
    </row>
    <row r="1649" spans="1:3" x14ac:dyDescent="0.25">
      <c r="A1649" s="222">
        <v>220146</v>
      </c>
      <c r="B1649" s="223" t="s">
        <v>3501</v>
      </c>
      <c r="C1649" s="221" t="s">
        <v>3500</v>
      </c>
    </row>
    <row r="1650" spans="1:3" x14ac:dyDescent="0.25">
      <c r="A1650" s="222">
        <v>220147</v>
      </c>
      <c r="B1650" s="223" t="s">
        <v>3504</v>
      </c>
      <c r="C1650" s="221" t="s">
        <v>3505</v>
      </c>
    </row>
    <row r="1651" spans="1:3" x14ac:dyDescent="0.25">
      <c r="A1651" s="222">
        <v>220147</v>
      </c>
      <c r="B1651" s="223" t="s">
        <v>3504</v>
      </c>
      <c r="C1651" s="221" t="s">
        <v>3503</v>
      </c>
    </row>
    <row r="1652" spans="1:3" x14ac:dyDescent="0.25">
      <c r="A1652" s="222">
        <v>220148</v>
      </c>
      <c r="B1652" s="223" t="s">
        <v>3507</v>
      </c>
      <c r="C1652" s="221" t="s">
        <v>3508</v>
      </c>
    </row>
    <row r="1653" spans="1:3" x14ac:dyDescent="0.25">
      <c r="A1653" s="222">
        <v>220148</v>
      </c>
      <c r="B1653" s="223" t="s">
        <v>3507</v>
      </c>
      <c r="C1653" s="221" t="s">
        <v>3506</v>
      </c>
    </row>
    <row r="1654" spans="1:3" x14ac:dyDescent="0.25">
      <c r="A1654" s="222">
        <v>220149</v>
      </c>
      <c r="B1654" s="223" t="s">
        <v>3510</v>
      </c>
      <c r="C1654" s="221" t="s">
        <v>3511</v>
      </c>
    </row>
    <row r="1655" spans="1:3" x14ac:dyDescent="0.25">
      <c r="A1655" s="222">
        <v>220149</v>
      </c>
      <c r="B1655" s="223" t="s">
        <v>3510</v>
      </c>
      <c r="C1655" s="221" t="s">
        <v>3509</v>
      </c>
    </row>
    <row r="1656" spans="1:3" x14ac:dyDescent="0.25">
      <c r="A1656" s="222">
        <v>220150</v>
      </c>
      <c r="B1656" s="223" t="s">
        <v>3513</v>
      </c>
      <c r="C1656" s="221" t="s">
        <v>3514</v>
      </c>
    </row>
    <row r="1657" spans="1:3" x14ac:dyDescent="0.25">
      <c r="A1657" s="222">
        <v>220150</v>
      </c>
      <c r="B1657" s="223" t="s">
        <v>3513</v>
      </c>
      <c r="C1657" s="221" t="s">
        <v>3512</v>
      </c>
    </row>
    <row r="1658" spans="1:3" x14ac:dyDescent="0.25">
      <c r="A1658" s="222">
        <v>220151</v>
      </c>
      <c r="B1658" s="223" t="s">
        <v>3516</v>
      </c>
      <c r="C1658" s="221" t="s">
        <v>3517</v>
      </c>
    </row>
    <row r="1659" spans="1:3" x14ac:dyDescent="0.25">
      <c r="A1659" s="222">
        <v>220151</v>
      </c>
      <c r="B1659" s="223" t="s">
        <v>3516</v>
      </c>
      <c r="C1659" s="221" t="s">
        <v>3515</v>
      </c>
    </row>
    <row r="1660" spans="1:3" x14ac:dyDescent="0.25">
      <c r="A1660" s="222">
        <v>220152</v>
      </c>
      <c r="B1660" s="223" t="s">
        <v>3519</v>
      </c>
      <c r="C1660" s="221" t="s">
        <v>3520</v>
      </c>
    </row>
    <row r="1661" spans="1:3" x14ac:dyDescent="0.25">
      <c r="A1661" s="222">
        <v>220152</v>
      </c>
      <c r="B1661" s="223" t="s">
        <v>3519</v>
      </c>
      <c r="C1661" s="221" t="s">
        <v>3518</v>
      </c>
    </row>
    <row r="1662" spans="1:3" x14ac:dyDescent="0.25">
      <c r="A1662" s="222">
        <v>220153</v>
      </c>
      <c r="B1662" s="223" t="s">
        <v>3522</v>
      </c>
      <c r="C1662" s="221" t="s">
        <v>3523</v>
      </c>
    </row>
    <row r="1663" spans="1:3" x14ac:dyDescent="0.25">
      <c r="A1663" s="222">
        <v>220153</v>
      </c>
      <c r="B1663" s="223" t="s">
        <v>3522</v>
      </c>
      <c r="C1663" s="221" t="s">
        <v>3521</v>
      </c>
    </row>
    <row r="1664" spans="1:3" x14ac:dyDescent="0.25">
      <c r="A1664" s="222">
        <v>220154</v>
      </c>
      <c r="B1664" s="223" t="s">
        <v>3525</v>
      </c>
      <c r="C1664" s="221" t="s">
        <v>3526</v>
      </c>
    </row>
    <row r="1665" spans="1:3" x14ac:dyDescent="0.25">
      <c r="A1665" s="222">
        <v>220154</v>
      </c>
      <c r="B1665" s="223" t="s">
        <v>3525</v>
      </c>
      <c r="C1665" s="221" t="s">
        <v>3524</v>
      </c>
    </row>
    <row r="1666" spans="1:3" x14ac:dyDescent="0.25">
      <c r="A1666" s="222">
        <v>220155</v>
      </c>
      <c r="B1666" s="223" t="s">
        <v>3528</v>
      </c>
      <c r="C1666" s="221" t="s">
        <v>3529</v>
      </c>
    </row>
    <row r="1667" spans="1:3" x14ac:dyDescent="0.25">
      <c r="A1667" s="222">
        <v>220155</v>
      </c>
      <c r="B1667" s="223" t="s">
        <v>3528</v>
      </c>
      <c r="C1667" s="221" t="s">
        <v>3527</v>
      </c>
    </row>
    <row r="1668" spans="1:3" x14ac:dyDescent="0.25">
      <c r="A1668" s="222">
        <v>220156</v>
      </c>
      <c r="B1668" s="223" t="s">
        <v>3531</v>
      </c>
      <c r="C1668" s="221" t="s">
        <v>3532</v>
      </c>
    </row>
    <row r="1669" spans="1:3" x14ac:dyDescent="0.25">
      <c r="A1669" s="222">
        <v>220156</v>
      </c>
      <c r="B1669" s="223" t="s">
        <v>3531</v>
      </c>
      <c r="C1669" s="221" t="s">
        <v>3530</v>
      </c>
    </row>
    <row r="1670" spans="1:3" x14ac:dyDescent="0.25">
      <c r="A1670" s="222">
        <v>220157</v>
      </c>
      <c r="B1670" s="223" t="s">
        <v>3534</v>
      </c>
      <c r="C1670" s="221" t="s">
        <v>3535</v>
      </c>
    </row>
    <row r="1671" spans="1:3" x14ac:dyDescent="0.25">
      <c r="A1671" s="222">
        <v>220157</v>
      </c>
      <c r="B1671" s="223" t="s">
        <v>3534</v>
      </c>
      <c r="C1671" s="221" t="s">
        <v>3533</v>
      </c>
    </row>
    <row r="1672" spans="1:3" x14ac:dyDescent="0.25">
      <c r="A1672" s="222">
        <v>220158</v>
      </c>
      <c r="B1672" s="223" t="s">
        <v>3537</v>
      </c>
      <c r="C1672" s="221" t="s">
        <v>3538</v>
      </c>
    </row>
    <row r="1673" spans="1:3" x14ac:dyDescent="0.25">
      <c r="A1673" s="222">
        <v>220158</v>
      </c>
      <c r="B1673" s="223" t="s">
        <v>3537</v>
      </c>
      <c r="C1673" s="221" t="s">
        <v>3536</v>
      </c>
    </row>
    <row r="1674" spans="1:3" x14ac:dyDescent="0.25">
      <c r="A1674" s="222">
        <v>220159</v>
      </c>
      <c r="B1674" s="223" t="s">
        <v>3540</v>
      </c>
      <c r="C1674" s="221" t="s">
        <v>3541</v>
      </c>
    </row>
    <row r="1675" spans="1:3" x14ac:dyDescent="0.25">
      <c r="A1675" s="222">
        <v>220159</v>
      </c>
      <c r="B1675" s="223" t="s">
        <v>3540</v>
      </c>
      <c r="C1675" s="221" t="s">
        <v>3539</v>
      </c>
    </row>
    <row r="1676" spans="1:3" x14ac:dyDescent="0.25">
      <c r="A1676" s="222">
        <v>220160</v>
      </c>
      <c r="B1676" s="223" t="s">
        <v>3543</v>
      </c>
      <c r="C1676" s="221" t="s">
        <v>3544</v>
      </c>
    </row>
    <row r="1677" spans="1:3" x14ac:dyDescent="0.25">
      <c r="A1677" s="222">
        <v>220160</v>
      </c>
      <c r="B1677" s="223" t="s">
        <v>3543</v>
      </c>
      <c r="C1677" s="221" t="s">
        <v>3542</v>
      </c>
    </row>
    <row r="1678" spans="1:3" x14ac:dyDescent="0.25">
      <c r="A1678" s="222">
        <v>220161</v>
      </c>
      <c r="B1678" s="223" t="s">
        <v>3546</v>
      </c>
      <c r="C1678" s="221" t="s">
        <v>3547</v>
      </c>
    </row>
    <row r="1679" spans="1:3" x14ac:dyDescent="0.25">
      <c r="A1679" s="222">
        <v>220161</v>
      </c>
      <c r="B1679" s="223" t="s">
        <v>3546</v>
      </c>
      <c r="C1679" s="221" t="s">
        <v>3545</v>
      </c>
    </row>
    <row r="1680" spans="1:3" x14ac:dyDescent="0.25">
      <c r="A1680" s="222">
        <v>220162</v>
      </c>
      <c r="B1680" s="223" t="s">
        <v>3549</v>
      </c>
      <c r="C1680" s="221" t="s">
        <v>3550</v>
      </c>
    </row>
    <row r="1681" spans="1:3" x14ac:dyDescent="0.25">
      <c r="A1681" s="222">
        <v>220162</v>
      </c>
      <c r="B1681" s="223" t="s">
        <v>3549</v>
      </c>
      <c r="C1681" s="221" t="s">
        <v>3548</v>
      </c>
    </row>
    <row r="1682" spans="1:3" x14ac:dyDescent="0.25">
      <c r="A1682" s="222">
        <v>220163</v>
      </c>
      <c r="B1682" s="223" t="s">
        <v>3552</v>
      </c>
      <c r="C1682" s="221" t="s">
        <v>3553</v>
      </c>
    </row>
    <row r="1683" spans="1:3" x14ac:dyDescent="0.25">
      <c r="A1683" s="222">
        <v>220163</v>
      </c>
      <c r="B1683" s="223" t="s">
        <v>3552</v>
      </c>
      <c r="C1683" s="221" t="s">
        <v>3551</v>
      </c>
    </row>
    <row r="1684" spans="1:3" x14ac:dyDescent="0.25">
      <c r="A1684" s="222">
        <v>220164</v>
      </c>
      <c r="B1684" s="223" t="s">
        <v>3555</v>
      </c>
      <c r="C1684" s="221" t="s">
        <v>3556</v>
      </c>
    </row>
    <row r="1685" spans="1:3" x14ac:dyDescent="0.25">
      <c r="A1685" s="222">
        <v>220164</v>
      </c>
      <c r="B1685" s="223" t="s">
        <v>3555</v>
      </c>
      <c r="C1685" s="221" t="s">
        <v>3554</v>
      </c>
    </row>
    <row r="1686" spans="1:3" x14ac:dyDescent="0.25">
      <c r="A1686" s="222">
        <v>220165</v>
      </c>
      <c r="B1686" s="223" t="s">
        <v>3558</v>
      </c>
      <c r="C1686" s="221" t="s">
        <v>3559</v>
      </c>
    </row>
    <row r="1687" spans="1:3" x14ac:dyDescent="0.25">
      <c r="A1687" s="222">
        <v>220165</v>
      </c>
      <c r="B1687" s="223" t="s">
        <v>3558</v>
      </c>
      <c r="C1687" s="221" t="s">
        <v>3557</v>
      </c>
    </row>
    <row r="1688" spans="1:3" x14ac:dyDescent="0.25">
      <c r="A1688" s="222">
        <v>220166</v>
      </c>
      <c r="B1688" s="223" t="s">
        <v>3561</v>
      </c>
      <c r="C1688" s="221" t="s">
        <v>3562</v>
      </c>
    </row>
    <row r="1689" spans="1:3" x14ac:dyDescent="0.25">
      <c r="A1689" s="222">
        <v>220166</v>
      </c>
      <c r="B1689" s="223" t="s">
        <v>3561</v>
      </c>
      <c r="C1689" s="221" t="s">
        <v>3560</v>
      </c>
    </row>
    <row r="1690" spans="1:3" x14ac:dyDescent="0.25">
      <c r="A1690" s="222">
        <v>220167</v>
      </c>
      <c r="B1690" s="223" t="s">
        <v>3564</v>
      </c>
      <c r="C1690" s="221" t="s">
        <v>3565</v>
      </c>
    </row>
    <row r="1691" spans="1:3" x14ac:dyDescent="0.25">
      <c r="A1691" s="222">
        <v>220167</v>
      </c>
      <c r="B1691" s="223" t="s">
        <v>3564</v>
      </c>
      <c r="C1691" s="221" t="s">
        <v>3563</v>
      </c>
    </row>
    <row r="1692" spans="1:3" x14ac:dyDescent="0.25">
      <c r="A1692" s="222">
        <v>220168</v>
      </c>
      <c r="B1692" s="223" t="s">
        <v>3567</v>
      </c>
      <c r="C1692" s="221" t="s">
        <v>3568</v>
      </c>
    </row>
    <row r="1693" spans="1:3" x14ac:dyDescent="0.25">
      <c r="A1693" s="222">
        <v>220168</v>
      </c>
      <c r="B1693" s="223" t="s">
        <v>3567</v>
      </c>
      <c r="C1693" s="221" t="s">
        <v>3566</v>
      </c>
    </row>
    <row r="1694" spans="1:3" x14ac:dyDescent="0.25">
      <c r="A1694" s="222">
        <v>220169</v>
      </c>
      <c r="B1694" s="223" t="s">
        <v>3570</v>
      </c>
      <c r="C1694" s="221" t="s">
        <v>3571</v>
      </c>
    </row>
    <row r="1695" spans="1:3" x14ac:dyDescent="0.25">
      <c r="A1695" s="222">
        <v>220169</v>
      </c>
      <c r="B1695" s="223" t="s">
        <v>3570</v>
      </c>
      <c r="C1695" s="221" t="s">
        <v>3569</v>
      </c>
    </row>
    <row r="1696" spans="1:3" x14ac:dyDescent="0.25">
      <c r="A1696" s="222">
        <v>220170</v>
      </c>
      <c r="B1696" s="223" t="s">
        <v>3573</v>
      </c>
      <c r="C1696" s="221" t="s">
        <v>3574</v>
      </c>
    </row>
    <row r="1697" spans="1:3" x14ac:dyDescent="0.25">
      <c r="A1697" s="222">
        <v>220170</v>
      </c>
      <c r="B1697" s="223" t="s">
        <v>3573</v>
      </c>
      <c r="C1697" s="221" t="s">
        <v>3572</v>
      </c>
    </row>
    <row r="1698" spans="1:3" x14ac:dyDescent="0.25">
      <c r="A1698" s="222">
        <v>220171</v>
      </c>
      <c r="B1698" s="223" t="s">
        <v>3576</v>
      </c>
      <c r="C1698" s="221" t="s">
        <v>3577</v>
      </c>
    </row>
    <row r="1699" spans="1:3" x14ac:dyDescent="0.25">
      <c r="A1699" s="222">
        <v>220171</v>
      </c>
      <c r="B1699" s="223" t="s">
        <v>3576</v>
      </c>
      <c r="C1699" s="221" t="s">
        <v>3575</v>
      </c>
    </row>
    <row r="1700" spans="1:3" x14ac:dyDescent="0.25">
      <c r="A1700" s="222">
        <v>220172</v>
      </c>
      <c r="B1700" s="223" t="s">
        <v>3579</v>
      </c>
      <c r="C1700" s="221" t="s">
        <v>3580</v>
      </c>
    </row>
    <row r="1701" spans="1:3" x14ac:dyDescent="0.25">
      <c r="A1701" s="222">
        <v>220172</v>
      </c>
      <c r="B1701" s="223" t="s">
        <v>3579</v>
      </c>
      <c r="C1701" s="221" t="s">
        <v>3578</v>
      </c>
    </row>
    <row r="1702" spans="1:3" x14ac:dyDescent="0.25">
      <c r="A1702" s="222">
        <v>220173</v>
      </c>
      <c r="B1702" s="223" t="s">
        <v>3582</v>
      </c>
      <c r="C1702" s="221" t="s">
        <v>3583</v>
      </c>
    </row>
    <row r="1703" spans="1:3" x14ac:dyDescent="0.25">
      <c r="A1703" s="222">
        <v>220173</v>
      </c>
      <c r="B1703" s="223" t="s">
        <v>3582</v>
      </c>
      <c r="C1703" s="221" t="s">
        <v>3581</v>
      </c>
    </row>
    <row r="1704" spans="1:3" x14ac:dyDescent="0.25">
      <c r="A1704" s="222">
        <v>220174</v>
      </c>
      <c r="B1704" s="223" t="s">
        <v>3585</v>
      </c>
      <c r="C1704" s="221" t="s">
        <v>3586</v>
      </c>
    </row>
    <row r="1705" spans="1:3" x14ac:dyDescent="0.25">
      <c r="A1705" s="222">
        <v>220174</v>
      </c>
      <c r="B1705" s="223" t="s">
        <v>3585</v>
      </c>
      <c r="C1705" s="221" t="s">
        <v>3584</v>
      </c>
    </row>
    <row r="1706" spans="1:3" x14ac:dyDescent="0.25">
      <c r="A1706" s="222">
        <v>220175</v>
      </c>
      <c r="B1706" s="223" t="s">
        <v>3588</v>
      </c>
      <c r="C1706" s="221" t="s">
        <v>3589</v>
      </c>
    </row>
    <row r="1707" spans="1:3" x14ac:dyDescent="0.25">
      <c r="A1707" s="222">
        <v>220175</v>
      </c>
      <c r="B1707" s="223" t="s">
        <v>3588</v>
      </c>
      <c r="C1707" s="221" t="s">
        <v>3587</v>
      </c>
    </row>
    <row r="1708" spans="1:3" x14ac:dyDescent="0.25">
      <c r="A1708" s="222">
        <v>220176</v>
      </c>
      <c r="B1708" s="223" t="s">
        <v>3591</v>
      </c>
      <c r="C1708" s="221" t="s">
        <v>3592</v>
      </c>
    </row>
    <row r="1709" spans="1:3" x14ac:dyDescent="0.25">
      <c r="A1709" s="222">
        <v>220176</v>
      </c>
      <c r="B1709" s="223" t="s">
        <v>3591</v>
      </c>
      <c r="C1709" s="221" t="s">
        <v>3590</v>
      </c>
    </row>
    <row r="1710" spans="1:3" x14ac:dyDescent="0.25">
      <c r="A1710" s="222">
        <v>220177</v>
      </c>
      <c r="B1710" s="223" t="s">
        <v>3594</v>
      </c>
      <c r="C1710" s="221" t="s">
        <v>3595</v>
      </c>
    </row>
    <row r="1711" spans="1:3" x14ac:dyDescent="0.25">
      <c r="A1711" s="222">
        <v>220177</v>
      </c>
      <c r="B1711" s="223" t="s">
        <v>3594</v>
      </c>
      <c r="C1711" s="221" t="s">
        <v>3593</v>
      </c>
    </row>
    <row r="1712" spans="1:3" x14ac:dyDescent="0.25">
      <c r="A1712" s="222">
        <v>220178</v>
      </c>
      <c r="B1712" s="223" t="s">
        <v>3597</v>
      </c>
      <c r="C1712" s="221" t="s">
        <v>3598</v>
      </c>
    </row>
    <row r="1713" spans="1:3" x14ac:dyDescent="0.25">
      <c r="A1713" s="222">
        <v>220178</v>
      </c>
      <c r="B1713" s="223" t="s">
        <v>3597</v>
      </c>
      <c r="C1713" s="221" t="s">
        <v>3596</v>
      </c>
    </row>
    <row r="1714" spans="1:3" x14ac:dyDescent="0.25">
      <c r="A1714" s="222">
        <v>220179</v>
      </c>
      <c r="B1714" s="223" t="s">
        <v>3600</v>
      </c>
      <c r="C1714" s="221" t="s">
        <v>3601</v>
      </c>
    </row>
    <row r="1715" spans="1:3" x14ac:dyDescent="0.25">
      <c r="A1715" s="222">
        <v>220179</v>
      </c>
      <c r="B1715" s="223" t="s">
        <v>3600</v>
      </c>
      <c r="C1715" s="221" t="s">
        <v>3599</v>
      </c>
    </row>
    <row r="1716" spans="1:3" x14ac:dyDescent="0.25">
      <c r="A1716" s="222">
        <v>220180</v>
      </c>
      <c r="B1716" s="223" t="s">
        <v>3603</v>
      </c>
      <c r="C1716" s="221" t="s">
        <v>3604</v>
      </c>
    </row>
    <row r="1717" spans="1:3" x14ac:dyDescent="0.25">
      <c r="A1717" s="222">
        <v>220180</v>
      </c>
      <c r="B1717" s="223" t="s">
        <v>3603</v>
      </c>
      <c r="C1717" s="221" t="s">
        <v>3602</v>
      </c>
    </row>
    <row r="1718" spans="1:3" x14ac:dyDescent="0.25">
      <c r="A1718" s="222">
        <v>220181</v>
      </c>
      <c r="B1718" s="223" t="s">
        <v>3606</v>
      </c>
      <c r="C1718" s="221" t="s">
        <v>3607</v>
      </c>
    </row>
    <row r="1719" spans="1:3" x14ac:dyDescent="0.25">
      <c r="A1719" s="222">
        <v>220181</v>
      </c>
      <c r="B1719" s="223" t="s">
        <v>3606</v>
      </c>
      <c r="C1719" s="221" t="s">
        <v>3605</v>
      </c>
    </row>
    <row r="1720" spans="1:3" x14ac:dyDescent="0.25">
      <c r="A1720" s="222">
        <v>220182</v>
      </c>
      <c r="B1720" s="223" t="s">
        <v>3609</v>
      </c>
      <c r="C1720" s="221" t="s">
        <v>3610</v>
      </c>
    </row>
    <row r="1721" spans="1:3" x14ac:dyDescent="0.25">
      <c r="A1721" s="222">
        <v>220182</v>
      </c>
      <c r="B1721" s="223" t="s">
        <v>3609</v>
      </c>
      <c r="C1721" s="221" t="s">
        <v>3608</v>
      </c>
    </row>
    <row r="1722" spans="1:3" x14ac:dyDescent="0.25">
      <c r="A1722" s="222">
        <v>220183</v>
      </c>
      <c r="B1722" s="223" t="s">
        <v>3612</v>
      </c>
      <c r="C1722" s="221" t="s">
        <v>3613</v>
      </c>
    </row>
    <row r="1723" spans="1:3" x14ac:dyDescent="0.25">
      <c r="A1723" s="222">
        <v>220183</v>
      </c>
      <c r="B1723" s="223" t="s">
        <v>3612</v>
      </c>
      <c r="C1723" s="221" t="s">
        <v>3611</v>
      </c>
    </row>
    <row r="1724" spans="1:3" x14ac:dyDescent="0.25">
      <c r="A1724" s="222">
        <v>220184</v>
      </c>
      <c r="B1724" s="223" t="s">
        <v>3615</v>
      </c>
      <c r="C1724" s="221" t="s">
        <v>3616</v>
      </c>
    </row>
    <row r="1725" spans="1:3" x14ac:dyDescent="0.25">
      <c r="A1725" s="222">
        <v>220184</v>
      </c>
      <c r="B1725" s="223" t="s">
        <v>3615</v>
      </c>
      <c r="C1725" s="221" t="s">
        <v>3614</v>
      </c>
    </row>
    <row r="1726" spans="1:3" x14ac:dyDescent="0.25">
      <c r="A1726" s="222">
        <v>220185</v>
      </c>
      <c r="B1726" s="223" t="s">
        <v>3618</v>
      </c>
      <c r="C1726" s="221" t="s">
        <v>3619</v>
      </c>
    </row>
    <row r="1727" spans="1:3" x14ac:dyDescent="0.25">
      <c r="A1727" s="222">
        <v>220185</v>
      </c>
      <c r="B1727" s="223" t="s">
        <v>3618</v>
      </c>
      <c r="C1727" s="221" t="s">
        <v>3617</v>
      </c>
    </row>
    <row r="1728" spans="1:3" x14ac:dyDescent="0.25">
      <c r="A1728" s="222">
        <v>220186</v>
      </c>
      <c r="B1728" s="223" t="s">
        <v>3621</v>
      </c>
      <c r="C1728" s="221" t="s">
        <v>3622</v>
      </c>
    </row>
    <row r="1729" spans="1:3" x14ac:dyDescent="0.25">
      <c r="A1729" s="222">
        <v>220186</v>
      </c>
      <c r="B1729" s="223" t="s">
        <v>3621</v>
      </c>
      <c r="C1729" s="221" t="s">
        <v>3620</v>
      </c>
    </row>
    <row r="1730" spans="1:3" x14ac:dyDescent="0.25">
      <c r="A1730" s="222">
        <v>220187</v>
      </c>
      <c r="B1730" s="223" t="s">
        <v>3624</v>
      </c>
      <c r="C1730" s="221" t="s">
        <v>3625</v>
      </c>
    </row>
    <row r="1731" spans="1:3" x14ac:dyDescent="0.25">
      <c r="A1731" s="222">
        <v>220187</v>
      </c>
      <c r="B1731" s="223" t="s">
        <v>3624</v>
      </c>
      <c r="C1731" s="221" t="s">
        <v>3623</v>
      </c>
    </row>
    <row r="1732" spans="1:3" x14ac:dyDescent="0.25">
      <c r="A1732" s="222">
        <v>220188</v>
      </c>
      <c r="B1732" s="223" t="s">
        <v>3627</v>
      </c>
      <c r="C1732" s="221" t="s">
        <v>3628</v>
      </c>
    </row>
    <row r="1733" spans="1:3" x14ac:dyDescent="0.25">
      <c r="A1733" s="222">
        <v>220188</v>
      </c>
      <c r="B1733" s="223" t="s">
        <v>3627</v>
      </c>
      <c r="C1733" s="221" t="s">
        <v>3626</v>
      </c>
    </row>
    <row r="1734" spans="1:3" x14ac:dyDescent="0.25">
      <c r="A1734" s="222">
        <v>220189</v>
      </c>
      <c r="B1734" s="223" t="s">
        <v>3630</v>
      </c>
      <c r="C1734" s="221" t="s">
        <v>3631</v>
      </c>
    </row>
    <row r="1735" spans="1:3" x14ac:dyDescent="0.25">
      <c r="A1735" s="222">
        <v>220189</v>
      </c>
      <c r="B1735" s="223" t="s">
        <v>3630</v>
      </c>
      <c r="C1735" s="221" t="s">
        <v>3629</v>
      </c>
    </row>
    <row r="1736" spans="1:3" x14ac:dyDescent="0.25">
      <c r="A1736" s="222">
        <v>220190</v>
      </c>
      <c r="B1736" s="223" t="s">
        <v>3633</v>
      </c>
      <c r="C1736" s="221" t="s">
        <v>3634</v>
      </c>
    </row>
    <row r="1737" spans="1:3" x14ac:dyDescent="0.25">
      <c r="A1737" s="222">
        <v>220190</v>
      </c>
      <c r="B1737" s="223" t="s">
        <v>3633</v>
      </c>
      <c r="C1737" s="221" t="s">
        <v>3632</v>
      </c>
    </row>
    <row r="1738" spans="1:3" x14ac:dyDescent="0.25">
      <c r="A1738" s="222">
        <v>220191</v>
      </c>
      <c r="B1738" s="223" t="s">
        <v>3636</v>
      </c>
      <c r="C1738" s="221" t="s">
        <v>3637</v>
      </c>
    </row>
    <row r="1739" spans="1:3" x14ac:dyDescent="0.25">
      <c r="A1739" s="222">
        <v>220191</v>
      </c>
      <c r="B1739" s="223" t="s">
        <v>3636</v>
      </c>
      <c r="C1739" s="221" t="s">
        <v>3635</v>
      </c>
    </row>
    <row r="1740" spans="1:3" x14ac:dyDescent="0.25">
      <c r="A1740" s="222">
        <v>220192</v>
      </c>
      <c r="B1740" s="223" t="s">
        <v>3639</v>
      </c>
      <c r="C1740" s="221" t="s">
        <v>3640</v>
      </c>
    </row>
    <row r="1741" spans="1:3" x14ac:dyDescent="0.25">
      <c r="A1741" s="222">
        <v>220192</v>
      </c>
      <c r="B1741" s="223" t="s">
        <v>3639</v>
      </c>
      <c r="C1741" s="221" t="s">
        <v>3638</v>
      </c>
    </row>
    <row r="1742" spans="1:3" x14ac:dyDescent="0.25">
      <c r="A1742" s="222">
        <v>220193</v>
      </c>
      <c r="B1742" s="223" t="s">
        <v>3642</v>
      </c>
      <c r="C1742" s="221" t="s">
        <v>3643</v>
      </c>
    </row>
    <row r="1743" spans="1:3" x14ac:dyDescent="0.25">
      <c r="A1743" s="222">
        <v>220193</v>
      </c>
      <c r="B1743" s="223" t="s">
        <v>3642</v>
      </c>
      <c r="C1743" s="221" t="s">
        <v>3641</v>
      </c>
    </row>
    <row r="1744" spans="1:3" x14ac:dyDescent="0.25">
      <c r="A1744" s="222">
        <v>220194</v>
      </c>
      <c r="B1744" s="223" t="s">
        <v>3645</v>
      </c>
      <c r="C1744" s="221" t="s">
        <v>3646</v>
      </c>
    </row>
    <row r="1745" spans="1:3" x14ac:dyDescent="0.25">
      <c r="A1745" s="222">
        <v>220194</v>
      </c>
      <c r="B1745" s="223" t="s">
        <v>3645</v>
      </c>
      <c r="C1745" s="221" t="s">
        <v>3644</v>
      </c>
    </row>
    <row r="1746" spans="1:3" x14ac:dyDescent="0.25">
      <c r="A1746" s="222">
        <v>220195</v>
      </c>
      <c r="B1746" s="223" t="s">
        <v>3648</v>
      </c>
      <c r="C1746" s="221" t="s">
        <v>3649</v>
      </c>
    </row>
    <row r="1747" spans="1:3" x14ac:dyDescent="0.25">
      <c r="A1747" s="222">
        <v>220195</v>
      </c>
      <c r="B1747" s="223" t="s">
        <v>3648</v>
      </c>
      <c r="C1747" s="221" t="s">
        <v>3647</v>
      </c>
    </row>
    <row r="1748" spans="1:3" x14ac:dyDescent="0.25">
      <c r="A1748" s="222">
        <v>220196</v>
      </c>
      <c r="B1748" s="223" t="s">
        <v>3651</v>
      </c>
      <c r="C1748" s="221" t="s">
        <v>3652</v>
      </c>
    </row>
    <row r="1749" spans="1:3" x14ac:dyDescent="0.25">
      <c r="A1749" s="222">
        <v>220196</v>
      </c>
      <c r="B1749" s="223" t="s">
        <v>3651</v>
      </c>
      <c r="C1749" s="221" t="s">
        <v>3650</v>
      </c>
    </row>
    <row r="1750" spans="1:3" x14ac:dyDescent="0.25">
      <c r="A1750" s="222">
        <v>220197</v>
      </c>
      <c r="B1750" s="223" t="s">
        <v>3654</v>
      </c>
      <c r="C1750" s="221" t="s">
        <v>3655</v>
      </c>
    </row>
    <row r="1751" spans="1:3" x14ac:dyDescent="0.25">
      <c r="A1751" s="222">
        <v>220197</v>
      </c>
      <c r="B1751" s="223" t="s">
        <v>3654</v>
      </c>
      <c r="C1751" s="221" t="s">
        <v>3653</v>
      </c>
    </row>
    <row r="1752" spans="1:3" x14ac:dyDescent="0.25">
      <c r="A1752" s="222">
        <v>220198</v>
      </c>
      <c r="B1752" s="223" t="s">
        <v>3657</v>
      </c>
      <c r="C1752" s="221" t="s">
        <v>3658</v>
      </c>
    </row>
    <row r="1753" spans="1:3" x14ac:dyDescent="0.25">
      <c r="A1753" s="222">
        <v>220198</v>
      </c>
      <c r="B1753" s="223" t="s">
        <v>3657</v>
      </c>
      <c r="C1753" s="221" t="s">
        <v>3656</v>
      </c>
    </row>
    <row r="1754" spans="1:3" x14ac:dyDescent="0.25">
      <c r="A1754" s="222">
        <v>220199</v>
      </c>
      <c r="B1754" s="223" t="s">
        <v>3660</v>
      </c>
      <c r="C1754" s="221" t="s">
        <v>3661</v>
      </c>
    </row>
    <row r="1755" spans="1:3" x14ac:dyDescent="0.25">
      <c r="A1755" s="222">
        <v>220199</v>
      </c>
      <c r="B1755" s="223" t="s">
        <v>3660</v>
      </c>
      <c r="C1755" s="221" t="s">
        <v>3659</v>
      </c>
    </row>
    <row r="1756" spans="1:3" x14ac:dyDescent="0.25">
      <c r="A1756" s="222">
        <v>220200</v>
      </c>
      <c r="B1756" s="223" t="s">
        <v>3663</v>
      </c>
      <c r="C1756" s="221" t="s">
        <v>3664</v>
      </c>
    </row>
    <row r="1757" spans="1:3" x14ac:dyDescent="0.25">
      <c r="A1757" s="222">
        <v>220200</v>
      </c>
      <c r="B1757" s="223" t="s">
        <v>3663</v>
      </c>
      <c r="C1757" s="221" t="s">
        <v>3662</v>
      </c>
    </row>
    <row r="1758" spans="1:3" x14ac:dyDescent="0.25">
      <c r="A1758" s="222">
        <v>220201</v>
      </c>
      <c r="B1758" s="223" t="s">
        <v>3666</v>
      </c>
      <c r="C1758" s="221" t="s">
        <v>3667</v>
      </c>
    </row>
    <row r="1759" spans="1:3" x14ac:dyDescent="0.25">
      <c r="A1759" s="222">
        <v>220201</v>
      </c>
      <c r="B1759" s="223" t="s">
        <v>3666</v>
      </c>
      <c r="C1759" s="221" t="s">
        <v>3665</v>
      </c>
    </row>
    <row r="1760" spans="1:3" x14ac:dyDescent="0.25">
      <c r="A1760" s="222">
        <v>220202</v>
      </c>
      <c r="B1760" s="223" t="s">
        <v>3669</v>
      </c>
      <c r="C1760" s="221" t="s">
        <v>3670</v>
      </c>
    </row>
    <row r="1761" spans="1:3" x14ac:dyDescent="0.25">
      <c r="A1761" s="222">
        <v>220202</v>
      </c>
      <c r="B1761" s="223" t="s">
        <v>3669</v>
      </c>
      <c r="C1761" s="221" t="s">
        <v>3668</v>
      </c>
    </row>
    <row r="1762" spans="1:3" x14ac:dyDescent="0.25">
      <c r="A1762" s="222">
        <v>220203</v>
      </c>
      <c r="B1762" s="223" t="s">
        <v>3672</v>
      </c>
      <c r="C1762" s="221" t="s">
        <v>3673</v>
      </c>
    </row>
    <row r="1763" spans="1:3" x14ac:dyDescent="0.25">
      <c r="A1763" s="222">
        <v>220203</v>
      </c>
      <c r="B1763" s="223" t="s">
        <v>3672</v>
      </c>
      <c r="C1763" s="221" t="s">
        <v>3671</v>
      </c>
    </row>
    <row r="1764" spans="1:3" x14ac:dyDescent="0.25">
      <c r="A1764" s="222">
        <v>220204</v>
      </c>
      <c r="B1764" s="223" t="s">
        <v>3675</v>
      </c>
      <c r="C1764" s="221" t="s">
        <v>3676</v>
      </c>
    </row>
    <row r="1765" spans="1:3" x14ac:dyDescent="0.25">
      <c r="A1765" s="222">
        <v>220204</v>
      </c>
      <c r="B1765" s="223" t="s">
        <v>3675</v>
      </c>
      <c r="C1765" s="221" t="s">
        <v>3674</v>
      </c>
    </row>
    <row r="1766" spans="1:3" x14ac:dyDescent="0.25">
      <c r="A1766" s="222">
        <v>220205</v>
      </c>
      <c r="B1766" s="223" t="s">
        <v>3678</v>
      </c>
      <c r="C1766" s="221" t="s">
        <v>3679</v>
      </c>
    </row>
    <row r="1767" spans="1:3" x14ac:dyDescent="0.25">
      <c r="A1767" s="222">
        <v>220205</v>
      </c>
      <c r="B1767" s="223" t="s">
        <v>3678</v>
      </c>
      <c r="C1767" s="221" t="s">
        <v>3677</v>
      </c>
    </row>
    <row r="1768" spans="1:3" x14ac:dyDescent="0.25">
      <c r="A1768" s="222">
        <v>220206</v>
      </c>
      <c r="B1768" s="223" t="s">
        <v>3681</v>
      </c>
      <c r="C1768" s="221" t="s">
        <v>3682</v>
      </c>
    </row>
    <row r="1769" spans="1:3" x14ac:dyDescent="0.25">
      <c r="A1769" s="222">
        <v>220206</v>
      </c>
      <c r="B1769" s="223" t="s">
        <v>3681</v>
      </c>
      <c r="C1769" s="221" t="s">
        <v>3680</v>
      </c>
    </row>
    <row r="1770" spans="1:3" x14ac:dyDescent="0.25">
      <c r="A1770" s="222">
        <v>220207</v>
      </c>
      <c r="B1770" s="223" t="s">
        <v>3684</v>
      </c>
      <c r="C1770" s="221" t="s">
        <v>3685</v>
      </c>
    </row>
    <row r="1771" spans="1:3" x14ac:dyDescent="0.25">
      <c r="A1771" s="222">
        <v>220207</v>
      </c>
      <c r="B1771" s="223" t="s">
        <v>3684</v>
      </c>
      <c r="C1771" s="221" t="s">
        <v>3683</v>
      </c>
    </row>
    <row r="1772" spans="1:3" x14ac:dyDescent="0.25">
      <c r="A1772" s="222">
        <v>220208</v>
      </c>
      <c r="B1772" s="223" t="s">
        <v>3687</v>
      </c>
      <c r="C1772" s="221" t="s">
        <v>3688</v>
      </c>
    </row>
    <row r="1773" spans="1:3" x14ac:dyDescent="0.25">
      <c r="A1773" s="222">
        <v>220208</v>
      </c>
      <c r="B1773" s="223" t="s">
        <v>3687</v>
      </c>
      <c r="C1773" s="221" t="s">
        <v>3686</v>
      </c>
    </row>
    <row r="1774" spans="1:3" x14ac:dyDescent="0.25">
      <c r="A1774" s="222">
        <v>220209</v>
      </c>
      <c r="B1774" s="223" t="s">
        <v>3690</v>
      </c>
      <c r="C1774" s="221" t="s">
        <v>3691</v>
      </c>
    </row>
    <row r="1775" spans="1:3" x14ac:dyDescent="0.25">
      <c r="A1775" s="222">
        <v>220209</v>
      </c>
      <c r="B1775" s="223" t="s">
        <v>3690</v>
      </c>
      <c r="C1775" s="221" t="s">
        <v>3689</v>
      </c>
    </row>
    <row r="1776" spans="1:3" x14ac:dyDescent="0.25">
      <c r="A1776" s="222">
        <v>220210</v>
      </c>
      <c r="B1776" s="223" t="s">
        <v>3693</v>
      </c>
      <c r="C1776" s="221" t="s">
        <v>3694</v>
      </c>
    </row>
    <row r="1777" spans="1:3" x14ac:dyDescent="0.25">
      <c r="A1777" s="222">
        <v>220210</v>
      </c>
      <c r="B1777" s="223" t="s">
        <v>3693</v>
      </c>
      <c r="C1777" s="221" t="s">
        <v>3692</v>
      </c>
    </row>
    <row r="1778" spans="1:3" x14ac:dyDescent="0.25">
      <c r="A1778" s="222">
        <v>220211</v>
      </c>
      <c r="B1778" s="223" t="s">
        <v>3696</v>
      </c>
      <c r="C1778" s="221" t="s">
        <v>3697</v>
      </c>
    </row>
    <row r="1779" spans="1:3" x14ac:dyDescent="0.25">
      <c r="A1779" s="222">
        <v>220211</v>
      </c>
      <c r="B1779" s="223" t="s">
        <v>3696</v>
      </c>
      <c r="C1779" s="221" t="s">
        <v>3695</v>
      </c>
    </row>
    <row r="1780" spans="1:3" x14ac:dyDescent="0.25">
      <c r="A1780" s="222">
        <v>220212</v>
      </c>
      <c r="B1780" s="223" t="s">
        <v>3699</v>
      </c>
      <c r="C1780" s="221" t="s">
        <v>3700</v>
      </c>
    </row>
    <row r="1781" spans="1:3" x14ac:dyDescent="0.25">
      <c r="A1781" s="222">
        <v>220212</v>
      </c>
      <c r="B1781" s="223" t="s">
        <v>3699</v>
      </c>
      <c r="C1781" s="221" t="s">
        <v>3698</v>
      </c>
    </row>
    <row r="1782" spans="1:3" x14ac:dyDescent="0.25">
      <c r="A1782" s="222">
        <v>220213</v>
      </c>
      <c r="B1782" s="223" t="s">
        <v>3702</v>
      </c>
      <c r="C1782" s="221" t="s">
        <v>3703</v>
      </c>
    </row>
    <row r="1783" spans="1:3" x14ac:dyDescent="0.25">
      <c r="A1783" s="222">
        <v>220213</v>
      </c>
      <c r="B1783" s="223" t="s">
        <v>3702</v>
      </c>
      <c r="C1783" s="221" t="s">
        <v>3701</v>
      </c>
    </row>
    <row r="1784" spans="1:3" x14ac:dyDescent="0.25">
      <c r="A1784" s="222">
        <v>220214</v>
      </c>
      <c r="B1784" s="223" t="s">
        <v>3705</v>
      </c>
      <c r="C1784" s="221" t="s">
        <v>3706</v>
      </c>
    </row>
    <row r="1785" spans="1:3" x14ac:dyDescent="0.25">
      <c r="A1785" s="222">
        <v>220214</v>
      </c>
      <c r="B1785" s="223" t="s">
        <v>3705</v>
      </c>
      <c r="C1785" s="221" t="s">
        <v>3704</v>
      </c>
    </row>
    <row r="1786" spans="1:3" x14ac:dyDescent="0.25">
      <c r="A1786" s="222">
        <v>220215</v>
      </c>
      <c r="B1786" s="223" t="s">
        <v>3708</v>
      </c>
      <c r="C1786" s="221" t="s">
        <v>3709</v>
      </c>
    </row>
    <row r="1787" spans="1:3" x14ac:dyDescent="0.25">
      <c r="A1787" s="222">
        <v>220215</v>
      </c>
      <c r="B1787" s="223" t="s">
        <v>3708</v>
      </c>
      <c r="C1787" s="221" t="s">
        <v>3707</v>
      </c>
    </row>
    <row r="1788" spans="1:3" x14ac:dyDescent="0.25">
      <c r="A1788" s="222">
        <v>220216</v>
      </c>
      <c r="B1788" s="223" t="s">
        <v>3711</v>
      </c>
      <c r="C1788" s="221" t="s">
        <v>3712</v>
      </c>
    </row>
    <row r="1789" spans="1:3" x14ac:dyDescent="0.25">
      <c r="A1789" s="222">
        <v>220216</v>
      </c>
      <c r="B1789" s="223" t="s">
        <v>3711</v>
      </c>
      <c r="C1789" s="221" t="s">
        <v>3710</v>
      </c>
    </row>
    <row r="1790" spans="1:3" x14ac:dyDescent="0.25">
      <c r="A1790" s="222">
        <v>220217</v>
      </c>
      <c r="B1790" s="223" t="s">
        <v>3714</v>
      </c>
      <c r="C1790" s="221" t="s">
        <v>3715</v>
      </c>
    </row>
    <row r="1791" spans="1:3" x14ac:dyDescent="0.25">
      <c r="A1791" s="222">
        <v>220217</v>
      </c>
      <c r="B1791" s="223" t="s">
        <v>3714</v>
      </c>
      <c r="C1791" s="221" t="s">
        <v>3713</v>
      </c>
    </row>
    <row r="1792" spans="1:3" x14ac:dyDescent="0.25">
      <c r="A1792" s="222">
        <v>220218</v>
      </c>
      <c r="B1792" s="223" t="s">
        <v>3717</v>
      </c>
      <c r="C1792" s="221" t="s">
        <v>3718</v>
      </c>
    </row>
    <row r="1793" spans="1:3" x14ac:dyDescent="0.25">
      <c r="A1793" s="222">
        <v>220218</v>
      </c>
      <c r="B1793" s="223" t="s">
        <v>3717</v>
      </c>
      <c r="C1793" s="221" t="s">
        <v>3716</v>
      </c>
    </row>
    <row r="1794" spans="1:3" x14ac:dyDescent="0.25">
      <c r="A1794" s="222">
        <v>220219</v>
      </c>
      <c r="B1794" s="223" t="s">
        <v>3720</v>
      </c>
      <c r="C1794" s="221" t="s">
        <v>3721</v>
      </c>
    </row>
    <row r="1795" spans="1:3" x14ac:dyDescent="0.25">
      <c r="A1795" s="222">
        <v>220219</v>
      </c>
      <c r="B1795" s="223" t="s">
        <v>3720</v>
      </c>
      <c r="C1795" s="221" t="s">
        <v>3719</v>
      </c>
    </row>
    <row r="1796" spans="1:3" x14ac:dyDescent="0.25">
      <c r="A1796" s="222">
        <v>220220</v>
      </c>
      <c r="B1796" s="223" t="s">
        <v>3723</v>
      </c>
      <c r="C1796" s="221" t="s">
        <v>3724</v>
      </c>
    </row>
    <row r="1797" spans="1:3" x14ac:dyDescent="0.25">
      <c r="A1797" s="222">
        <v>220220</v>
      </c>
      <c r="B1797" s="223" t="s">
        <v>3723</v>
      </c>
      <c r="C1797" s="221" t="s">
        <v>3722</v>
      </c>
    </row>
    <row r="1798" spans="1:3" x14ac:dyDescent="0.25">
      <c r="A1798" s="222">
        <v>220221</v>
      </c>
      <c r="B1798" s="223" t="s">
        <v>3726</v>
      </c>
      <c r="C1798" s="221" t="s">
        <v>3727</v>
      </c>
    </row>
    <row r="1799" spans="1:3" x14ac:dyDescent="0.25">
      <c r="A1799" s="222">
        <v>220221</v>
      </c>
      <c r="B1799" s="223" t="s">
        <v>3726</v>
      </c>
      <c r="C1799" s="221" t="s">
        <v>3725</v>
      </c>
    </row>
    <row r="1800" spans="1:3" x14ac:dyDescent="0.25">
      <c r="A1800" s="222">
        <v>220222</v>
      </c>
      <c r="B1800" s="223" t="s">
        <v>3729</v>
      </c>
      <c r="C1800" s="221" t="s">
        <v>3730</v>
      </c>
    </row>
    <row r="1801" spans="1:3" x14ac:dyDescent="0.25">
      <c r="A1801" s="222">
        <v>220222</v>
      </c>
      <c r="B1801" s="223" t="s">
        <v>3729</v>
      </c>
      <c r="C1801" s="221" t="s">
        <v>3728</v>
      </c>
    </row>
    <row r="1802" spans="1:3" x14ac:dyDescent="0.25">
      <c r="A1802" s="222">
        <v>220223</v>
      </c>
      <c r="B1802" s="223" t="s">
        <v>3732</v>
      </c>
      <c r="C1802" s="221" t="s">
        <v>3733</v>
      </c>
    </row>
    <row r="1803" spans="1:3" x14ac:dyDescent="0.25">
      <c r="A1803" s="222">
        <v>220223</v>
      </c>
      <c r="B1803" s="223" t="s">
        <v>3732</v>
      </c>
      <c r="C1803" s="221" t="s">
        <v>3731</v>
      </c>
    </row>
    <row r="1804" spans="1:3" x14ac:dyDescent="0.25">
      <c r="A1804" s="222">
        <v>220224</v>
      </c>
      <c r="B1804" s="223" t="s">
        <v>3735</v>
      </c>
      <c r="C1804" s="221" t="s">
        <v>3736</v>
      </c>
    </row>
    <row r="1805" spans="1:3" x14ac:dyDescent="0.25">
      <c r="A1805" s="222">
        <v>220224</v>
      </c>
      <c r="B1805" s="223" t="s">
        <v>3735</v>
      </c>
      <c r="C1805" s="221" t="s">
        <v>3734</v>
      </c>
    </row>
    <row r="1806" spans="1:3" x14ac:dyDescent="0.25">
      <c r="A1806" s="222">
        <v>220225</v>
      </c>
      <c r="B1806" s="223" t="s">
        <v>3738</v>
      </c>
      <c r="C1806" s="221" t="s">
        <v>3739</v>
      </c>
    </row>
    <row r="1807" spans="1:3" x14ac:dyDescent="0.25">
      <c r="A1807" s="222">
        <v>220225</v>
      </c>
      <c r="B1807" s="223" t="s">
        <v>3738</v>
      </c>
      <c r="C1807" s="221" t="s">
        <v>3737</v>
      </c>
    </row>
    <row r="1808" spans="1:3" x14ac:dyDescent="0.25">
      <c r="A1808" s="222">
        <v>220226</v>
      </c>
      <c r="B1808" s="223" t="s">
        <v>3741</v>
      </c>
      <c r="C1808" s="221" t="s">
        <v>3742</v>
      </c>
    </row>
    <row r="1809" spans="1:3" x14ac:dyDescent="0.25">
      <c r="A1809" s="222">
        <v>220226</v>
      </c>
      <c r="B1809" s="223" t="s">
        <v>3741</v>
      </c>
      <c r="C1809" s="221" t="s">
        <v>3740</v>
      </c>
    </row>
    <row r="1810" spans="1:3" x14ac:dyDescent="0.25">
      <c r="A1810" s="222">
        <v>220227</v>
      </c>
      <c r="B1810" s="223" t="s">
        <v>3744</v>
      </c>
      <c r="C1810" s="221" t="s">
        <v>3745</v>
      </c>
    </row>
    <row r="1811" spans="1:3" x14ac:dyDescent="0.25">
      <c r="A1811" s="222">
        <v>220227</v>
      </c>
      <c r="B1811" s="223" t="s">
        <v>3744</v>
      </c>
      <c r="C1811" s="221" t="s">
        <v>3743</v>
      </c>
    </row>
    <row r="1812" spans="1:3" x14ac:dyDescent="0.25">
      <c r="A1812" s="222">
        <v>220228</v>
      </c>
      <c r="B1812" s="223" t="s">
        <v>3747</v>
      </c>
      <c r="C1812" s="221" t="s">
        <v>3748</v>
      </c>
    </row>
    <row r="1813" spans="1:3" x14ac:dyDescent="0.25">
      <c r="A1813" s="222">
        <v>220228</v>
      </c>
      <c r="B1813" s="223" t="s">
        <v>3747</v>
      </c>
      <c r="C1813" s="221" t="s">
        <v>3746</v>
      </c>
    </row>
    <row r="1814" spans="1:3" x14ac:dyDescent="0.25">
      <c r="A1814" s="222">
        <v>220229</v>
      </c>
      <c r="B1814" s="223" t="s">
        <v>3750</v>
      </c>
      <c r="C1814" s="221" t="s">
        <v>3751</v>
      </c>
    </row>
    <row r="1815" spans="1:3" x14ac:dyDescent="0.25">
      <c r="A1815" s="222">
        <v>220229</v>
      </c>
      <c r="B1815" s="223" t="s">
        <v>3750</v>
      </c>
      <c r="C1815" s="221" t="s">
        <v>3749</v>
      </c>
    </row>
    <row r="1816" spans="1:3" x14ac:dyDescent="0.25">
      <c r="A1816" s="222">
        <v>220230</v>
      </c>
      <c r="B1816" s="223" t="s">
        <v>3753</v>
      </c>
      <c r="C1816" s="221" t="s">
        <v>3754</v>
      </c>
    </row>
    <row r="1817" spans="1:3" x14ac:dyDescent="0.25">
      <c r="A1817" s="222">
        <v>220230</v>
      </c>
      <c r="B1817" s="223" t="s">
        <v>3753</v>
      </c>
      <c r="C1817" s="221" t="s">
        <v>3752</v>
      </c>
    </row>
    <row r="1818" spans="1:3" x14ac:dyDescent="0.25">
      <c r="A1818" s="222">
        <v>220231</v>
      </c>
      <c r="B1818" s="223" t="s">
        <v>3756</v>
      </c>
      <c r="C1818" s="221" t="s">
        <v>3757</v>
      </c>
    </row>
    <row r="1819" spans="1:3" x14ac:dyDescent="0.25">
      <c r="A1819" s="222">
        <v>220231</v>
      </c>
      <c r="B1819" s="223" t="s">
        <v>3756</v>
      </c>
      <c r="C1819" s="221" t="s">
        <v>3755</v>
      </c>
    </row>
    <row r="1820" spans="1:3" x14ac:dyDescent="0.25">
      <c r="A1820" s="222">
        <v>220232</v>
      </c>
      <c r="B1820" s="223" t="s">
        <v>3759</v>
      </c>
      <c r="C1820" s="221" t="s">
        <v>3760</v>
      </c>
    </row>
    <row r="1821" spans="1:3" x14ac:dyDescent="0.25">
      <c r="A1821" s="222">
        <v>220232</v>
      </c>
      <c r="B1821" s="223" t="s">
        <v>3759</v>
      </c>
      <c r="C1821" s="221" t="s">
        <v>3758</v>
      </c>
    </row>
    <row r="1822" spans="1:3" x14ac:dyDescent="0.25">
      <c r="A1822" s="222">
        <v>220233</v>
      </c>
      <c r="B1822" s="223" t="s">
        <v>3762</v>
      </c>
      <c r="C1822" s="221" t="s">
        <v>3763</v>
      </c>
    </row>
    <row r="1823" spans="1:3" x14ac:dyDescent="0.25">
      <c r="A1823" s="222">
        <v>220233</v>
      </c>
      <c r="B1823" s="223" t="s">
        <v>3762</v>
      </c>
      <c r="C1823" s="221" t="s">
        <v>3761</v>
      </c>
    </row>
    <row r="1824" spans="1:3" x14ac:dyDescent="0.25">
      <c r="A1824" s="222">
        <v>220234</v>
      </c>
      <c r="B1824" s="223" t="s">
        <v>3765</v>
      </c>
      <c r="C1824" s="221" t="s">
        <v>3766</v>
      </c>
    </row>
    <row r="1825" spans="1:3" x14ac:dyDescent="0.25">
      <c r="A1825" s="222">
        <v>220234</v>
      </c>
      <c r="B1825" s="223" t="s">
        <v>3765</v>
      </c>
      <c r="C1825" s="221" t="s">
        <v>3764</v>
      </c>
    </row>
    <row r="1826" spans="1:3" x14ac:dyDescent="0.25">
      <c r="A1826" s="222">
        <v>220235</v>
      </c>
      <c r="B1826" s="223" t="s">
        <v>3768</v>
      </c>
      <c r="C1826" s="221" t="s">
        <v>3769</v>
      </c>
    </row>
    <row r="1827" spans="1:3" x14ac:dyDescent="0.25">
      <c r="A1827" s="222">
        <v>220235</v>
      </c>
      <c r="B1827" s="223" t="s">
        <v>3768</v>
      </c>
      <c r="C1827" s="221" t="s">
        <v>3767</v>
      </c>
    </row>
    <row r="1828" spans="1:3" x14ac:dyDescent="0.25">
      <c r="A1828" s="222">
        <v>220236</v>
      </c>
      <c r="B1828" s="223" t="s">
        <v>3771</v>
      </c>
      <c r="C1828" s="221" t="s">
        <v>3772</v>
      </c>
    </row>
    <row r="1829" spans="1:3" x14ac:dyDescent="0.25">
      <c r="A1829" s="222">
        <v>220236</v>
      </c>
      <c r="B1829" s="223" t="s">
        <v>3771</v>
      </c>
      <c r="C1829" s="221" t="s">
        <v>3770</v>
      </c>
    </row>
    <row r="1830" spans="1:3" x14ac:dyDescent="0.25">
      <c r="A1830" s="222">
        <v>220237</v>
      </c>
      <c r="B1830" s="223" t="s">
        <v>3774</v>
      </c>
      <c r="C1830" s="221" t="s">
        <v>3775</v>
      </c>
    </row>
    <row r="1831" spans="1:3" x14ac:dyDescent="0.25">
      <c r="A1831" s="222">
        <v>220237</v>
      </c>
      <c r="B1831" s="223" t="s">
        <v>3774</v>
      </c>
      <c r="C1831" s="221" t="s">
        <v>3773</v>
      </c>
    </row>
    <row r="1832" spans="1:3" x14ac:dyDescent="0.25">
      <c r="A1832" s="222">
        <v>220238</v>
      </c>
      <c r="B1832" s="223" t="s">
        <v>3777</v>
      </c>
      <c r="C1832" s="221" t="s">
        <v>3778</v>
      </c>
    </row>
    <row r="1833" spans="1:3" x14ac:dyDescent="0.25">
      <c r="A1833" s="222">
        <v>220238</v>
      </c>
      <c r="B1833" s="223" t="s">
        <v>3777</v>
      </c>
      <c r="C1833" s="221" t="s">
        <v>3776</v>
      </c>
    </row>
    <row r="1834" spans="1:3" x14ac:dyDescent="0.25">
      <c r="A1834" s="222">
        <v>220239</v>
      </c>
      <c r="B1834" s="223" t="s">
        <v>3780</v>
      </c>
      <c r="C1834" s="221" t="s">
        <v>3781</v>
      </c>
    </row>
    <row r="1835" spans="1:3" x14ac:dyDescent="0.25">
      <c r="A1835" s="222">
        <v>220239</v>
      </c>
      <c r="B1835" s="223" t="s">
        <v>3780</v>
      </c>
      <c r="C1835" s="221" t="s">
        <v>3779</v>
      </c>
    </row>
    <row r="1836" spans="1:3" x14ac:dyDescent="0.25">
      <c r="A1836" s="222">
        <v>220240</v>
      </c>
      <c r="B1836" s="223" t="s">
        <v>3783</v>
      </c>
      <c r="C1836" s="221" t="s">
        <v>3784</v>
      </c>
    </row>
    <row r="1837" spans="1:3" x14ac:dyDescent="0.25">
      <c r="A1837" s="222">
        <v>220240</v>
      </c>
      <c r="B1837" s="223" t="s">
        <v>3783</v>
      </c>
      <c r="C1837" s="221" t="s">
        <v>3782</v>
      </c>
    </row>
    <row r="1838" spans="1:3" x14ac:dyDescent="0.25">
      <c r="A1838" s="222">
        <v>220241</v>
      </c>
      <c r="B1838" s="223" t="s">
        <v>3786</v>
      </c>
      <c r="C1838" s="221" t="s">
        <v>3787</v>
      </c>
    </row>
    <row r="1839" spans="1:3" x14ac:dyDescent="0.25">
      <c r="A1839" s="222">
        <v>220241</v>
      </c>
      <c r="B1839" s="223" t="s">
        <v>3786</v>
      </c>
      <c r="C1839" s="221" t="s">
        <v>3785</v>
      </c>
    </row>
    <row r="1840" spans="1:3" x14ac:dyDescent="0.25">
      <c r="A1840" s="222">
        <v>220242</v>
      </c>
      <c r="B1840" s="223" t="s">
        <v>3789</v>
      </c>
      <c r="C1840" s="221" t="s">
        <v>3790</v>
      </c>
    </row>
    <row r="1841" spans="1:3" x14ac:dyDescent="0.25">
      <c r="A1841" s="222">
        <v>220242</v>
      </c>
      <c r="B1841" s="223" t="s">
        <v>3789</v>
      </c>
      <c r="C1841" s="221" t="s">
        <v>3788</v>
      </c>
    </row>
    <row r="1842" spans="1:3" x14ac:dyDescent="0.25">
      <c r="A1842" s="222">
        <v>220243</v>
      </c>
      <c r="B1842" s="223" t="s">
        <v>3792</v>
      </c>
      <c r="C1842" s="221" t="s">
        <v>3793</v>
      </c>
    </row>
    <row r="1843" spans="1:3" x14ac:dyDescent="0.25">
      <c r="A1843" s="222">
        <v>220243</v>
      </c>
      <c r="B1843" s="223" t="s">
        <v>3792</v>
      </c>
      <c r="C1843" s="221" t="s">
        <v>3791</v>
      </c>
    </row>
    <row r="1844" spans="1:3" x14ac:dyDescent="0.25">
      <c r="A1844" s="222">
        <v>220244</v>
      </c>
      <c r="B1844" s="223" t="s">
        <v>3795</v>
      </c>
      <c r="C1844" s="221" t="s">
        <v>3796</v>
      </c>
    </row>
    <row r="1845" spans="1:3" x14ac:dyDescent="0.25">
      <c r="A1845" s="222">
        <v>220244</v>
      </c>
      <c r="B1845" s="223" t="s">
        <v>3795</v>
      </c>
      <c r="C1845" s="221" t="s">
        <v>3794</v>
      </c>
    </row>
    <row r="1846" spans="1:3" x14ac:dyDescent="0.25">
      <c r="A1846" s="222">
        <v>220245</v>
      </c>
      <c r="B1846" s="223" t="s">
        <v>3798</v>
      </c>
      <c r="C1846" s="221" t="s">
        <v>3799</v>
      </c>
    </row>
    <row r="1847" spans="1:3" x14ac:dyDescent="0.25">
      <c r="A1847" s="222">
        <v>220245</v>
      </c>
      <c r="B1847" s="223" t="s">
        <v>3798</v>
      </c>
      <c r="C1847" s="221" t="s">
        <v>3797</v>
      </c>
    </row>
    <row r="1848" spans="1:3" x14ac:dyDescent="0.25">
      <c r="A1848" s="222">
        <v>220246</v>
      </c>
      <c r="B1848" s="223" t="s">
        <v>3801</v>
      </c>
      <c r="C1848" s="221" t="s">
        <v>3802</v>
      </c>
    </row>
    <row r="1849" spans="1:3" x14ac:dyDescent="0.25">
      <c r="A1849" s="222">
        <v>220246</v>
      </c>
      <c r="B1849" s="223" t="s">
        <v>3801</v>
      </c>
      <c r="C1849" s="221" t="s">
        <v>3800</v>
      </c>
    </row>
    <row r="1850" spans="1:3" x14ac:dyDescent="0.25">
      <c r="A1850" s="222">
        <v>220247</v>
      </c>
      <c r="B1850" s="223" t="s">
        <v>3804</v>
      </c>
      <c r="C1850" s="221" t="s">
        <v>3805</v>
      </c>
    </row>
    <row r="1851" spans="1:3" x14ac:dyDescent="0.25">
      <c r="A1851" s="222">
        <v>220247</v>
      </c>
      <c r="B1851" s="223" t="s">
        <v>3804</v>
      </c>
      <c r="C1851" s="221" t="s">
        <v>3803</v>
      </c>
    </row>
    <row r="1852" spans="1:3" x14ac:dyDescent="0.25">
      <c r="A1852" s="222">
        <v>220248</v>
      </c>
      <c r="B1852" s="223" t="s">
        <v>3807</v>
      </c>
      <c r="C1852" s="221" t="s">
        <v>3808</v>
      </c>
    </row>
    <row r="1853" spans="1:3" x14ac:dyDescent="0.25">
      <c r="A1853" s="222">
        <v>220248</v>
      </c>
      <c r="B1853" s="223" t="s">
        <v>3807</v>
      </c>
      <c r="C1853" s="221" t="s">
        <v>3806</v>
      </c>
    </row>
    <row r="1854" spans="1:3" x14ac:dyDescent="0.25">
      <c r="A1854" s="222">
        <v>220249</v>
      </c>
      <c r="B1854" s="223" t="s">
        <v>3810</v>
      </c>
      <c r="C1854" s="221" t="s">
        <v>3811</v>
      </c>
    </row>
    <row r="1855" spans="1:3" x14ac:dyDescent="0.25">
      <c r="A1855" s="222">
        <v>220249</v>
      </c>
      <c r="B1855" s="223" t="s">
        <v>3810</v>
      </c>
      <c r="C1855" s="221" t="s">
        <v>3809</v>
      </c>
    </row>
    <row r="1856" spans="1:3" x14ac:dyDescent="0.25">
      <c r="A1856" s="222">
        <v>220250</v>
      </c>
      <c r="B1856" s="223" t="s">
        <v>3813</v>
      </c>
      <c r="C1856" s="221" t="s">
        <v>3814</v>
      </c>
    </row>
    <row r="1857" spans="1:3" x14ac:dyDescent="0.25">
      <c r="A1857" s="222">
        <v>220250</v>
      </c>
      <c r="B1857" s="223" t="s">
        <v>3813</v>
      </c>
      <c r="C1857" s="221" t="s">
        <v>3812</v>
      </c>
    </row>
    <row r="1858" spans="1:3" x14ac:dyDescent="0.25">
      <c r="A1858" s="222">
        <v>220251</v>
      </c>
      <c r="B1858" s="223" t="s">
        <v>3816</v>
      </c>
      <c r="C1858" s="221" t="s">
        <v>3817</v>
      </c>
    </row>
    <row r="1859" spans="1:3" x14ac:dyDescent="0.25">
      <c r="A1859" s="222">
        <v>220251</v>
      </c>
      <c r="B1859" s="223" t="s">
        <v>3816</v>
      </c>
      <c r="C1859" s="221" t="s">
        <v>3815</v>
      </c>
    </row>
    <row r="1860" spans="1:3" x14ac:dyDescent="0.25">
      <c r="A1860" s="222">
        <v>220252</v>
      </c>
      <c r="B1860" s="223" t="s">
        <v>3819</v>
      </c>
      <c r="C1860" s="221" t="s">
        <v>3820</v>
      </c>
    </row>
    <row r="1861" spans="1:3" x14ac:dyDescent="0.25">
      <c r="A1861" s="222">
        <v>220252</v>
      </c>
      <c r="B1861" s="223" t="s">
        <v>3819</v>
      </c>
      <c r="C1861" s="221" t="s">
        <v>3818</v>
      </c>
    </row>
    <row r="1862" spans="1:3" x14ac:dyDescent="0.25">
      <c r="A1862" s="222">
        <v>220253</v>
      </c>
      <c r="B1862" s="223" t="s">
        <v>3822</v>
      </c>
      <c r="C1862" s="221" t="s">
        <v>3823</v>
      </c>
    </row>
    <row r="1863" spans="1:3" x14ac:dyDescent="0.25">
      <c r="A1863" s="222">
        <v>220253</v>
      </c>
      <c r="B1863" s="223" t="s">
        <v>3822</v>
      </c>
      <c r="C1863" s="221" t="s">
        <v>3821</v>
      </c>
    </row>
    <row r="1864" spans="1:3" x14ac:dyDescent="0.25">
      <c r="A1864" s="222">
        <v>220254</v>
      </c>
      <c r="B1864" s="223" t="s">
        <v>3825</v>
      </c>
      <c r="C1864" s="221" t="s">
        <v>3826</v>
      </c>
    </row>
    <row r="1865" spans="1:3" x14ac:dyDescent="0.25">
      <c r="A1865" s="222">
        <v>220254</v>
      </c>
      <c r="B1865" s="223" t="s">
        <v>3825</v>
      </c>
      <c r="C1865" s="221" t="s">
        <v>3824</v>
      </c>
    </row>
    <row r="1866" spans="1:3" x14ac:dyDescent="0.25">
      <c r="A1866" s="222">
        <v>220255</v>
      </c>
      <c r="B1866" s="223" t="s">
        <v>3828</v>
      </c>
      <c r="C1866" s="221" t="s">
        <v>3829</v>
      </c>
    </row>
    <row r="1867" spans="1:3" x14ac:dyDescent="0.25">
      <c r="A1867" s="222">
        <v>220255</v>
      </c>
      <c r="B1867" s="223" t="s">
        <v>3828</v>
      </c>
      <c r="C1867" s="221" t="s">
        <v>3827</v>
      </c>
    </row>
    <row r="1868" spans="1:3" x14ac:dyDescent="0.25">
      <c r="A1868" s="222">
        <v>220256</v>
      </c>
      <c r="B1868" s="223" t="s">
        <v>3831</v>
      </c>
      <c r="C1868" s="221" t="s">
        <v>3832</v>
      </c>
    </row>
    <row r="1869" spans="1:3" x14ac:dyDescent="0.25">
      <c r="A1869" s="222">
        <v>220256</v>
      </c>
      <c r="B1869" s="223" t="s">
        <v>3831</v>
      </c>
      <c r="C1869" s="221" t="s">
        <v>3830</v>
      </c>
    </row>
    <row r="1870" spans="1:3" x14ac:dyDescent="0.25">
      <c r="A1870" s="222">
        <v>220257</v>
      </c>
      <c r="B1870" s="223" t="s">
        <v>3834</v>
      </c>
      <c r="C1870" s="221" t="s">
        <v>3835</v>
      </c>
    </row>
    <row r="1871" spans="1:3" x14ac:dyDescent="0.25">
      <c r="A1871" s="222">
        <v>220257</v>
      </c>
      <c r="B1871" s="223" t="s">
        <v>3834</v>
      </c>
      <c r="C1871" s="221" t="s">
        <v>3833</v>
      </c>
    </row>
    <row r="1872" spans="1:3" x14ac:dyDescent="0.25">
      <c r="A1872" s="222">
        <v>220258</v>
      </c>
      <c r="B1872" s="223" t="s">
        <v>3837</v>
      </c>
      <c r="C1872" s="221" t="s">
        <v>3838</v>
      </c>
    </row>
    <row r="1873" spans="1:3" x14ac:dyDescent="0.25">
      <c r="A1873" s="222">
        <v>220258</v>
      </c>
      <c r="B1873" s="223" t="s">
        <v>3837</v>
      </c>
      <c r="C1873" s="221" t="s">
        <v>3836</v>
      </c>
    </row>
    <row r="1874" spans="1:3" x14ac:dyDescent="0.25">
      <c r="A1874" s="222">
        <v>220259</v>
      </c>
      <c r="B1874" s="223" t="s">
        <v>3840</v>
      </c>
      <c r="C1874" s="221" t="s">
        <v>3841</v>
      </c>
    </row>
    <row r="1875" spans="1:3" x14ac:dyDescent="0.25">
      <c r="A1875" s="222">
        <v>220259</v>
      </c>
      <c r="B1875" s="223" t="s">
        <v>3840</v>
      </c>
      <c r="C1875" s="221" t="s">
        <v>3839</v>
      </c>
    </row>
    <row r="1876" spans="1:3" x14ac:dyDescent="0.25">
      <c r="A1876" s="222">
        <v>220260</v>
      </c>
      <c r="B1876" s="223" t="s">
        <v>3843</v>
      </c>
      <c r="C1876" s="221" t="s">
        <v>3844</v>
      </c>
    </row>
    <row r="1877" spans="1:3" x14ac:dyDescent="0.25">
      <c r="A1877" s="222">
        <v>220260</v>
      </c>
      <c r="B1877" s="223" t="s">
        <v>3843</v>
      </c>
      <c r="C1877" s="221" t="s">
        <v>3842</v>
      </c>
    </row>
    <row r="1878" spans="1:3" x14ac:dyDescent="0.25">
      <c r="A1878" s="222">
        <v>220261</v>
      </c>
      <c r="B1878" s="223" t="s">
        <v>3845</v>
      </c>
      <c r="C1878" s="221" t="s">
        <v>3846</v>
      </c>
    </row>
    <row r="1879" spans="1:3" x14ac:dyDescent="0.25">
      <c r="A1879" s="222">
        <v>220261</v>
      </c>
      <c r="B1879" s="223" t="s">
        <v>3845</v>
      </c>
      <c r="C1879" s="221" t="s">
        <v>3847</v>
      </c>
    </row>
    <row r="1880" spans="1:3" x14ac:dyDescent="0.25">
      <c r="A1880" s="222">
        <v>220262</v>
      </c>
      <c r="B1880" s="223" t="s">
        <v>3848</v>
      </c>
      <c r="C1880" s="221" t="s">
        <v>3849</v>
      </c>
    </row>
    <row r="1881" spans="1:3" x14ac:dyDescent="0.25">
      <c r="A1881" s="222">
        <v>220262</v>
      </c>
      <c r="B1881" s="223" t="s">
        <v>3848</v>
      </c>
      <c r="C1881" s="221" t="s">
        <v>3850</v>
      </c>
    </row>
    <row r="1882" spans="1:3" x14ac:dyDescent="0.25">
      <c r="A1882" s="222">
        <v>220263</v>
      </c>
      <c r="B1882" s="223" t="s">
        <v>3851</v>
      </c>
      <c r="C1882" s="221" t="s">
        <v>3852</v>
      </c>
    </row>
    <row r="1883" spans="1:3" x14ac:dyDescent="0.25">
      <c r="A1883" s="222">
        <v>220263</v>
      </c>
      <c r="B1883" s="223" t="s">
        <v>3851</v>
      </c>
      <c r="C1883" s="221" t="s">
        <v>3853</v>
      </c>
    </row>
    <row r="1884" spans="1:3" x14ac:dyDescent="0.25">
      <c r="A1884" s="222">
        <v>220264</v>
      </c>
      <c r="B1884" s="223" t="s">
        <v>3854</v>
      </c>
      <c r="C1884" s="221" t="s">
        <v>3855</v>
      </c>
    </row>
    <row r="1885" spans="1:3" x14ac:dyDescent="0.25">
      <c r="A1885" s="222">
        <v>220264</v>
      </c>
      <c r="B1885" s="223" t="s">
        <v>3854</v>
      </c>
      <c r="C1885" s="221" t="s">
        <v>3856</v>
      </c>
    </row>
    <row r="1886" spans="1:3" x14ac:dyDescent="0.25">
      <c r="A1886" s="222">
        <v>220265</v>
      </c>
      <c r="B1886" s="223" t="s">
        <v>3857</v>
      </c>
      <c r="C1886" s="221" t="s">
        <v>3858</v>
      </c>
    </row>
    <row r="1887" spans="1:3" x14ac:dyDescent="0.25">
      <c r="A1887" s="222">
        <v>220265</v>
      </c>
      <c r="B1887" s="223" t="s">
        <v>3857</v>
      </c>
      <c r="C1887" s="221" t="s">
        <v>3859</v>
      </c>
    </row>
    <row r="1888" spans="1:3" x14ac:dyDescent="0.25">
      <c r="A1888" s="222">
        <v>220266</v>
      </c>
      <c r="B1888" s="223" t="s">
        <v>3861</v>
      </c>
      <c r="C1888" s="221" t="s">
        <v>3862</v>
      </c>
    </row>
    <row r="1889" spans="1:3" x14ac:dyDescent="0.25">
      <c r="A1889" s="222">
        <v>220266</v>
      </c>
      <c r="B1889" s="223" t="s">
        <v>3861</v>
      </c>
      <c r="C1889" s="221" t="s">
        <v>3860</v>
      </c>
    </row>
    <row r="1890" spans="1:3" x14ac:dyDescent="0.25">
      <c r="A1890" s="222">
        <v>220267</v>
      </c>
      <c r="B1890" s="223" t="s">
        <v>3864</v>
      </c>
      <c r="C1890" s="221" t="s">
        <v>3865</v>
      </c>
    </row>
    <row r="1891" spans="1:3" x14ac:dyDescent="0.25">
      <c r="A1891" s="222">
        <v>220267</v>
      </c>
      <c r="B1891" s="223" t="s">
        <v>3864</v>
      </c>
      <c r="C1891" s="221" t="s">
        <v>3863</v>
      </c>
    </row>
    <row r="1892" spans="1:3" x14ac:dyDescent="0.25">
      <c r="A1892" s="222">
        <v>220268</v>
      </c>
      <c r="B1892" s="223" t="s">
        <v>3866</v>
      </c>
      <c r="C1892" s="221" t="s">
        <v>3867</v>
      </c>
    </row>
    <row r="1893" spans="1:3" x14ac:dyDescent="0.25">
      <c r="A1893" s="222">
        <v>220268</v>
      </c>
      <c r="B1893" s="223" t="s">
        <v>3866</v>
      </c>
      <c r="C1893" s="221" t="s">
        <v>3868</v>
      </c>
    </row>
    <row r="1894" spans="1:3" x14ac:dyDescent="0.25">
      <c r="A1894" s="222">
        <v>220269</v>
      </c>
      <c r="B1894" s="223" t="s">
        <v>3869</v>
      </c>
      <c r="C1894" s="221" t="s">
        <v>3870</v>
      </c>
    </row>
    <row r="1895" spans="1:3" x14ac:dyDescent="0.25">
      <c r="A1895" s="222">
        <v>220270</v>
      </c>
      <c r="B1895" s="223" t="s">
        <v>3871</v>
      </c>
      <c r="C1895" s="221" t="s">
        <v>3872</v>
      </c>
    </row>
    <row r="1896" spans="1:3" x14ac:dyDescent="0.25">
      <c r="A1896" s="222">
        <v>220271</v>
      </c>
      <c r="B1896" s="223" t="s">
        <v>3874</v>
      </c>
      <c r="C1896" s="221" t="s">
        <v>3873</v>
      </c>
    </row>
    <row r="1897" spans="1:3" x14ac:dyDescent="0.25">
      <c r="A1897" s="222">
        <v>220271</v>
      </c>
      <c r="B1897" s="223" t="s">
        <v>3874</v>
      </c>
      <c r="C1897" s="221" t="s">
        <v>3875</v>
      </c>
    </row>
    <row r="1898" spans="1:3" x14ac:dyDescent="0.25">
      <c r="A1898" s="222">
        <v>220272</v>
      </c>
      <c r="B1898" s="223" t="s">
        <v>3876</v>
      </c>
      <c r="C1898" s="221" t="s">
        <v>3877</v>
      </c>
    </row>
    <row r="1899" spans="1:3" x14ac:dyDescent="0.25">
      <c r="A1899" s="222">
        <v>220273</v>
      </c>
      <c r="B1899" s="223" t="s">
        <v>3878</v>
      </c>
      <c r="C1899" s="221" t="s">
        <v>3879</v>
      </c>
    </row>
    <row r="1900" spans="1:3" x14ac:dyDescent="0.25">
      <c r="A1900" s="222">
        <v>220274</v>
      </c>
      <c r="B1900" s="223" t="s">
        <v>3880</v>
      </c>
      <c r="C1900" s="221" t="s">
        <v>3881</v>
      </c>
    </row>
    <row r="1901" spans="1:3" x14ac:dyDescent="0.25">
      <c r="A1901" s="222">
        <v>220275</v>
      </c>
      <c r="B1901" s="223" t="s">
        <v>3882</v>
      </c>
      <c r="C1901" s="221" t="s">
        <v>3883</v>
      </c>
    </row>
    <row r="1902" spans="1:3" x14ac:dyDescent="0.25">
      <c r="A1902" s="222">
        <v>220276</v>
      </c>
      <c r="B1902" s="223" t="s">
        <v>3885</v>
      </c>
      <c r="C1902" s="221" t="s">
        <v>3884</v>
      </c>
    </row>
    <row r="1903" spans="1:3" x14ac:dyDescent="0.25">
      <c r="A1903" s="222">
        <v>220277</v>
      </c>
      <c r="B1903" s="223" t="s">
        <v>3886</v>
      </c>
      <c r="C1903" s="221" t="s">
        <v>3887</v>
      </c>
    </row>
    <row r="1904" spans="1:3" x14ac:dyDescent="0.25">
      <c r="A1904" s="222">
        <v>220278</v>
      </c>
      <c r="B1904" s="223" t="s">
        <v>3888</v>
      </c>
      <c r="C1904" s="221" t="s">
        <v>3889</v>
      </c>
    </row>
    <row r="1905" spans="1:3" x14ac:dyDescent="0.25">
      <c r="A1905" s="222">
        <v>220279</v>
      </c>
      <c r="B1905" s="223" t="s">
        <v>3891</v>
      </c>
      <c r="C1905" s="221" t="s">
        <v>3890</v>
      </c>
    </row>
    <row r="1906" spans="1:3" x14ac:dyDescent="0.25">
      <c r="A1906" s="222">
        <v>220280</v>
      </c>
      <c r="B1906" s="223" t="s">
        <v>3892</v>
      </c>
      <c r="C1906" s="221" t="s">
        <v>3893</v>
      </c>
    </row>
    <row r="1907" spans="1:3" x14ac:dyDescent="0.25">
      <c r="A1907" s="222">
        <v>220281</v>
      </c>
      <c r="B1907" s="223" t="s">
        <v>3894</v>
      </c>
      <c r="C1907" s="221" t="s">
        <v>3895</v>
      </c>
    </row>
    <row r="1908" spans="1:3" x14ac:dyDescent="0.25">
      <c r="A1908" s="222">
        <v>220282</v>
      </c>
      <c r="B1908" s="223" t="s">
        <v>3896</v>
      </c>
      <c r="C1908" s="221" t="s">
        <v>3897</v>
      </c>
    </row>
    <row r="1909" spans="1:3" x14ac:dyDescent="0.25">
      <c r="A1909" s="222">
        <v>220283</v>
      </c>
      <c r="B1909" s="223" t="s">
        <v>3898</v>
      </c>
      <c r="C1909" s="221" t="s">
        <v>3899</v>
      </c>
    </row>
    <row r="1910" spans="1:3" x14ac:dyDescent="0.25">
      <c r="A1910" s="222">
        <v>220284</v>
      </c>
      <c r="B1910" s="223" t="s">
        <v>3900</v>
      </c>
      <c r="C1910" s="221" t="s">
        <v>3901</v>
      </c>
    </row>
    <row r="1911" spans="1:3" x14ac:dyDescent="0.25">
      <c r="A1911" s="222">
        <v>220285</v>
      </c>
      <c r="B1911" s="223" t="s">
        <v>3903</v>
      </c>
      <c r="C1911" s="221" t="s">
        <v>3902</v>
      </c>
    </row>
    <row r="1912" spans="1:3" x14ac:dyDescent="0.25">
      <c r="A1912" s="222">
        <v>220286</v>
      </c>
      <c r="B1912" s="223" t="s">
        <v>3905</v>
      </c>
      <c r="C1912" s="221" t="s">
        <v>3904</v>
      </c>
    </row>
    <row r="1913" spans="1:3" x14ac:dyDescent="0.25">
      <c r="A1913" s="222">
        <v>220287</v>
      </c>
      <c r="B1913" s="223" t="s">
        <v>3907</v>
      </c>
      <c r="C1913" s="221" t="s">
        <v>3906</v>
      </c>
    </row>
    <row r="1914" spans="1:3" x14ac:dyDescent="0.25">
      <c r="A1914" s="222">
        <v>220288</v>
      </c>
      <c r="B1914" s="223" t="s">
        <v>3909</v>
      </c>
      <c r="C1914" s="221" t="s">
        <v>3908</v>
      </c>
    </row>
    <row r="1915" spans="1:3" x14ac:dyDescent="0.25">
      <c r="A1915" s="222">
        <v>220289</v>
      </c>
      <c r="B1915" s="223" t="s">
        <v>3911</v>
      </c>
      <c r="C1915" s="221" t="s">
        <v>3910</v>
      </c>
    </row>
    <row r="1916" spans="1:3" x14ac:dyDescent="0.25">
      <c r="A1916" s="222">
        <v>220290</v>
      </c>
      <c r="B1916" s="223" t="s">
        <v>3913</v>
      </c>
      <c r="C1916" s="221" t="s">
        <v>3912</v>
      </c>
    </row>
    <row r="1917" spans="1:3" x14ac:dyDescent="0.25">
      <c r="A1917" s="222">
        <v>220291</v>
      </c>
      <c r="B1917" s="223" t="s">
        <v>3915</v>
      </c>
      <c r="C1917" s="221" t="s">
        <v>3914</v>
      </c>
    </row>
    <row r="1918" spans="1:3" x14ac:dyDescent="0.25">
      <c r="A1918" s="222">
        <v>220292</v>
      </c>
      <c r="B1918" s="223" t="s">
        <v>3917</v>
      </c>
      <c r="C1918" s="221" t="s">
        <v>3916</v>
      </c>
    </row>
    <row r="1919" spans="1:3" x14ac:dyDescent="0.25">
      <c r="A1919" s="222">
        <v>220293</v>
      </c>
      <c r="B1919" s="223" t="s">
        <v>3919</v>
      </c>
      <c r="C1919" s="221" t="s">
        <v>3918</v>
      </c>
    </row>
    <row r="1920" spans="1:3" x14ac:dyDescent="0.25">
      <c r="A1920" s="222">
        <v>220294</v>
      </c>
      <c r="B1920" s="223" t="s">
        <v>3921</v>
      </c>
      <c r="C1920" s="221" t="s">
        <v>3920</v>
      </c>
    </row>
    <row r="1921" spans="1:3" x14ac:dyDescent="0.25">
      <c r="A1921" s="222">
        <v>220295</v>
      </c>
      <c r="B1921" s="223" t="s">
        <v>3923</v>
      </c>
      <c r="C1921" s="221" t="s">
        <v>3922</v>
      </c>
    </row>
    <row r="1922" spans="1:3" x14ac:dyDescent="0.25">
      <c r="A1922" s="222">
        <v>220296</v>
      </c>
      <c r="B1922" s="223" t="s">
        <v>3925</v>
      </c>
      <c r="C1922" s="221" t="s">
        <v>3924</v>
      </c>
    </row>
    <row r="1923" spans="1:3" x14ac:dyDescent="0.25">
      <c r="A1923" s="222">
        <v>220297</v>
      </c>
      <c r="B1923" s="223" t="s">
        <v>3927</v>
      </c>
      <c r="C1923" s="221" t="s">
        <v>3926</v>
      </c>
    </row>
    <row r="1924" spans="1:3" x14ac:dyDescent="0.25">
      <c r="A1924" s="222">
        <v>220298</v>
      </c>
      <c r="B1924" s="223" t="s">
        <v>3929</v>
      </c>
      <c r="C1924" s="221" t="s">
        <v>3928</v>
      </c>
    </row>
    <row r="1925" spans="1:3" x14ac:dyDescent="0.25">
      <c r="A1925" s="222">
        <v>220299</v>
      </c>
      <c r="B1925" s="223" t="s">
        <v>3931</v>
      </c>
      <c r="C1925" s="221" t="s">
        <v>3930</v>
      </c>
    </row>
    <row r="1926" spans="1:3" x14ac:dyDescent="0.25">
      <c r="A1926" s="222">
        <v>220300</v>
      </c>
      <c r="B1926" s="223" t="s">
        <v>3933</v>
      </c>
      <c r="C1926" s="221" t="s">
        <v>3932</v>
      </c>
    </row>
    <row r="1927" spans="1:3" x14ac:dyDescent="0.25">
      <c r="A1927" s="222">
        <v>220301</v>
      </c>
      <c r="B1927" s="223" t="s">
        <v>3935</v>
      </c>
      <c r="C1927" s="221" t="s">
        <v>3934</v>
      </c>
    </row>
    <row r="1928" spans="1:3" x14ac:dyDescent="0.25">
      <c r="A1928" s="222">
        <v>220302</v>
      </c>
      <c r="B1928" s="223" t="s">
        <v>3937</v>
      </c>
      <c r="C1928" s="221" t="s">
        <v>3936</v>
      </c>
    </row>
    <row r="1929" spans="1:3" x14ac:dyDescent="0.25">
      <c r="A1929" s="222">
        <v>220303</v>
      </c>
      <c r="B1929" s="223" t="s">
        <v>3939</v>
      </c>
      <c r="C1929" s="221" t="s">
        <v>3938</v>
      </c>
    </row>
    <row r="1930" spans="1:3" x14ac:dyDescent="0.25">
      <c r="A1930" s="222">
        <v>220304</v>
      </c>
      <c r="B1930" s="223" t="s">
        <v>3940</v>
      </c>
      <c r="C1930" s="221" t="s">
        <v>3941</v>
      </c>
    </row>
    <row r="1931" spans="1:3" x14ac:dyDescent="0.25">
      <c r="A1931" s="222">
        <v>220370</v>
      </c>
      <c r="B1931" s="223" t="s">
        <v>3943</v>
      </c>
      <c r="C1931" s="221" t="s">
        <v>3942</v>
      </c>
    </row>
    <row r="1932" spans="1:3" x14ac:dyDescent="0.25">
      <c r="A1932" s="222">
        <v>220372</v>
      </c>
      <c r="B1932" s="223" t="s">
        <v>3944</v>
      </c>
      <c r="C1932" s="221" t="s">
        <v>3945</v>
      </c>
    </row>
    <row r="1933" spans="1:3" x14ac:dyDescent="0.25">
      <c r="A1933" s="222">
        <v>220375</v>
      </c>
      <c r="B1933" s="223" t="s">
        <v>3947</v>
      </c>
      <c r="C1933" s="221" t="s">
        <v>3946</v>
      </c>
    </row>
    <row r="1934" spans="1:3" x14ac:dyDescent="0.25">
      <c r="A1934" s="222">
        <v>220376</v>
      </c>
      <c r="B1934" s="223" t="s">
        <v>3949</v>
      </c>
      <c r="C1934" s="221" t="s">
        <v>3948</v>
      </c>
    </row>
    <row r="1935" spans="1:3" x14ac:dyDescent="0.25">
      <c r="A1935" s="222">
        <v>220377</v>
      </c>
      <c r="B1935" s="223" t="s">
        <v>3951</v>
      </c>
      <c r="C1935" s="221" t="s">
        <v>3950</v>
      </c>
    </row>
    <row r="1936" spans="1:3" x14ac:dyDescent="0.25">
      <c r="A1936" s="222">
        <v>220378</v>
      </c>
      <c r="B1936" s="223" t="s">
        <v>3953</v>
      </c>
      <c r="C1936" s="221" t="s">
        <v>3952</v>
      </c>
    </row>
    <row r="1937" spans="1:3" x14ac:dyDescent="0.25">
      <c r="A1937" s="222">
        <v>220379</v>
      </c>
      <c r="B1937" s="223" t="s">
        <v>3955</v>
      </c>
      <c r="C1937" s="221" t="s">
        <v>3954</v>
      </c>
    </row>
    <row r="1938" spans="1:3" x14ac:dyDescent="0.25">
      <c r="A1938" s="222">
        <v>220380</v>
      </c>
      <c r="B1938" s="223" t="s">
        <v>3957</v>
      </c>
      <c r="C1938" s="221" t="s">
        <v>3956</v>
      </c>
    </row>
    <row r="1939" spans="1:3" x14ac:dyDescent="0.25">
      <c r="A1939" s="222">
        <v>220381</v>
      </c>
      <c r="B1939" s="223" t="s">
        <v>3959</v>
      </c>
      <c r="C1939" s="221" t="s">
        <v>3958</v>
      </c>
    </row>
    <row r="1940" spans="1:3" x14ac:dyDescent="0.25">
      <c r="A1940" s="222">
        <v>220382</v>
      </c>
      <c r="B1940" s="223" t="s">
        <v>3961</v>
      </c>
      <c r="C1940" s="221" t="s">
        <v>3960</v>
      </c>
    </row>
    <row r="1941" spans="1:3" x14ac:dyDescent="0.25">
      <c r="A1941" s="222">
        <v>220383</v>
      </c>
      <c r="B1941" s="223" t="s">
        <v>3963</v>
      </c>
      <c r="C1941" s="221" t="s">
        <v>3962</v>
      </c>
    </row>
    <row r="1942" spans="1:3" x14ac:dyDescent="0.25">
      <c r="A1942" s="222">
        <v>220384</v>
      </c>
      <c r="B1942" s="223" t="s">
        <v>3965</v>
      </c>
      <c r="C1942" s="221" t="s">
        <v>3964</v>
      </c>
    </row>
    <row r="1943" spans="1:3" x14ac:dyDescent="0.25">
      <c r="A1943" s="222">
        <v>220385</v>
      </c>
      <c r="B1943" s="223" t="s">
        <v>3967</v>
      </c>
      <c r="C1943" s="221" t="s">
        <v>3966</v>
      </c>
    </row>
    <row r="1944" spans="1:3" x14ac:dyDescent="0.25">
      <c r="A1944" s="222">
        <v>220386</v>
      </c>
      <c r="B1944" s="223" t="s">
        <v>3969</v>
      </c>
      <c r="C1944" s="221" t="s">
        <v>3968</v>
      </c>
    </row>
    <row r="1945" spans="1:3" x14ac:dyDescent="0.25">
      <c r="A1945" s="222">
        <v>220387</v>
      </c>
      <c r="B1945" s="223" t="s">
        <v>3971</v>
      </c>
      <c r="C1945" s="221" t="s">
        <v>3970</v>
      </c>
    </row>
    <row r="1946" spans="1:3" x14ac:dyDescent="0.25">
      <c r="A1946" s="222">
        <v>220388</v>
      </c>
      <c r="B1946" s="223" t="s">
        <v>3973</v>
      </c>
      <c r="C1946" s="221" t="s">
        <v>3972</v>
      </c>
    </row>
    <row r="1947" spans="1:3" x14ac:dyDescent="0.25">
      <c r="A1947" s="222">
        <v>220389</v>
      </c>
      <c r="B1947" s="223" t="s">
        <v>3975</v>
      </c>
      <c r="C1947" s="221" t="s">
        <v>3974</v>
      </c>
    </row>
    <row r="1948" spans="1:3" x14ac:dyDescent="0.25">
      <c r="A1948" s="222">
        <v>220390</v>
      </c>
      <c r="B1948" s="223" t="s">
        <v>3977</v>
      </c>
      <c r="C1948" s="221" t="s">
        <v>3976</v>
      </c>
    </row>
    <row r="1949" spans="1:3" x14ac:dyDescent="0.25">
      <c r="A1949" s="222">
        <v>220391</v>
      </c>
      <c r="B1949" s="223" t="s">
        <v>3979</v>
      </c>
      <c r="C1949" s="221" t="s">
        <v>3978</v>
      </c>
    </row>
    <row r="1950" spans="1:3" x14ac:dyDescent="0.25">
      <c r="A1950" s="222">
        <v>220392</v>
      </c>
      <c r="B1950" s="223" t="s">
        <v>3981</v>
      </c>
      <c r="C1950" s="221" t="s">
        <v>3980</v>
      </c>
    </row>
    <row r="1951" spans="1:3" x14ac:dyDescent="0.25">
      <c r="A1951" s="222">
        <v>220393</v>
      </c>
      <c r="B1951" s="223" t="s">
        <v>3983</v>
      </c>
      <c r="C1951" s="221" t="s">
        <v>3982</v>
      </c>
    </row>
    <row r="1952" spans="1:3" x14ac:dyDescent="0.25">
      <c r="A1952" s="222">
        <v>220394</v>
      </c>
      <c r="B1952" s="223" t="s">
        <v>3985</v>
      </c>
      <c r="C1952" s="221" t="s">
        <v>3984</v>
      </c>
    </row>
    <row r="1953" spans="1:3" x14ac:dyDescent="0.25">
      <c r="A1953" s="222">
        <v>220395</v>
      </c>
      <c r="B1953" s="223" t="s">
        <v>3987</v>
      </c>
      <c r="C1953" s="221" t="s">
        <v>3986</v>
      </c>
    </row>
    <row r="1954" spans="1:3" x14ac:dyDescent="0.25">
      <c r="A1954" s="222">
        <v>220396</v>
      </c>
      <c r="B1954" s="223" t="s">
        <v>3989</v>
      </c>
      <c r="C1954" s="221" t="s">
        <v>3988</v>
      </c>
    </row>
    <row r="1955" spans="1:3" x14ac:dyDescent="0.25">
      <c r="A1955" s="222">
        <v>220397</v>
      </c>
      <c r="B1955" s="223" t="s">
        <v>3991</v>
      </c>
      <c r="C1955" s="221" t="s">
        <v>3990</v>
      </c>
    </row>
    <row r="1956" spans="1:3" x14ac:dyDescent="0.25">
      <c r="A1956" s="222">
        <v>220398</v>
      </c>
      <c r="B1956" s="223" t="s">
        <v>3993</v>
      </c>
      <c r="C1956" s="221" t="s">
        <v>3992</v>
      </c>
    </row>
    <row r="1957" spans="1:3" x14ac:dyDescent="0.25">
      <c r="A1957" s="222">
        <v>220399</v>
      </c>
      <c r="B1957" s="223" t="s">
        <v>3995</v>
      </c>
      <c r="C1957" s="221" t="s">
        <v>3994</v>
      </c>
    </row>
    <row r="1958" spans="1:3" x14ac:dyDescent="0.25">
      <c r="A1958" s="222">
        <v>220400</v>
      </c>
      <c r="B1958" s="223" t="s">
        <v>3997</v>
      </c>
      <c r="C1958" s="221" t="s">
        <v>3996</v>
      </c>
    </row>
    <row r="1959" spans="1:3" x14ac:dyDescent="0.25">
      <c r="A1959" s="222">
        <v>220401</v>
      </c>
      <c r="B1959" s="223" t="s">
        <v>3999</v>
      </c>
      <c r="C1959" s="221" t="s">
        <v>3998</v>
      </c>
    </row>
    <row r="1960" spans="1:3" x14ac:dyDescent="0.25">
      <c r="A1960" s="222">
        <v>220402</v>
      </c>
      <c r="B1960" s="223" t="s">
        <v>4001</v>
      </c>
      <c r="C1960" s="221" t="s">
        <v>4000</v>
      </c>
    </row>
    <row r="1961" spans="1:3" x14ac:dyDescent="0.25">
      <c r="A1961" s="222">
        <v>220403</v>
      </c>
      <c r="B1961" s="223" t="s">
        <v>4003</v>
      </c>
      <c r="C1961" s="221" t="s">
        <v>4002</v>
      </c>
    </row>
    <row r="1962" spans="1:3" x14ac:dyDescent="0.25">
      <c r="A1962" s="222">
        <v>220404</v>
      </c>
      <c r="B1962" s="223" t="s">
        <v>4005</v>
      </c>
      <c r="C1962" s="221" t="s">
        <v>4004</v>
      </c>
    </row>
    <row r="1963" spans="1:3" x14ac:dyDescent="0.25">
      <c r="A1963" s="222">
        <v>220405</v>
      </c>
      <c r="B1963" s="223" t="s">
        <v>4007</v>
      </c>
      <c r="C1963" s="221" t="s">
        <v>4006</v>
      </c>
    </row>
    <row r="1964" spans="1:3" x14ac:dyDescent="0.25">
      <c r="A1964" s="222">
        <v>220406</v>
      </c>
      <c r="B1964" s="223" t="s">
        <v>4009</v>
      </c>
      <c r="C1964" s="221" t="s">
        <v>4008</v>
      </c>
    </row>
    <row r="1965" spans="1:3" x14ac:dyDescent="0.25">
      <c r="A1965" s="222">
        <v>220407</v>
      </c>
      <c r="B1965" s="223" t="s">
        <v>4011</v>
      </c>
      <c r="C1965" s="221" t="s">
        <v>4010</v>
      </c>
    </row>
    <row r="1966" spans="1:3" x14ac:dyDescent="0.25">
      <c r="A1966" s="222">
        <v>220408</v>
      </c>
      <c r="B1966" s="223" t="s">
        <v>4013</v>
      </c>
      <c r="C1966" s="221" t="s">
        <v>4012</v>
      </c>
    </row>
    <row r="1967" spans="1:3" x14ac:dyDescent="0.25">
      <c r="A1967" s="222">
        <v>230001</v>
      </c>
      <c r="B1967" s="223" t="s">
        <v>4015</v>
      </c>
      <c r="C1967" s="221" t="s">
        <v>4016</v>
      </c>
    </row>
    <row r="1968" spans="1:3" x14ac:dyDescent="0.25">
      <c r="A1968" s="222">
        <v>230001</v>
      </c>
      <c r="B1968" s="223" t="s">
        <v>4015</v>
      </c>
      <c r="C1968" s="221" t="s">
        <v>4014</v>
      </c>
    </row>
    <row r="1969" spans="1:3" x14ac:dyDescent="0.25">
      <c r="A1969" s="222">
        <v>230002</v>
      </c>
      <c r="B1969" s="223" t="s">
        <v>4018</v>
      </c>
      <c r="C1969" s="221" t="s">
        <v>4019</v>
      </c>
    </row>
    <row r="1970" spans="1:3" x14ac:dyDescent="0.25">
      <c r="A1970" s="222">
        <v>230002</v>
      </c>
      <c r="B1970" s="223" t="s">
        <v>4018</v>
      </c>
      <c r="C1970" s="221" t="s">
        <v>4017</v>
      </c>
    </row>
    <row r="1971" spans="1:3" x14ac:dyDescent="0.25">
      <c r="A1971" s="222">
        <v>230003</v>
      </c>
      <c r="B1971" s="223" t="s">
        <v>4021</v>
      </c>
      <c r="C1971" s="221" t="s">
        <v>4022</v>
      </c>
    </row>
    <row r="1972" spans="1:3" x14ac:dyDescent="0.25">
      <c r="A1972" s="222">
        <v>230003</v>
      </c>
      <c r="B1972" s="223" t="s">
        <v>4021</v>
      </c>
      <c r="C1972" s="221" t="s">
        <v>4023</v>
      </c>
    </row>
    <row r="1973" spans="1:3" x14ac:dyDescent="0.25">
      <c r="A1973" s="222">
        <v>230003</v>
      </c>
      <c r="B1973" s="223" t="s">
        <v>4021</v>
      </c>
      <c r="C1973" s="221" t="s">
        <v>4020</v>
      </c>
    </row>
    <row r="1974" spans="1:3" x14ac:dyDescent="0.25">
      <c r="A1974" s="222">
        <v>230004</v>
      </c>
      <c r="B1974" s="223" t="s">
        <v>4025</v>
      </c>
      <c r="C1974" s="221" t="s">
        <v>4026</v>
      </c>
    </row>
    <row r="1975" spans="1:3" x14ac:dyDescent="0.25">
      <c r="A1975" s="222">
        <v>230004</v>
      </c>
      <c r="B1975" s="223" t="s">
        <v>4025</v>
      </c>
      <c r="C1975" s="221" t="s">
        <v>4024</v>
      </c>
    </row>
    <row r="1976" spans="1:3" x14ac:dyDescent="0.25">
      <c r="A1976" s="222">
        <v>230005</v>
      </c>
      <c r="B1976" s="223" t="s">
        <v>4028</v>
      </c>
      <c r="C1976" s="221" t="s">
        <v>4029</v>
      </c>
    </row>
    <row r="1977" spans="1:3" x14ac:dyDescent="0.25">
      <c r="A1977" s="222">
        <v>230005</v>
      </c>
      <c r="B1977" s="223" t="s">
        <v>4028</v>
      </c>
      <c r="C1977" s="221" t="s">
        <v>4027</v>
      </c>
    </row>
    <row r="1978" spans="1:3" x14ac:dyDescent="0.25">
      <c r="A1978" s="222">
        <v>230006</v>
      </c>
      <c r="B1978" s="223" t="s">
        <v>4031</v>
      </c>
      <c r="C1978" s="221" t="s">
        <v>4032</v>
      </c>
    </row>
    <row r="1979" spans="1:3" x14ac:dyDescent="0.25">
      <c r="A1979" s="222">
        <v>230006</v>
      </c>
      <c r="B1979" s="223" t="s">
        <v>4031</v>
      </c>
      <c r="C1979" s="221" t="s">
        <v>4030</v>
      </c>
    </row>
    <row r="1980" spans="1:3" x14ac:dyDescent="0.25">
      <c r="A1980" s="222">
        <v>230007</v>
      </c>
      <c r="B1980" s="223" t="s">
        <v>4034</v>
      </c>
      <c r="C1980" s="221" t="s">
        <v>4035</v>
      </c>
    </row>
    <row r="1981" spans="1:3" x14ac:dyDescent="0.25">
      <c r="A1981" s="222">
        <v>230007</v>
      </c>
      <c r="B1981" s="223" t="s">
        <v>4034</v>
      </c>
      <c r="C1981" s="221" t="s">
        <v>4033</v>
      </c>
    </row>
    <row r="1982" spans="1:3" x14ac:dyDescent="0.25">
      <c r="A1982" s="222">
        <v>230008</v>
      </c>
      <c r="B1982" s="223" t="s">
        <v>4037</v>
      </c>
      <c r="C1982" s="221" t="s">
        <v>4038</v>
      </c>
    </row>
    <row r="1983" spans="1:3" x14ac:dyDescent="0.25">
      <c r="A1983" s="222">
        <v>230008</v>
      </c>
      <c r="B1983" s="223" t="s">
        <v>4037</v>
      </c>
      <c r="C1983" s="221" t="s">
        <v>4036</v>
      </c>
    </row>
    <row r="1984" spans="1:3" x14ac:dyDescent="0.25">
      <c r="A1984" s="222">
        <v>230009</v>
      </c>
      <c r="B1984" s="223" t="s">
        <v>4040</v>
      </c>
      <c r="C1984" s="221" t="s">
        <v>4041</v>
      </c>
    </row>
    <row r="1985" spans="1:3" x14ac:dyDescent="0.25">
      <c r="A1985" s="222">
        <v>230009</v>
      </c>
      <c r="B1985" s="223" t="s">
        <v>4040</v>
      </c>
      <c r="C1985" s="221" t="s">
        <v>4039</v>
      </c>
    </row>
    <row r="1986" spans="1:3" x14ac:dyDescent="0.25">
      <c r="A1986" s="222">
        <v>230010</v>
      </c>
      <c r="B1986" s="223" t="s">
        <v>4043</v>
      </c>
      <c r="C1986" s="221" t="s">
        <v>4044</v>
      </c>
    </row>
    <row r="1987" spans="1:3" x14ac:dyDescent="0.25">
      <c r="A1987" s="222">
        <v>230010</v>
      </c>
      <c r="B1987" s="223" t="s">
        <v>4043</v>
      </c>
      <c r="C1987" s="221" t="s">
        <v>4042</v>
      </c>
    </row>
    <row r="1988" spans="1:3" x14ac:dyDescent="0.25">
      <c r="A1988" s="222">
        <v>230011</v>
      </c>
      <c r="B1988" s="223" t="s">
        <v>4046</v>
      </c>
      <c r="C1988" s="221" t="s">
        <v>4047</v>
      </c>
    </row>
    <row r="1989" spans="1:3" x14ac:dyDescent="0.25">
      <c r="A1989" s="222">
        <v>230011</v>
      </c>
      <c r="B1989" s="223" t="s">
        <v>4046</v>
      </c>
      <c r="C1989" s="221" t="s">
        <v>4045</v>
      </c>
    </row>
    <row r="1990" spans="1:3" x14ac:dyDescent="0.25">
      <c r="A1990" s="222">
        <v>230012</v>
      </c>
      <c r="B1990" s="223" t="s">
        <v>4049</v>
      </c>
      <c r="C1990" s="221" t="s">
        <v>4050</v>
      </c>
    </row>
    <row r="1991" spans="1:3" x14ac:dyDescent="0.25">
      <c r="A1991" s="222">
        <v>230012</v>
      </c>
      <c r="B1991" s="223" t="s">
        <v>4049</v>
      </c>
      <c r="C1991" s="221" t="s">
        <v>4048</v>
      </c>
    </row>
    <row r="1992" spans="1:3" x14ac:dyDescent="0.25">
      <c r="A1992" s="222">
        <v>230013</v>
      </c>
      <c r="B1992" s="223" t="s">
        <v>4052</v>
      </c>
      <c r="C1992" s="221" t="s">
        <v>4053</v>
      </c>
    </row>
    <row r="1993" spans="1:3" x14ac:dyDescent="0.25">
      <c r="A1993" s="222">
        <v>230013</v>
      </c>
      <c r="B1993" s="223" t="s">
        <v>4052</v>
      </c>
      <c r="C1993" s="221" t="s">
        <v>4051</v>
      </c>
    </row>
    <row r="1994" spans="1:3" x14ac:dyDescent="0.25">
      <c r="A1994" s="222">
        <v>230014</v>
      </c>
      <c r="B1994" s="223" t="s">
        <v>4055</v>
      </c>
      <c r="C1994" s="221" t="s">
        <v>4056</v>
      </c>
    </row>
    <row r="1995" spans="1:3" x14ac:dyDescent="0.25">
      <c r="A1995" s="222">
        <v>230014</v>
      </c>
      <c r="B1995" s="223" t="s">
        <v>4055</v>
      </c>
      <c r="C1995" s="221" t="s">
        <v>4054</v>
      </c>
    </row>
    <row r="1996" spans="1:3" x14ac:dyDescent="0.25">
      <c r="A1996" s="222">
        <v>230015</v>
      </c>
      <c r="B1996" s="223" t="s">
        <v>4058</v>
      </c>
      <c r="C1996" s="221" t="s">
        <v>4059</v>
      </c>
    </row>
    <row r="1997" spans="1:3" x14ac:dyDescent="0.25">
      <c r="A1997" s="222">
        <v>230015</v>
      </c>
      <c r="B1997" s="223" t="s">
        <v>4058</v>
      </c>
      <c r="C1997" s="221" t="s">
        <v>4057</v>
      </c>
    </row>
    <row r="1998" spans="1:3" x14ac:dyDescent="0.25">
      <c r="A1998" s="222">
        <v>230016</v>
      </c>
      <c r="B1998" s="223" t="s">
        <v>4061</v>
      </c>
      <c r="C1998" s="221" t="s">
        <v>4062</v>
      </c>
    </row>
    <row r="1999" spans="1:3" x14ac:dyDescent="0.25">
      <c r="A1999" s="222">
        <v>230016</v>
      </c>
      <c r="B1999" s="223" t="s">
        <v>4061</v>
      </c>
      <c r="C1999" s="221" t="s">
        <v>4060</v>
      </c>
    </row>
    <row r="2000" spans="1:3" x14ac:dyDescent="0.25">
      <c r="A2000" s="222">
        <v>230017</v>
      </c>
      <c r="B2000" s="223" t="s">
        <v>4064</v>
      </c>
      <c r="C2000" s="221" t="s">
        <v>4065</v>
      </c>
    </row>
    <row r="2001" spans="1:3" x14ac:dyDescent="0.25">
      <c r="A2001" s="222">
        <v>230017</v>
      </c>
      <c r="B2001" s="223" t="s">
        <v>4064</v>
      </c>
      <c r="C2001" s="221" t="s">
        <v>4063</v>
      </c>
    </row>
    <row r="2002" spans="1:3" x14ac:dyDescent="0.25">
      <c r="A2002" s="222">
        <v>230018</v>
      </c>
      <c r="B2002" s="223" t="s">
        <v>4067</v>
      </c>
      <c r="C2002" s="221" t="s">
        <v>4068</v>
      </c>
    </row>
    <row r="2003" spans="1:3" x14ac:dyDescent="0.25">
      <c r="A2003" s="222">
        <v>230018</v>
      </c>
      <c r="B2003" s="223" t="s">
        <v>4067</v>
      </c>
      <c r="C2003" s="221" t="s">
        <v>4066</v>
      </c>
    </row>
    <row r="2004" spans="1:3" x14ac:dyDescent="0.25">
      <c r="A2004" s="222">
        <v>230019</v>
      </c>
      <c r="B2004" s="223" t="s">
        <v>4070</v>
      </c>
      <c r="C2004" s="221" t="s">
        <v>4071</v>
      </c>
    </row>
    <row r="2005" spans="1:3" x14ac:dyDescent="0.25">
      <c r="A2005" s="222">
        <v>230019</v>
      </c>
      <c r="B2005" s="223" t="s">
        <v>4070</v>
      </c>
      <c r="C2005" s="221" t="s">
        <v>4069</v>
      </c>
    </row>
    <row r="2006" spans="1:3" x14ac:dyDescent="0.25">
      <c r="A2006" s="222">
        <v>230020</v>
      </c>
      <c r="B2006" s="223" t="s">
        <v>4073</v>
      </c>
      <c r="C2006" s="221" t="s">
        <v>4074</v>
      </c>
    </row>
    <row r="2007" spans="1:3" x14ac:dyDescent="0.25">
      <c r="A2007" s="222">
        <v>230020</v>
      </c>
      <c r="B2007" s="223" t="s">
        <v>4073</v>
      </c>
      <c r="C2007" s="221" t="s">
        <v>4072</v>
      </c>
    </row>
    <row r="2008" spans="1:3" x14ac:dyDescent="0.25">
      <c r="A2008" s="222">
        <v>230021</v>
      </c>
      <c r="B2008" s="223" t="s">
        <v>4076</v>
      </c>
      <c r="C2008" s="221" t="s">
        <v>4077</v>
      </c>
    </row>
    <row r="2009" spans="1:3" x14ac:dyDescent="0.25">
      <c r="A2009" s="222">
        <v>230021</v>
      </c>
      <c r="B2009" s="223" t="s">
        <v>4076</v>
      </c>
      <c r="C2009" s="221" t="s">
        <v>4075</v>
      </c>
    </row>
    <row r="2010" spans="1:3" x14ac:dyDescent="0.25">
      <c r="A2010" s="222">
        <v>230022</v>
      </c>
      <c r="B2010" s="223" t="s">
        <v>4079</v>
      </c>
      <c r="C2010" s="221" t="s">
        <v>4080</v>
      </c>
    </row>
    <row r="2011" spans="1:3" x14ac:dyDescent="0.25">
      <c r="A2011" s="222">
        <v>230022</v>
      </c>
      <c r="B2011" s="223" t="s">
        <v>4079</v>
      </c>
      <c r="C2011" s="221" t="s">
        <v>4078</v>
      </c>
    </row>
    <row r="2012" spans="1:3" x14ac:dyDescent="0.25">
      <c r="A2012" s="222">
        <v>230023</v>
      </c>
      <c r="B2012" s="223" t="s">
        <v>4082</v>
      </c>
      <c r="C2012" s="221" t="s">
        <v>4083</v>
      </c>
    </row>
    <row r="2013" spans="1:3" x14ac:dyDescent="0.25">
      <c r="A2013" s="222">
        <v>230023</v>
      </c>
      <c r="B2013" s="223" t="s">
        <v>4082</v>
      </c>
      <c r="C2013" s="221" t="s">
        <v>4084</v>
      </c>
    </row>
    <row r="2014" spans="1:3" x14ac:dyDescent="0.25">
      <c r="A2014" s="222">
        <v>230023</v>
      </c>
      <c r="B2014" s="223" t="s">
        <v>4082</v>
      </c>
      <c r="C2014" s="221" t="s">
        <v>4081</v>
      </c>
    </row>
    <row r="2015" spans="1:3" x14ac:dyDescent="0.25">
      <c r="A2015" s="222">
        <v>230024</v>
      </c>
      <c r="B2015" s="223" t="s">
        <v>4086</v>
      </c>
      <c r="C2015" s="221" t="s">
        <v>4087</v>
      </c>
    </row>
    <row r="2016" spans="1:3" x14ac:dyDescent="0.25">
      <c r="A2016" s="222">
        <v>230024</v>
      </c>
      <c r="B2016" s="223" t="s">
        <v>4086</v>
      </c>
      <c r="C2016" s="221" t="s">
        <v>4085</v>
      </c>
    </row>
    <row r="2017" spans="1:3" x14ac:dyDescent="0.25">
      <c r="A2017" s="222">
        <v>230025</v>
      </c>
      <c r="B2017" s="223" t="s">
        <v>4089</v>
      </c>
      <c r="C2017" s="221" t="s">
        <v>4090</v>
      </c>
    </row>
    <row r="2018" spans="1:3" x14ac:dyDescent="0.25">
      <c r="A2018" s="222">
        <v>230025</v>
      </c>
      <c r="B2018" s="223" t="s">
        <v>4089</v>
      </c>
      <c r="C2018" s="221" t="s">
        <v>4088</v>
      </c>
    </row>
    <row r="2019" spans="1:3" x14ac:dyDescent="0.25">
      <c r="A2019" s="222">
        <v>230026</v>
      </c>
      <c r="B2019" s="223" t="s">
        <v>4092</v>
      </c>
      <c r="C2019" s="221" t="s">
        <v>4093</v>
      </c>
    </row>
    <row r="2020" spans="1:3" x14ac:dyDescent="0.25">
      <c r="A2020" s="222">
        <v>230026</v>
      </c>
      <c r="B2020" s="223" t="s">
        <v>4092</v>
      </c>
      <c r="C2020" s="221" t="s">
        <v>4091</v>
      </c>
    </row>
    <row r="2021" spans="1:3" x14ac:dyDescent="0.25">
      <c r="A2021" s="222">
        <v>230027</v>
      </c>
      <c r="B2021" s="223" t="s">
        <v>4095</v>
      </c>
      <c r="C2021" s="221" t="s">
        <v>4096</v>
      </c>
    </row>
    <row r="2022" spans="1:3" x14ac:dyDescent="0.25">
      <c r="A2022" s="222">
        <v>230027</v>
      </c>
      <c r="B2022" s="223" t="s">
        <v>4095</v>
      </c>
      <c r="C2022" s="221" t="s">
        <v>4094</v>
      </c>
    </row>
    <row r="2023" spans="1:3" x14ac:dyDescent="0.25">
      <c r="A2023" s="222">
        <v>230028</v>
      </c>
      <c r="B2023" s="223" t="s">
        <v>4098</v>
      </c>
      <c r="C2023" s="221" t="s">
        <v>4099</v>
      </c>
    </row>
    <row r="2024" spans="1:3" x14ac:dyDescent="0.25">
      <c r="A2024" s="222">
        <v>230028</v>
      </c>
      <c r="B2024" s="223" t="s">
        <v>4098</v>
      </c>
      <c r="C2024" s="221" t="s">
        <v>4097</v>
      </c>
    </row>
    <row r="2025" spans="1:3" x14ac:dyDescent="0.25">
      <c r="A2025" s="222">
        <v>230029</v>
      </c>
      <c r="B2025" s="223" t="s">
        <v>4101</v>
      </c>
      <c r="C2025" s="221" t="s">
        <v>4102</v>
      </c>
    </row>
    <row r="2026" spans="1:3" x14ac:dyDescent="0.25">
      <c r="A2026" s="222">
        <v>230029</v>
      </c>
      <c r="B2026" s="223" t="s">
        <v>4101</v>
      </c>
      <c r="C2026" s="221" t="s">
        <v>4100</v>
      </c>
    </row>
    <row r="2027" spans="1:3" x14ac:dyDescent="0.25">
      <c r="A2027" s="222">
        <v>230030</v>
      </c>
      <c r="B2027" s="223" t="s">
        <v>4104</v>
      </c>
      <c r="C2027" s="221" t="s">
        <v>4105</v>
      </c>
    </row>
    <row r="2028" spans="1:3" x14ac:dyDescent="0.25">
      <c r="A2028" s="222">
        <v>230030</v>
      </c>
      <c r="B2028" s="223" t="s">
        <v>4104</v>
      </c>
      <c r="C2028" s="221" t="s">
        <v>4103</v>
      </c>
    </row>
    <row r="2029" spans="1:3" x14ac:dyDescent="0.25">
      <c r="A2029" s="222">
        <v>230031</v>
      </c>
      <c r="B2029" s="223" t="s">
        <v>4107</v>
      </c>
      <c r="C2029" s="221" t="s">
        <v>4108</v>
      </c>
    </row>
    <row r="2030" spans="1:3" x14ac:dyDescent="0.25">
      <c r="A2030" s="222">
        <v>230031</v>
      </c>
      <c r="B2030" s="223" t="s">
        <v>4107</v>
      </c>
      <c r="C2030" s="221" t="s">
        <v>4106</v>
      </c>
    </row>
    <row r="2031" spans="1:3" x14ac:dyDescent="0.25">
      <c r="A2031" s="222">
        <v>230032</v>
      </c>
      <c r="B2031" s="223" t="s">
        <v>4110</v>
      </c>
      <c r="C2031" s="221" t="s">
        <v>4111</v>
      </c>
    </row>
    <row r="2032" spans="1:3" x14ac:dyDescent="0.25">
      <c r="A2032" s="222">
        <v>230032</v>
      </c>
      <c r="B2032" s="223" t="s">
        <v>4110</v>
      </c>
      <c r="C2032" s="221" t="s">
        <v>4109</v>
      </c>
    </row>
    <row r="2033" spans="1:3" x14ac:dyDescent="0.25">
      <c r="A2033" s="222">
        <v>230033</v>
      </c>
      <c r="B2033" s="223" t="s">
        <v>4113</v>
      </c>
      <c r="C2033" s="221" t="s">
        <v>4114</v>
      </c>
    </row>
    <row r="2034" spans="1:3" x14ac:dyDescent="0.25">
      <c r="A2034" s="222">
        <v>230033</v>
      </c>
      <c r="B2034" s="223" t="s">
        <v>4113</v>
      </c>
      <c r="C2034" s="221" t="s">
        <v>4112</v>
      </c>
    </row>
    <row r="2035" spans="1:3" x14ac:dyDescent="0.25">
      <c r="A2035" s="222">
        <v>230034</v>
      </c>
      <c r="B2035" s="223" t="s">
        <v>4116</v>
      </c>
      <c r="C2035" s="221" t="s">
        <v>4117</v>
      </c>
    </row>
    <row r="2036" spans="1:3" x14ac:dyDescent="0.25">
      <c r="A2036" s="222">
        <v>230034</v>
      </c>
      <c r="B2036" s="223" t="s">
        <v>4116</v>
      </c>
      <c r="C2036" s="221" t="s">
        <v>4115</v>
      </c>
    </row>
    <row r="2037" spans="1:3" x14ac:dyDescent="0.25">
      <c r="A2037" s="222">
        <v>230035</v>
      </c>
      <c r="B2037" s="223" t="s">
        <v>4119</v>
      </c>
      <c r="C2037" s="221" t="s">
        <v>4120</v>
      </c>
    </row>
    <row r="2038" spans="1:3" x14ac:dyDescent="0.25">
      <c r="A2038" s="222">
        <v>230035</v>
      </c>
      <c r="B2038" s="223" t="s">
        <v>4119</v>
      </c>
      <c r="C2038" s="221" t="s">
        <v>4118</v>
      </c>
    </row>
    <row r="2039" spans="1:3" x14ac:dyDescent="0.25">
      <c r="A2039" s="222">
        <v>230036</v>
      </c>
      <c r="B2039" s="223" t="s">
        <v>4121</v>
      </c>
      <c r="C2039" s="221" t="s">
        <v>4122</v>
      </c>
    </row>
    <row r="2040" spans="1:3" x14ac:dyDescent="0.25">
      <c r="A2040" s="222">
        <v>230036</v>
      </c>
      <c r="B2040" s="223" t="s">
        <v>4121</v>
      </c>
      <c r="C2040" s="221" t="s">
        <v>4123</v>
      </c>
    </row>
    <row r="2041" spans="1:3" x14ac:dyDescent="0.25">
      <c r="A2041" s="222">
        <v>230037</v>
      </c>
      <c r="B2041" s="223" t="s">
        <v>4125</v>
      </c>
      <c r="C2041" s="221" t="s">
        <v>4126</v>
      </c>
    </row>
    <row r="2042" spans="1:3" x14ac:dyDescent="0.25">
      <c r="A2042" s="222">
        <v>230037</v>
      </c>
      <c r="B2042" s="223" t="s">
        <v>4125</v>
      </c>
      <c r="C2042" s="221" t="s">
        <v>4124</v>
      </c>
    </row>
    <row r="2043" spans="1:3" x14ac:dyDescent="0.25">
      <c r="A2043" s="222">
        <v>230038</v>
      </c>
      <c r="B2043" s="223" t="s">
        <v>4128</v>
      </c>
      <c r="C2043" s="221" t="s">
        <v>4129</v>
      </c>
    </row>
    <row r="2044" spans="1:3" x14ac:dyDescent="0.25">
      <c r="A2044" s="222">
        <v>230038</v>
      </c>
      <c r="B2044" s="223" t="s">
        <v>4128</v>
      </c>
      <c r="C2044" s="221" t="s">
        <v>4127</v>
      </c>
    </row>
    <row r="2045" spans="1:3" x14ac:dyDescent="0.25">
      <c r="A2045" s="222">
        <v>230039</v>
      </c>
      <c r="B2045" s="223" t="s">
        <v>4131</v>
      </c>
      <c r="C2045" s="221" t="s">
        <v>4132</v>
      </c>
    </row>
    <row r="2046" spans="1:3" x14ac:dyDescent="0.25">
      <c r="A2046" s="222">
        <v>230039</v>
      </c>
      <c r="B2046" s="223" t="s">
        <v>4131</v>
      </c>
      <c r="C2046" s="221" t="s">
        <v>4130</v>
      </c>
    </row>
    <row r="2047" spans="1:3" x14ac:dyDescent="0.25">
      <c r="A2047" s="222">
        <v>230040</v>
      </c>
      <c r="B2047" s="223" t="s">
        <v>4134</v>
      </c>
      <c r="C2047" s="221" t="s">
        <v>4135</v>
      </c>
    </row>
    <row r="2048" spans="1:3" x14ac:dyDescent="0.25">
      <c r="A2048" s="222">
        <v>230040</v>
      </c>
      <c r="B2048" s="223" t="s">
        <v>4134</v>
      </c>
      <c r="C2048" s="221" t="s">
        <v>4133</v>
      </c>
    </row>
    <row r="2049" spans="1:3" x14ac:dyDescent="0.25">
      <c r="A2049" s="222">
        <v>230041</v>
      </c>
      <c r="B2049" s="223" t="s">
        <v>4137</v>
      </c>
      <c r="C2049" s="221" t="s">
        <v>4138</v>
      </c>
    </row>
    <row r="2050" spans="1:3" x14ac:dyDescent="0.25">
      <c r="A2050" s="222">
        <v>230041</v>
      </c>
      <c r="B2050" s="223" t="s">
        <v>4137</v>
      </c>
      <c r="C2050" s="221" t="s">
        <v>4136</v>
      </c>
    </row>
    <row r="2051" spans="1:3" x14ac:dyDescent="0.25">
      <c r="A2051" s="222">
        <v>230042</v>
      </c>
      <c r="B2051" s="223" t="s">
        <v>4140</v>
      </c>
      <c r="C2051" s="221" t="s">
        <v>4141</v>
      </c>
    </row>
    <row r="2052" spans="1:3" x14ac:dyDescent="0.25">
      <c r="A2052" s="222">
        <v>230042</v>
      </c>
      <c r="B2052" s="223" t="s">
        <v>4140</v>
      </c>
      <c r="C2052" s="221" t="s">
        <v>4139</v>
      </c>
    </row>
    <row r="2053" spans="1:3" x14ac:dyDescent="0.25">
      <c r="A2053" s="222">
        <v>230043</v>
      </c>
      <c r="B2053" s="223" t="s">
        <v>4140</v>
      </c>
      <c r="C2053" s="221" t="s">
        <v>4143</v>
      </c>
    </row>
    <row r="2054" spans="1:3" x14ac:dyDescent="0.25">
      <c r="A2054" s="222">
        <v>230043</v>
      </c>
      <c r="B2054" s="223" t="s">
        <v>4140</v>
      </c>
      <c r="C2054" s="221" t="s">
        <v>4142</v>
      </c>
    </row>
    <row r="2055" spans="1:3" x14ac:dyDescent="0.25">
      <c r="A2055" s="222">
        <v>230044</v>
      </c>
      <c r="B2055" s="223" t="s">
        <v>4145</v>
      </c>
      <c r="C2055" s="221" t="s">
        <v>4146</v>
      </c>
    </row>
    <row r="2056" spans="1:3" x14ac:dyDescent="0.25">
      <c r="A2056" s="222">
        <v>230044</v>
      </c>
      <c r="B2056" s="223" t="s">
        <v>4145</v>
      </c>
      <c r="C2056" s="221" t="s">
        <v>4144</v>
      </c>
    </row>
    <row r="2057" spans="1:3" x14ac:dyDescent="0.25">
      <c r="A2057" s="222">
        <v>230045</v>
      </c>
      <c r="B2057" s="223" t="s">
        <v>4147</v>
      </c>
      <c r="C2057" s="221" t="s">
        <v>4148</v>
      </c>
    </row>
    <row r="2058" spans="1:3" x14ac:dyDescent="0.25">
      <c r="A2058" s="222">
        <v>230045</v>
      </c>
      <c r="B2058" s="223" t="s">
        <v>4147</v>
      </c>
      <c r="C2058" s="221" t="s">
        <v>4149</v>
      </c>
    </row>
    <row r="2059" spans="1:3" x14ac:dyDescent="0.25">
      <c r="A2059" s="222">
        <v>230046</v>
      </c>
      <c r="B2059" s="223" t="s">
        <v>4150</v>
      </c>
      <c r="C2059" s="221" t="s">
        <v>4151</v>
      </c>
    </row>
    <row r="2060" spans="1:3" x14ac:dyDescent="0.25">
      <c r="A2060" s="222">
        <v>230046</v>
      </c>
      <c r="B2060" s="223" t="s">
        <v>4150</v>
      </c>
      <c r="C2060" s="221" t="s">
        <v>4152</v>
      </c>
    </row>
    <row r="2061" spans="1:3" x14ac:dyDescent="0.25">
      <c r="A2061" s="222">
        <v>230047</v>
      </c>
      <c r="B2061" s="223" t="s">
        <v>4154</v>
      </c>
      <c r="C2061" s="221" t="s">
        <v>4155</v>
      </c>
    </row>
    <row r="2062" spans="1:3" x14ac:dyDescent="0.25">
      <c r="A2062" s="222">
        <v>230047</v>
      </c>
      <c r="B2062" s="223" t="s">
        <v>4154</v>
      </c>
      <c r="C2062" s="221" t="s">
        <v>4153</v>
      </c>
    </row>
    <row r="2063" spans="1:3" x14ac:dyDescent="0.25">
      <c r="A2063" s="222">
        <v>230048</v>
      </c>
      <c r="B2063" s="223" t="s">
        <v>4157</v>
      </c>
      <c r="C2063" s="221" t="s">
        <v>4158</v>
      </c>
    </row>
    <row r="2064" spans="1:3" x14ac:dyDescent="0.25">
      <c r="A2064" s="222">
        <v>230048</v>
      </c>
      <c r="B2064" s="223" t="s">
        <v>4157</v>
      </c>
      <c r="C2064" s="221" t="s">
        <v>4156</v>
      </c>
    </row>
    <row r="2065" spans="1:3" x14ac:dyDescent="0.25">
      <c r="A2065" s="222">
        <v>230049</v>
      </c>
      <c r="B2065" s="223" t="s">
        <v>4160</v>
      </c>
      <c r="C2065" s="221" t="s">
        <v>4161</v>
      </c>
    </row>
    <row r="2066" spans="1:3" x14ac:dyDescent="0.25">
      <c r="A2066" s="222">
        <v>230049</v>
      </c>
      <c r="B2066" s="223" t="s">
        <v>4160</v>
      </c>
      <c r="C2066" s="221" t="s">
        <v>4159</v>
      </c>
    </row>
    <row r="2067" spans="1:3" x14ac:dyDescent="0.25">
      <c r="A2067" s="222">
        <v>230050</v>
      </c>
      <c r="B2067" s="223" t="s">
        <v>4163</v>
      </c>
      <c r="C2067" s="221" t="s">
        <v>4164</v>
      </c>
    </row>
    <row r="2068" spans="1:3" x14ac:dyDescent="0.25">
      <c r="A2068" s="222">
        <v>230050</v>
      </c>
      <c r="B2068" s="223" t="s">
        <v>4163</v>
      </c>
      <c r="C2068" s="221" t="s">
        <v>4162</v>
      </c>
    </row>
    <row r="2069" spans="1:3" x14ac:dyDescent="0.25">
      <c r="A2069" s="222">
        <v>230051</v>
      </c>
      <c r="B2069" s="223" t="s">
        <v>4165</v>
      </c>
      <c r="C2069" s="221" t="s">
        <v>4166</v>
      </c>
    </row>
    <row r="2070" spans="1:3" x14ac:dyDescent="0.25">
      <c r="A2070" s="222">
        <v>230051</v>
      </c>
      <c r="B2070" s="223" t="s">
        <v>4165</v>
      </c>
      <c r="C2070" s="221" t="s">
        <v>4167</v>
      </c>
    </row>
    <row r="2071" spans="1:3" x14ac:dyDescent="0.25">
      <c r="A2071" s="222">
        <v>230052</v>
      </c>
      <c r="B2071" s="223" t="s">
        <v>4168</v>
      </c>
      <c r="C2071" s="221" t="s">
        <v>4169</v>
      </c>
    </row>
    <row r="2072" spans="1:3" x14ac:dyDescent="0.25">
      <c r="A2072" s="222">
        <v>230052</v>
      </c>
      <c r="B2072" s="223" t="s">
        <v>4168</v>
      </c>
      <c r="C2072" s="221" t="s">
        <v>4170</v>
      </c>
    </row>
    <row r="2073" spans="1:3" x14ac:dyDescent="0.25">
      <c r="A2073" s="222">
        <v>230053</v>
      </c>
      <c r="B2073" s="223" t="s">
        <v>4172</v>
      </c>
      <c r="C2073" s="221" t="s">
        <v>4173</v>
      </c>
    </row>
    <row r="2074" spans="1:3" x14ac:dyDescent="0.25">
      <c r="A2074" s="222">
        <v>230053</v>
      </c>
      <c r="B2074" s="223" t="s">
        <v>4172</v>
      </c>
      <c r="C2074" s="221" t="s">
        <v>4171</v>
      </c>
    </row>
    <row r="2075" spans="1:3" x14ac:dyDescent="0.25">
      <c r="A2075" s="222">
        <v>230054</v>
      </c>
      <c r="B2075" s="223" t="s">
        <v>4175</v>
      </c>
      <c r="C2075" s="221" t="s">
        <v>4176</v>
      </c>
    </row>
    <row r="2076" spans="1:3" x14ac:dyDescent="0.25">
      <c r="A2076" s="222">
        <v>230054</v>
      </c>
      <c r="B2076" s="223" t="s">
        <v>4175</v>
      </c>
      <c r="C2076" s="221" t="s">
        <v>4174</v>
      </c>
    </row>
    <row r="2077" spans="1:3" x14ac:dyDescent="0.25">
      <c r="A2077" s="222">
        <v>230055</v>
      </c>
      <c r="B2077" s="223" t="s">
        <v>4178</v>
      </c>
      <c r="C2077" s="221" t="s">
        <v>4179</v>
      </c>
    </row>
    <row r="2078" spans="1:3" x14ac:dyDescent="0.25">
      <c r="A2078" s="222">
        <v>230055</v>
      </c>
      <c r="B2078" s="223" t="s">
        <v>4178</v>
      </c>
      <c r="C2078" s="221" t="s">
        <v>4177</v>
      </c>
    </row>
    <row r="2079" spans="1:3" x14ac:dyDescent="0.25">
      <c r="A2079" s="222">
        <v>230056</v>
      </c>
      <c r="B2079" s="223" t="s">
        <v>4181</v>
      </c>
      <c r="C2079" s="221" t="s">
        <v>4182</v>
      </c>
    </row>
    <row r="2080" spans="1:3" x14ac:dyDescent="0.25">
      <c r="A2080" s="222">
        <v>230056</v>
      </c>
      <c r="B2080" s="223" t="s">
        <v>4181</v>
      </c>
      <c r="C2080" s="221" t="s">
        <v>4180</v>
      </c>
    </row>
    <row r="2081" spans="1:3" x14ac:dyDescent="0.25">
      <c r="A2081" s="222">
        <v>230057</v>
      </c>
      <c r="B2081" s="223" t="s">
        <v>4184</v>
      </c>
      <c r="C2081" s="221" t="s">
        <v>4185</v>
      </c>
    </row>
    <row r="2082" spans="1:3" x14ac:dyDescent="0.25">
      <c r="A2082" s="222">
        <v>230057</v>
      </c>
      <c r="B2082" s="223" t="s">
        <v>4184</v>
      </c>
      <c r="C2082" s="221" t="s">
        <v>4183</v>
      </c>
    </row>
    <row r="2083" spans="1:3" x14ac:dyDescent="0.25">
      <c r="A2083" s="222">
        <v>230058</v>
      </c>
      <c r="B2083" s="223" t="s">
        <v>4186</v>
      </c>
      <c r="C2083" s="221" t="s">
        <v>4187</v>
      </c>
    </row>
    <row r="2084" spans="1:3" x14ac:dyDescent="0.25">
      <c r="A2084" s="222">
        <v>230058</v>
      </c>
      <c r="B2084" s="223" t="s">
        <v>4186</v>
      </c>
      <c r="C2084" s="221" t="s">
        <v>4188</v>
      </c>
    </row>
    <row r="2085" spans="1:3" x14ac:dyDescent="0.25">
      <c r="A2085" s="222">
        <v>230058</v>
      </c>
      <c r="B2085" s="223" t="s">
        <v>4186</v>
      </c>
      <c r="C2085" s="221" t="s">
        <v>4189</v>
      </c>
    </row>
    <row r="2086" spans="1:3" x14ac:dyDescent="0.25">
      <c r="A2086" s="222">
        <v>230059</v>
      </c>
      <c r="B2086" s="223" t="s">
        <v>4190</v>
      </c>
      <c r="C2086" s="221" t="s">
        <v>4191</v>
      </c>
    </row>
    <row r="2087" spans="1:3" x14ac:dyDescent="0.25">
      <c r="A2087" s="222">
        <v>230059</v>
      </c>
      <c r="B2087" s="223" t="s">
        <v>4190</v>
      </c>
      <c r="C2087" s="221" t="s">
        <v>4192</v>
      </c>
    </row>
    <row r="2088" spans="1:3" x14ac:dyDescent="0.25">
      <c r="A2088" s="222">
        <v>230060</v>
      </c>
      <c r="B2088" s="223" t="s">
        <v>4194</v>
      </c>
      <c r="C2088" s="221" t="s">
        <v>4195</v>
      </c>
    </row>
    <row r="2089" spans="1:3" x14ac:dyDescent="0.25">
      <c r="A2089" s="222">
        <v>230060</v>
      </c>
      <c r="B2089" s="223" t="s">
        <v>4194</v>
      </c>
      <c r="C2089" s="221" t="s">
        <v>4193</v>
      </c>
    </row>
    <row r="2090" spans="1:3" x14ac:dyDescent="0.25">
      <c r="A2090" s="222">
        <v>230061</v>
      </c>
      <c r="B2090" s="223" t="s">
        <v>4197</v>
      </c>
      <c r="C2090" s="221" t="s">
        <v>4198</v>
      </c>
    </row>
    <row r="2091" spans="1:3" x14ac:dyDescent="0.25">
      <c r="A2091" s="222">
        <v>230061</v>
      </c>
      <c r="B2091" s="223" t="s">
        <v>4197</v>
      </c>
      <c r="C2091" s="221" t="s">
        <v>4196</v>
      </c>
    </row>
    <row r="2092" spans="1:3" x14ac:dyDescent="0.25">
      <c r="A2092" s="222">
        <v>230062</v>
      </c>
      <c r="B2092" s="223" t="s">
        <v>4200</v>
      </c>
      <c r="C2092" s="221" t="s">
        <v>4201</v>
      </c>
    </row>
    <row r="2093" spans="1:3" x14ac:dyDescent="0.25">
      <c r="A2093" s="222">
        <v>230062</v>
      </c>
      <c r="B2093" s="223" t="s">
        <v>4200</v>
      </c>
      <c r="C2093" s="221" t="s">
        <v>4199</v>
      </c>
    </row>
    <row r="2094" spans="1:3" x14ac:dyDescent="0.25">
      <c r="A2094" s="222">
        <v>230063</v>
      </c>
      <c r="B2094" s="223" t="s">
        <v>4203</v>
      </c>
      <c r="C2094" s="221" t="s">
        <v>4204</v>
      </c>
    </row>
    <row r="2095" spans="1:3" x14ac:dyDescent="0.25">
      <c r="A2095" s="222">
        <v>230063</v>
      </c>
      <c r="B2095" s="223" t="s">
        <v>4203</v>
      </c>
      <c r="C2095" s="221" t="s">
        <v>4202</v>
      </c>
    </row>
    <row r="2096" spans="1:3" x14ac:dyDescent="0.25">
      <c r="A2096" s="222">
        <v>230064</v>
      </c>
      <c r="B2096" s="223" t="s">
        <v>4206</v>
      </c>
      <c r="C2096" s="221" t="s">
        <v>4207</v>
      </c>
    </row>
    <row r="2097" spans="1:3" x14ac:dyDescent="0.25">
      <c r="A2097" s="222">
        <v>230064</v>
      </c>
      <c r="B2097" s="223" t="s">
        <v>4206</v>
      </c>
      <c r="C2097" s="221" t="s">
        <v>4205</v>
      </c>
    </row>
    <row r="2098" spans="1:3" x14ac:dyDescent="0.25">
      <c r="A2098" s="222">
        <v>230065</v>
      </c>
      <c r="B2098" s="223" t="s">
        <v>4209</v>
      </c>
      <c r="C2098" s="221" t="s">
        <v>4210</v>
      </c>
    </row>
    <row r="2099" spans="1:3" x14ac:dyDescent="0.25">
      <c r="A2099" s="222">
        <v>230065</v>
      </c>
      <c r="B2099" s="223" t="s">
        <v>4209</v>
      </c>
      <c r="C2099" s="221" t="s">
        <v>4208</v>
      </c>
    </row>
    <row r="2100" spans="1:3" x14ac:dyDescent="0.25">
      <c r="A2100" s="222">
        <v>230066</v>
      </c>
      <c r="B2100" s="223" t="s">
        <v>4212</v>
      </c>
      <c r="C2100" s="221" t="s">
        <v>4213</v>
      </c>
    </row>
    <row r="2101" spans="1:3" x14ac:dyDescent="0.25">
      <c r="A2101" s="222">
        <v>230066</v>
      </c>
      <c r="B2101" s="223" t="s">
        <v>4212</v>
      </c>
      <c r="C2101" s="221" t="s">
        <v>4211</v>
      </c>
    </row>
    <row r="2102" spans="1:3" x14ac:dyDescent="0.25">
      <c r="A2102" s="222">
        <v>230067</v>
      </c>
      <c r="B2102" s="223" t="s">
        <v>4215</v>
      </c>
      <c r="C2102" s="221" t="s">
        <v>4216</v>
      </c>
    </row>
    <row r="2103" spans="1:3" x14ac:dyDescent="0.25">
      <c r="A2103" s="222">
        <v>230067</v>
      </c>
      <c r="B2103" s="223" t="s">
        <v>4215</v>
      </c>
      <c r="C2103" s="221" t="s">
        <v>4214</v>
      </c>
    </row>
    <row r="2104" spans="1:3" x14ac:dyDescent="0.25">
      <c r="A2104" s="222">
        <v>230068</v>
      </c>
      <c r="B2104" s="223" t="s">
        <v>4218</v>
      </c>
      <c r="C2104" s="221" t="s">
        <v>4219</v>
      </c>
    </row>
    <row r="2105" spans="1:3" x14ac:dyDescent="0.25">
      <c r="A2105" s="222">
        <v>230068</v>
      </c>
      <c r="B2105" s="223" t="s">
        <v>4218</v>
      </c>
      <c r="C2105" s="221" t="s">
        <v>4217</v>
      </c>
    </row>
    <row r="2106" spans="1:3" x14ac:dyDescent="0.25">
      <c r="A2106" s="222">
        <v>230069</v>
      </c>
      <c r="B2106" s="223" t="s">
        <v>4221</v>
      </c>
      <c r="C2106" s="221" t="s">
        <v>4222</v>
      </c>
    </row>
    <row r="2107" spans="1:3" x14ac:dyDescent="0.25">
      <c r="A2107" s="222">
        <v>230069</v>
      </c>
      <c r="B2107" s="223" t="s">
        <v>4221</v>
      </c>
      <c r="C2107" s="221" t="s">
        <v>4220</v>
      </c>
    </row>
    <row r="2108" spans="1:3" x14ac:dyDescent="0.25">
      <c r="A2108" s="222">
        <v>230070</v>
      </c>
      <c r="B2108" s="223" t="s">
        <v>4224</v>
      </c>
      <c r="C2108" s="221" t="s">
        <v>4225</v>
      </c>
    </row>
    <row r="2109" spans="1:3" x14ac:dyDescent="0.25">
      <c r="A2109" s="222">
        <v>230070</v>
      </c>
      <c r="B2109" s="223" t="s">
        <v>4224</v>
      </c>
      <c r="C2109" s="221" t="s">
        <v>4223</v>
      </c>
    </row>
    <row r="2110" spans="1:3" x14ac:dyDescent="0.25">
      <c r="A2110" s="222">
        <v>230071</v>
      </c>
      <c r="B2110" s="223" t="s">
        <v>4227</v>
      </c>
      <c r="C2110" s="221" t="s">
        <v>4228</v>
      </c>
    </row>
    <row r="2111" spans="1:3" x14ac:dyDescent="0.25">
      <c r="A2111" s="222">
        <v>230071</v>
      </c>
      <c r="B2111" s="223" t="s">
        <v>4227</v>
      </c>
      <c r="C2111" s="221" t="s">
        <v>4226</v>
      </c>
    </row>
    <row r="2112" spans="1:3" x14ac:dyDescent="0.25">
      <c r="A2112" s="222">
        <v>230072</v>
      </c>
      <c r="B2112" s="223" t="s">
        <v>4230</v>
      </c>
      <c r="C2112" s="221" t="s">
        <v>4231</v>
      </c>
    </row>
    <row r="2113" spans="1:3" x14ac:dyDescent="0.25">
      <c r="A2113" s="222">
        <v>230072</v>
      </c>
      <c r="B2113" s="223" t="s">
        <v>4230</v>
      </c>
      <c r="C2113" s="221" t="s">
        <v>4229</v>
      </c>
    </row>
    <row r="2114" spans="1:3" x14ac:dyDescent="0.25">
      <c r="A2114" s="222">
        <v>230073</v>
      </c>
      <c r="B2114" s="223" t="s">
        <v>4233</v>
      </c>
      <c r="C2114" s="221" t="s">
        <v>4234</v>
      </c>
    </row>
    <row r="2115" spans="1:3" x14ac:dyDescent="0.25">
      <c r="A2115" s="222">
        <v>230073</v>
      </c>
      <c r="B2115" s="223" t="s">
        <v>4233</v>
      </c>
      <c r="C2115" s="221" t="s">
        <v>4232</v>
      </c>
    </row>
    <row r="2116" spans="1:3" x14ac:dyDescent="0.25">
      <c r="A2116" s="222">
        <v>230074</v>
      </c>
      <c r="B2116" s="223" t="s">
        <v>4236</v>
      </c>
      <c r="C2116" s="221" t="s">
        <v>4237</v>
      </c>
    </row>
    <row r="2117" spans="1:3" x14ac:dyDescent="0.25">
      <c r="A2117" s="222">
        <v>230074</v>
      </c>
      <c r="B2117" s="223" t="s">
        <v>4236</v>
      </c>
      <c r="C2117" s="221" t="s">
        <v>4235</v>
      </c>
    </row>
    <row r="2118" spans="1:3" x14ac:dyDescent="0.25">
      <c r="A2118" s="222">
        <v>230075</v>
      </c>
      <c r="B2118" s="223" t="s">
        <v>4239</v>
      </c>
      <c r="C2118" s="221" t="s">
        <v>4240</v>
      </c>
    </row>
    <row r="2119" spans="1:3" x14ac:dyDescent="0.25">
      <c r="A2119" s="222">
        <v>230075</v>
      </c>
      <c r="B2119" s="223" t="s">
        <v>4239</v>
      </c>
      <c r="C2119" s="221" t="s">
        <v>4238</v>
      </c>
    </row>
    <row r="2120" spans="1:3" x14ac:dyDescent="0.25">
      <c r="A2120" s="222">
        <v>230076</v>
      </c>
      <c r="B2120" s="223" t="s">
        <v>4242</v>
      </c>
      <c r="C2120" s="221" t="s">
        <v>4243</v>
      </c>
    </row>
    <row r="2121" spans="1:3" x14ac:dyDescent="0.25">
      <c r="A2121" s="222">
        <v>230076</v>
      </c>
      <c r="B2121" s="223" t="s">
        <v>4242</v>
      </c>
      <c r="C2121" s="221" t="s">
        <v>4241</v>
      </c>
    </row>
    <row r="2122" spans="1:3" x14ac:dyDescent="0.25">
      <c r="A2122" s="222">
        <v>230077</v>
      </c>
      <c r="B2122" s="223" t="s">
        <v>4245</v>
      </c>
      <c r="C2122" s="221" t="s">
        <v>4246</v>
      </c>
    </row>
    <row r="2123" spans="1:3" x14ac:dyDescent="0.25">
      <c r="A2123" s="222">
        <v>230077</v>
      </c>
      <c r="B2123" s="223" t="s">
        <v>4245</v>
      </c>
      <c r="C2123" s="221" t="s">
        <v>4244</v>
      </c>
    </row>
    <row r="2124" spans="1:3" x14ac:dyDescent="0.25">
      <c r="A2124" s="222">
        <v>230078</v>
      </c>
      <c r="B2124" s="223" t="s">
        <v>4248</v>
      </c>
      <c r="C2124" s="221" t="s">
        <v>4249</v>
      </c>
    </row>
    <row r="2125" spans="1:3" x14ac:dyDescent="0.25">
      <c r="A2125" s="222">
        <v>230078</v>
      </c>
      <c r="B2125" s="223" t="s">
        <v>4248</v>
      </c>
      <c r="C2125" s="221" t="s">
        <v>4247</v>
      </c>
    </row>
    <row r="2126" spans="1:3" x14ac:dyDescent="0.25">
      <c r="A2126" s="222">
        <v>230079</v>
      </c>
      <c r="B2126" s="223" t="s">
        <v>4251</v>
      </c>
      <c r="C2126" s="221" t="s">
        <v>4252</v>
      </c>
    </row>
    <row r="2127" spans="1:3" x14ac:dyDescent="0.25">
      <c r="A2127" s="222">
        <v>230079</v>
      </c>
      <c r="B2127" s="223" t="s">
        <v>4251</v>
      </c>
      <c r="C2127" s="221" t="s">
        <v>4250</v>
      </c>
    </row>
    <row r="2128" spans="1:3" x14ac:dyDescent="0.25">
      <c r="A2128" s="222">
        <v>230080</v>
      </c>
      <c r="B2128" s="223" t="s">
        <v>4254</v>
      </c>
      <c r="C2128" s="221" t="s">
        <v>4255</v>
      </c>
    </row>
    <row r="2129" spans="1:3" x14ac:dyDescent="0.25">
      <c r="A2129" s="222">
        <v>230080</v>
      </c>
      <c r="B2129" s="223" t="s">
        <v>4254</v>
      </c>
      <c r="C2129" s="221" t="s">
        <v>4253</v>
      </c>
    </row>
    <row r="2130" spans="1:3" x14ac:dyDescent="0.25">
      <c r="A2130" s="222">
        <v>230081</v>
      </c>
      <c r="B2130" s="223" t="s">
        <v>4257</v>
      </c>
      <c r="C2130" s="221" t="s">
        <v>4256</v>
      </c>
    </row>
    <row r="2131" spans="1:3" x14ac:dyDescent="0.25">
      <c r="A2131" s="222">
        <v>230082</v>
      </c>
      <c r="B2131" s="223" t="s">
        <v>4259</v>
      </c>
      <c r="C2131" s="221" t="s">
        <v>4258</v>
      </c>
    </row>
    <row r="2132" spans="1:3" x14ac:dyDescent="0.25">
      <c r="A2132" s="222">
        <v>230083</v>
      </c>
      <c r="B2132" s="223" t="s">
        <v>4261</v>
      </c>
      <c r="C2132" s="221" t="s">
        <v>4260</v>
      </c>
    </row>
    <row r="2133" spans="1:3" x14ac:dyDescent="0.25">
      <c r="A2133" s="222">
        <v>230084</v>
      </c>
      <c r="B2133" s="223" t="s">
        <v>4263</v>
      </c>
      <c r="C2133" s="221" t="s">
        <v>4264</v>
      </c>
    </row>
    <row r="2134" spans="1:3" x14ac:dyDescent="0.25">
      <c r="A2134" s="222">
        <v>230084</v>
      </c>
      <c r="B2134" s="223" t="s">
        <v>4263</v>
      </c>
      <c r="C2134" s="221" t="s">
        <v>4262</v>
      </c>
    </row>
    <row r="2135" spans="1:3" x14ac:dyDescent="0.25">
      <c r="A2135" s="222">
        <v>230085</v>
      </c>
      <c r="B2135" s="223" t="s">
        <v>4266</v>
      </c>
      <c r="C2135" s="221" t="s">
        <v>4265</v>
      </c>
    </row>
    <row r="2136" spans="1:3" x14ac:dyDescent="0.25">
      <c r="A2136" s="222">
        <v>230086</v>
      </c>
      <c r="B2136" s="223" t="s">
        <v>4268</v>
      </c>
      <c r="C2136" s="221" t="s">
        <v>4267</v>
      </c>
    </row>
    <row r="2137" spans="1:3" x14ac:dyDescent="0.25">
      <c r="A2137" s="222">
        <v>230091</v>
      </c>
      <c r="B2137" s="223" t="s">
        <v>4269</v>
      </c>
      <c r="C2137" s="221" t="s">
        <v>4270</v>
      </c>
    </row>
    <row r="2138" spans="1:3" x14ac:dyDescent="0.25">
      <c r="A2138" s="222">
        <v>230091</v>
      </c>
      <c r="B2138" s="223" t="s">
        <v>4269</v>
      </c>
      <c r="C2138" s="221" t="s">
        <v>4271</v>
      </c>
    </row>
    <row r="2139" spans="1:3" x14ac:dyDescent="0.25">
      <c r="A2139" s="222">
        <v>230092</v>
      </c>
      <c r="B2139" s="223" t="s">
        <v>4273</v>
      </c>
      <c r="C2139" s="221" t="s">
        <v>4272</v>
      </c>
    </row>
    <row r="2140" spans="1:3" x14ac:dyDescent="0.25">
      <c r="A2140" s="222">
        <v>230092</v>
      </c>
      <c r="B2140" s="223" t="s">
        <v>4273</v>
      </c>
      <c r="C2140" s="221" t="s">
        <v>4272</v>
      </c>
    </row>
    <row r="2141" spans="1:3" x14ac:dyDescent="0.25">
      <c r="A2141" s="222">
        <v>230093</v>
      </c>
      <c r="B2141" s="223" t="s">
        <v>4275</v>
      </c>
      <c r="C2141" s="221" t="s">
        <v>4274</v>
      </c>
    </row>
    <row r="2142" spans="1:3" x14ac:dyDescent="0.25">
      <c r="A2142" s="222">
        <v>230094</v>
      </c>
      <c r="B2142" s="223" t="s">
        <v>4277</v>
      </c>
      <c r="C2142" s="221" t="s">
        <v>4276</v>
      </c>
    </row>
    <row r="2143" spans="1:3" x14ac:dyDescent="0.25">
      <c r="A2143" s="222">
        <v>230095</v>
      </c>
      <c r="B2143" s="223" t="s">
        <v>4279</v>
      </c>
      <c r="C2143" s="221" t="s">
        <v>4278</v>
      </c>
    </row>
    <row r="2144" spans="1:3" x14ac:dyDescent="0.25">
      <c r="A2144" s="222">
        <v>230096</v>
      </c>
      <c r="B2144" s="223" t="s">
        <v>4280</v>
      </c>
      <c r="C2144" s="221" t="s">
        <v>4281</v>
      </c>
    </row>
    <row r="2145" spans="1:3" x14ac:dyDescent="0.25">
      <c r="A2145" s="222">
        <v>230100</v>
      </c>
      <c r="B2145" s="223" t="s">
        <v>4283</v>
      </c>
      <c r="C2145" s="221" t="s">
        <v>4282</v>
      </c>
    </row>
    <row r="2146" spans="1:3" x14ac:dyDescent="0.25">
      <c r="A2146" s="222">
        <v>230112</v>
      </c>
      <c r="B2146" s="223" t="s">
        <v>4285</v>
      </c>
      <c r="C2146" s="221" t="s">
        <v>4284</v>
      </c>
    </row>
    <row r="2147" spans="1:3" x14ac:dyDescent="0.25">
      <c r="A2147" s="222">
        <v>230120</v>
      </c>
      <c r="B2147" s="223" t="s">
        <v>4286</v>
      </c>
      <c r="C2147" s="221" t="s">
        <v>4287</v>
      </c>
    </row>
    <row r="2148" spans="1:3" x14ac:dyDescent="0.25">
      <c r="A2148" s="222">
        <v>240001</v>
      </c>
      <c r="B2148" s="223" t="s">
        <v>4289</v>
      </c>
      <c r="C2148" s="221" t="s">
        <v>4290</v>
      </c>
    </row>
    <row r="2149" spans="1:3" x14ac:dyDescent="0.25">
      <c r="A2149" s="222">
        <v>240001</v>
      </c>
      <c r="B2149" s="223" t="s">
        <v>4289</v>
      </c>
      <c r="C2149" s="221" t="s">
        <v>4288</v>
      </c>
    </row>
    <row r="2150" spans="1:3" x14ac:dyDescent="0.25">
      <c r="A2150" s="222">
        <v>240002</v>
      </c>
      <c r="B2150" s="223" t="s">
        <v>4292</v>
      </c>
      <c r="C2150" s="221" t="s">
        <v>4293</v>
      </c>
    </row>
    <row r="2151" spans="1:3" x14ac:dyDescent="0.25">
      <c r="A2151" s="222">
        <v>240002</v>
      </c>
      <c r="B2151" s="223" t="s">
        <v>4292</v>
      </c>
      <c r="C2151" s="221" t="s">
        <v>4291</v>
      </c>
    </row>
    <row r="2152" spans="1:3" x14ac:dyDescent="0.25">
      <c r="A2152" s="222">
        <v>240003</v>
      </c>
      <c r="B2152" s="223" t="s">
        <v>4295</v>
      </c>
      <c r="C2152" s="221" t="s">
        <v>4296</v>
      </c>
    </row>
    <row r="2153" spans="1:3" x14ac:dyDescent="0.25">
      <c r="A2153" s="222">
        <v>240003</v>
      </c>
      <c r="B2153" s="223" t="s">
        <v>4295</v>
      </c>
      <c r="C2153" s="221" t="s">
        <v>4294</v>
      </c>
    </row>
    <row r="2154" spans="1:3" x14ac:dyDescent="0.25">
      <c r="A2154" s="222">
        <v>240004</v>
      </c>
      <c r="B2154" s="223" t="s">
        <v>4298</v>
      </c>
      <c r="C2154" s="221" t="s">
        <v>4299</v>
      </c>
    </row>
    <row r="2155" spans="1:3" x14ac:dyDescent="0.25">
      <c r="A2155" s="222">
        <v>240004</v>
      </c>
      <c r="B2155" s="223" t="s">
        <v>4298</v>
      </c>
      <c r="C2155" s="221" t="s">
        <v>4297</v>
      </c>
    </row>
    <row r="2156" spans="1:3" x14ac:dyDescent="0.25">
      <c r="A2156" s="222">
        <v>240005</v>
      </c>
      <c r="B2156" s="223" t="s">
        <v>4301</v>
      </c>
      <c r="C2156" s="221" t="s">
        <v>4231</v>
      </c>
    </row>
    <row r="2157" spans="1:3" x14ac:dyDescent="0.25">
      <c r="A2157" s="222">
        <v>240005</v>
      </c>
      <c r="B2157" s="223" t="s">
        <v>4301</v>
      </c>
      <c r="C2157" s="221" t="s">
        <v>4300</v>
      </c>
    </row>
    <row r="2158" spans="1:3" x14ac:dyDescent="0.25">
      <c r="A2158" s="222">
        <v>240006</v>
      </c>
      <c r="B2158" s="223" t="s">
        <v>4302</v>
      </c>
      <c r="C2158" s="221" t="s">
        <v>4303</v>
      </c>
    </row>
    <row r="2159" spans="1:3" x14ac:dyDescent="0.25">
      <c r="A2159" s="222">
        <v>240006</v>
      </c>
      <c r="B2159" s="223" t="s">
        <v>4302</v>
      </c>
      <c r="C2159" s="221" t="s">
        <v>4304</v>
      </c>
    </row>
    <row r="2160" spans="1:3" x14ac:dyDescent="0.25">
      <c r="A2160" s="222">
        <v>240007</v>
      </c>
      <c r="B2160" s="223" t="s">
        <v>4306</v>
      </c>
      <c r="C2160" s="221" t="s">
        <v>4303</v>
      </c>
    </row>
    <row r="2161" spans="1:3" x14ac:dyDescent="0.25">
      <c r="A2161" s="222">
        <v>240007</v>
      </c>
      <c r="B2161" s="223" t="s">
        <v>4306</v>
      </c>
      <c r="C2161" s="221" t="s">
        <v>4305</v>
      </c>
    </row>
    <row r="2162" spans="1:3" x14ac:dyDescent="0.25">
      <c r="A2162" s="222">
        <v>240008</v>
      </c>
      <c r="B2162" s="223" t="s">
        <v>4308</v>
      </c>
      <c r="C2162" s="221" t="s">
        <v>4309</v>
      </c>
    </row>
    <row r="2163" spans="1:3" x14ac:dyDescent="0.25">
      <c r="A2163" s="222">
        <v>240008</v>
      </c>
      <c r="B2163" s="223" t="s">
        <v>4308</v>
      </c>
      <c r="C2163" s="221" t="s">
        <v>4307</v>
      </c>
    </row>
    <row r="2164" spans="1:3" x14ac:dyDescent="0.25">
      <c r="A2164" s="222">
        <v>240009</v>
      </c>
      <c r="B2164" s="223" t="s">
        <v>4311</v>
      </c>
      <c r="C2164" s="221" t="s">
        <v>4312</v>
      </c>
    </row>
    <row r="2165" spans="1:3" x14ac:dyDescent="0.25">
      <c r="A2165" s="222">
        <v>240009</v>
      </c>
      <c r="B2165" s="223" t="s">
        <v>4311</v>
      </c>
      <c r="C2165" s="221" t="s">
        <v>4310</v>
      </c>
    </row>
    <row r="2166" spans="1:3" x14ac:dyDescent="0.25">
      <c r="A2166" s="222">
        <v>240010</v>
      </c>
      <c r="B2166" s="223" t="s">
        <v>4314</v>
      </c>
      <c r="C2166" s="221" t="s">
        <v>4315</v>
      </c>
    </row>
    <row r="2167" spans="1:3" x14ac:dyDescent="0.25">
      <c r="A2167" s="222">
        <v>240010</v>
      </c>
      <c r="B2167" s="223" t="s">
        <v>4314</v>
      </c>
      <c r="C2167" s="221" t="s">
        <v>4313</v>
      </c>
    </row>
    <row r="2168" spans="1:3" x14ac:dyDescent="0.25">
      <c r="A2168" s="222">
        <v>240011</v>
      </c>
      <c r="B2168" s="223" t="s">
        <v>4317</v>
      </c>
      <c r="C2168" s="221" t="s">
        <v>4318</v>
      </c>
    </row>
    <row r="2169" spans="1:3" x14ac:dyDescent="0.25">
      <c r="A2169" s="222">
        <v>240011</v>
      </c>
      <c r="B2169" s="223" t="s">
        <v>4317</v>
      </c>
      <c r="C2169" s="221" t="s">
        <v>4319</v>
      </c>
    </row>
    <row r="2170" spans="1:3" x14ac:dyDescent="0.25">
      <c r="A2170" s="222">
        <v>240011</v>
      </c>
      <c r="B2170" s="223" t="s">
        <v>4317</v>
      </c>
      <c r="C2170" s="221" t="s">
        <v>4316</v>
      </c>
    </row>
    <row r="2171" spans="1:3" x14ac:dyDescent="0.25">
      <c r="A2171" s="222">
        <v>240012</v>
      </c>
      <c r="B2171" s="223" t="s">
        <v>4321</v>
      </c>
      <c r="C2171" s="221" t="s">
        <v>4322</v>
      </c>
    </row>
    <row r="2172" spans="1:3" x14ac:dyDescent="0.25">
      <c r="A2172" s="222">
        <v>240012</v>
      </c>
      <c r="B2172" s="223" t="s">
        <v>4321</v>
      </c>
      <c r="C2172" s="221" t="s">
        <v>4320</v>
      </c>
    </row>
    <row r="2173" spans="1:3" x14ac:dyDescent="0.25">
      <c r="A2173" s="222">
        <v>240013</v>
      </c>
      <c r="B2173" s="223" t="s">
        <v>4324</v>
      </c>
      <c r="C2173" s="221" t="s">
        <v>4325</v>
      </c>
    </row>
    <row r="2174" spans="1:3" x14ac:dyDescent="0.25">
      <c r="A2174" s="222">
        <v>240013</v>
      </c>
      <c r="B2174" s="223" t="s">
        <v>4324</v>
      </c>
      <c r="C2174" s="221" t="s">
        <v>4323</v>
      </c>
    </row>
    <row r="2175" spans="1:3" x14ac:dyDescent="0.25">
      <c r="A2175" s="222">
        <v>240014</v>
      </c>
      <c r="B2175" s="223" t="s">
        <v>4327</v>
      </c>
      <c r="C2175" s="221" t="s">
        <v>4328</v>
      </c>
    </row>
    <row r="2176" spans="1:3" x14ac:dyDescent="0.25">
      <c r="A2176" s="222">
        <v>240014</v>
      </c>
      <c r="B2176" s="223" t="s">
        <v>4327</v>
      </c>
      <c r="C2176" s="221" t="s">
        <v>4326</v>
      </c>
    </row>
    <row r="2177" spans="1:3" x14ac:dyDescent="0.25">
      <c r="A2177" s="222">
        <v>240015</v>
      </c>
      <c r="B2177" s="223" t="s">
        <v>4330</v>
      </c>
      <c r="C2177" s="221" t="s">
        <v>4329</v>
      </c>
    </row>
    <row r="2178" spans="1:3" x14ac:dyDescent="0.25">
      <c r="A2178" s="222">
        <v>290001</v>
      </c>
      <c r="B2178" s="223" t="s">
        <v>4332</v>
      </c>
      <c r="C2178" s="221" t="s">
        <v>4333</v>
      </c>
    </row>
    <row r="2179" spans="1:3" x14ac:dyDescent="0.25">
      <c r="A2179" s="222">
        <v>290001</v>
      </c>
      <c r="B2179" s="223" t="s">
        <v>4332</v>
      </c>
      <c r="C2179" s="221" t="s">
        <v>4331</v>
      </c>
    </row>
    <row r="2180" spans="1:3" x14ac:dyDescent="0.25">
      <c r="A2180" s="222">
        <v>290002</v>
      </c>
      <c r="B2180" s="223" t="s">
        <v>4335</v>
      </c>
      <c r="C2180" s="221" t="s">
        <v>4336</v>
      </c>
    </row>
    <row r="2181" spans="1:3" x14ac:dyDescent="0.25">
      <c r="A2181" s="222">
        <v>290002</v>
      </c>
      <c r="B2181" s="223" t="s">
        <v>4335</v>
      </c>
      <c r="C2181" s="221" t="s">
        <v>4334</v>
      </c>
    </row>
    <row r="2182" spans="1:3" x14ac:dyDescent="0.25">
      <c r="A2182" s="222">
        <v>290003</v>
      </c>
      <c r="B2182" s="223" t="s">
        <v>4338</v>
      </c>
      <c r="C2182" s="221" t="s">
        <v>4339</v>
      </c>
    </row>
    <row r="2183" spans="1:3" x14ac:dyDescent="0.25">
      <c r="A2183" s="222">
        <v>290003</v>
      </c>
      <c r="B2183" s="223" t="s">
        <v>4338</v>
      </c>
      <c r="C2183" s="221" t="s">
        <v>4337</v>
      </c>
    </row>
    <row r="2184" spans="1:3" x14ac:dyDescent="0.25">
      <c r="A2184" s="222">
        <v>290004</v>
      </c>
      <c r="B2184" s="223" t="s">
        <v>4341</v>
      </c>
      <c r="C2184" s="221" t="s">
        <v>4342</v>
      </c>
    </row>
    <row r="2185" spans="1:3" x14ac:dyDescent="0.25">
      <c r="A2185" s="222">
        <v>290004</v>
      </c>
      <c r="B2185" s="223" t="s">
        <v>4341</v>
      </c>
      <c r="C2185" s="221" t="s">
        <v>4340</v>
      </c>
    </row>
    <row r="2186" spans="1:3" x14ac:dyDescent="0.25">
      <c r="A2186" s="222">
        <v>290005</v>
      </c>
      <c r="B2186" s="223" t="s">
        <v>4344</v>
      </c>
      <c r="C2186" s="221" t="s">
        <v>4345</v>
      </c>
    </row>
    <row r="2187" spans="1:3" x14ac:dyDescent="0.25">
      <c r="A2187" s="222">
        <v>290005</v>
      </c>
      <c r="B2187" s="223" t="s">
        <v>4344</v>
      </c>
      <c r="C2187" s="221" t="s">
        <v>4343</v>
      </c>
    </row>
    <row r="2188" spans="1:3" x14ac:dyDescent="0.25">
      <c r="A2188" s="222">
        <v>290006</v>
      </c>
      <c r="B2188" s="223" t="s">
        <v>4347</v>
      </c>
      <c r="C2188" s="221" t="s">
        <v>4348</v>
      </c>
    </row>
    <row r="2189" spans="1:3" x14ac:dyDescent="0.25">
      <c r="A2189" s="222">
        <v>290006</v>
      </c>
      <c r="B2189" s="223" t="s">
        <v>4347</v>
      </c>
      <c r="C2189" s="221" t="s">
        <v>4346</v>
      </c>
    </row>
    <row r="2190" spans="1:3" x14ac:dyDescent="0.25">
      <c r="A2190" s="222">
        <v>290007</v>
      </c>
      <c r="B2190" s="223" t="s">
        <v>4350</v>
      </c>
      <c r="C2190" s="221" t="s">
        <v>4351</v>
      </c>
    </row>
    <row r="2191" spans="1:3" x14ac:dyDescent="0.25">
      <c r="A2191" s="222">
        <v>290007</v>
      </c>
      <c r="B2191" s="223" t="s">
        <v>4350</v>
      </c>
      <c r="C2191" s="221" t="s">
        <v>4349</v>
      </c>
    </row>
    <row r="2192" spans="1:3" x14ac:dyDescent="0.25">
      <c r="A2192" s="222">
        <v>290008</v>
      </c>
      <c r="B2192" s="223" t="s">
        <v>4353</v>
      </c>
      <c r="C2192" s="221" t="s">
        <v>4354</v>
      </c>
    </row>
    <row r="2193" spans="1:3" x14ac:dyDescent="0.25">
      <c r="A2193" s="222">
        <v>290008</v>
      </c>
      <c r="B2193" s="223" t="s">
        <v>4353</v>
      </c>
      <c r="C2193" s="221" t="s">
        <v>4352</v>
      </c>
    </row>
    <row r="2194" spans="1:3" x14ac:dyDescent="0.25">
      <c r="A2194" s="222">
        <v>290009</v>
      </c>
      <c r="B2194" s="223" t="s">
        <v>4356</v>
      </c>
      <c r="C2194" s="221" t="s">
        <v>4357</v>
      </c>
    </row>
    <row r="2195" spans="1:3" x14ac:dyDescent="0.25">
      <c r="A2195" s="222">
        <v>290009</v>
      </c>
      <c r="B2195" s="223" t="s">
        <v>4356</v>
      </c>
      <c r="C2195" s="221" t="s">
        <v>4355</v>
      </c>
    </row>
    <row r="2196" spans="1:3" x14ac:dyDescent="0.25">
      <c r="A2196" s="222">
        <v>290010</v>
      </c>
      <c r="B2196" s="223" t="s">
        <v>4359</v>
      </c>
      <c r="C2196" s="221" t="s">
        <v>4360</v>
      </c>
    </row>
    <row r="2197" spans="1:3" x14ac:dyDescent="0.25">
      <c r="A2197" s="222">
        <v>290010</v>
      </c>
      <c r="B2197" s="223" t="s">
        <v>4359</v>
      </c>
      <c r="C2197" s="221" t="s">
        <v>4358</v>
      </c>
    </row>
    <row r="2198" spans="1:3" x14ac:dyDescent="0.25">
      <c r="A2198" s="222">
        <v>290011</v>
      </c>
      <c r="B2198" s="223" t="s">
        <v>4362</v>
      </c>
      <c r="C2198" s="221" t="s">
        <v>4363</v>
      </c>
    </row>
    <row r="2199" spans="1:3" x14ac:dyDescent="0.25">
      <c r="A2199" s="222">
        <v>290011</v>
      </c>
      <c r="B2199" s="223" t="s">
        <v>4362</v>
      </c>
      <c r="C2199" s="221" t="s">
        <v>4361</v>
      </c>
    </row>
    <row r="2200" spans="1:3" x14ac:dyDescent="0.25">
      <c r="A2200" s="222">
        <v>290012</v>
      </c>
      <c r="B2200" s="223" t="s">
        <v>4365</v>
      </c>
      <c r="C2200" s="221" t="s">
        <v>4366</v>
      </c>
    </row>
    <row r="2201" spans="1:3" x14ac:dyDescent="0.25">
      <c r="A2201" s="222">
        <v>290012</v>
      </c>
      <c r="B2201" s="223" t="s">
        <v>4365</v>
      </c>
      <c r="C2201" s="221" t="s">
        <v>4364</v>
      </c>
    </row>
    <row r="2202" spans="1:3" x14ac:dyDescent="0.25">
      <c r="A2202" s="222">
        <v>290013</v>
      </c>
      <c r="B2202" s="223" t="s">
        <v>4368</v>
      </c>
      <c r="C2202" s="221" t="s">
        <v>4369</v>
      </c>
    </row>
    <row r="2203" spans="1:3" x14ac:dyDescent="0.25">
      <c r="A2203" s="222">
        <v>290013</v>
      </c>
      <c r="B2203" s="223" t="s">
        <v>4368</v>
      </c>
      <c r="C2203" s="221" t="s">
        <v>4367</v>
      </c>
    </row>
    <row r="2204" spans="1:3" x14ac:dyDescent="0.25">
      <c r="A2204" s="222">
        <v>290014</v>
      </c>
      <c r="B2204" s="223" t="s">
        <v>4371</v>
      </c>
      <c r="C2204" s="221" t="s">
        <v>4372</v>
      </c>
    </row>
    <row r="2205" spans="1:3" x14ac:dyDescent="0.25">
      <c r="A2205" s="222">
        <v>290014</v>
      </c>
      <c r="B2205" s="223" t="s">
        <v>4371</v>
      </c>
      <c r="C2205" s="221" t="s">
        <v>4370</v>
      </c>
    </row>
    <row r="2206" spans="1:3" x14ac:dyDescent="0.25">
      <c r="A2206" s="222">
        <v>290015</v>
      </c>
      <c r="B2206" s="223" t="s">
        <v>4374</v>
      </c>
      <c r="C2206" s="221" t="s">
        <v>4375</v>
      </c>
    </row>
    <row r="2207" spans="1:3" x14ac:dyDescent="0.25">
      <c r="A2207" s="222">
        <v>290015</v>
      </c>
      <c r="B2207" s="223" t="s">
        <v>4374</v>
      </c>
      <c r="C2207" s="221" t="s">
        <v>4375</v>
      </c>
    </row>
    <row r="2208" spans="1:3" x14ac:dyDescent="0.25">
      <c r="A2208" s="222">
        <v>290015</v>
      </c>
      <c r="B2208" s="223" t="s">
        <v>4374</v>
      </c>
      <c r="C2208" s="221" t="s">
        <v>4373</v>
      </c>
    </row>
    <row r="2209" spans="1:3" x14ac:dyDescent="0.25">
      <c r="A2209" s="222">
        <v>290016</v>
      </c>
      <c r="B2209" s="223" t="s">
        <v>4377</v>
      </c>
      <c r="C2209" s="221" t="s">
        <v>4378</v>
      </c>
    </row>
    <row r="2210" spans="1:3" x14ac:dyDescent="0.25">
      <c r="A2210" s="222">
        <v>290016</v>
      </c>
      <c r="B2210" s="223" t="s">
        <v>4377</v>
      </c>
      <c r="C2210" s="221" t="s">
        <v>4376</v>
      </c>
    </row>
    <row r="2211" spans="1:3" x14ac:dyDescent="0.25">
      <c r="A2211" s="222">
        <v>290017</v>
      </c>
      <c r="B2211" s="223" t="s">
        <v>4380</v>
      </c>
      <c r="C2211" s="221" t="s">
        <v>4379</v>
      </c>
    </row>
    <row r="2212" spans="1:3" x14ac:dyDescent="0.25">
      <c r="A2212" s="222">
        <v>290018</v>
      </c>
      <c r="B2212" s="223" t="s">
        <v>4382</v>
      </c>
      <c r="C2212" s="221" t="s">
        <v>4381</v>
      </c>
    </row>
    <row r="2213" spans="1:3" x14ac:dyDescent="0.25">
      <c r="A2213" s="222">
        <v>290019</v>
      </c>
      <c r="B2213" s="223" t="s">
        <v>4384</v>
      </c>
      <c r="C2213" s="221" t="s">
        <v>4383</v>
      </c>
    </row>
    <row r="2214" spans="1:3" x14ac:dyDescent="0.25">
      <c r="A2214" s="222">
        <v>290020</v>
      </c>
      <c r="B2214" s="223" t="s">
        <v>4386</v>
      </c>
      <c r="C2214" s="221" t="s">
        <v>4385</v>
      </c>
    </row>
    <row r="2215" spans="1:3" x14ac:dyDescent="0.25">
      <c r="A2215" s="222">
        <v>290021</v>
      </c>
      <c r="B2215" s="223" t="s">
        <v>4388</v>
      </c>
      <c r="C2215" s="221" t="s">
        <v>4387</v>
      </c>
    </row>
    <row r="2216" spans="1:3" x14ac:dyDescent="0.25">
      <c r="A2216" s="222">
        <v>290022</v>
      </c>
      <c r="B2216" s="223" t="s">
        <v>4390</v>
      </c>
      <c r="C2216" s="221" t="s">
        <v>4389</v>
      </c>
    </row>
    <row r="2217" spans="1:3" x14ac:dyDescent="0.25">
      <c r="A2217" s="222">
        <v>290023</v>
      </c>
      <c r="B2217" s="223" t="s">
        <v>4392</v>
      </c>
      <c r="C2217" s="221" t="s">
        <v>4393</v>
      </c>
    </row>
    <row r="2218" spans="1:3" x14ac:dyDescent="0.25">
      <c r="A2218" s="222">
        <v>290023</v>
      </c>
      <c r="B2218" s="223" t="s">
        <v>4392</v>
      </c>
      <c r="C2218" s="221" t="s">
        <v>4391</v>
      </c>
    </row>
    <row r="2219" spans="1:3" x14ac:dyDescent="0.25">
      <c r="A2219" s="222">
        <v>290024</v>
      </c>
      <c r="B2219" s="223" t="s">
        <v>4395</v>
      </c>
      <c r="C2219" s="221" t="s">
        <v>4396</v>
      </c>
    </row>
    <row r="2220" spans="1:3" x14ac:dyDescent="0.25">
      <c r="A2220" s="222">
        <v>290024</v>
      </c>
      <c r="B2220" s="223" t="s">
        <v>4395</v>
      </c>
      <c r="C2220" s="221" t="s">
        <v>4394</v>
      </c>
    </row>
    <row r="2221" spans="1:3" x14ac:dyDescent="0.25">
      <c r="A2221" s="222">
        <v>290025</v>
      </c>
      <c r="B2221" s="223" t="s">
        <v>4398</v>
      </c>
      <c r="C2221" s="221" t="s">
        <v>4399</v>
      </c>
    </row>
    <row r="2222" spans="1:3" x14ac:dyDescent="0.25">
      <c r="A2222" s="222">
        <v>290025</v>
      </c>
      <c r="B2222" s="223" t="s">
        <v>4398</v>
      </c>
      <c r="C2222" s="221" t="s">
        <v>4397</v>
      </c>
    </row>
    <row r="2223" spans="1:3" x14ac:dyDescent="0.25">
      <c r="A2223" s="222">
        <v>290026</v>
      </c>
      <c r="B2223" s="223" t="s">
        <v>4401</v>
      </c>
      <c r="C2223" s="221" t="s">
        <v>4402</v>
      </c>
    </row>
    <row r="2224" spans="1:3" x14ac:dyDescent="0.25">
      <c r="A2224" s="222">
        <v>290026</v>
      </c>
      <c r="B2224" s="223" t="s">
        <v>4401</v>
      </c>
      <c r="C2224" s="221" t="s">
        <v>4400</v>
      </c>
    </row>
    <row r="2225" spans="1:3" x14ac:dyDescent="0.25">
      <c r="A2225" s="222">
        <v>290027</v>
      </c>
      <c r="B2225" s="223" t="s">
        <v>4401</v>
      </c>
      <c r="C2225" s="221" t="s">
        <v>4404</v>
      </c>
    </row>
    <row r="2226" spans="1:3" x14ac:dyDescent="0.25">
      <c r="A2226" s="222">
        <v>290027</v>
      </c>
      <c r="B2226" s="223" t="s">
        <v>4401</v>
      </c>
      <c r="C2226" s="221" t="s">
        <v>4403</v>
      </c>
    </row>
    <row r="2227" spans="1:3" x14ac:dyDescent="0.25">
      <c r="A2227" s="222">
        <v>290028</v>
      </c>
      <c r="B2227" s="223" t="s">
        <v>4406</v>
      </c>
      <c r="C2227" s="221" t="s">
        <v>4407</v>
      </c>
    </row>
    <row r="2228" spans="1:3" x14ac:dyDescent="0.25">
      <c r="A2228" s="222">
        <v>290028</v>
      </c>
      <c r="B2228" s="223" t="s">
        <v>4406</v>
      </c>
      <c r="C2228" s="221" t="s">
        <v>4405</v>
      </c>
    </row>
    <row r="2229" spans="1:3" x14ac:dyDescent="0.25">
      <c r="A2229" s="222">
        <v>290029</v>
      </c>
      <c r="B2229" s="223" t="s">
        <v>4401</v>
      </c>
      <c r="C2229" s="221" t="s">
        <v>4409</v>
      </c>
    </row>
    <row r="2230" spans="1:3" x14ac:dyDescent="0.25">
      <c r="A2230" s="222">
        <v>290029</v>
      </c>
      <c r="B2230" s="223" t="s">
        <v>4401</v>
      </c>
      <c r="C2230" s="221" t="s">
        <v>4408</v>
      </c>
    </row>
    <row r="2231" spans="1:3" x14ac:dyDescent="0.25">
      <c r="A2231" s="222">
        <v>290030</v>
      </c>
      <c r="B2231" s="223" t="s">
        <v>4411</v>
      </c>
      <c r="C2231" s="221" t="s">
        <v>4412</v>
      </c>
    </row>
    <row r="2232" spans="1:3" x14ac:dyDescent="0.25">
      <c r="A2232" s="222">
        <v>290030</v>
      </c>
      <c r="B2232" s="223" t="s">
        <v>4411</v>
      </c>
      <c r="C2232" s="221" t="s">
        <v>4410</v>
      </c>
    </row>
    <row r="2233" spans="1:3" x14ac:dyDescent="0.25">
      <c r="A2233" s="222">
        <v>290031</v>
      </c>
      <c r="B2233" s="223" t="s">
        <v>4414</v>
      </c>
      <c r="C2233" s="221" t="s">
        <v>4415</v>
      </c>
    </row>
    <row r="2234" spans="1:3" x14ac:dyDescent="0.25">
      <c r="A2234" s="222">
        <v>290031</v>
      </c>
      <c r="B2234" s="223" t="s">
        <v>4414</v>
      </c>
      <c r="C2234" s="221" t="s">
        <v>4413</v>
      </c>
    </row>
    <row r="2235" spans="1:3" x14ac:dyDescent="0.25">
      <c r="A2235" s="222">
        <v>290032</v>
      </c>
      <c r="B2235" s="223" t="s">
        <v>4414</v>
      </c>
      <c r="C2235" s="221" t="s">
        <v>4417</v>
      </c>
    </row>
    <row r="2236" spans="1:3" x14ac:dyDescent="0.25">
      <c r="A2236" s="222">
        <v>290032</v>
      </c>
      <c r="B2236" s="223" t="s">
        <v>4414</v>
      </c>
      <c r="C2236" s="221" t="s">
        <v>4416</v>
      </c>
    </row>
    <row r="2237" spans="1:3" x14ac:dyDescent="0.25">
      <c r="A2237" s="222">
        <v>290033</v>
      </c>
      <c r="B2237" s="223" t="s">
        <v>4414</v>
      </c>
      <c r="C2237" s="221" t="s">
        <v>4419</v>
      </c>
    </row>
    <row r="2238" spans="1:3" x14ac:dyDescent="0.25">
      <c r="A2238" s="222">
        <v>290033</v>
      </c>
      <c r="B2238" s="223" t="s">
        <v>4414</v>
      </c>
      <c r="C2238" s="221" t="s">
        <v>4418</v>
      </c>
    </row>
    <row r="2239" spans="1:3" x14ac:dyDescent="0.25">
      <c r="A2239" s="222">
        <v>290034</v>
      </c>
      <c r="B2239" s="223" t="s">
        <v>4414</v>
      </c>
      <c r="C2239" s="221" t="s">
        <v>4421</v>
      </c>
    </row>
    <row r="2240" spans="1:3" x14ac:dyDescent="0.25">
      <c r="A2240" s="222">
        <v>290034</v>
      </c>
      <c r="B2240" s="223" t="s">
        <v>4414</v>
      </c>
      <c r="C2240" s="221" t="s">
        <v>4420</v>
      </c>
    </row>
    <row r="2241" spans="1:3" x14ac:dyDescent="0.25">
      <c r="A2241" s="222">
        <v>290035</v>
      </c>
      <c r="B2241" s="223" t="s">
        <v>4414</v>
      </c>
      <c r="C2241" s="221" t="s">
        <v>4423</v>
      </c>
    </row>
    <row r="2242" spans="1:3" x14ac:dyDescent="0.25">
      <c r="A2242" s="222">
        <v>290035</v>
      </c>
      <c r="B2242" s="223" t="s">
        <v>4414</v>
      </c>
      <c r="C2242" s="221" t="s">
        <v>4422</v>
      </c>
    </row>
    <row r="2243" spans="1:3" x14ac:dyDescent="0.25">
      <c r="A2243" s="222">
        <v>290036</v>
      </c>
      <c r="B2243" s="223" t="s">
        <v>4425</v>
      </c>
      <c r="C2243" s="221" t="s">
        <v>4426</v>
      </c>
    </row>
    <row r="2244" spans="1:3" x14ac:dyDescent="0.25">
      <c r="A2244" s="222">
        <v>290036</v>
      </c>
      <c r="B2244" s="223" t="s">
        <v>4425</v>
      </c>
      <c r="C2244" s="221" t="s">
        <v>4424</v>
      </c>
    </row>
    <row r="2245" spans="1:3" x14ac:dyDescent="0.25">
      <c r="A2245" s="222">
        <v>290037</v>
      </c>
      <c r="B2245" s="223" t="s">
        <v>4414</v>
      </c>
      <c r="C2245" s="221" t="s">
        <v>4428</v>
      </c>
    </row>
    <row r="2246" spans="1:3" x14ac:dyDescent="0.25">
      <c r="A2246" s="222">
        <v>290037</v>
      </c>
      <c r="B2246" s="223" t="s">
        <v>4414</v>
      </c>
      <c r="C2246" s="221" t="s">
        <v>4427</v>
      </c>
    </row>
    <row r="2247" spans="1:3" x14ac:dyDescent="0.25">
      <c r="A2247" s="222">
        <v>290038</v>
      </c>
      <c r="B2247" s="223" t="s">
        <v>4414</v>
      </c>
      <c r="C2247" s="221" t="s">
        <v>4430</v>
      </c>
    </row>
    <row r="2248" spans="1:3" x14ac:dyDescent="0.25">
      <c r="A2248" s="222">
        <v>290038</v>
      </c>
      <c r="B2248" s="223" t="s">
        <v>4414</v>
      </c>
      <c r="C2248" s="221" t="s">
        <v>4429</v>
      </c>
    </row>
    <row r="2249" spans="1:3" x14ac:dyDescent="0.25">
      <c r="A2249" s="222">
        <v>290039</v>
      </c>
      <c r="B2249" s="223" t="s">
        <v>4414</v>
      </c>
      <c r="C2249" s="221" t="s">
        <v>4432</v>
      </c>
    </row>
    <row r="2250" spans="1:3" x14ac:dyDescent="0.25">
      <c r="A2250" s="222">
        <v>290039</v>
      </c>
      <c r="B2250" s="223" t="s">
        <v>4414</v>
      </c>
      <c r="C2250" s="221" t="s">
        <v>4431</v>
      </c>
    </row>
    <row r="2251" spans="1:3" x14ac:dyDescent="0.25">
      <c r="A2251" s="222">
        <v>290040</v>
      </c>
      <c r="B2251" s="223" t="s">
        <v>4434</v>
      </c>
      <c r="C2251" s="221" t="s">
        <v>4435</v>
      </c>
    </row>
    <row r="2252" spans="1:3" x14ac:dyDescent="0.25">
      <c r="A2252" s="222">
        <v>290040</v>
      </c>
      <c r="B2252" s="223" t="s">
        <v>4434</v>
      </c>
      <c r="C2252" s="221" t="s">
        <v>4433</v>
      </c>
    </row>
    <row r="2253" spans="1:3" x14ac:dyDescent="0.25">
      <c r="A2253" s="222">
        <v>290041</v>
      </c>
      <c r="B2253" s="223" t="s">
        <v>4414</v>
      </c>
      <c r="C2253" s="221" t="s">
        <v>4437</v>
      </c>
    </row>
    <row r="2254" spans="1:3" x14ac:dyDescent="0.25">
      <c r="A2254" s="222">
        <v>290041</v>
      </c>
      <c r="B2254" s="223" t="s">
        <v>4414</v>
      </c>
      <c r="C2254" s="221" t="s">
        <v>4436</v>
      </c>
    </row>
    <row r="2255" spans="1:3" x14ac:dyDescent="0.25">
      <c r="A2255" s="222">
        <v>290042</v>
      </c>
      <c r="B2255" s="223" t="s">
        <v>4439</v>
      </c>
      <c r="C2255" s="221" t="s">
        <v>4440</v>
      </c>
    </row>
    <row r="2256" spans="1:3" x14ac:dyDescent="0.25">
      <c r="A2256" s="222">
        <v>290042</v>
      </c>
      <c r="B2256" s="223" t="s">
        <v>4439</v>
      </c>
      <c r="C2256" s="221" t="s">
        <v>4438</v>
      </c>
    </row>
    <row r="2257" spans="1:3" x14ac:dyDescent="0.25">
      <c r="A2257" s="222">
        <v>290043</v>
      </c>
      <c r="B2257" s="223" t="s">
        <v>4439</v>
      </c>
      <c r="C2257" s="221" t="s">
        <v>4442</v>
      </c>
    </row>
    <row r="2258" spans="1:3" x14ac:dyDescent="0.25">
      <c r="A2258" s="222">
        <v>290043</v>
      </c>
      <c r="B2258" s="223" t="s">
        <v>4439</v>
      </c>
      <c r="C2258" s="221" t="s">
        <v>4441</v>
      </c>
    </row>
    <row r="2259" spans="1:3" x14ac:dyDescent="0.25">
      <c r="A2259" s="222">
        <v>290044</v>
      </c>
      <c r="B2259" s="223" t="s">
        <v>4439</v>
      </c>
      <c r="C2259" s="221" t="s">
        <v>4444</v>
      </c>
    </row>
    <row r="2260" spans="1:3" x14ac:dyDescent="0.25">
      <c r="A2260" s="222">
        <v>290044</v>
      </c>
      <c r="B2260" s="223" t="s">
        <v>4439</v>
      </c>
      <c r="C2260" s="221" t="s">
        <v>4443</v>
      </c>
    </row>
    <row r="2261" spans="1:3" x14ac:dyDescent="0.25">
      <c r="A2261" s="222">
        <v>290045</v>
      </c>
      <c r="B2261" s="223" t="s">
        <v>4439</v>
      </c>
      <c r="C2261" s="221" t="s">
        <v>4446</v>
      </c>
    </row>
    <row r="2262" spans="1:3" x14ac:dyDescent="0.25">
      <c r="A2262" s="222">
        <v>290045</v>
      </c>
      <c r="B2262" s="223" t="s">
        <v>4439</v>
      </c>
      <c r="C2262" s="221" t="s">
        <v>4445</v>
      </c>
    </row>
    <row r="2263" spans="1:3" x14ac:dyDescent="0.25">
      <c r="A2263" s="222">
        <v>290046</v>
      </c>
      <c r="B2263" s="223" t="s">
        <v>4439</v>
      </c>
      <c r="C2263" s="221" t="s">
        <v>4448</v>
      </c>
    </row>
    <row r="2264" spans="1:3" x14ac:dyDescent="0.25">
      <c r="A2264" s="222">
        <v>290046</v>
      </c>
      <c r="B2264" s="223" t="s">
        <v>4439</v>
      </c>
      <c r="C2264" s="221" t="s">
        <v>4447</v>
      </c>
    </row>
    <row r="2265" spans="1:3" x14ac:dyDescent="0.25">
      <c r="A2265" s="222">
        <v>290047</v>
      </c>
      <c r="B2265" s="223" t="s">
        <v>4450</v>
      </c>
      <c r="C2265" s="221" t="s">
        <v>4451</v>
      </c>
    </row>
    <row r="2266" spans="1:3" x14ac:dyDescent="0.25">
      <c r="A2266" s="222">
        <v>290047</v>
      </c>
      <c r="B2266" s="223" t="s">
        <v>4450</v>
      </c>
      <c r="C2266" s="221" t="s">
        <v>4449</v>
      </c>
    </row>
    <row r="2267" spans="1:3" x14ac:dyDescent="0.25">
      <c r="A2267" s="222">
        <v>290048</v>
      </c>
      <c r="B2267" s="223" t="s">
        <v>4439</v>
      </c>
      <c r="C2267" s="221" t="s">
        <v>4453</v>
      </c>
    </row>
    <row r="2268" spans="1:3" x14ac:dyDescent="0.25">
      <c r="A2268" s="222">
        <v>290048</v>
      </c>
      <c r="B2268" s="223" t="s">
        <v>4439</v>
      </c>
      <c r="C2268" s="221" t="s">
        <v>4452</v>
      </c>
    </row>
    <row r="2269" spans="1:3" x14ac:dyDescent="0.25">
      <c r="A2269" s="222">
        <v>290049</v>
      </c>
      <c r="B2269" s="223" t="s">
        <v>4455</v>
      </c>
      <c r="C2269" s="221" t="s">
        <v>4456</v>
      </c>
    </row>
    <row r="2270" spans="1:3" x14ac:dyDescent="0.25">
      <c r="A2270" s="222">
        <v>290049</v>
      </c>
      <c r="B2270" s="223" t="s">
        <v>4455</v>
      </c>
      <c r="C2270" s="221" t="s">
        <v>4454</v>
      </c>
    </row>
    <row r="2271" spans="1:3" x14ac:dyDescent="0.25">
      <c r="A2271" s="222">
        <v>290050</v>
      </c>
      <c r="B2271" s="223" t="s">
        <v>4458</v>
      </c>
      <c r="C2271" s="221" t="s">
        <v>4459</v>
      </c>
    </row>
    <row r="2272" spans="1:3" x14ac:dyDescent="0.25">
      <c r="A2272" s="222">
        <v>290050</v>
      </c>
      <c r="B2272" s="223" t="s">
        <v>4458</v>
      </c>
      <c r="C2272" s="221" t="s">
        <v>4457</v>
      </c>
    </row>
    <row r="2273" spans="1:3" x14ac:dyDescent="0.25">
      <c r="A2273" s="222">
        <v>290051</v>
      </c>
      <c r="B2273" s="223" t="s">
        <v>4461</v>
      </c>
      <c r="C2273" s="221" t="s">
        <v>4462</v>
      </c>
    </row>
    <row r="2274" spans="1:3" x14ac:dyDescent="0.25">
      <c r="A2274" s="222">
        <v>290051</v>
      </c>
      <c r="B2274" s="223" t="s">
        <v>4461</v>
      </c>
      <c r="C2274" s="221" t="s">
        <v>4460</v>
      </c>
    </row>
    <row r="2275" spans="1:3" x14ac:dyDescent="0.25">
      <c r="A2275" s="222">
        <v>290052</v>
      </c>
      <c r="B2275" s="223" t="s">
        <v>4464</v>
      </c>
      <c r="C2275" s="221" t="s">
        <v>4465</v>
      </c>
    </row>
    <row r="2276" spans="1:3" x14ac:dyDescent="0.25">
      <c r="A2276" s="222">
        <v>290052</v>
      </c>
      <c r="B2276" s="223" t="s">
        <v>4464</v>
      </c>
      <c r="C2276" s="221" t="s">
        <v>4463</v>
      </c>
    </row>
    <row r="2277" spans="1:3" x14ac:dyDescent="0.25">
      <c r="A2277" s="222">
        <v>290053</v>
      </c>
      <c r="B2277" s="223" t="s">
        <v>4467</v>
      </c>
      <c r="C2277" s="221" t="s">
        <v>4468</v>
      </c>
    </row>
    <row r="2278" spans="1:3" x14ac:dyDescent="0.25">
      <c r="A2278" s="222">
        <v>290053</v>
      </c>
      <c r="B2278" s="223" t="s">
        <v>4467</v>
      </c>
      <c r="C2278" s="221" t="s">
        <v>4466</v>
      </c>
    </row>
    <row r="2279" spans="1:3" x14ac:dyDescent="0.25">
      <c r="A2279" s="222">
        <v>290054</v>
      </c>
      <c r="B2279" s="223" t="s">
        <v>4470</v>
      </c>
      <c r="C2279" s="221" t="s">
        <v>4471</v>
      </c>
    </row>
    <row r="2280" spans="1:3" x14ac:dyDescent="0.25">
      <c r="A2280" s="222">
        <v>290054</v>
      </c>
      <c r="B2280" s="223" t="s">
        <v>4470</v>
      </c>
      <c r="C2280" s="221" t="s">
        <v>4469</v>
      </c>
    </row>
    <row r="2281" spans="1:3" x14ac:dyDescent="0.25">
      <c r="A2281" s="222">
        <v>290055</v>
      </c>
      <c r="B2281" s="223" t="s">
        <v>4473</v>
      </c>
      <c r="C2281" s="221" t="s">
        <v>4474</v>
      </c>
    </row>
    <row r="2282" spans="1:3" x14ac:dyDescent="0.25">
      <c r="A2282" s="222">
        <v>290055</v>
      </c>
      <c r="B2282" s="223" t="s">
        <v>4473</v>
      </c>
      <c r="C2282" s="221" t="s">
        <v>4472</v>
      </c>
    </row>
    <row r="2283" spans="1:3" x14ac:dyDescent="0.25">
      <c r="A2283" s="222">
        <v>290056</v>
      </c>
      <c r="B2283" s="223" t="s">
        <v>4473</v>
      </c>
      <c r="C2283" s="221" t="s">
        <v>4476</v>
      </c>
    </row>
    <row r="2284" spans="1:3" x14ac:dyDescent="0.25">
      <c r="A2284" s="222">
        <v>290056</v>
      </c>
      <c r="B2284" s="223" t="s">
        <v>4473</v>
      </c>
      <c r="C2284" s="221" t="s">
        <v>4475</v>
      </c>
    </row>
    <row r="2285" spans="1:3" x14ac:dyDescent="0.25">
      <c r="A2285" s="222">
        <v>290057</v>
      </c>
      <c r="B2285" s="223" t="s">
        <v>4473</v>
      </c>
      <c r="C2285" s="221" t="s">
        <v>4478</v>
      </c>
    </row>
    <row r="2286" spans="1:3" x14ac:dyDescent="0.25">
      <c r="A2286" s="222">
        <v>290057</v>
      </c>
      <c r="B2286" s="223" t="s">
        <v>4473</v>
      </c>
      <c r="C2286" s="221" t="s">
        <v>4477</v>
      </c>
    </row>
    <row r="2287" spans="1:3" x14ac:dyDescent="0.25">
      <c r="A2287" s="222">
        <v>290058</v>
      </c>
      <c r="B2287" s="223" t="s">
        <v>4473</v>
      </c>
      <c r="C2287" s="221" t="s">
        <v>4480</v>
      </c>
    </row>
    <row r="2288" spans="1:3" x14ac:dyDescent="0.25">
      <c r="A2288" s="222">
        <v>290058</v>
      </c>
      <c r="B2288" s="223" t="s">
        <v>4473</v>
      </c>
      <c r="C2288" s="221" t="s">
        <v>4479</v>
      </c>
    </row>
    <row r="2289" spans="1:3" x14ac:dyDescent="0.25">
      <c r="A2289" s="222">
        <v>290059</v>
      </c>
      <c r="B2289" s="223" t="s">
        <v>4473</v>
      </c>
      <c r="C2289" s="221" t="s">
        <v>4482</v>
      </c>
    </row>
    <row r="2290" spans="1:3" x14ac:dyDescent="0.25">
      <c r="A2290" s="222">
        <v>290059</v>
      </c>
      <c r="B2290" s="223" t="s">
        <v>4473</v>
      </c>
      <c r="C2290" s="221" t="s">
        <v>4481</v>
      </c>
    </row>
    <row r="2291" spans="1:3" x14ac:dyDescent="0.25">
      <c r="A2291" s="222">
        <v>290060</v>
      </c>
      <c r="B2291" s="223" t="s">
        <v>4484</v>
      </c>
      <c r="C2291" s="221" t="s">
        <v>4485</v>
      </c>
    </row>
    <row r="2292" spans="1:3" x14ac:dyDescent="0.25">
      <c r="A2292" s="222">
        <v>290060</v>
      </c>
      <c r="B2292" s="223" t="s">
        <v>4484</v>
      </c>
      <c r="C2292" s="221" t="s">
        <v>4483</v>
      </c>
    </row>
    <row r="2293" spans="1:3" x14ac:dyDescent="0.25">
      <c r="A2293" s="222">
        <v>290061</v>
      </c>
      <c r="B2293" s="223" t="s">
        <v>4473</v>
      </c>
      <c r="C2293" s="221" t="s">
        <v>4487</v>
      </c>
    </row>
    <row r="2294" spans="1:3" x14ac:dyDescent="0.25">
      <c r="A2294" s="222">
        <v>290061</v>
      </c>
      <c r="B2294" s="223" t="s">
        <v>4473</v>
      </c>
      <c r="C2294" s="221" t="s">
        <v>4486</v>
      </c>
    </row>
    <row r="2295" spans="1:3" x14ac:dyDescent="0.25">
      <c r="A2295" s="222">
        <v>290062</v>
      </c>
      <c r="B2295" s="223" t="s">
        <v>4473</v>
      </c>
      <c r="C2295" s="221" t="s">
        <v>4489</v>
      </c>
    </row>
    <row r="2296" spans="1:3" x14ac:dyDescent="0.25">
      <c r="A2296" s="222">
        <v>290062</v>
      </c>
      <c r="B2296" s="223" t="s">
        <v>4473</v>
      </c>
      <c r="C2296" s="221" t="s">
        <v>4488</v>
      </c>
    </row>
    <row r="2297" spans="1:3" x14ac:dyDescent="0.25">
      <c r="A2297" s="222">
        <v>290063</v>
      </c>
      <c r="B2297" s="223" t="s">
        <v>4473</v>
      </c>
      <c r="C2297" s="221" t="s">
        <v>4491</v>
      </c>
    </row>
    <row r="2298" spans="1:3" x14ac:dyDescent="0.25">
      <c r="A2298" s="222">
        <v>290063</v>
      </c>
      <c r="B2298" s="223" t="s">
        <v>4473</v>
      </c>
      <c r="C2298" s="221" t="s">
        <v>4490</v>
      </c>
    </row>
    <row r="2299" spans="1:3" x14ac:dyDescent="0.25">
      <c r="A2299" s="222">
        <v>290064</v>
      </c>
      <c r="B2299" s="223" t="s">
        <v>4493</v>
      </c>
      <c r="C2299" s="221" t="s">
        <v>4494</v>
      </c>
    </row>
    <row r="2300" spans="1:3" x14ac:dyDescent="0.25">
      <c r="A2300" s="222">
        <v>290064</v>
      </c>
      <c r="B2300" s="223" t="s">
        <v>4493</v>
      </c>
      <c r="C2300" s="221" t="s">
        <v>4492</v>
      </c>
    </row>
    <row r="2301" spans="1:3" x14ac:dyDescent="0.25">
      <c r="A2301" s="222">
        <v>290065</v>
      </c>
      <c r="B2301" s="223" t="s">
        <v>4473</v>
      </c>
      <c r="C2301" s="221" t="s">
        <v>4496</v>
      </c>
    </row>
    <row r="2302" spans="1:3" x14ac:dyDescent="0.25">
      <c r="A2302" s="222">
        <v>290065</v>
      </c>
      <c r="B2302" s="223" t="s">
        <v>4473</v>
      </c>
      <c r="C2302" s="221" t="s">
        <v>4495</v>
      </c>
    </row>
    <row r="2303" spans="1:3" x14ac:dyDescent="0.25">
      <c r="A2303" s="222">
        <v>290066</v>
      </c>
      <c r="B2303" s="223" t="s">
        <v>4498</v>
      </c>
      <c r="C2303" s="221" t="s">
        <v>4499</v>
      </c>
    </row>
    <row r="2304" spans="1:3" x14ac:dyDescent="0.25">
      <c r="A2304" s="222">
        <v>290066</v>
      </c>
      <c r="B2304" s="223" t="s">
        <v>4498</v>
      </c>
      <c r="C2304" s="221" t="s">
        <v>4497</v>
      </c>
    </row>
    <row r="2305" spans="1:3" x14ac:dyDescent="0.25">
      <c r="A2305" s="222">
        <v>290067</v>
      </c>
      <c r="B2305" s="223" t="s">
        <v>4498</v>
      </c>
      <c r="C2305" s="221" t="s">
        <v>4501</v>
      </c>
    </row>
    <row r="2306" spans="1:3" x14ac:dyDescent="0.25">
      <c r="A2306" s="222">
        <v>290067</v>
      </c>
      <c r="B2306" s="223" t="s">
        <v>4498</v>
      </c>
      <c r="C2306" s="221" t="s">
        <v>4500</v>
      </c>
    </row>
    <row r="2307" spans="1:3" x14ac:dyDescent="0.25">
      <c r="A2307" s="222">
        <v>290068</v>
      </c>
      <c r="B2307" s="223" t="s">
        <v>4498</v>
      </c>
      <c r="C2307" s="221" t="s">
        <v>4503</v>
      </c>
    </row>
    <row r="2308" spans="1:3" x14ac:dyDescent="0.25">
      <c r="A2308" s="222">
        <v>290068</v>
      </c>
      <c r="B2308" s="223" t="s">
        <v>4498</v>
      </c>
      <c r="C2308" s="221" t="s">
        <v>4502</v>
      </c>
    </row>
    <row r="2309" spans="1:3" x14ac:dyDescent="0.25">
      <c r="A2309" s="222">
        <v>290069</v>
      </c>
      <c r="B2309" s="223" t="s">
        <v>4498</v>
      </c>
      <c r="C2309" s="221" t="s">
        <v>4505</v>
      </c>
    </row>
    <row r="2310" spans="1:3" x14ac:dyDescent="0.25">
      <c r="A2310" s="222">
        <v>290069</v>
      </c>
      <c r="B2310" s="223" t="s">
        <v>4498</v>
      </c>
      <c r="C2310" s="221" t="s">
        <v>4504</v>
      </c>
    </row>
    <row r="2311" spans="1:3" x14ac:dyDescent="0.25">
      <c r="A2311" s="222">
        <v>290070</v>
      </c>
      <c r="B2311" s="223" t="s">
        <v>4498</v>
      </c>
      <c r="C2311" s="221" t="s">
        <v>4507</v>
      </c>
    </row>
    <row r="2312" spans="1:3" x14ac:dyDescent="0.25">
      <c r="A2312" s="222">
        <v>290070</v>
      </c>
      <c r="B2312" s="223" t="s">
        <v>4498</v>
      </c>
      <c r="C2312" s="221" t="s">
        <v>4506</v>
      </c>
    </row>
    <row r="2313" spans="1:3" x14ac:dyDescent="0.25">
      <c r="A2313" s="222">
        <v>290071</v>
      </c>
      <c r="B2313" s="223" t="s">
        <v>4509</v>
      </c>
      <c r="C2313" s="221" t="s">
        <v>4510</v>
      </c>
    </row>
    <row r="2314" spans="1:3" x14ac:dyDescent="0.25">
      <c r="A2314" s="222">
        <v>290071</v>
      </c>
      <c r="B2314" s="223" t="s">
        <v>4509</v>
      </c>
      <c r="C2314" s="221" t="s">
        <v>4508</v>
      </c>
    </row>
    <row r="2315" spans="1:3" x14ac:dyDescent="0.25">
      <c r="A2315" s="222">
        <v>290072</v>
      </c>
      <c r="B2315" s="223" t="s">
        <v>4509</v>
      </c>
      <c r="C2315" s="221" t="s">
        <v>4512</v>
      </c>
    </row>
    <row r="2316" spans="1:3" x14ac:dyDescent="0.25">
      <c r="A2316" s="222">
        <v>290072</v>
      </c>
      <c r="B2316" s="223" t="s">
        <v>4509</v>
      </c>
      <c r="C2316" s="221" t="s">
        <v>4511</v>
      </c>
    </row>
    <row r="2317" spans="1:3" x14ac:dyDescent="0.25">
      <c r="A2317" s="222">
        <v>290073</v>
      </c>
      <c r="B2317" s="223" t="s">
        <v>4509</v>
      </c>
      <c r="C2317" s="221" t="s">
        <v>4514</v>
      </c>
    </row>
    <row r="2318" spans="1:3" x14ac:dyDescent="0.25">
      <c r="A2318" s="222">
        <v>290073</v>
      </c>
      <c r="B2318" s="223" t="s">
        <v>4509</v>
      </c>
      <c r="C2318" s="221" t="s">
        <v>4513</v>
      </c>
    </row>
    <row r="2319" spans="1:3" x14ac:dyDescent="0.25">
      <c r="A2319" s="222">
        <v>290074</v>
      </c>
      <c r="B2319" s="223" t="s">
        <v>4509</v>
      </c>
      <c r="C2319" s="221" t="s">
        <v>4516</v>
      </c>
    </row>
    <row r="2320" spans="1:3" x14ac:dyDescent="0.25">
      <c r="A2320" s="222">
        <v>290074</v>
      </c>
      <c r="B2320" s="223" t="s">
        <v>4509</v>
      </c>
      <c r="C2320" s="221" t="s">
        <v>4515</v>
      </c>
    </row>
    <row r="2321" spans="1:3" x14ac:dyDescent="0.25">
      <c r="A2321" s="222">
        <v>290075</v>
      </c>
      <c r="B2321" s="223" t="s">
        <v>4509</v>
      </c>
      <c r="C2321" s="221" t="s">
        <v>4518</v>
      </c>
    </row>
    <row r="2322" spans="1:3" x14ac:dyDescent="0.25">
      <c r="A2322" s="222">
        <v>290075</v>
      </c>
      <c r="B2322" s="223" t="s">
        <v>4509</v>
      </c>
      <c r="C2322" s="221" t="s">
        <v>4517</v>
      </c>
    </row>
    <row r="2323" spans="1:3" x14ac:dyDescent="0.25">
      <c r="A2323" s="222">
        <v>290076</v>
      </c>
      <c r="B2323" s="223" t="s">
        <v>4509</v>
      </c>
      <c r="C2323" s="221" t="s">
        <v>4520</v>
      </c>
    </row>
    <row r="2324" spans="1:3" x14ac:dyDescent="0.25">
      <c r="A2324" s="222">
        <v>290076</v>
      </c>
      <c r="B2324" s="223" t="s">
        <v>4509</v>
      </c>
      <c r="C2324" s="221" t="s">
        <v>4519</v>
      </c>
    </row>
    <row r="2325" spans="1:3" x14ac:dyDescent="0.25">
      <c r="A2325" s="222">
        <v>290077</v>
      </c>
      <c r="B2325" s="223" t="s">
        <v>4509</v>
      </c>
      <c r="C2325" s="221" t="s">
        <v>4522</v>
      </c>
    </row>
    <row r="2326" spans="1:3" x14ac:dyDescent="0.25">
      <c r="A2326" s="222">
        <v>290077</v>
      </c>
      <c r="B2326" s="223" t="s">
        <v>4509</v>
      </c>
      <c r="C2326" s="221" t="s">
        <v>4521</v>
      </c>
    </row>
    <row r="2327" spans="1:3" x14ac:dyDescent="0.25">
      <c r="A2327" s="222">
        <v>290078</v>
      </c>
      <c r="B2327" s="223" t="s">
        <v>4509</v>
      </c>
      <c r="C2327" s="221" t="s">
        <v>4524</v>
      </c>
    </row>
    <row r="2328" spans="1:3" x14ac:dyDescent="0.25">
      <c r="A2328" s="222">
        <v>290078</v>
      </c>
      <c r="B2328" s="223" t="s">
        <v>4509</v>
      </c>
      <c r="C2328" s="221" t="s">
        <v>4523</v>
      </c>
    </row>
    <row r="2329" spans="1:3" x14ac:dyDescent="0.25">
      <c r="A2329" s="222">
        <v>290079</v>
      </c>
      <c r="B2329" s="223" t="s">
        <v>4509</v>
      </c>
      <c r="C2329" s="221" t="s">
        <v>4526</v>
      </c>
    </row>
    <row r="2330" spans="1:3" x14ac:dyDescent="0.25">
      <c r="A2330" s="222">
        <v>290079</v>
      </c>
      <c r="B2330" s="223" t="s">
        <v>4509</v>
      </c>
      <c r="C2330" s="221" t="s">
        <v>4525</v>
      </c>
    </row>
    <row r="2331" spans="1:3" x14ac:dyDescent="0.25">
      <c r="A2331" s="222">
        <v>290080</v>
      </c>
      <c r="B2331" s="223" t="s">
        <v>4509</v>
      </c>
      <c r="C2331" s="221" t="s">
        <v>4528</v>
      </c>
    </row>
    <row r="2332" spans="1:3" x14ac:dyDescent="0.25">
      <c r="A2332" s="222">
        <v>290080</v>
      </c>
      <c r="B2332" s="223" t="s">
        <v>4509</v>
      </c>
      <c r="C2332" s="221" t="s">
        <v>4527</v>
      </c>
    </row>
    <row r="2333" spans="1:3" x14ac:dyDescent="0.25">
      <c r="A2333" s="222">
        <v>290081</v>
      </c>
      <c r="B2333" s="223" t="s">
        <v>4530</v>
      </c>
      <c r="C2333" s="221" t="s">
        <v>4531</v>
      </c>
    </row>
    <row r="2334" spans="1:3" x14ac:dyDescent="0.25">
      <c r="A2334" s="222">
        <v>290081</v>
      </c>
      <c r="B2334" s="223" t="s">
        <v>4530</v>
      </c>
      <c r="C2334" s="221" t="s">
        <v>4529</v>
      </c>
    </row>
    <row r="2335" spans="1:3" x14ac:dyDescent="0.25">
      <c r="A2335" s="222">
        <v>290082</v>
      </c>
      <c r="B2335" s="223" t="s">
        <v>4530</v>
      </c>
      <c r="C2335" s="221" t="s">
        <v>4533</v>
      </c>
    </row>
    <row r="2336" spans="1:3" x14ac:dyDescent="0.25">
      <c r="A2336" s="222">
        <v>290082</v>
      </c>
      <c r="B2336" s="223" t="s">
        <v>4530</v>
      </c>
      <c r="C2336" s="221" t="s">
        <v>4532</v>
      </c>
    </row>
    <row r="2337" spans="1:3" x14ac:dyDescent="0.25">
      <c r="A2337" s="222">
        <v>290083</v>
      </c>
      <c r="B2337" s="223" t="s">
        <v>4535</v>
      </c>
      <c r="C2337" s="221" t="s">
        <v>4536</v>
      </c>
    </row>
    <row r="2338" spans="1:3" x14ac:dyDescent="0.25">
      <c r="A2338" s="222">
        <v>290083</v>
      </c>
      <c r="B2338" s="223" t="s">
        <v>4535</v>
      </c>
      <c r="C2338" s="221" t="s">
        <v>4534</v>
      </c>
    </row>
    <row r="2339" spans="1:3" x14ac:dyDescent="0.25">
      <c r="A2339" s="222">
        <v>290084</v>
      </c>
      <c r="B2339" s="223" t="s">
        <v>4535</v>
      </c>
      <c r="C2339" s="221" t="s">
        <v>4538</v>
      </c>
    </row>
    <row r="2340" spans="1:3" x14ac:dyDescent="0.25">
      <c r="A2340" s="222">
        <v>290084</v>
      </c>
      <c r="B2340" s="223" t="s">
        <v>4535</v>
      </c>
      <c r="C2340" s="221" t="s">
        <v>4537</v>
      </c>
    </row>
    <row r="2341" spans="1:3" x14ac:dyDescent="0.25">
      <c r="A2341" s="222">
        <v>290085</v>
      </c>
      <c r="B2341" s="223" t="s">
        <v>4540</v>
      </c>
      <c r="C2341" s="221" t="s">
        <v>4541</v>
      </c>
    </row>
    <row r="2342" spans="1:3" x14ac:dyDescent="0.25">
      <c r="A2342" s="222">
        <v>290085</v>
      </c>
      <c r="B2342" s="223" t="s">
        <v>4540</v>
      </c>
      <c r="C2342" s="221" t="s">
        <v>4539</v>
      </c>
    </row>
    <row r="2343" spans="1:3" x14ac:dyDescent="0.25">
      <c r="A2343" s="222">
        <v>290086</v>
      </c>
      <c r="B2343" s="223" t="s">
        <v>4540</v>
      </c>
      <c r="C2343" s="221" t="s">
        <v>4543</v>
      </c>
    </row>
    <row r="2344" spans="1:3" x14ac:dyDescent="0.25">
      <c r="A2344" s="222">
        <v>290086</v>
      </c>
      <c r="B2344" s="223" t="s">
        <v>4540</v>
      </c>
      <c r="C2344" s="221" t="s">
        <v>4542</v>
      </c>
    </row>
    <row r="2345" spans="1:3" x14ac:dyDescent="0.25">
      <c r="A2345" s="222">
        <v>290087</v>
      </c>
      <c r="B2345" s="223" t="s">
        <v>4545</v>
      </c>
      <c r="C2345" s="221" t="s">
        <v>4546</v>
      </c>
    </row>
    <row r="2346" spans="1:3" x14ac:dyDescent="0.25">
      <c r="A2346" s="222">
        <v>290087</v>
      </c>
      <c r="B2346" s="223" t="s">
        <v>4545</v>
      </c>
      <c r="C2346" s="221" t="s">
        <v>4544</v>
      </c>
    </row>
    <row r="2347" spans="1:3" x14ac:dyDescent="0.25">
      <c r="A2347" s="222">
        <v>290088</v>
      </c>
      <c r="B2347" s="223" t="s">
        <v>4548</v>
      </c>
      <c r="C2347" s="221" t="s">
        <v>4549</v>
      </c>
    </row>
    <row r="2348" spans="1:3" x14ac:dyDescent="0.25">
      <c r="A2348" s="222">
        <v>290088</v>
      </c>
      <c r="B2348" s="223" t="s">
        <v>4548</v>
      </c>
      <c r="C2348" s="221" t="s">
        <v>4547</v>
      </c>
    </row>
    <row r="2349" spans="1:3" x14ac:dyDescent="0.25">
      <c r="A2349" s="222">
        <v>290089</v>
      </c>
      <c r="B2349" s="223" t="s">
        <v>4548</v>
      </c>
      <c r="C2349" s="221" t="s">
        <v>4551</v>
      </c>
    </row>
    <row r="2350" spans="1:3" x14ac:dyDescent="0.25">
      <c r="A2350" s="222">
        <v>290089</v>
      </c>
      <c r="B2350" s="223" t="s">
        <v>4548</v>
      </c>
      <c r="C2350" s="221" t="s">
        <v>4550</v>
      </c>
    </row>
    <row r="2351" spans="1:3" x14ac:dyDescent="0.25">
      <c r="A2351" s="222">
        <v>290090</v>
      </c>
      <c r="B2351" s="223" t="s">
        <v>4548</v>
      </c>
      <c r="C2351" s="221" t="s">
        <v>4553</v>
      </c>
    </row>
    <row r="2352" spans="1:3" x14ac:dyDescent="0.25">
      <c r="A2352" s="222">
        <v>290090</v>
      </c>
      <c r="B2352" s="223" t="s">
        <v>4548</v>
      </c>
      <c r="C2352" s="221" t="s">
        <v>4552</v>
      </c>
    </row>
    <row r="2353" spans="1:3" x14ac:dyDescent="0.25">
      <c r="A2353" s="222">
        <v>290091</v>
      </c>
      <c r="B2353" s="223" t="s">
        <v>4548</v>
      </c>
      <c r="C2353" s="221" t="s">
        <v>4555</v>
      </c>
    </row>
    <row r="2354" spans="1:3" x14ac:dyDescent="0.25">
      <c r="A2354" s="222">
        <v>290091</v>
      </c>
      <c r="B2354" s="223" t="s">
        <v>4548</v>
      </c>
      <c r="C2354" s="221" t="s">
        <v>4554</v>
      </c>
    </row>
    <row r="2355" spans="1:3" x14ac:dyDescent="0.25">
      <c r="A2355" s="222">
        <v>290092</v>
      </c>
      <c r="B2355" s="223" t="s">
        <v>4557</v>
      </c>
      <c r="C2355" s="221" t="s">
        <v>4558</v>
      </c>
    </row>
    <row r="2356" spans="1:3" x14ac:dyDescent="0.25">
      <c r="A2356" s="222">
        <v>290092</v>
      </c>
      <c r="B2356" s="223" t="s">
        <v>4557</v>
      </c>
      <c r="C2356" s="221" t="s">
        <v>4556</v>
      </c>
    </row>
    <row r="2357" spans="1:3" x14ac:dyDescent="0.25">
      <c r="A2357" s="222">
        <v>290093</v>
      </c>
      <c r="B2357" s="223" t="s">
        <v>4557</v>
      </c>
      <c r="C2357" s="221" t="s">
        <v>4560</v>
      </c>
    </row>
    <row r="2358" spans="1:3" x14ac:dyDescent="0.25">
      <c r="A2358" s="222">
        <v>290093</v>
      </c>
      <c r="B2358" s="223" t="s">
        <v>4557</v>
      </c>
      <c r="C2358" s="221" t="s">
        <v>4559</v>
      </c>
    </row>
    <row r="2359" spans="1:3" x14ac:dyDescent="0.25">
      <c r="A2359" s="222">
        <v>290094</v>
      </c>
      <c r="B2359" s="223" t="s">
        <v>4557</v>
      </c>
      <c r="C2359" s="221" t="s">
        <v>4562</v>
      </c>
    </row>
    <row r="2360" spans="1:3" x14ac:dyDescent="0.25">
      <c r="A2360" s="222">
        <v>290094</v>
      </c>
      <c r="B2360" s="223" t="s">
        <v>4557</v>
      </c>
      <c r="C2360" s="221" t="s">
        <v>4561</v>
      </c>
    </row>
    <row r="2361" spans="1:3" x14ac:dyDescent="0.25">
      <c r="A2361" s="222">
        <v>290095</v>
      </c>
      <c r="B2361" s="223" t="s">
        <v>4557</v>
      </c>
      <c r="C2361" s="221" t="s">
        <v>4564</v>
      </c>
    </row>
    <row r="2362" spans="1:3" x14ac:dyDescent="0.25">
      <c r="A2362" s="222">
        <v>290095</v>
      </c>
      <c r="B2362" s="223" t="s">
        <v>4557</v>
      </c>
      <c r="C2362" s="221" t="s">
        <v>4563</v>
      </c>
    </row>
    <row r="2363" spans="1:3" x14ac:dyDescent="0.25">
      <c r="A2363" s="222">
        <v>290096</v>
      </c>
      <c r="B2363" s="223" t="s">
        <v>4557</v>
      </c>
      <c r="C2363" s="221" t="s">
        <v>4566</v>
      </c>
    </row>
    <row r="2364" spans="1:3" x14ac:dyDescent="0.25">
      <c r="A2364" s="222">
        <v>290096</v>
      </c>
      <c r="B2364" s="223" t="s">
        <v>4557</v>
      </c>
      <c r="C2364" s="221" t="s">
        <v>4565</v>
      </c>
    </row>
    <row r="2365" spans="1:3" x14ac:dyDescent="0.25">
      <c r="A2365" s="222">
        <v>290097</v>
      </c>
      <c r="B2365" s="223" t="s">
        <v>4557</v>
      </c>
      <c r="C2365" s="221" t="s">
        <v>4568</v>
      </c>
    </row>
    <row r="2366" spans="1:3" x14ac:dyDescent="0.25">
      <c r="A2366" s="222">
        <v>290097</v>
      </c>
      <c r="B2366" s="223" t="s">
        <v>4557</v>
      </c>
      <c r="C2366" s="221" t="s">
        <v>4567</v>
      </c>
    </row>
    <row r="2367" spans="1:3" x14ac:dyDescent="0.25">
      <c r="A2367" s="222">
        <v>290098</v>
      </c>
      <c r="B2367" s="223" t="s">
        <v>4557</v>
      </c>
      <c r="C2367" s="221" t="s">
        <v>4570</v>
      </c>
    </row>
    <row r="2368" spans="1:3" x14ac:dyDescent="0.25">
      <c r="A2368" s="222">
        <v>290098</v>
      </c>
      <c r="B2368" s="223" t="s">
        <v>4557</v>
      </c>
      <c r="C2368" s="221" t="s">
        <v>4569</v>
      </c>
    </row>
    <row r="2369" spans="1:3" x14ac:dyDescent="0.25">
      <c r="A2369" s="222">
        <v>290099</v>
      </c>
      <c r="B2369" s="223" t="s">
        <v>4557</v>
      </c>
      <c r="C2369" s="221" t="s">
        <v>4572</v>
      </c>
    </row>
    <row r="2370" spans="1:3" x14ac:dyDescent="0.25">
      <c r="A2370" s="222">
        <v>290099</v>
      </c>
      <c r="B2370" s="223" t="s">
        <v>4557</v>
      </c>
      <c r="C2370" s="221" t="s">
        <v>4571</v>
      </c>
    </row>
    <row r="2371" spans="1:3" x14ac:dyDescent="0.25">
      <c r="A2371" s="222">
        <v>290100</v>
      </c>
      <c r="B2371" s="223" t="s">
        <v>4557</v>
      </c>
      <c r="C2371" s="221" t="s">
        <v>4574</v>
      </c>
    </row>
    <row r="2372" spans="1:3" x14ac:dyDescent="0.25">
      <c r="A2372" s="222">
        <v>290100</v>
      </c>
      <c r="B2372" s="223" t="s">
        <v>4557</v>
      </c>
      <c r="C2372" s="221" t="s">
        <v>4573</v>
      </c>
    </row>
    <row r="2373" spans="1:3" x14ac:dyDescent="0.25">
      <c r="A2373" s="222">
        <v>290101</v>
      </c>
      <c r="B2373" s="223" t="s">
        <v>4557</v>
      </c>
      <c r="C2373" s="221" t="s">
        <v>4576</v>
      </c>
    </row>
    <row r="2374" spans="1:3" x14ac:dyDescent="0.25">
      <c r="A2374" s="222">
        <v>290101</v>
      </c>
      <c r="B2374" s="223" t="s">
        <v>4557</v>
      </c>
      <c r="C2374" s="221" t="s">
        <v>4575</v>
      </c>
    </row>
    <row r="2375" spans="1:3" x14ac:dyDescent="0.25">
      <c r="A2375" s="222">
        <v>290102</v>
      </c>
      <c r="B2375" s="223" t="s">
        <v>4578</v>
      </c>
      <c r="C2375" s="221" t="s">
        <v>4579</v>
      </c>
    </row>
    <row r="2376" spans="1:3" x14ac:dyDescent="0.25">
      <c r="A2376" s="222">
        <v>290102</v>
      </c>
      <c r="B2376" s="223" t="s">
        <v>4578</v>
      </c>
      <c r="C2376" s="221" t="s">
        <v>4577</v>
      </c>
    </row>
    <row r="2377" spans="1:3" x14ac:dyDescent="0.25">
      <c r="A2377" s="222">
        <v>290103</v>
      </c>
      <c r="B2377" s="223" t="s">
        <v>4578</v>
      </c>
      <c r="C2377" s="221" t="s">
        <v>4581</v>
      </c>
    </row>
    <row r="2378" spans="1:3" x14ac:dyDescent="0.25">
      <c r="A2378" s="222">
        <v>290103</v>
      </c>
      <c r="B2378" s="223" t="s">
        <v>4578</v>
      </c>
      <c r="C2378" s="221" t="s">
        <v>4580</v>
      </c>
    </row>
    <row r="2379" spans="1:3" x14ac:dyDescent="0.25">
      <c r="A2379" s="222">
        <v>290104</v>
      </c>
      <c r="B2379" s="223" t="s">
        <v>4557</v>
      </c>
      <c r="C2379" s="221" t="s">
        <v>4583</v>
      </c>
    </row>
    <row r="2380" spans="1:3" x14ac:dyDescent="0.25">
      <c r="A2380" s="222">
        <v>290104</v>
      </c>
      <c r="B2380" s="223" t="s">
        <v>4557</v>
      </c>
      <c r="C2380" s="221" t="s">
        <v>4582</v>
      </c>
    </row>
    <row r="2381" spans="1:3" x14ac:dyDescent="0.25">
      <c r="A2381" s="222">
        <v>290105</v>
      </c>
      <c r="B2381" s="223" t="s">
        <v>4557</v>
      </c>
      <c r="C2381" s="221" t="s">
        <v>4585</v>
      </c>
    </row>
    <row r="2382" spans="1:3" x14ac:dyDescent="0.25">
      <c r="A2382" s="222">
        <v>290105</v>
      </c>
      <c r="B2382" s="223" t="s">
        <v>4557</v>
      </c>
      <c r="C2382" s="221" t="s">
        <v>4584</v>
      </c>
    </row>
    <row r="2383" spans="1:3" x14ac:dyDescent="0.25">
      <c r="A2383" s="222">
        <v>290106</v>
      </c>
      <c r="B2383" s="223" t="s">
        <v>4557</v>
      </c>
      <c r="C2383" s="221" t="s">
        <v>4587</v>
      </c>
    </row>
    <row r="2384" spans="1:3" x14ac:dyDescent="0.25">
      <c r="A2384" s="222">
        <v>290106</v>
      </c>
      <c r="B2384" s="223" t="s">
        <v>4557</v>
      </c>
      <c r="C2384" s="221" t="s">
        <v>4586</v>
      </c>
    </row>
    <row r="2385" spans="1:3" x14ac:dyDescent="0.25">
      <c r="A2385" s="222">
        <v>290107</v>
      </c>
      <c r="B2385" s="223" t="s">
        <v>4557</v>
      </c>
      <c r="C2385" s="221" t="s">
        <v>4589</v>
      </c>
    </row>
    <row r="2386" spans="1:3" x14ac:dyDescent="0.25">
      <c r="A2386" s="222">
        <v>290107</v>
      </c>
      <c r="B2386" s="223" t="s">
        <v>4557</v>
      </c>
      <c r="C2386" s="221" t="s">
        <v>4588</v>
      </c>
    </row>
    <row r="2387" spans="1:3" x14ac:dyDescent="0.25">
      <c r="A2387" s="222">
        <v>290108</v>
      </c>
      <c r="B2387" s="223" t="s">
        <v>4557</v>
      </c>
      <c r="C2387" s="221" t="s">
        <v>4591</v>
      </c>
    </row>
    <row r="2388" spans="1:3" x14ac:dyDescent="0.25">
      <c r="A2388" s="222">
        <v>290108</v>
      </c>
      <c r="B2388" s="223" t="s">
        <v>4557</v>
      </c>
      <c r="C2388" s="221" t="s">
        <v>4590</v>
      </c>
    </row>
    <row r="2389" spans="1:3" x14ac:dyDescent="0.25">
      <c r="A2389" s="222">
        <v>290109</v>
      </c>
      <c r="B2389" s="223" t="s">
        <v>4557</v>
      </c>
      <c r="C2389" s="221" t="s">
        <v>4593</v>
      </c>
    </row>
    <row r="2390" spans="1:3" x14ac:dyDescent="0.25">
      <c r="A2390" s="222">
        <v>290109</v>
      </c>
      <c r="B2390" s="223" t="s">
        <v>4557</v>
      </c>
      <c r="C2390" s="221" t="s">
        <v>4592</v>
      </c>
    </row>
    <row r="2391" spans="1:3" x14ac:dyDescent="0.25">
      <c r="A2391" s="222">
        <v>290110</v>
      </c>
      <c r="B2391" s="223" t="s">
        <v>4595</v>
      </c>
      <c r="C2391" s="221" t="s">
        <v>4596</v>
      </c>
    </row>
    <row r="2392" spans="1:3" x14ac:dyDescent="0.25">
      <c r="A2392" s="222">
        <v>290110</v>
      </c>
      <c r="B2392" s="223" t="s">
        <v>4595</v>
      </c>
      <c r="C2392" s="221" t="s">
        <v>4594</v>
      </c>
    </row>
    <row r="2393" spans="1:3" x14ac:dyDescent="0.25">
      <c r="A2393" s="222">
        <v>290111</v>
      </c>
      <c r="B2393" s="223" t="s">
        <v>4595</v>
      </c>
      <c r="C2393" s="221" t="s">
        <v>4598</v>
      </c>
    </row>
    <row r="2394" spans="1:3" x14ac:dyDescent="0.25">
      <c r="A2394" s="222">
        <v>290111</v>
      </c>
      <c r="B2394" s="223" t="s">
        <v>4595</v>
      </c>
      <c r="C2394" s="221" t="s">
        <v>4597</v>
      </c>
    </row>
    <row r="2395" spans="1:3" x14ac:dyDescent="0.25">
      <c r="A2395" s="222">
        <v>290112</v>
      </c>
      <c r="B2395" s="223" t="s">
        <v>4557</v>
      </c>
      <c r="C2395" s="221" t="s">
        <v>4600</v>
      </c>
    </row>
    <row r="2396" spans="1:3" x14ac:dyDescent="0.25">
      <c r="A2396" s="222">
        <v>290112</v>
      </c>
      <c r="B2396" s="223" t="s">
        <v>4557</v>
      </c>
      <c r="C2396" s="221" t="s">
        <v>4599</v>
      </c>
    </row>
    <row r="2397" spans="1:3" x14ac:dyDescent="0.25">
      <c r="A2397" s="222">
        <v>290113</v>
      </c>
      <c r="B2397" s="223" t="s">
        <v>4557</v>
      </c>
      <c r="C2397" s="221" t="s">
        <v>4602</v>
      </c>
    </row>
    <row r="2398" spans="1:3" x14ac:dyDescent="0.25">
      <c r="A2398" s="222">
        <v>290113</v>
      </c>
      <c r="B2398" s="223" t="s">
        <v>4557</v>
      </c>
      <c r="C2398" s="221" t="s">
        <v>4601</v>
      </c>
    </row>
    <row r="2399" spans="1:3" x14ac:dyDescent="0.25">
      <c r="A2399" s="222">
        <v>290114</v>
      </c>
      <c r="B2399" s="223" t="s">
        <v>4604</v>
      </c>
      <c r="C2399" s="221" t="s">
        <v>4605</v>
      </c>
    </row>
    <row r="2400" spans="1:3" x14ac:dyDescent="0.25">
      <c r="A2400" s="222">
        <v>290114</v>
      </c>
      <c r="B2400" s="223" t="s">
        <v>4604</v>
      </c>
      <c r="C2400" s="221" t="s">
        <v>4603</v>
      </c>
    </row>
    <row r="2401" spans="1:3" x14ac:dyDescent="0.25">
      <c r="A2401" s="222">
        <v>290115</v>
      </c>
      <c r="B2401" s="223" t="s">
        <v>4604</v>
      </c>
      <c r="C2401" s="221" t="s">
        <v>4607</v>
      </c>
    </row>
    <row r="2402" spans="1:3" x14ac:dyDescent="0.25">
      <c r="A2402" s="222">
        <v>290115</v>
      </c>
      <c r="B2402" s="223" t="s">
        <v>4604</v>
      </c>
      <c r="C2402" s="221" t="s">
        <v>4606</v>
      </c>
    </row>
    <row r="2403" spans="1:3" x14ac:dyDescent="0.25">
      <c r="A2403" s="222">
        <v>290116</v>
      </c>
      <c r="B2403" s="223" t="s">
        <v>4604</v>
      </c>
      <c r="C2403" s="221" t="s">
        <v>4609</v>
      </c>
    </row>
    <row r="2404" spans="1:3" x14ac:dyDescent="0.25">
      <c r="A2404" s="222">
        <v>290116</v>
      </c>
      <c r="B2404" s="223" t="s">
        <v>4604</v>
      </c>
      <c r="C2404" s="221" t="s">
        <v>4608</v>
      </c>
    </row>
    <row r="2405" spans="1:3" x14ac:dyDescent="0.25">
      <c r="A2405" s="222">
        <v>290117</v>
      </c>
      <c r="B2405" s="223" t="s">
        <v>4604</v>
      </c>
      <c r="C2405" s="221" t="s">
        <v>4611</v>
      </c>
    </row>
    <row r="2406" spans="1:3" x14ac:dyDescent="0.25">
      <c r="A2406" s="222">
        <v>290117</v>
      </c>
      <c r="B2406" s="223" t="s">
        <v>4604</v>
      </c>
      <c r="C2406" s="221" t="s">
        <v>4610</v>
      </c>
    </row>
    <row r="2407" spans="1:3" x14ac:dyDescent="0.25">
      <c r="A2407" s="222">
        <v>290118</v>
      </c>
      <c r="B2407" s="223" t="s">
        <v>4604</v>
      </c>
      <c r="C2407" s="221" t="s">
        <v>4613</v>
      </c>
    </row>
    <row r="2408" spans="1:3" x14ac:dyDescent="0.25">
      <c r="A2408" s="222">
        <v>290118</v>
      </c>
      <c r="B2408" s="223" t="s">
        <v>4604</v>
      </c>
      <c r="C2408" s="221" t="s">
        <v>4612</v>
      </c>
    </row>
    <row r="2409" spans="1:3" x14ac:dyDescent="0.25">
      <c r="A2409" s="222">
        <v>290119</v>
      </c>
      <c r="B2409" s="223" t="s">
        <v>4615</v>
      </c>
      <c r="C2409" s="221" t="s">
        <v>4616</v>
      </c>
    </row>
    <row r="2410" spans="1:3" x14ac:dyDescent="0.25">
      <c r="A2410" s="222">
        <v>290119</v>
      </c>
      <c r="B2410" s="223" t="s">
        <v>4615</v>
      </c>
      <c r="C2410" s="221" t="s">
        <v>4614</v>
      </c>
    </row>
    <row r="2411" spans="1:3" x14ac:dyDescent="0.25">
      <c r="A2411" s="222">
        <v>290120</v>
      </c>
      <c r="B2411" s="223" t="s">
        <v>4618</v>
      </c>
      <c r="C2411" s="221" t="s">
        <v>4619</v>
      </c>
    </row>
    <row r="2412" spans="1:3" x14ac:dyDescent="0.25">
      <c r="A2412" s="222">
        <v>290120</v>
      </c>
      <c r="B2412" s="223" t="s">
        <v>4618</v>
      </c>
      <c r="C2412" s="221" t="s">
        <v>4617</v>
      </c>
    </row>
    <row r="2413" spans="1:3" x14ac:dyDescent="0.25">
      <c r="A2413" s="222">
        <v>290121</v>
      </c>
      <c r="B2413" s="223" t="s">
        <v>4621</v>
      </c>
      <c r="C2413" s="221" t="s">
        <v>4622</v>
      </c>
    </row>
    <row r="2414" spans="1:3" x14ac:dyDescent="0.25">
      <c r="A2414" s="222">
        <v>290121</v>
      </c>
      <c r="B2414" s="223" t="s">
        <v>4621</v>
      </c>
      <c r="C2414" s="221" t="s">
        <v>4620</v>
      </c>
    </row>
    <row r="2415" spans="1:3" x14ac:dyDescent="0.25">
      <c r="A2415" s="222">
        <v>290122</v>
      </c>
      <c r="B2415" s="223" t="s">
        <v>4624</v>
      </c>
      <c r="C2415" s="221" t="s">
        <v>4625</v>
      </c>
    </row>
    <row r="2416" spans="1:3" x14ac:dyDescent="0.25">
      <c r="A2416" s="222">
        <v>290122</v>
      </c>
      <c r="B2416" s="223" t="s">
        <v>4624</v>
      </c>
      <c r="C2416" s="221" t="s">
        <v>4623</v>
      </c>
    </row>
    <row r="2417" spans="1:3" x14ac:dyDescent="0.25">
      <c r="A2417" s="222">
        <v>290123</v>
      </c>
      <c r="B2417" s="223" t="s">
        <v>4627</v>
      </c>
      <c r="C2417" s="221" t="s">
        <v>4628</v>
      </c>
    </row>
    <row r="2418" spans="1:3" x14ac:dyDescent="0.25">
      <c r="A2418" s="222">
        <v>290123</v>
      </c>
      <c r="B2418" s="223" t="s">
        <v>4627</v>
      </c>
      <c r="C2418" s="221" t="s">
        <v>4626</v>
      </c>
    </row>
    <row r="2419" spans="1:3" x14ac:dyDescent="0.25">
      <c r="A2419" s="222">
        <v>290124</v>
      </c>
      <c r="B2419" s="223" t="s">
        <v>4627</v>
      </c>
      <c r="C2419" s="221" t="s">
        <v>4630</v>
      </c>
    </row>
    <row r="2420" spans="1:3" x14ac:dyDescent="0.25">
      <c r="A2420" s="222">
        <v>290124</v>
      </c>
      <c r="B2420" s="223" t="s">
        <v>4627</v>
      </c>
      <c r="C2420" s="221" t="s">
        <v>4629</v>
      </c>
    </row>
    <row r="2421" spans="1:3" x14ac:dyDescent="0.25">
      <c r="A2421" s="222">
        <v>290125</v>
      </c>
      <c r="B2421" s="223" t="s">
        <v>4627</v>
      </c>
      <c r="C2421" s="221" t="s">
        <v>4632</v>
      </c>
    </row>
    <row r="2422" spans="1:3" x14ac:dyDescent="0.25">
      <c r="A2422" s="222">
        <v>290125</v>
      </c>
      <c r="B2422" s="223" t="s">
        <v>4627</v>
      </c>
      <c r="C2422" s="221" t="s">
        <v>4631</v>
      </c>
    </row>
    <row r="2423" spans="1:3" x14ac:dyDescent="0.25">
      <c r="A2423" s="222">
        <v>290126</v>
      </c>
      <c r="B2423" s="223" t="s">
        <v>4627</v>
      </c>
      <c r="C2423" s="221" t="s">
        <v>4634</v>
      </c>
    </row>
    <row r="2424" spans="1:3" x14ac:dyDescent="0.25">
      <c r="A2424" s="222">
        <v>290126</v>
      </c>
      <c r="B2424" s="223" t="s">
        <v>4627</v>
      </c>
      <c r="C2424" s="221" t="s">
        <v>4633</v>
      </c>
    </row>
    <row r="2425" spans="1:3" x14ac:dyDescent="0.25">
      <c r="A2425" s="222">
        <v>290127</v>
      </c>
      <c r="B2425" s="223" t="s">
        <v>4627</v>
      </c>
      <c r="C2425" s="221" t="s">
        <v>4636</v>
      </c>
    </row>
    <row r="2426" spans="1:3" x14ac:dyDescent="0.25">
      <c r="A2426" s="222">
        <v>290127</v>
      </c>
      <c r="B2426" s="223" t="s">
        <v>4627</v>
      </c>
      <c r="C2426" s="221" t="s">
        <v>4635</v>
      </c>
    </row>
    <row r="2427" spans="1:3" x14ac:dyDescent="0.25">
      <c r="A2427" s="222">
        <v>290128</v>
      </c>
      <c r="B2427" s="223" t="s">
        <v>4627</v>
      </c>
      <c r="C2427" s="221" t="s">
        <v>4638</v>
      </c>
    </row>
    <row r="2428" spans="1:3" x14ac:dyDescent="0.25">
      <c r="A2428" s="222">
        <v>290128</v>
      </c>
      <c r="B2428" s="223" t="s">
        <v>4627</v>
      </c>
      <c r="C2428" s="221" t="s">
        <v>4637</v>
      </c>
    </row>
    <row r="2429" spans="1:3" x14ac:dyDescent="0.25">
      <c r="A2429" s="222">
        <v>290129</v>
      </c>
      <c r="B2429" s="223" t="s">
        <v>4627</v>
      </c>
      <c r="C2429" s="221" t="s">
        <v>4640</v>
      </c>
    </row>
    <row r="2430" spans="1:3" x14ac:dyDescent="0.25">
      <c r="A2430" s="222">
        <v>290129</v>
      </c>
      <c r="B2430" s="223" t="s">
        <v>4627</v>
      </c>
      <c r="C2430" s="221" t="s">
        <v>4639</v>
      </c>
    </row>
    <row r="2431" spans="1:3" x14ac:dyDescent="0.25">
      <c r="A2431" s="222">
        <v>290130</v>
      </c>
      <c r="B2431" s="223" t="s">
        <v>4627</v>
      </c>
      <c r="C2431" s="221" t="s">
        <v>4642</v>
      </c>
    </row>
    <row r="2432" spans="1:3" x14ac:dyDescent="0.25">
      <c r="A2432" s="222">
        <v>290130</v>
      </c>
      <c r="B2432" s="223" t="s">
        <v>4627</v>
      </c>
      <c r="C2432" s="221" t="s">
        <v>4641</v>
      </c>
    </row>
    <row r="2433" spans="1:3" x14ac:dyDescent="0.25">
      <c r="A2433" s="222">
        <v>290131</v>
      </c>
      <c r="B2433" s="223" t="s">
        <v>4627</v>
      </c>
      <c r="C2433" s="221" t="s">
        <v>4644</v>
      </c>
    </row>
    <row r="2434" spans="1:3" x14ac:dyDescent="0.25">
      <c r="A2434" s="222">
        <v>290131</v>
      </c>
      <c r="B2434" s="223" t="s">
        <v>4627</v>
      </c>
      <c r="C2434" s="221" t="s">
        <v>4643</v>
      </c>
    </row>
    <row r="2435" spans="1:3" x14ac:dyDescent="0.25">
      <c r="A2435" s="222">
        <v>290132</v>
      </c>
      <c r="B2435" s="223" t="s">
        <v>4646</v>
      </c>
      <c r="C2435" s="221" t="s">
        <v>4647</v>
      </c>
    </row>
    <row r="2436" spans="1:3" x14ac:dyDescent="0.25">
      <c r="A2436" s="222">
        <v>290132</v>
      </c>
      <c r="B2436" s="223" t="s">
        <v>4646</v>
      </c>
      <c r="C2436" s="221" t="s">
        <v>4645</v>
      </c>
    </row>
    <row r="2437" spans="1:3" x14ac:dyDescent="0.25">
      <c r="A2437" s="222">
        <v>290133</v>
      </c>
      <c r="B2437" s="223" t="s">
        <v>4649</v>
      </c>
      <c r="C2437" s="221" t="s">
        <v>4650</v>
      </c>
    </row>
    <row r="2438" spans="1:3" x14ac:dyDescent="0.25">
      <c r="A2438" s="222">
        <v>290133</v>
      </c>
      <c r="B2438" s="223" t="s">
        <v>4649</v>
      </c>
      <c r="C2438" s="221" t="s">
        <v>4648</v>
      </c>
    </row>
    <row r="2439" spans="1:3" x14ac:dyDescent="0.25">
      <c r="A2439" s="222">
        <v>290134</v>
      </c>
      <c r="B2439" s="223" t="s">
        <v>4649</v>
      </c>
      <c r="C2439" s="221" t="s">
        <v>4652</v>
      </c>
    </row>
    <row r="2440" spans="1:3" x14ac:dyDescent="0.25">
      <c r="A2440" s="222">
        <v>290134</v>
      </c>
      <c r="B2440" s="223" t="s">
        <v>4649</v>
      </c>
      <c r="C2440" s="221" t="s">
        <v>4651</v>
      </c>
    </row>
    <row r="2441" spans="1:3" x14ac:dyDescent="0.25">
      <c r="A2441" s="222">
        <v>290135</v>
      </c>
      <c r="B2441" s="223" t="s">
        <v>4649</v>
      </c>
      <c r="C2441" s="221" t="s">
        <v>4654</v>
      </c>
    </row>
    <row r="2442" spans="1:3" x14ac:dyDescent="0.25">
      <c r="A2442" s="222">
        <v>290135</v>
      </c>
      <c r="B2442" s="223" t="s">
        <v>4649</v>
      </c>
      <c r="C2442" s="221" t="s">
        <v>4653</v>
      </c>
    </row>
    <row r="2443" spans="1:3" x14ac:dyDescent="0.25">
      <c r="A2443" s="222">
        <v>290136</v>
      </c>
      <c r="B2443" s="223" t="s">
        <v>4649</v>
      </c>
      <c r="C2443" s="221" t="s">
        <v>4656</v>
      </c>
    </row>
    <row r="2444" spans="1:3" x14ac:dyDescent="0.25">
      <c r="A2444" s="222">
        <v>290136</v>
      </c>
      <c r="B2444" s="223" t="s">
        <v>4649</v>
      </c>
      <c r="C2444" s="221" t="s">
        <v>4655</v>
      </c>
    </row>
    <row r="2445" spans="1:3" x14ac:dyDescent="0.25">
      <c r="A2445" s="222">
        <v>290137</v>
      </c>
      <c r="B2445" s="223" t="s">
        <v>4658</v>
      </c>
      <c r="C2445" s="221" t="s">
        <v>4659</v>
      </c>
    </row>
    <row r="2446" spans="1:3" x14ac:dyDescent="0.25">
      <c r="A2446" s="222">
        <v>290137</v>
      </c>
      <c r="B2446" s="223" t="s">
        <v>4658</v>
      </c>
      <c r="C2446" s="221" t="s">
        <v>4657</v>
      </c>
    </row>
    <row r="2447" spans="1:3" x14ac:dyDescent="0.25">
      <c r="A2447" s="222">
        <v>290138</v>
      </c>
      <c r="B2447" s="223" t="s">
        <v>4661</v>
      </c>
      <c r="C2447" s="221" t="s">
        <v>4662</v>
      </c>
    </row>
    <row r="2448" spans="1:3" x14ac:dyDescent="0.25">
      <c r="A2448" s="222">
        <v>290138</v>
      </c>
      <c r="B2448" s="223" t="s">
        <v>4661</v>
      </c>
      <c r="C2448" s="221" t="s">
        <v>4660</v>
      </c>
    </row>
    <row r="2449" spans="1:3" x14ac:dyDescent="0.25">
      <c r="A2449" s="222">
        <v>290139</v>
      </c>
      <c r="B2449" s="223" t="s">
        <v>4664</v>
      </c>
      <c r="C2449" s="221" t="s">
        <v>4665</v>
      </c>
    </row>
    <row r="2450" spans="1:3" x14ac:dyDescent="0.25">
      <c r="A2450" s="222">
        <v>290139</v>
      </c>
      <c r="B2450" s="223" t="s">
        <v>4664</v>
      </c>
      <c r="C2450" s="221" t="s">
        <v>4663</v>
      </c>
    </row>
    <row r="2451" spans="1:3" x14ac:dyDescent="0.25">
      <c r="A2451" s="222">
        <v>290140</v>
      </c>
      <c r="B2451" s="223" t="s">
        <v>4667</v>
      </c>
      <c r="C2451" s="221" t="s">
        <v>4668</v>
      </c>
    </row>
    <row r="2452" spans="1:3" x14ac:dyDescent="0.25">
      <c r="A2452" s="222">
        <v>290140</v>
      </c>
      <c r="B2452" s="223" t="s">
        <v>4667</v>
      </c>
      <c r="C2452" s="221" t="s">
        <v>4666</v>
      </c>
    </row>
    <row r="2453" spans="1:3" x14ac:dyDescent="0.25">
      <c r="A2453" s="222">
        <v>290141</v>
      </c>
      <c r="B2453" s="223" t="s">
        <v>4670</v>
      </c>
      <c r="C2453" s="221" t="s">
        <v>4671</v>
      </c>
    </row>
    <row r="2454" spans="1:3" x14ac:dyDescent="0.25">
      <c r="A2454" s="222">
        <v>290141</v>
      </c>
      <c r="B2454" s="223" t="s">
        <v>4670</v>
      </c>
      <c r="C2454" s="221" t="s">
        <v>4669</v>
      </c>
    </row>
    <row r="2455" spans="1:3" x14ac:dyDescent="0.25">
      <c r="A2455" s="222">
        <v>290142</v>
      </c>
      <c r="B2455" s="223" t="s">
        <v>4673</v>
      </c>
      <c r="C2455" s="221" t="s">
        <v>4674</v>
      </c>
    </row>
    <row r="2456" spans="1:3" x14ac:dyDescent="0.25">
      <c r="A2456" s="222">
        <v>290142</v>
      </c>
      <c r="B2456" s="223" t="s">
        <v>4673</v>
      </c>
      <c r="C2456" s="221" t="s">
        <v>4672</v>
      </c>
    </row>
    <row r="2457" spans="1:3" x14ac:dyDescent="0.25">
      <c r="A2457" s="222">
        <v>290143</v>
      </c>
      <c r="B2457" s="223" t="s">
        <v>4676</v>
      </c>
      <c r="C2457" s="221" t="s">
        <v>4677</v>
      </c>
    </row>
    <row r="2458" spans="1:3" x14ac:dyDescent="0.25">
      <c r="A2458" s="222">
        <v>290143</v>
      </c>
      <c r="B2458" s="223" t="s">
        <v>4676</v>
      </c>
      <c r="C2458" s="221" t="s">
        <v>4675</v>
      </c>
    </row>
    <row r="2459" spans="1:3" x14ac:dyDescent="0.25">
      <c r="A2459" s="222">
        <v>290144</v>
      </c>
      <c r="B2459" s="223" t="s">
        <v>4679</v>
      </c>
      <c r="C2459" s="221" t="s">
        <v>4680</v>
      </c>
    </row>
    <row r="2460" spans="1:3" x14ac:dyDescent="0.25">
      <c r="A2460" s="222">
        <v>290144</v>
      </c>
      <c r="B2460" s="223" t="s">
        <v>4679</v>
      </c>
      <c r="C2460" s="221" t="s">
        <v>4678</v>
      </c>
    </row>
    <row r="2461" spans="1:3" x14ac:dyDescent="0.25">
      <c r="A2461" s="222">
        <v>290145</v>
      </c>
      <c r="B2461" s="223" t="s">
        <v>4682</v>
      </c>
      <c r="C2461" s="221" t="s">
        <v>4683</v>
      </c>
    </row>
    <row r="2462" spans="1:3" x14ac:dyDescent="0.25">
      <c r="A2462" s="222">
        <v>290145</v>
      </c>
      <c r="B2462" s="223" t="s">
        <v>4682</v>
      </c>
      <c r="C2462" s="221" t="s">
        <v>4681</v>
      </c>
    </row>
    <row r="2463" spans="1:3" x14ac:dyDescent="0.25">
      <c r="A2463" s="222">
        <v>290146</v>
      </c>
      <c r="B2463" s="223" t="s">
        <v>4685</v>
      </c>
      <c r="C2463" s="221" t="s">
        <v>4686</v>
      </c>
    </row>
    <row r="2464" spans="1:3" x14ac:dyDescent="0.25">
      <c r="A2464" s="222">
        <v>290146</v>
      </c>
      <c r="B2464" s="223" t="s">
        <v>4685</v>
      </c>
      <c r="C2464" s="221" t="s">
        <v>4684</v>
      </c>
    </row>
    <row r="2465" spans="1:3" x14ac:dyDescent="0.25">
      <c r="A2465" s="222">
        <v>290147</v>
      </c>
      <c r="B2465" s="223" t="s">
        <v>4688</v>
      </c>
      <c r="C2465" s="221" t="s">
        <v>4689</v>
      </c>
    </row>
    <row r="2466" spans="1:3" x14ac:dyDescent="0.25">
      <c r="A2466" s="222">
        <v>290147</v>
      </c>
      <c r="B2466" s="223" t="s">
        <v>4688</v>
      </c>
      <c r="C2466" s="221" t="s">
        <v>4687</v>
      </c>
    </row>
    <row r="2467" spans="1:3" x14ac:dyDescent="0.25">
      <c r="A2467" s="222">
        <v>290148</v>
      </c>
      <c r="B2467" s="223" t="s">
        <v>4691</v>
      </c>
      <c r="C2467" s="221" t="s">
        <v>4692</v>
      </c>
    </row>
    <row r="2468" spans="1:3" x14ac:dyDescent="0.25">
      <c r="A2468" s="222">
        <v>290148</v>
      </c>
      <c r="B2468" s="223" t="s">
        <v>4691</v>
      </c>
      <c r="C2468" s="221" t="s">
        <v>4690</v>
      </c>
    </row>
    <row r="2469" spans="1:3" x14ac:dyDescent="0.25">
      <c r="A2469" s="222">
        <v>290149</v>
      </c>
      <c r="B2469" s="223" t="s">
        <v>4694</v>
      </c>
      <c r="C2469" s="221" t="s">
        <v>4695</v>
      </c>
    </row>
    <row r="2470" spans="1:3" x14ac:dyDescent="0.25">
      <c r="A2470" s="222">
        <v>290149</v>
      </c>
      <c r="B2470" s="223" t="s">
        <v>4694</v>
      </c>
      <c r="C2470" s="221" t="s">
        <v>4693</v>
      </c>
    </row>
    <row r="2471" spans="1:3" x14ac:dyDescent="0.25">
      <c r="A2471" s="222">
        <v>290150</v>
      </c>
      <c r="B2471" s="223" t="s">
        <v>4697</v>
      </c>
      <c r="C2471" s="221" t="s">
        <v>4698</v>
      </c>
    </row>
    <row r="2472" spans="1:3" x14ac:dyDescent="0.25">
      <c r="A2472" s="222">
        <v>290150</v>
      </c>
      <c r="B2472" s="223" t="s">
        <v>4697</v>
      </c>
      <c r="C2472" s="221" t="s">
        <v>4696</v>
      </c>
    </row>
    <row r="2473" spans="1:3" x14ac:dyDescent="0.25">
      <c r="A2473" s="222">
        <v>290151</v>
      </c>
      <c r="B2473" s="223" t="s">
        <v>4700</v>
      </c>
      <c r="C2473" s="221" t="s">
        <v>4701</v>
      </c>
    </row>
    <row r="2474" spans="1:3" x14ac:dyDescent="0.25">
      <c r="A2474" s="222">
        <v>290151</v>
      </c>
      <c r="B2474" s="223" t="s">
        <v>4700</v>
      </c>
      <c r="C2474" s="221" t="s">
        <v>4699</v>
      </c>
    </row>
    <row r="2475" spans="1:3" x14ac:dyDescent="0.25">
      <c r="A2475" s="222">
        <v>290152</v>
      </c>
      <c r="B2475" s="223" t="s">
        <v>4703</v>
      </c>
      <c r="C2475" s="221" t="s">
        <v>4704</v>
      </c>
    </row>
    <row r="2476" spans="1:3" x14ac:dyDescent="0.25">
      <c r="A2476" s="222">
        <v>290152</v>
      </c>
      <c r="B2476" s="223" t="s">
        <v>4703</v>
      </c>
      <c r="C2476" s="221" t="s">
        <v>4702</v>
      </c>
    </row>
    <row r="2477" spans="1:3" x14ac:dyDescent="0.25">
      <c r="A2477" s="222">
        <v>290153</v>
      </c>
      <c r="B2477" s="223" t="s">
        <v>4706</v>
      </c>
      <c r="C2477" s="221" t="s">
        <v>4707</v>
      </c>
    </row>
    <row r="2478" spans="1:3" x14ac:dyDescent="0.25">
      <c r="A2478" s="222">
        <v>290153</v>
      </c>
      <c r="B2478" s="223" t="s">
        <v>4706</v>
      </c>
      <c r="C2478" s="221" t="s">
        <v>4705</v>
      </c>
    </row>
    <row r="2479" spans="1:3" x14ac:dyDescent="0.25">
      <c r="A2479" s="222">
        <v>290154</v>
      </c>
      <c r="B2479" s="223" t="s">
        <v>4709</v>
      </c>
      <c r="C2479" s="221" t="s">
        <v>4708</v>
      </c>
    </row>
    <row r="2480" spans="1:3" x14ac:dyDescent="0.25">
      <c r="A2480" s="222">
        <v>290155</v>
      </c>
      <c r="B2480" s="223" t="s">
        <v>4711</v>
      </c>
      <c r="C2480" s="221" t="s">
        <v>4712</v>
      </c>
    </row>
    <row r="2481" spans="1:3" x14ac:dyDescent="0.25">
      <c r="A2481" s="222">
        <v>290155</v>
      </c>
      <c r="B2481" s="223" t="s">
        <v>4711</v>
      </c>
      <c r="C2481" s="221" t="s">
        <v>4710</v>
      </c>
    </row>
    <row r="2482" spans="1:3" x14ac:dyDescent="0.25">
      <c r="A2482" s="222">
        <v>290156</v>
      </c>
      <c r="B2482" s="223" t="s">
        <v>4714</v>
      </c>
      <c r="C2482" s="221" t="s">
        <v>4715</v>
      </c>
    </row>
    <row r="2483" spans="1:3" x14ac:dyDescent="0.25">
      <c r="A2483" s="222">
        <v>290156</v>
      </c>
      <c r="B2483" s="223" t="s">
        <v>4714</v>
      </c>
      <c r="C2483" s="221" t="s">
        <v>4713</v>
      </c>
    </row>
    <row r="2484" spans="1:3" x14ac:dyDescent="0.25">
      <c r="A2484" s="222">
        <v>290159</v>
      </c>
      <c r="B2484" s="223" t="s">
        <v>4717</v>
      </c>
      <c r="C2484" s="221" t="s">
        <v>4718</v>
      </c>
    </row>
    <row r="2485" spans="1:3" x14ac:dyDescent="0.25">
      <c r="A2485" s="222">
        <v>290159</v>
      </c>
      <c r="B2485" s="223" t="s">
        <v>4717</v>
      </c>
      <c r="C2485" s="221" t="s">
        <v>4716</v>
      </c>
    </row>
    <row r="2486" spans="1:3" x14ac:dyDescent="0.25">
      <c r="A2486" s="222">
        <v>290160</v>
      </c>
      <c r="B2486" s="223" t="s">
        <v>4720</v>
      </c>
      <c r="C2486" s="221" t="s">
        <v>4721</v>
      </c>
    </row>
    <row r="2487" spans="1:3" x14ac:dyDescent="0.25">
      <c r="A2487" s="222">
        <v>290160</v>
      </c>
      <c r="B2487" s="223" t="s">
        <v>4720</v>
      </c>
      <c r="C2487" s="221" t="s">
        <v>4719</v>
      </c>
    </row>
    <row r="2488" spans="1:3" x14ac:dyDescent="0.25">
      <c r="A2488" s="222">
        <v>290161</v>
      </c>
      <c r="B2488" s="223" t="s">
        <v>4723</v>
      </c>
      <c r="C2488" s="221" t="s">
        <v>4724</v>
      </c>
    </row>
    <row r="2489" spans="1:3" x14ac:dyDescent="0.25">
      <c r="A2489" s="222">
        <v>290161</v>
      </c>
      <c r="B2489" s="223" t="s">
        <v>4723</v>
      </c>
      <c r="C2489" s="221" t="s">
        <v>4722</v>
      </c>
    </row>
    <row r="2490" spans="1:3" x14ac:dyDescent="0.25">
      <c r="A2490" s="222">
        <v>290162</v>
      </c>
      <c r="B2490" s="223" t="s">
        <v>4726</v>
      </c>
      <c r="C2490" s="221" t="s">
        <v>4727</v>
      </c>
    </row>
    <row r="2491" spans="1:3" x14ac:dyDescent="0.25">
      <c r="A2491" s="222">
        <v>290162</v>
      </c>
      <c r="B2491" s="223" t="s">
        <v>4726</v>
      </c>
      <c r="C2491" s="221" t="s">
        <v>4725</v>
      </c>
    </row>
    <row r="2492" spans="1:3" x14ac:dyDescent="0.25">
      <c r="A2492" s="222">
        <v>290163</v>
      </c>
      <c r="B2492" s="223" t="s">
        <v>4729</v>
      </c>
      <c r="C2492" s="221" t="s">
        <v>4730</v>
      </c>
    </row>
    <row r="2493" spans="1:3" x14ac:dyDescent="0.25">
      <c r="A2493" s="222">
        <v>290163</v>
      </c>
      <c r="B2493" s="223" t="s">
        <v>4729</v>
      </c>
      <c r="C2493" s="221" t="s">
        <v>4728</v>
      </c>
    </row>
    <row r="2494" spans="1:3" x14ac:dyDescent="0.25">
      <c r="A2494" s="222">
        <v>290164</v>
      </c>
      <c r="B2494" s="223" t="s">
        <v>4732</v>
      </c>
      <c r="C2494" s="221" t="s">
        <v>4733</v>
      </c>
    </row>
    <row r="2495" spans="1:3" x14ac:dyDescent="0.25">
      <c r="A2495" s="222">
        <v>290164</v>
      </c>
      <c r="B2495" s="223" t="s">
        <v>4732</v>
      </c>
      <c r="C2495" s="221" t="s">
        <v>4731</v>
      </c>
    </row>
    <row r="2496" spans="1:3" x14ac:dyDescent="0.25">
      <c r="A2496" s="222">
        <v>290165</v>
      </c>
      <c r="B2496" s="223" t="s">
        <v>4735</v>
      </c>
      <c r="C2496" s="221" t="s">
        <v>4736</v>
      </c>
    </row>
    <row r="2497" spans="1:3" x14ac:dyDescent="0.25">
      <c r="A2497" s="222">
        <v>290165</v>
      </c>
      <c r="B2497" s="223" t="s">
        <v>4735</v>
      </c>
      <c r="C2497" s="221" t="s">
        <v>4734</v>
      </c>
    </row>
    <row r="2498" spans="1:3" x14ac:dyDescent="0.25">
      <c r="A2498" s="222">
        <v>290166</v>
      </c>
      <c r="B2498" s="223" t="s">
        <v>4738</v>
      </c>
      <c r="C2498" s="221" t="s">
        <v>4739</v>
      </c>
    </row>
    <row r="2499" spans="1:3" x14ac:dyDescent="0.25">
      <c r="A2499" s="222">
        <v>290166</v>
      </c>
      <c r="B2499" s="223" t="s">
        <v>4738</v>
      </c>
      <c r="C2499" s="221" t="s">
        <v>4737</v>
      </c>
    </row>
    <row r="2500" spans="1:3" x14ac:dyDescent="0.25">
      <c r="A2500" s="222">
        <v>290167</v>
      </c>
      <c r="B2500" s="223" t="s">
        <v>4741</v>
      </c>
      <c r="C2500" s="221" t="s">
        <v>4742</v>
      </c>
    </row>
    <row r="2501" spans="1:3" x14ac:dyDescent="0.25">
      <c r="A2501" s="222">
        <v>290167</v>
      </c>
      <c r="B2501" s="223" t="s">
        <v>4741</v>
      </c>
      <c r="C2501" s="221" t="s">
        <v>4740</v>
      </c>
    </row>
    <row r="2502" spans="1:3" x14ac:dyDescent="0.25">
      <c r="A2502" s="222">
        <v>290168</v>
      </c>
      <c r="B2502" s="223" t="s">
        <v>4744</v>
      </c>
      <c r="C2502" s="221" t="s">
        <v>4745</v>
      </c>
    </row>
    <row r="2503" spans="1:3" x14ac:dyDescent="0.25">
      <c r="A2503" s="222">
        <v>290168</v>
      </c>
      <c r="B2503" s="223" t="s">
        <v>4744</v>
      </c>
      <c r="C2503" s="221" t="s">
        <v>4743</v>
      </c>
    </row>
    <row r="2504" spans="1:3" x14ac:dyDescent="0.25">
      <c r="A2504" s="222">
        <v>290169</v>
      </c>
      <c r="B2504" s="223" t="s">
        <v>4747</v>
      </c>
      <c r="C2504" s="221" t="s">
        <v>4748</v>
      </c>
    </row>
    <row r="2505" spans="1:3" x14ac:dyDescent="0.25">
      <c r="A2505" s="222">
        <v>290169</v>
      </c>
      <c r="B2505" s="223" t="s">
        <v>4747</v>
      </c>
      <c r="C2505" s="221" t="s">
        <v>4746</v>
      </c>
    </row>
    <row r="2506" spans="1:3" x14ac:dyDescent="0.25">
      <c r="A2506" s="222">
        <v>290170</v>
      </c>
      <c r="B2506" s="223" t="s">
        <v>4750</v>
      </c>
      <c r="C2506" s="221" t="s">
        <v>4751</v>
      </c>
    </row>
    <row r="2507" spans="1:3" x14ac:dyDescent="0.25">
      <c r="A2507" s="222">
        <v>290170</v>
      </c>
      <c r="B2507" s="223" t="s">
        <v>4750</v>
      </c>
      <c r="C2507" s="221" t="s">
        <v>4749</v>
      </c>
    </row>
    <row r="2508" spans="1:3" x14ac:dyDescent="0.25">
      <c r="A2508" s="222">
        <v>290171</v>
      </c>
      <c r="B2508" s="223" t="s">
        <v>4753</v>
      </c>
      <c r="C2508" s="221" t="s">
        <v>4754</v>
      </c>
    </row>
    <row r="2509" spans="1:3" x14ac:dyDescent="0.25">
      <c r="A2509" s="222">
        <v>290171</v>
      </c>
      <c r="B2509" s="223" t="s">
        <v>4753</v>
      </c>
      <c r="C2509" s="221" t="s">
        <v>4752</v>
      </c>
    </row>
    <row r="2510" spans="1:3" x14ac:dyDescent="0.25">
      <c r="A2510" s="222">
        <v>290172</v>
      </c>
      <c r="B2510" s="223" t="s">
        <v>4756</v>
      </c>
      <c r="C2510" s="221" t="s">
        <v>4757</v>
      </c>
    </row>
    <row r="2511" spans="1:3" x14ac:dyDescent="0.25">
      <c r="A2511" s="222">
        <v>290172</v>
      </c>
      <c r="B2511" s="223" t="s">
        <v>4756</v>
      </c>
      <c r="C2511" s="221" t="s">
        <v>4755</v>
      </c>
    </row>
    <row r="2512" spans="1:3" x14ac:dyDescent="0.25">
      <c r="A2512" s="222">
        <v>290173</v>
      </c>
      <c r="B2512" s="223" t="s">
        <v>4759</v>
      </c>
      <c r="C2512" s="221" t="s">
        <v>4760</v>
      </c>
    </row>
    <row r="2513" spans="1:3" x14ac:dyDescent="0.25">
      <c r="A2513" s="222">
        <v>290173</v>
      </c>
      <c r="B2513" s="223" t="s">
        <v>4759</v>
      </c>
      <c r="C2513" s="221" t="s">
        <v>4758</v>
      </c>
    </row>
    <row r="2514" spans="1:3" x14ac:dyDescent="0.25">
      <c r="A2514" s="222">
        <v>290174</v>
      </c>
      <c r="B2514" s="223" t="s">
        <v>4762</v>
      </c>
      <c r="C2514" s="221" t="s">
        <v>4763</v>
      </c>
    </row>
    <row r="2515" spans="1:3" x14ac:dyDescent="0.25">
      <c r="A2515" s="222">
        <v>290174</v>
      </c>
      <c r="B2515" s="223" t="s">
        <v>4762</v>
      </c>
      <c r="C2515" s="221" t="s">
        <v>4764</v>
      </c>
    </row>
    <row r="2516" spans="1:3" x14ac:dyDescent="0.25">
      <c r="A2516" s="222">
        <v>290174</v>
      </c>
      <c r="B2516" s="223" t="s">
        <v>4762</v>
      </c>
      <c r="C2516" s="221" t="s">
        <v>4761</v>
      </c>
    </row>
    <row r="2517" spans="1:3" x14ac:dyDescent="0.25">
      <c r="A2517" s="222">
        <v>290175</v>
      </c>
      <c r="B2517" s="223" t="s">
        <v>4766</v>
      </c>
      <c r="C2517" s="221" t="s">
        <v>4767</v>
      </c>
    </row>
    <row r="2518" spans="1:3" x14ac:dyDescent="0.25">
      <c r="A2518" s="222">
        <v>290175</v>
      </c>
      <c r="B2518" s="223" t="s">
        <v>4766</v>
      </c>
      <c r="C2518" s="221" t="s">
        <v>4768</v>
      </c>
    </row>
    <row r="2519" spans="1:3" x14ac:dyDescent="0.25">
      <c r="A2519" s="222">
        <v>290175</v>
      </c>
      <c r="B2519" s="223" t="s">
        <v>4766</v>
      </c>
      <c r="C2519" s="221" t="s">
        <v>4765</v>
      </c>
    </row>
    <row r="2520" spans="1:3" x14ac:dyDescent="0.25">
      <c r="A2520" s="222">
        <v>290176</v>
      </c>
      <c r="B2520" s="223" t="s">
        <v>4770</v>
      </c>
      <c r="C2520" s="221" t="s">
        <v>4771</v>
      </c>
    </row>
    <row r="2521" spans="1:3" x14ac:dyDescent="0.25">
      <c r="A2521" s="222">
        <v>290176</v>
      </c>
      <c r="B2521" s="223" t="s">
        <v>4770</v>
      </c>
      <c r="C2521" s="221" t="s">
        <v>4772</v>
      </c>
    </row>
    <row r="2522" spans="1:3" x14ac:dyDescent="0.25">
      <c r="A2522" s="222">
        <v>290176</v>
      </c>
      <c r="B2522" s="223" t="s">
        <v>4770</v>
      </c>
      <c r="C2522" s="221" t="s">
        <v>4769</v>
      </c>
    </row>
    <row r="2523" spans="1:3" x14ac:dyDescent="0.25">
      <c r="A2523" s="222">
        <v>290177</v>
      </c>
      <c r="B2523" s="223" t="s">
        <v>4774</v>
      </c>
      <c r="C2523" s="221" t="s">
        <v>4775</v>
      </c>
    </row>
    <row r="2524" spans="1:3" x14ac:dyDescent="0.25">
      <c r="A2524" s="222">
        <v>290177</v>
      </c>
      <c r="B2524" s="223" t="s">
        <v>4774</v>
      </c>
      <c r="C2524" s="221" t="s">
        <v>4776</v>
      </c>
    </row>
    <row r="2525" spans="1:3" x14ac:dyDescent="0.25">
      <c r="A2525" s="222">
        <v>290177</v>
      </c>
      <c r="B2525" s="223" t="s">
        <v>4774</v>
      </c>
      <c r="C2525" s="221" t="s">
        <v>4773</v>
      </c>
    </row>
    <row r="2526" spans="1:3" x14ac:dyDescent="0.25">
      <c r="A2526" s="222">
        <v>290178</v>
      </c>
      <c r="B2526" s="223" t="s">
        <v>4778</v>
      </c>
      <c r="C2526" s="221" t="s">
        <v>4779</v>
      </c>
    </row>
    <row r="2527" spans="1:3" x14ac:dyDescent="0.25">
      <c r="A2527" s="222">
        <v>290178</v>
      </c>
      <c r="B2527" s="223" t="s">
        <v>4778</v>
      </c>
      <c r="C2527" s="221" t="s">
        <v>4780</v>
      </c>
    </row>
    <row r="2528" spans="1:3" x14ac:dyDescent="0.25">
      <c r="A2528" s="222">
        <v>290178</v>
      </c>
      <c r="B2528" s="223" t="s">
        <v>4778</v>
      </c>
      <c r="C2528" s="221" t="s">
        <v>4777</v>
      </c>
    </row>
    <row r="2529" spans="1:3" x14ac:dyDescent="0.25">
      <c r="A2529" s="222">
        <v>290179</v>
      </c>
      <c r="B2529" s="223" t="s">
        <v>4782</v>
      </c>
      <c r="C2529" s="221" t="s">
        <v>4783</v>
      </c>
    </row>
    <row r="2530" spans="1:3" x14ac:dyDescent="0.25">
      <c r="A2530" s="222">
        <v>290179</v>
      </c>
      <c r="B2530" s="223" t="s">
        <v>4782</v>
      </c>
      <c r="C2530" s="221" t="s">
        <v>4784</v>
      </c>
    </row>
    <row r="2531" spans="1:3" x14ac:dyDescent="0.25">
      <c r="A2531" s="222">
        <v>290179</v>
      </c>
      <c r="B2531" s="223" t="s">
        <v>4782</v>
      </c>
      <c r="C2531" s="221" t="s">
        <v>4781</v>
      </c>
    </row>
    <row r="2532" spans="1:3" x14ac:dyDescent="0.25">
      <c r="A2532" s="222">
        <v>290180</v>
      </c>
      <c r="B2532" s="223" t="s">
        <v>4786</v>
      </c>
      <c r="C2532" s="221" t="s">
        <v>4787</v>
      </c>
    </row>
    <row r="2533" spans="1:3" x14ac:dyDescent="0.25">
      <c r="A2533" s="222">
        <v>290180</v>
      </c>
      <c r="B2533" s="223" t="s">
        <v>4786</v>
      </c>
      <c r="C2533" s="221" t="s">
        <v>4788</v>
      </c>
    </row>
    <row r="2534" spans="1:3" x14ac:dyDescent="0.25">
      <c r="A2534" s="222">
        <v>290180</v>
      </c>
      <c r="B2534" s="223" t="s">
        <v>4786</v>
      </c>
      <c r="C2534" s="221" t="s">
        <v>4785</v>
      </c>
    </row>
    <row r="2535" spans="1:3" x14ac:dyDescent="0.25">
      <c r="A2535" s="222">
        <v>290181</v>
      </c>
      <c r="B2535" s="223" t="s">
        <v>4790</v>
      </c>
      <c r="C2535" s="221" t="s">
        <v>4791</v>
      </c>
    </row>
    <row r="2536" spans="1:3" x14ac:dyDescent="0.25">
      <c r="A2536" s="222">
        <v>290181</v>
      </c>
      <c r="B2536" s="223" t="s">
        <v>4790</v>
      </c>
      <c r="C2536" s="221" t="s">
        <v>4792</v>
      </c>
    </row>
    <row r="2537" spans="1:3" x14ac:dyDescent="0.25">
      <c r="A2537" s="222">
        <v>290181</v>
      </c>
      <c r="B2537" s="223" t="s">
        <v>4790</v>
      </c>
      <c r="C2537" s="221" t="s">
        <v>4789</v>
      </c>
    </row>
    <row r="2538" spans="1:3" x14ac:dyDescent="0.25">
      <c r="A2538" s="222">
        <v>290182</v>
      </c>
      <c r="B2538" s="223" t="s">
        <v>4794</v>
      </c>
      <c r="C2538" s="221" t="s">
        <v>4795</v>
      </c>
    </row>
    <row r="2539" spans="1:3" x14ac:dyDescent="0.25">
      <c r="A2539" s="222">
        <v>290182</v>
      </c>
      <c r="B2539" s="223" t="s">
        <v>4794</v>
      </c>
      <c r="C2539" s="221" t="s">
        <v>4796</v>
      </c>
    </row>
    <row r="2540" spans="1:3" x14ac:dyDescent="0.25">
      <c r="A2540" s="222">
        <v>290182</v>
      </c>
      <c r="B2540" s="223" t="s">
        <v>4794</v>
      </c>
      <c r="C2540" s="221" t="s">
        <v>4793</v>
      </c>
    </row>
    <row r="2541" spans="1:3" x14ac:dyDescent="0.25">
      <c r="A2541" s="222">
        <v>290183</v>
      </c>
      <c r="B2541" s="223" t="s">
        <v>4798</v>
      </c>
      <c r="C2541" s="221" t="s">
        <v>4799</v>
      </c>
    </row>
    <row r="2542" spans="1:3" x14ac:dyDescent="0.25">
      <c r="A2542" s="222">
        <v>290183</v>
      </c>
      <c r="B2542" s="223" t="s">
        <v>4798</v>
      </c>
      <c r="C2542" s="221" t="s">
        <v>4800</v>
      </c>
    </row>
    <row r="2543" spans="1:3" x14ac:dyDescent="0.25">
      <c r="A2543" s="222">
        <v>290183</v>
      </c>
      <c r="B2543" s="223" t="s">
        <v>4798</v>
      </c>
      <c r="C2543" s="221" t="s">
        <v>4797</v>
      </c>
    </row>
    <row r="2544" spans="1:3" x14ac:dyDescent="0.25">
      <c r="A2544" s="222">
        <v>290184</v>
      </c>
      <c r="B2544" s="223" t="s">
        <v>4802</v>
      </c>
      <c r="C2544" s="221" t="s">
        <v>4803</v>
      </c>
    </row>
    <row r="2545" spans="1:3" x14ac:dyDescent="0.25">
      <c r="A2545" s="222">
        <v>290184</v>
      </c>
      <c r="B2545" s="223" t="s">
        <v>4802</v>
      </c>
      <c r="C2545" s="221" t="s">
        <v>4804</v>
      </c>
    </row>
    <row r="2546" spans="1:3" x14ac:dyDescent="0.25">
      <c r="A2546" s="222">
        <v>290184</v>
      </c>
      <c r="B2546" s="223" t="s">
        <v>4802</v>
      </c>
      <c r="C2546" s="221" t="s">
        <v>4801</v>
      </c>
    </row>
    <row r="2547" spans="1:3" x14ac:dyDescent="0.25">
      <c r="A2547" s="222">
        <v>290185</v>
      </c>
      <c r="B2547" s="223" t="s">
        <v>4806</v>
      </c>
      <c r="C2547" s="221" t="s">
        <v>4807</v>
      </c>
    </row>
    <row r="2548" spans="1:3" x14ac:dyDescent="0.25">
      <c r="A2548" s="222">
        <v>290185</v>
      </c>
      <c r="B2548" s="223" t="s">
        <v>4806</v>
      </c>
      <c r="C2548" s="221" t="s">
        <v>4808</v>
      </c>
    </row>
    <row r="2549" spans="1:3" x14ac:dyDescent="0.25">
      <c r="A2549" s="222">
        <v>290185</v>
      </c>
      <c r="B2549" s="223" t="s">
        <v>4806</v>
      </c>
      <c r="C2549" s="221" t="s">
        <v>4805</v>
      </c>
    </row>
    <row r="2550" spans="1:3" x14ac:dyDescent="0.25">
      <c r="A2550" s="222">
        <v>290186</v>
      </c>
      <c r="B2550" s="223" t="s">
        <v>4810</v>
      </c>
      <c r="C2550" s="221" t="s">
        <v>4811</v>
      </c>
    </row>
    <row r="2551" spans="1:3" x14ac:dyDescent="0.25">
      <c r="A2551" s="222">
        <v>290186</v>
      </c>
      <c r="B2551" s="223" t="s">
        <v>4810</v>
      </c>
      <c r="C2551" s="221" t="s">
        <v>4812</v>
      </c>
    </row>
    <row r="2552" spans="1:3" x14ac:dyDescent="0.25">
      <c r="A2552" s="222">
        <v>290186</v>
      </c>
      <c r="B2552" s="223" t="s">
        <v>4810</v>
      </c>
      <c r="C2552" s="221" t="s">
        <v>4809</v>
      </c>
    </row>
    <row r="2553" spans="1:3" x14ac:dyDescent="0.25">
      <c r="A2553" s="222">
        <v>290187</v>
      </c>
      <c r="B2553" s="223" t="s">
        <v>4814</v>
      </c>
      <c r="C2553" s="221" t="s">
        <v>4815</v>
      </c>
    </row>
    <row r="2554" spans="1:3" x14ac:dyDescent="0.25">
      <c r="A2554" s="222">
        <v>290187</v>
      </c>
      <c r="B2554" s="223" t="s">
        <v>4814</v>
      </c>
      <c r="C2554" s="221" t="s">
        <v>4816</v>
      </c>
    </row>
    <row r="2555" spans="1:3" x14ac:dyDescent="0.25">
      <c r="A2555" s="222">
        <v>290187</v>
      </c>
      <c r="B2555" s="223" t="s">
        <v>4814</v>
      </c>
      <c r="C2555" s="221" t="s">
        <v>4813</v>
      </c>
    </row>
    <row r="2556" spans="1:3" x14ac:dyDescent="0.25">
      <c r="A2556" s="222">
        <v>290188</v>
      </c>
      <c r="B2556" s="223" t="s">
        <v>4818</v>
      </c>
      <c r="C2556" s="221" t="s">
        <v>4819</v>
      </c>
    </row>
    <row r="2557" spans="1:3" x14ac:dyDescent="0.25">
      <c r="A2557" s="222">
        <v>290188</v>
      </c>
      <c r="B2557" s="223" t="s">
        <v>4818</v>
      </c>
      <c r="C2557" s="221" t="s">
        <v>4820</v>
      </c>
    </row>
    <row r="2558" spans="1:3" x14ac:dyDescent="0.25">
      <c r="A2558" s="222">
        <v>290188</v>
      </c>
      <c r="B2558" s="223" t="s">
        <v>4818</v>
      </c>
      <c r="C2558" s="221" t="s">
        <v>4817</v>
      </c>
    </row>
    <row r="2559" spans="1:3" x14ac:dyDescent="0.25">
      <c r="A2559" s="222">
        <v>290190</v>
      </c>
      <c r="B2559" s="223" t="s">
        <v>4822</v>
      </c>
      <c r="C2559" s="221" t="s">
        <v>4823</v>
      </c>
    </row>
    <row r="2560" spans="1:3" x14ac:dyDescent="0.25">
      <c r="A2560" s="222">
        <v>290190</v>
      </c>
      <c r="B2560" s="223" t="s">
        <v>4822</v>
      </c>
      <c r="C2560" s="221" t="s">
        <v>4824</v>
      </c>
    </row>
    <row r="2561" spans="1:3" x14ac:dyDescent="0.25">
      <c r="A2561" s="222">
        <v>290190</v>
      </c>
      <c r="B2561" s="223" t="s">
        <v>4822</v>
      </c>
      <c r="C2561" s="221" t="s">
        <v>4821</v>
      </c>
    </row>
    <row r="2562" spans="1:3" x14ac:dyDescent="0.25">
      <c r="A2562" s="222">
        <v>290203</v>
      </c>
      <c r="B2562" s="223" t="s">
        <v>4825</v>
      </c>
      <c r="C2562" s="221" t="s">
        <v>4826</v>
      </c>
    </row>
    <row r="2563" spans="1:3" x14ac:dyDescent="0.25">
      <c r="A2563" s="222">
        <v>300001</v>
      </c>
      <c r="B2563" s="223" t="s">
        <v>4827</v>
      </c>
      <c r="C2563" s="221" t="s">
        <v>4828</v>
      </c>
    </row>
    <row r="2564" spans="1:3" x14ac:dyDescent="0.25">
      <c r="A2564" s="222">
        <v>300001</v>
      </c>
      <c r="B2564" s="223" t="s">
        <v>4827</v>
      </c>
      <c r="C2564" s="221" t="s">
        <v>4829</v>
      </c>
    </row>
    <row r="2565" spans="1:3" x14ac:dyDescent="0.25">
      <c r="A2565" s="222">
        <v>300002</v>
      </c>
      <c r="B2565" s="223" t="s">
        <v>4830</v>
      </c>
      <c r="C2565" s="221" t="s">
        <v>4831</v>
      </c>
    </row>
    <row r="2566" spans="1:3" x14ac:dyDescent="0.25">
      <c r="A2566" s="222">
        <v>300002</v>
      </c>
      <c r="B2566" s="223" t="s">
        <v>4830</v>
      </c>
      <c r="C2566" s="221" t="s">
        <v>4832</v>
      </c>
    </row>
    <row r="2567" spans="1:3" x14ac:dyDescent="0.25">
      <c r="A2567" s="222">
        <v>300003</v>
      </c>
      <c r="B2567" s="223" t="s">
        <v>4833</v>
      </c>
      <c r="C2567" s="221" t="s">
        <v>4834</v>
      </c>
    </row>
    <row r="2568" spans="1:3" x14ac:dyDescent="0.25">
      <c r="A2568" s="222">
        <v>300003</v>
      </c>
      <c r="B2568" s="223" t="s">
        <v>4833</v>
      </c>
      <c r="C2568" s="221" t="s">
        <v>4835</v>
      </c>
    </row>
    <row r="2569" spans="1:3" x14ac:dyDescent="0.25">
      <c r="A2569" s="222">
        <v>300004</v>
      </c>
      <c r="B2569" s="223" t="s">
        <v>4836</v>
      </c>
      <c r="C2569" s="221" t="s">
        <v>4837</v>
      </c>
    </row>
    <row r="2570" spans="1:3" x14ac:dyDescent="0.25">
      <c r="A2570" s="222">
        <v>300004</v>
      </c>
      <c r="B2570" s="223" t="s">
        <v>4836</v>
      </c>
      <c r="C2570" s="221" t="s">
        <v>4838</v>
      </c>
    </row>
    <row r="2571" spans="1:3" x14ac:dyDescent="0.25">
      <c r="A2571" s="222">
        <v>300005</v>
      </c>
      <c r="B2571" s="223" t="s">
        <v>4839</v>
      </c>
      <c r="C2571" s="221" t="s">
        <v>4840</v>
      </c>
    </row>
    <row r="2572" spans="1:3" x14ac:dyDescent="0.25">
      <c r="A2572" s="222">
        <v>300005</v>
      </c>
      <c r="B2572" s="223" t="s">
        <v>4839</v>
      </c>
      <c r="C2572" s="221" t="s">
        <v>4841</v>
      </c>
    </row>
    <row r="2573" spans="1:3" x14ac:dyDescent="0.25">
      <c r="A2573" s="222">
        <v>300006</v>
      </c>
      <c r="B2573" s="223" t="s">
        <v>4842</v>
      </c>
      <c r="C2573" s="221" t="s">
        <v>4843</v>
      </c>
    </row>
    <row r="2574" spans="1:3" x14ac:dyDescent="0.25">
      <c r="A2574" s="222">
        <v>300006</v>
      </c>
      <c r="B2574" s="223" t="s">
        <v>4842</v>
      </c>
      <c r="C2574" s="221" t="s">
        <v>4844</v>
      </c>
    </row>
    <row r="2575" spans="1:3" x14ac:dyDescent="0.25">
      <c r="A2575" s="222">
        <v>300007</v>
      </c>
      <c r="B2575" s="223" t="s">
        <v>4845</v>
      </c>
      <c r="C2575" s="221" t="s">
        <v>4846</v>
      </c>
    </row>
    <row r="2576" spans="1:3" x14ac:dyDescent="0.25">
      <c r="A2576" s="222">
        <v>300007</v>
      </c>
      <c r="B2576" s="223" t="s">
        <v>4845</v>
      </c>
      <c r="C2576" s="221" t="s">
        <v>4847</v>
      </c>
    </row>
    <row r="2577" spans="1:3" x14ac:dyDescent="0.25">
      <c r="A2577" s="222">
        <v>300008</v>
      </c>
      <c r="B2577" s="223" t="s">
        <v>4848</v>
      </c>
      <c r="C2577" s="221" t="s">
        <v>4849</v>
      </c>
    </row>
    <row r="2578" spans="1:3" x14ac:dyDescent="0.25">
      <c r="A2578" s="222">
        <v>300008</v>
      </c>
      <c r="B2578" s="223" t="s">
        <v>4848</v>
      </c>
      <c r="C2578" s="221" t="s">
        <v>4850</v>
      </c>
    </row>
    <row r="2579" spans="1:3" x14ac:dyDescent="0.25">
      <c r="A2579" s="222">
        <v>300009</v>
      </c>
      <c r="B2579" s="223" t="s">
        <v>4851</v>
      </c>
      <c r="C2579" s="221" t="s">
        <v>4852</v>
      </c>
    </row>
    <row r="2580" spans="1:3" x14ac:dyDescent="0.25">
      <c r="A2580" s="222">
        <v>300009</v>
      </c>
      <c r="B2580" s="223" t="s">
        <v>4851</v>
      </c>
      <c r="C2580" s="221" t="s">
        <v>4853</v>
      </c>
    </row>
    <row r="2581" spans="1:3" x14ac:dyDescent="0.25">
      <c r="A2581" s="222">
        <v>300010</v>
      </c>
      <c r="B2581" s="223" t="s">
        <v>4851</v>
      </c>
      <c r="C2581" s="221" t="s">
        <v>4854</v>
      </c>
    </row>
    <row r="2582" spans="1:3" x14ac:dyDescent="0.25">
      <c r="A2582" s="222">
        <v>300010</v>
      </c>
      <c r="B2582" s="223" t="s">
        <v>4851</v>
      </c>
      <c r="C2582" s="221" t="s">
        <v>4855</v>
      </c>
    </row>
    <row r="2583" spans="1:3" x14ac:dyDescent="0.25">
      <c r="A2583" s="222">
        <v>300011</v>
      </c>
      <c r="B2583" s="223" t="s">
        <v>4856</v>
      </c>
      <c r="C2583" s="221" t="s">
        <v>4857</v>
      </c>
    </row>
    <row r="2584" spans="1:3" x14ac:dyDescent="0.25">
      <c r="A2584" s="222">
        <v>300011</v>
      </c>
      <c r="B2584" s="223" t="s">
        <v>4856</v>
      </c>
      <c r="C2584" s="221" t="s">
        <v>4858</v>
      </c>
    </row>
    <row r="2585" spans="1:3" x14ac:dyDescent="0.25">
      <c r="A2585" s="222">
        <v>300012</v>
      </c>
      <c r="B2585" s="223" t="s">
        <v>4859</v>
      </c>
      <c r="C2585" s="221" t="s">
        <v>4860</v>
      </c>
    </row>
    <row r="2586" spans="1:3" x14ac:dyDescent="0.25">
      <c r="A2586" s="222">
        <v>300012</v>
      </c>
      <c r="B2586" s="223" t="s">
        <v>4859</v>
      </c>
      <c r="C2586" s="221" t="s">
        <v>4861</v>
      </c>
    </row>
    <row r="2587" spans="1:3" x14ac:dyDescent="0.25">
      <c r="A2587" s="222">
        <v>300013</v>
      </c>
      <c r="B2587" s="223" t="s">
        <v>4862</v>
      </c>
      <c r="C2587" s="221" t="s">
        <v>4863</v>
      </c>
    </row>
    <row r="2588" spans="1:3" x14ac:dyDescent="0.25">
      <c r="A2588" s="222">
        <v>300013</v>
      </c>
      <c r="B2588" s="223" t="s">
        <v>4862</v>
      </c>
      <c r="C2588" s="221" t="s">
        <v>4864</v>
      </c>
    </row>
    <row r="2589" spans="1:3" x14ac:dyDescent="0.25">
      <c r="A2589" s="222">
        <v>300014</v>
      </c>
      <c r="B2589" s="223" t="s">
        <v>4865</v>
      </c>
      <c r="C2589" s="221" t="s">
        <v>4866</v>
      </c>
    </row>
    <row r="2590" spans="1:3" x14ac:dyDescent="0.25">
      <c r="A2590" s="222">
        <v>300014</v>
      </c>
      <c r="B2590" s="223" t="s">
        <v>4865</v>
      </c>
      <c r="C2590" s="221" t="s">
        <v>4867</v>
      </c>
    </row>
    <row r="2591" spans="1:3" x14ac:dyDescent="0.25">
      <c r="A2591" s="222">
        <v>300015</v>
      </c>
      <c r="B2591" s="223" t="s">
        <v>4868</v>
      </c>
      <c r="C2591" s="221" t="s">
        <v>4869</v>
      </c>
    </row>
    <row r="2592" spans="1:3" x14ac:dyDescent="0.25">
      <c r="A2592" s="222">
        <v>300015</v>
      </c>
      <c r="B2592" s="223" t="s">
        <v>4868</v>
      </c>
      <c r="C2592" s="221" t="s">
        <v>4870</v>
      </c>
    </row>
    <row r="2593" spans="1:3" x14ac:dyDescent="0.25">
      <c r="A2593" s="222">
        <v>300016</v>
      </c>
      <c r="B2593" s="223" t="s">
        <v>4871</v>
      </c>
      <c r="C2593" s="221" t="s">
        <v>4872</v>
      </c>
    </row>
    <row r="2594" spans="1:3" x14ac:dyDescent="0.25">
      <c r="A2594" s="222">
        <v>300016</v>
      </c>
      <c r="B2594" s="223" t="s">
        <v>4871</v>
      </c>
      <c r="C2594" s="221" t="s">
        <v>4873</v>
      </c>
    </row>
    <row r="2595" spans="1:3" x14ac:dyDescent="0.25">
      <c r="A2595" s="222">
        <v>300017</v>
      </c>
      <c r="B2595" s="223" t="s">
        <v>4874</v>
      </c>
      <c r="C2595" s="221" t="s">
        <v>4875</v>
      </c>
    </row>
    <row r="2596" spans="1:3" x14ac:dyDescent="0.25">
      <c r="A2596" s="222">
        <v>300017</v>
      </c>
      <c r="B2596" s="223" t="s">
        <v>4874</v>
      </c>
      <c r="C2596" s="221" t="s">
        <v>4876</v>
      </c>
    </row>
    <row r="2597" spans="1:3" x14ac:dyDescent="0.25">
      <c r="A2597" s="222">
        <v>300018</v>
      </c>
      <c r="B2597" s="223" t="s">
        <v>4877</v>
      </c>
      <c r="C2597" s="221" t="s">
        <v>4878</v>
      </c>
    </row>
    <row r="2598" spans="1:3" x14ac:dyDescent="0.25">
      <c r="A2598" s="222">
        <v>300018</v>
      </c>
      <c r="B2598" s="223" t="s">
        <v>4877</v>
      </c>
      <c r="C2598" s="221" t="s">
        <v>4879</v>
      </c>
    </row>
    <row r="2599" spans="1:3" x14ac:dyDescent="0.25">
      <c r="A2599" s="222">
        <v>300019</v>
      </c>
      <c r="B2599" s="223" t="s">
        <v>4877</v>
      </c>
      <c r="C2599" s="221" t="s">
        <v>4880</v>
      </c>
    </row>
    <row r="2600" spans="1:3" x14ac:dyDescent="0.25">
      <c r="A2600" s="222">
        <v>300019</v>
      </c>
      <c r="B2600" s="223" t="s">
        <v>4877</v>
      </c>
      <c r="C2600" s="221" t="s">
        <v>4881</v>
      </c>
    </row>
    <row r="2601" spans="1:3" x14ac:dyDescent="0.25">
      <c r="A2601" s="222">
        <v>300020</v>
      </c>
      <c r="B2601" s="223" t="s">
        <v>4882</v>
      </c>
      <c r="C2601" s="221" t="s">
        <v>4883</v>
      </c>
    </row>
    <row r="2602" spans="1:3" x14ac:dyDescent="0.25">
      <c r="A2602" s="222">
        <v>300020</v>
      </c>
      <c r="B2602" s="223" t="s">
        <v>4882</v>
      </c>
      <c r="C2602" s="221" t="s">
        <v>4884</v>
      </c>
    </row>
    <row r="2603" spans="1:3" x14ac:dyDescent="0.25">
      <c r="A2603" s="222">
        <v>300021</v>
      </c>
      <c r="B2603" s="223" t="s">
        <v>4885</v>
      </c>
      <c r="C2603" s="221" t="s">
        <v>4886</v>
      </c>
    </row>
    <row r="2604" spans="1:3" x14ac:dyDescent="0.25">
      <c r="A2604" s="222">
        <v>300021</v>
      </c>
      <c r="B2604" s="223" t="s">
        <v>4885</v>
      </c>
      <c r="C2604" s="221" t="s">
        <v>4887</v>
      </c>
    </row>
    <row r="2605" spans="1:3" x14ac:dyDescent="0.25">
      <c r="A2605" s="222">
        <v>300022</v>
      </c>
      <c r="B2605" s="223" t="s">
        <v>4888</v>
      </c>
      <c r="C2605" s="221" t="s">
        <v>4889</v>
      </c>
    </row>
    <row r="2606" spans="1:3" x14ac:dyDescent="0.25">
      <c r="A2606" s="222">
        <v>300022</v>
      </c>
      <c r="B2606" s="223" t="s">
        <v>4888</v>
      </c>
      <c r="C2606" s="221" t="s">
        <v>4890</v>
      </c>
    </row>
    <row r="2607" spans="1:3" x14ac:dyDescent="0.25">
      <c r="A2607" s="222">
        <v>300023</v>
      </c>
      <c r="B2607" s="223" t="s">
        <v>4891</v>
      </c>
      <c r="C2607" s="221" t="s">
        <v>4892</v>
      </c>
    </row>
    <row r="2608" spans="1:3" x14ac:dyDescent="0.25">
      <c r="A2608" s="222">
        <v>300023</v>
      </c>
      <c r="B2608" s="223" t="s">
        <v>4891</v>
      </c>
      <c r="C2608" s="221" t="s">
        <v>4893</v>
      </c>
    </row>
    <row r="2609" spans="1:3" x14ac:dyDescent="0.25">
      <c r="A2609" s="222">
        <v>300024</v>
      </c>
      <c r="B2609" s="223" t="s">
        <v>4894</v>
      </c>
      <c r="C2609" s="221" t="s">
        <v>4895</v>
      </c>
    </row>
    <row r="2610" spans="1:3" x14ac:dyDescent="0.25">
      <c r="A2610" s="222">
        <v>300024</v>
      </c>
      <c r="B2610" s="223" t="s">
        <v>4894</v>
      </c>
      <c r="C2610" s="221" t="s">
        <v>4896</v>
      </c>
    </row>
    <row r="2611" spans="1:3" x14ac:dyDescent="0.25">
      <c r="A2611" s="222">
        <v>300025</v>
      </c>
      <c r="B2611" s="223" t="s">
        <v>4897</v>
      </c>
      <c r="C2611" s="221" t="s">
        <v>4898</v>
      </c>
    </row>
    <row r="2612" spans="1:3" x14ac:dyDescent="0.25">
      <c r="A2612" s="222">
        <v>300025</v>
      </c>
      <c r="B2612" s="223" t="s">
        <v>4897</v>
      </c>
      <c r="C2612" s="221" t="s">
        <v>4899</v>
      </c>
    </row>
    <row r="2613" spans="1:3" x14ac:dyDescent="0.25">
      <c r="A2613" s="222">
        <v>300026</v>
      </c>
      <c r="B2613" s="223" t="s">
        <v>4900</v>
      </c>
      <c r="C2613" s="221" t="s">
        <v>4901</v>
      </c>
    </row>
    <row r="2614" spans="1:3" x14ac:dyDescent="0.25">
      <c r="A2614" s="222">
        <v>300026</v>
      </c>
      <c r="B2614" s="223" t="s">
        <v>4900</v>
      </c>
      <c r="C2614" s="221" t="s">
        <v>4902</v>
      </c>
    </row>
    <row r="2615" spans="1:3" x14ac:dyDescent="0.25">
      <c r="A2615" s="222">
        <v>300027</v>
      </c>
      <c r="B2615" s="223" t="s">
        <v>4903</v>
      </c>
      <c r="C2615" s="221" t="s">
        <v>4904</v>
      </c>
    </row>
    <row r="2616" spans="1:3" x14ac:dyDescent="0.25">
      <c r="A2616" s="222">
        <v>300027</v>
      </c>
      <c r="B2616" s="223" t="s">
        <v>4903</v>
      </c>
      <c r="C2616" s="221" t="s">
        <v>4905</v>
      </c>
    </row>
    <row r="2617" spans="1:3" x14ac:dyDescent="0.25">
      <c r="A2617" s="222">
        <v>300028</v>
      </c>
      <c r="B2617" s="223" t="s">
        <v>4906</v>
      </c>
      <c r="C2617" s="221" t="s">
        <v>4907</v>
      </c>
    </row>
    <row r="2618" spans="1:3" x14ac:dyDescent="0.25">
      <c r="A2618" s="222">
        <v>300028</v>
      </c>
      <c r="B2618" s="223" t="s">
        <v>4906</v>
      </c>
      <c r="C2618" s="221" t="s">
        <v>4908</v>
      </c>
    </row>
    <row r="2619" spans="1:3" x14ac:dyDescent="0.25">
      <c r="A2619" s="222">
        <v>300029</v>
      </c>
      <c r="B2619" s="223" t="s">
        <v>4909</v>
      </c>
      <c r="C2619" s="221" t="s">
        <v>4910</v>
      </c>
    </row>
    <row r="2620" spans="1:3" x14ac:dyDescent="0.25">
      <c r="A2620" s="222">
        <v>300029</v>
      </c>
      <c r="B2620" s="223" t="s">
        <v>4909</v>
      </c>
      <c r="C2620" s="221" t="s">
        <v>4911</v>
      </c>
    </row>
    <row r="2621" spans="1:3" x14ac:dyDescent="0.25">
      <c r="A2621" s="222">
        <v>300030</v>
      </c>
      <c r="B2621" s="223" t="s">
        <v>4913</v>
      </c>
      <c r="C2621" s="221" t="s">
        <v>4914</v>
      </c>
    </row>
    <row r="2622" spans="1:3" x14ac:dyDescent="0.25">
      <c r="A2622" s="222">
        <v>300030</v>
      </c>
      <c r="B2622" s="223" t="s">
        <v>4913</v>
      </c>
      <c r="C2622" s="221" t="s">
        <v>4912</v>
      </c>
    </row>
    <row r="2623" spans="1:3" x14ac:dyDescent="0.25">
      <c r="A2623" s="222">
        <v>300031</v>
      </c>
      <c r="B2623" s="223" t="s">
        <v>4915</v>
      </c>
      <c r="C2623" s="221" t="s">
        <v>4916</v>
      </c>
    </row>
    <row r="2624" spans="1:3" x14ac:dyDescent="0.25">
      <c r="A2624" s="222">
        <v>300031</v>
      </c>
      <c r="B2624" s="223" t="s">
        <v>4915</v>
      </c>
      <c r="C2624" s="221" t="s">
        <v>4917</v>
      </c>
    </row>
    <row r="2625" spans="1:3" x14ac:dyDescent="0.25">
      <c r="A2625" s="222">
        <v>300032</v>
      </c>
      <c r="B2625" s="223" t="s">
        <v>4918</v>
      </c>
      <c r="C2625" s="221" t="s">
        <v>4919</v>
      </c>
    </row>
    <row r="2626" spans="1:3" x14ac:dyDescent="0.25">
      <c r="A2626" s="222">
        <v>300032</v>
      </c>
      <c r="B2626" s="223" t="s">
        <v>4918</v>
      </c>
      <c r="C2626" s="221" t="s">
        <v>4920</v>
      </c>
    </row>
    <row r="2627" spans="1:3" x14ac:dyDescent="0.25">
      <c r="A2627" s="222">
        <v>300033</v>
      </c>
      <c r="B2627" s="223" t="s">
        <v>4921</v>
      </c>
      <c r="C2627" s="221" t="s">
        <v>4922</v>
      </c>
    </row>
    <row r="2628" spans="1:3" x14ac:dyDescent="0.25">
      <c r="A2628" s="222">
        <v>300033</v>
      </c>
      <c r="B2628" s="223" t="s">
        <v>4921</v>
      </c>
      <c r="C2628" s="221" t="s">
        <v>4923</v>
      </c>
    </row>
    <row r="2629" spans="1:3" x14ac:dyDescent="0.25">
      <c r="A2629" s="222">
        <v>300034</v>
      </c>
      <c r="B2629" s="223" t="s">
        <v>4924</v>
      </c>
      <c r="C2629" s="221" t="s">
        <v>4925</v>
      </c>
    </row>
    <row r="2630" spans="1:3" x14ac:dyDescent="0.25">
      <c r="A2630" s="222">
        <v>300034</v>
      </c>
      <c r="B2630" s="223" t="s">
        <v>4924</v>
      </c>
      <c r="C2630" s="221" t="s">
        <v>4926</v>
      </c>
    </row>
    <row r="2631" spans="1:3" x14ac:dyDescent="0.25">
      <c r="A2631" s="222">
        <v>300035</v>
      </c>
      <c r="B2631" s="223" t="s">
        <v>4927</v>
      </c>
      <c r="C2631" s="221" t="s">
        <v>4928</v>
      </c>
    </row>
    <row r="2632" spans="1:3" x14ac:dyDescent="0.25">
      <c r="A2632" s="222">
        <v>300035</v>
      </c>
      <c r="B2632" s="223" t="s">
        <v>4927</v>
      </c>
      <c r="C2632" s="221" t="s">
        <v>4929</v>
      </c>
    </row>
    <row r="2633" spans="1:3" x14ac:dyDescent="0.25">
      <c r="A2633" s="222">
        <v>300036</v>
      </c>
      <c r="B2633" s="223" t="s">
        <v>4930</v>
      </c>
      <c r="C2633" s="221" t="s">
        <v>4931</v>
      </c>
    </row>
    <row r="2634" spans="1:3" x14ac:dyDescent="0.25">
      <c r="A2634" s="222">
        <v>300036</v>
      </c>
      <c r="B2634" s="223" t="s">
        <v>4930</v>
      </c>
      <c r="C2634" s="221" t="s">
        <v>4932</v>
      </c>
    </row>
    <row r="2635" spans="1:3" x14ac:dyDescent="0.25">
      <c r="A2635" s="222">
        <v>300037</v>
      </c>
      <c r="B2635" s="223" t="s">
        <v>4933</v>
      </c>
      <c r="C2635" s="221" t="s">
        <v>4934</v>
      </c>
    </row>
    <row r="2636" spans="1:3" x14ac:dyDescent="0.25">
      <c r="A2636" s="222">
        <v>300037</v>
      </c>
      <c r="B2636" s="223" t="s">
        <v>4933</v>
      </c>
      <c r="C2636" s="221" t="s">
        <v>4935</v>
      </c>
    </row>
    <row r="2637" spans="1:3" x14ac:dyDescent="0.25">
      <c r="A2637" s="222">
        <v>300038</v>
      </c>
      <c r="B2637" s="223" t="s">
        <v>4936</v>
      </c>
      <c r="C2637" s="221" t="s">
        <v>4937</v>
      </c>
    </row>
    <row r="2638" spans="1:3" x14ac:dyDescent="0.25">
      <c r="A2638" s="222">
        <v>300038</v>
      </c>
      <c r="B2638" s="223" t="s">
        <v>4936</v>
      </c>
      <c r="C2638" s="221" t="s">
        <v>4938</v>
      </c>
    </row>
    <row r="2639" spans="1:3" x14ac:dyDescent="0.25">
      <c r="A2639" s="222">
        <v>300039</v>
      </c>
      <c r="B2639" s="223" t="s">
        <v>4939</v>
      </c>
      <c r="C2639" s="221" t="s">
        <v>4940</v>
      </c>
    </row>
    <row r="2640" spans="1:3" x14ac:dyDescent="0.25">
      <c r="A2640" s="222">
        <v>300039</v>
      </c>
      <c r="B2640" s="223" t="s">
        <v>4939</v>
      </c>
      <c r="C2640" s="221" t="s">
        <v>4941</v>
      </c>
    </row>
    <row r="2641" spans="1:3" x14ac:dyDescent="0.25">
      <c r="A2641" s="222">
        <v>300040</v>
      </c>
      <c r="B2641" s="223" t="s">
        <v>4942</v>
      </c>
      <c r="C2641" s="221" t="s">
        <v>4943</v>
      </c>
    </row>
    <row r="2642" spans="1:3" x14ac:dyDescent="0.25">
      <c r="A2642" s="222">
        <v>300040</v>
      </c>
      <c r="B2642" s="223" t="s">
        <v>4942</v>
      </c>
      <c r="C2642" s="221" t="s">
        <v>4944</v>
      </c>
    </row>
    <row r="2643" spans="1:3" x14ac:dyDescent="0.25">
      <c r="A2643" s="222">
        <v>300041</v>
      </c>
      <c r="B2643" s="223" t="s">
        <v>4945</v>
      </c>
      <c r="C2643" s="221" t="s">
        <v>4946</v>
      </c>
    </row>
    <row r="2644" spans="1:3" x14ac:dyDescent="0.25">
      <c r="A2644" s="222">
        <v>300041</v>
      </c>
      <c r="B2644" s="223" t="s">
        <v>4945</v>
      </c>
      <c r="C2644" s="221" t="s">
        <v>4947</v>
      </c>
    </row>
    <row r="2645" spans="1:3" x14ac:dyDescent="0.25">
      <c r="A2645" s="222">
        <v>300042</v>
      </c>
      <c r="B2645" s="223" t="s">
        <v>4948</v>
      </c>
      <c r="C2645" s="221" t="s">
        <v>4949</v>
      </c>
    </row>
    <row r="2646" spans="1:3" x14ac:dyDescent="0.25">
      <c r="A2646" s="222">
        <v>300042</v>
      </c>
      <c r="B2646" s="223" t="s">
        <v>4948</v>
      </c>
      <c r="C2646" s="221" t="s">
        <v>4950</v>
      </c>
    </row>
    <row r="2647" spans="1:3" x14ac:dyDescent="0.25">
      <c r="A2647" s="222">
        <v>300043</v>
      </c>
      <c r="B2647" s="223" t="s">
        <v>4951</v>
      </c>
      <c r="C2647" s="221" t="s">
        <v>4952</v>
      </c>
    </row>
    <row r="2648" spans="1:3" x14ac:dyDescent="0.25">
      <c r="A2648" s="222">
        <v>300043</v>
      </c>
      <c r="B2648" s="223" t="s">
        <v>4951</v>
      </c>
      <c r="C2648" s="221" t="s">
        <v>4953</v>
      </c>
    </row>
    <row r="2649" spans="1:3" x14ac:dyDescent="0.25">
      <c r="A2649" s="222">
        <v>300044</v>
      </c>
      <c r="B2649" s="223" t="s">
        <v>4954</v>
      </c>
      <c r="C2649" s="221" t="s">
        <v>4955</v>
      </c>
    </row>
    <row r="2650" spans="1:3" x14ac:dyDescent="0.25">
      <c r="A2650" s="222">
        <v>300044</v>
      </c>
      <c r="B2650" s="223" t="s">
        <v>4954</v>
      </c>
      <c r="C2650" s="221" t="s">
        <v>4956</v>
      </c>
    </row>
    <row r="2651" spans="1:3" x14ac:dyDescent="0.25">
      <c r="A2651" s="222">
        <v>300045</v>
      </c>
      <c r="B2651" s="223" t="s">
        <v>4957</v>
      </c>
      <c r="C2651" s="221" t="s">
        <v>4958</v>
      </c>
    </row>
    <row r="2652" spans="1:3" x14ac:dyDescent="0.25">
      <c r="A2652" s="222">
        <v>300045</v>
      </c>
      <c r="B2652" s="223" t="s">
        <v>4957</v>
      </c>
      <c r="C2652" s="221" t="s">
        <v>4959</v>
      </c>
    </row>
    <row r="2653" spans="1:3" x14ac:dyDescent="0.25">
      <c r="A2653" s="222">
        <v>300046</v>
      </c>
      <c r="B2653" s="223" t="s">
        <v>4960</v>
      </c>
      <c r="C2653" s="221" t="s">
        <v>4961</v>
      </c>
    </row>
    <row r="2654" spans="1:3" x14ac:dyDescent="0.25">
      <c r="A2654" s="222">
        <v>300046</v>
      </c>
      <c r="B2654" s="223" t="s">
        <v>4960</v>
      </c>
      <c r="C2654" s="221" t="s">
        <v>4962</v>
      </c>
    </row>
    <row r="2655" spans="1:3" x14ac:dyDescent="0.25">
      <c r="A2655" s="222">
        <v>300047</v>
      </c>
      <c r="B2655" s="223" t="s">
        <v>4963</v>
      </c>
      <c r="C2655" s="221" t="s">
        <v>4964</v>
      </c>
    </row>
    <row r="2656" spans="1:3" x14ac:dyDescent="0.25">
      <c r="A2656" s="222">
        <v>300047</v>
      </c>
      <c r="B2656" s="223" t="s">
        <v>4963</v>
      </c>
      <c r="C2656" s="221" t="s">
        <v>4965</v>
      </c>
    </row>
    <row r="2657" spans="1:3" x14ac:dyDescent="0.25">
      <c r="A2657" s="222">
        <v>300048</v>
      </c>
      <c r="B2657" s="223" t="s">
        <v>4966</v>
      </c>
      <c r="C2657" s="221" t="s">
        <v>4967</v>
      </c>
    </row>
    <row r="2658" spans="1:3" x14ac:dyDescent="0.25">
      <c r="A2658" s="222">
        <v>300048</v>
      </c>
      <c r="B2658" s="223" t="s">
        <v>4966</v>
      </c>
      <c r="C2658" s="221" t="s">
        <v>4968</v>
      </c>
    </row>
    <row r="2659" spans="1:3" x14ac:dyDescent="0.25">
      <c r="A2659" s="222">
        <v>300049</v>
      </c>
      <c r="B2659" s="223" t="s">
        <v>4969</v>
      </c>
      <c r="C2659" s="221" t="s">
        <v>4970</v>
      </c>
    </row>
    <row r="2660" spans="1:3" x14ac:dyDescent="0.25">
      <c r="A2660" s="222">
        <v>300049</v>
      </c>
      <c r="B2660" s="223" t="s">
        <v>4969</v>
      </c>
      <c r="C2660" s="221" t="s">
        <v>4971</v>
      </c>
    </row>
    <row r="2661" spans="1:3" x14ac:dyDescent="0.25">
      <c r="A2661" s="222">
        <v>300050</v>
      </c>
      <c r="B2661" s="223" t="s">
        <v>4972</v>
      </c>
      <c r="C2661" s="221" t="s">
        <v>4973</v>
      </c>
    </row>
    <row r="2662" spans="1:3" x14ac:dyDescent="0.25">
      <c r="A2662" s="222">
        <v>300050</v>
      </c>
      <c r="B2662" s="223" t="s">
        <v>4972</v>
      </c>
      <c r="C2662" s="221" t="s">
        <v>4974</v>
      </c>
    </row>
    <row r="2663" spans="1:3" x14ac:dyDescent="0.25">
      <c r="A2663" s="222">
        <v>300051</v>
      </c>
      <c r="B2663" s="223" t="s">
        <v>4975</v>
      </c>
      <c r="C2663" s="221" t="s">
        <v>4976</v>
      </c>
    </row>
    <row r="2664" spans="1:3" x14ac:dyDescent="0.25">
      <c r="A2664" s="222">
        <v>300051</v>
      </c>
      <c r="B2664" s="223" t="s">
        <v>4975</v>
      </c>
      <c r="C2664" s="221" t="s">
        <v>4977</v>
      </c>
    </row>
    <row r="2665" spans="1:3" x14ac:dyDescent="0.25">
      <c r="A2665" s="222">
        <v>300052</v>
      </c>
      <c r="B2665" s="223" t="s">
        <v>4978</v>
      </c>
      <c r="C2665" s="221" t="s">
        <v>4979</v>
      </c>
    </row>
    <row r="2666" spans="1:3" x14ac:dyDescent="0.25">
      <c r="A2666" s="222">
        <v>300052</v>
      </c>
      <c r="B2666" s="223" t="s">
        <v>4978</v>
      </c>
      <c r="C2666" s="221" t="s">
        <v>4980</v>
      </c>
    </row>
    <row r="2667" spans="1:3" x14ac:dyDescent="0.25">
      <c r="A2667" s="222">
        <v>300053</v>
      </c>
      <c r="B2667" s="223" t="s">
        <v>4981</v>
      </c>
      <c r="C2667" s="221" t="s">
        <v>4982</v>
      </c>
    </row>
    <row r="2668" spans="1:3" x14ac:dyDescent="0.25">
      <c r="A2668" s="222">
        <v>300053</v>
      </c>
      <c r="B2668" s="223" t="s">
        <v>4981</v>
      </c>
      <c r="C2668" s="221" t="s">
        <v>4983</v>
      </c>
    </row>
    <row r="2669" spans="1:3" x14ac:dyDescent="0.25">
      <c r="A2669" s="222">
        <v>300054</v>
      </c>
      <c r="B2669" s="223" t="s">
        <v>4984</v>
      </c>
      <c r="C2669" s="221" t="s">
        <v>4985</v>
      </c>
    </row>
    <row r="2670" spans="1:3" x14ac:dyDescent="0.25">
      <c r="A2670" s="222">
        <v>300054</v>
      </c>
      <c r="B2670" s="223" t="s">
        <v>4984</v>
      </c>
      <c r="C2670" s="221" t="s">
        <v>4986</v>
      </c>
    </row>
    <row r="2671" spans="1:3" x14ac:dyDescent="0.25">
      <c r="A2671" s="222">
        <v>300055</v>
      </c>
      <c r="B2671" s="223" t="s">
        <v>4987</v>
      </c>
      <c r="C2671" s="221" t="s">
        <v>4988</v>
      </c>
    </row>
    <row r="2672" spans="1:3" x14ac:dyDescent="0.25">
      <c r="A2672" s="222">
        <v>300055</v>
      </c>
      <c r="B2672" s="223" t="s">
        <v>4987</v>
      </c>
      <c r="C2672" s="221" t="s">
        <v>4989</v>
      </c>
    </row>
    <row r="2673" spans="1:3" x14ac:dyDescent="0.25">
      <c r="A2673" s="222">
        <v>300056</v>
      </c>
      <c r="B2673" s="223" t="s">
        <v>4990</v>
      </c>
      <c r="C2673" s="221" t="s">
        <v>4991</v>
      </c>
    </row>
    <row r="2674" spans="1:3" x14ac:dyDescent="0.25">
      <c r="A2674" s="222">
        <v>300056</v>
      </c>
      <c r="B2674" s="223" t="s">
        <v>4990</v>
      </c>
      <c r="C2674" s="221" t="s">
        <v>4992</v>
      </c>
    </row>
    <row r="2675" spans="1:3" x14ac:dyDescent="0.25">
      <c r="A2675" s="222">
        <v>300057</v>
      </c>
      <c r="B2675" s="223" t="s">
        <v>4993</v>
      </c>
      <c r="C2675" s="221" t="s">
        <v>4994</v>
      </c>
    </row>
    <row r="2676" spans="1:3" x14ac:dyDescent="0.25">
      <c r="A2676" s="222">
        <v>300057</v>
      </c>
      <c r="B2676" s="223" t="s">
        <v>4993</v>
      </c>
      <c r="C2676" s="221" t="s">
        <v>4995</v>
      </c>
    </row>
    <row r="2677" spans="1:3" x14ac:dyDescent="0.25">
      <c r="A2677" s="222">
        <v>300058</v>
      </c>
      <c r="B2677" s="223" t="s">
        <v>4996</v>
      </c>
      <c r="C2677" s="221" t="s">
        <v>4997</v>
      </c>
    </row>
    <row r="2678" spans="1:3" x14ac:dyDescent="0.25">
      <c r="A2678" s="222">
        <v>300058</v>
      </c>
      <c r="B2678" s="223" t="s">
        <v>4996</v>
      </c>
      <c r="C2678" s="221" t="s">
        <v>4998</v>
      </c>
    </row>
    <row r="2679" spans="1:3" x14ac:dyDescent="0.25">
      <c r="A2679" s="222">
        <v>300059</v>
      </c>
      <c r="B2679" s="223" t="s">
        <v>4999</v>
      </c>
      <c r="C2679" s="221" t="s">
        <v>5000</v>
      </c>
    </row>
    <row r="2680" spans="1:3" x14ac:dyDescent="0.25">
      <c r="A2680" s="222">
        <v>300059</v>
      </c>
      <c r="B2680" s="223" t="s">
        <v>4999</v>
      </c>
      <c r="C2680" s="221" t="s">
        <v>5001</v>
      </c>
    </row>
    <row r="2681" spans="1:3" x14ac:dyDescent="0.25">
      <c r="A2681" s="222">
        <v>300060</v>
      </c>
      <c r="B2681" s="223" t="s">
        <v>5002</v>
      </c>
      <c r="C2681" s="221" t="s">
        <v>5003</v>
      </c>
    </row>
    <row r="2682" spans="1:3" x14ac:dyDescent="0.25">
      <c r="A2682" s="222">
        <v>300060</v>
      </c>
      <c r="B2682" s="223" t="s">
        <v>5002</v>
      </c>
      <c r="C2682" s="221" t="s">
        <v>5004</v>
      </c>
    </row>
    <row r="2683" spans="1:3" x14ac:dyDescent="0.25">
      <c r="A2683" s="222">
        <v>300061</v>
      </c>
      <c r="B2683" s="223" t="s">
        <v>5005</v>
      </c>
      <c r="C2683" s="221" t="s">
        <v>5006</v>
      </c>
    </row>
    <row r="2684" spans="1:3" x14ac:dyDescent="0.25">
      <c r="A2684" s="222">
        <v>300061</v>
      </c>
      <c r="B2684" s="223" t="s">
        <v>5005</v>
      </c>
      <c r="C2684" s="221" t="s">
        <v>5007</v>
      </c>
    </row>
    <row r="2685" spans="1:3" x14ac:dyDescent="0.25">
      <c r="A2685" s="222">
        <v>300062</v>
      </c>
      <c r="B2685" s="223" t="s">
        <v>5008</v>
      </c>
      <c r="C2685" s="221" t="s">
        <v>5009</v>
      </c>
    </row>
    <row r="2686" spans="1:3" x14ac:dyDescent="0.25">
      <c r="A2686" s="222">
        <v>300062</v>
      </c>
      <c r="B2686" s="223" t="s">
        <v>5008</v>
      </c>
      <c r="C2686" s="221" t="s">
        <v>5010</v>
      </c>
    </row>
    <row r="2687" spans="1:3" x14ac:dyDescent="0.25">
      <c r="A2687" s="222">
        <v>300063</v>
      </c>
      <c r="B2687" s="223" t="s">
        <v>5011</v>
      </c>
      <c r="C2687" s="221" t="s">
        <v>5012</v>
      </c>
    </row>
    <row r="2688" spans="1:3" x14ac:dyDescent="0.25">
      <c r="A2688" s="222">
        <v>300063</v>
      </c>
      <c r="B2688" s="223" t="s">
        <v>5011</v>
      </c>
      <c r="C2688" s="221" t="s">
        <v>5013</v>
      </c>
    </row>
    <row r="2689" spans="1:3" x14ac:dyDescent="0.25">
      <c r="A2689" s="222">
        <v>300064</v>
      </c>
      <c r="B2689" s="223" t="s">
        <v>5014</v>
      </c>
      <c r="C2689" s="221" t="s">
        <v>5015</v>
      </c>
    </row>
    <row r="2690" spans="1:3" x14ac:dyDescent="0.25">
      <c r="A2690" s="222">
        <v>300064</v>
      </c>
      <c r="B2690" s="223" t="s">
        <v>5014</v>
      </c>
      <c r="C2690" s="221" t="s">
        <v>5016</v>
      </c>
    </row>
    <row r="2691" spans="1:3" x14ac:dyDescent="0.25">
      <c r="A2691" s="222">
        <v>300065</v>
      </c>
      <c r="B2691" s="223" t="s">
        <v>5017</v>
      </c>
      <c r="C2691" s="221" t="s">
        <v>5018</v>
      </c>
    </row>
    <row r="2692" spans="1:3" x14ac:dyDescent="0.25">
      <c r="A2692" s="222">
        <v>300065</v>
      </c>
      <c r="B2692" s="223" t="s">
        <v>5017</v>
      </c>
      <c r="C2692" s="221" t="s">
        <v>5019</v>
      </c>
    </row>
    <row r="2693" spans="1:3" x14ac:dyDescent="0.25">
      <c r="A2693" s="222">
        <v>300066</v>
      </c>
      <c r="B2693" s="223" t="s">
        <v>5020</v>
      </c>
      <c r="C2693" s="221" t="s">
        <v>5021</v>
      </c>
    </row>
    <row r="2694" spans="1:3" x14ac:dyDescent="0.25">
      <c r="A2694" s="222">
        <v>300066</v>
      </c>
      <c r="B2694" s="223" t="s">
        <v>5020</v>
      </c>
      <c r="C2694" s="221" t="s">
        <v>5022</v>
      </c>
    </row>
    <row r="2695" spans="1:3" x14ac:dyDescent="0.25">
      <c r="A2695" s="222">
        <v>300067</v>
      </c>
      <c r="B2695" s="223" t="s">
        <v>5023</v>
      </c>
      <c r="C2695" s="221" t="s">
        <v>5024</v>
      </c>
    </row>
    <row r="2696" spans="1:3" x14ac:dyDescent="0.25">
      <c r="A2696" s="222">
        <v>300067</v>
      </c>
      <c r="B2696" s="223" t="s">
        <v>5023</v>
      </c>
      <c r="C2696" s="221" t="s">
        <v>5025</v>
      </c>
    </row>
    <row r="2697" spans="1:3" x14ac:dyDescent="0.25">
      <c r="A2697" s="222">
        <v>300068</v>
      </c>
      <c r="B2697" s="223" t="s">
        <v>5026</v>
      </c>
      <c r="C2697" s="221" t="s">
        <v>5027</v>
      </c>
    </row>
    <row r="2698" spans="1:3" x14ac:dyDescent="0.25">
      <c r="A2698" s="222">
        <v>300068</v>
      </c>
      <c r="B2698" s="223" t="s">
        <v>5026</v>
      </c>
      <c r="C2698" s="221" t="s">
        <v>5028</v>
      </c>
    </row>
    <row r="2699" spans="1:3" x14ac:dyDescent="0.25">
      <c r="A2699" s="222">
        <v>300069</v>
      </c>
      <c r="B2699" s="223" t="s">
        <v>5029</v>
      </c>
      <c r="C2699" s="221" t="s">
        <v>5030</v>
      </c>
    </row>
    <row r="2700" spans="1:3" x14ac:dyDescent="0.25">
      <c r="A2700" s="222">
        <v>300069</v>
      </c>
      <c r="B2700" s="223" t="s">
        <v>5029</v>
      </c>
      <c r="C2700" s="221" t="s">
        <v>5031</v>
      </c>
    </row>
    <row r="2701" spans="1:3" x14ac:dyDescent="0.25">
      <c r="A2701" s="222">
        <v>300070</v>
      </c>
      <c r="B2701" s="223" t="s">
        <v>5032</v>
      </c>
      <c r="C2701" s="221" t="s">
        <v>5033</v>
      </c>
    </row>
    <row r="2702" spans="1:3" x14ac:dyDescent="0.25">
      <c r="A2702" s="222">
        <v>300070</v>
      </c>
      <c r="B2702" s="223" t="s">
        <v>5032</v>
      </c>
      <c r="C2702" s="221" t="s">
        <v>5034</v>
      </c>
    </row>
    <row r="2703" spans="1:3" x14ac:dyDescent="0.25">
      <c r="A2703" s="222">
        <v>300071</v>
      </c>
      <c r="B2703" s="223" t="s">
        <v>5035</v>
      </c>
      <c r="C2703" s="221" t="s">
        <v>5036</v>
      </c>
    </row>
    <row r="2704" spans="1:3" x14ac:dyDescent="0.25">
      <c r="A2704" s="222">
        <v>300071</v>
      </c>
      <c r="B2704" s="223" t="s">
        <v>5035</v>
      </c>
      <c r="C2704" s="221" t="s">
        <v>5037</v>
      </c>
    </row>
    <row r="2705" spans="1:3" x14ac:dyDescent="0.25">
      <c r="A2705" s="222">
        <v>300072</v>
      </c>
      <c r="B2705" s="223" t="s">
        <v>5038</v>
      </c>
      <c r="C2705" s="221" t="s">
        <v>5039</v>
      </c>
    </row>
    <row r="2706" spans="1:3" x14ac:dyDescent="0.25">
      <c r="A2706" s="222">
        <v>300072</v>
      </c>
      <c r="B2706" s="223" t="s">
        <v>5038</v>
      </c>
      <c r="C2706" s="221" t="s">
        <v>5040</v>
      </c>
    </row>
    <row r="2707" spans="1:3" x14ac:dyDescent="0.25">
      <c r="A2707" s="222">
        <v>300073</v>
      </c>
      <c r="B2707" s="223" t="s">
        <v>5041</v>
      </c>
      <c r="C2707" s="221" t="s">
        <v>5042</v>
      </c>
    </row>
    <row r="2708" spans="1:3" x14ac:dyDescent="0.25">
      <c r="A2708" s="222">
        <v>300073</v>
      </c>
      <c r="B2708" s="223" t="s">
        <v>5041</v>
      </c>
      <c r="C2708" s="221" t="s">
        <v>5043</v>
      </c>
    </row>
    <row r="2709" spans="1:3" x14ac:dyDescent="0.25">
      <c r="A2709" s="222">
        <v>300074</v>
      </c>
      <c r="B2709" s="223" t="s">
        <v>5044</v>
      </c>
      <c r="C2709" s="221" t="s">
        <v>5045</v>
      </c>
    </row>
    <row r="2710" spans="1:3" x14ac:dyDescent="0.25">
      <c r="A2710" s="222">
        <v>300074</v>
      </c>
      <c r="B2710" s="223" t="s">
        <v>5044</v>
      </c>
      <c r="C2710" s="221" t="s">
        <v>5046</v>
      </c>
    </row>
    <row r="2711" spans="1:3" x14ac:dyDescent="0.25">
      <c r="A2711" s="222">
        <v>300075</v>
      </c>
      <c r="B2711" s="223" t="s">
        <v>5047</v>
      </c>
      <c r="C2711" s="221" t="s">
        <v>5048</v>
      </c>
    </row>
    <row r="2712" spans="1:3" x14ac:dyDescent="0.25">
      <c r="A2712" s="222">
        <v>300075</v>
      </c>
      <c r="B2712" s="223" t="s">
        <v>5047</v>
      </c>
      <c r="C2712" s="221" t="s">
        <v>5049</v>
      </c>
    </row>
    <row r="2713" spans="1:3" x14ac:dyDescent="0.25">
      <c r="A2713" s="222">
        <v>300076</v>
      </c>
      <c r="B2713" s="223" t="s">
        <v>5050</v>
      </c>
      <c r="C2713" s="221" t="s">
        <v>5051</v>
      </c>
    </row>
    <row r="2714" spans="1:3" x14ac:dyDescent="0.25">
      <c r="A2714" s="222">
        <v>300076</v>
      </c>
      <c r="B2714" s="223" t="s">
        <v>5050</v>
      </c>
      <c r="C2714" s="221" t="s">
        <v>5052</v>
      </c>
    </row>
    <row r="2715" spans="1:3" x14ac:dyDescent="0.25">
      <c r="A2715" s="222">
        <v>300077</v>
      </c>
      <c r="B2715" s="223" t="s">
        <v>5053</v>
      </c>
      <c r="C2715" s="221" t="s">
        <v>5054</v>
      </c>
    </row>
    <row r="2716" spans="1:3" x14ac:dyDescent="0.25">
      <c r="A2716" s="222">
        <v>300077</v>
      </c>
      <c r="B2716" s="223" t="s">
        <v>5053</v>
      </c>
      <c r="C2716" s="221" t="s">
        <v>5055</v>
      </c>
    </row>
    <row r="2717" spans="1:3" x14ac:dyDescent="0.25">
      <c r="A2717" s="222">
        <v>300078</v>
      </c>
      <c r="B2717" s="223" t="s">
        <v>5056</v>
      </c>
      <c r="C2717" s="221" t="s">
        <v>5057</v>
      </c>
    </row>
    <row r="2718" spans="1:3" x14ac:dyDescent="0.25">
      <c r="A2718" s="222">
        <v>300078</v>
      </c>
      <c r="B2718" s="223" t="s">
        <v>5056</v>
      </c>
      <c r="C2718" s="221" t="s">
        <v>5058</v>
      </c>
    </row>
    <row r="2719" spans="1:3" x14ac:dyDescent="0.25">
      <c r="A2719" s="222">
        <v>300079</v>
      </c>
      <c r="B2719" s="223" t="s">
        <v>5059</v>
      </c>
      <c r="C2719" s="221" t="s">
        <v>5060</v>
      </c>
    </row>
    <row r="2720" spans="1:3" x14ac:dyDescent="0.25">
      <c r="A2720" s="222">
        <v>300079</v>
      </c>
      <c r="B2720" s="223" t="s">
        <v>5059</v>
      </c>
      <c r="C2720" s="221" t="s">
        <v>5061</v>
      </c>
    </row>
    <row r="2721" spans="1:3" x14ac:dyDescent="0.25">
      <c r="A2721" s="222">
        <v>300080</v>
      </c>
      <c r="B2721" s="223" t="s">
        <v>5062</v>
      </c>
      <c r="C2721" s="221" t="s">
        <v>5063</v>
      </c>
    </row>
    <row r="2722" spans="1:3" x14ac:dyDescent="0.25">
      <c r="A2722" s="222">
        <v>300080</v>
      </c>
      <c r="B2722" s="223" t="s">
        <v>5062</v>
      </c>
      <c r="C2722" s="221" t="s">
        <v>5064</v>
      </c>
    </row>
    <row r="2723" spans="1:3" x14ac:dyDescent="0.25">
      <c r="A2723" s="222">
        <v>300081</v>
      </c>
      <c r="B2723" s="223" t="s">
        <v>5065</v>
      </c>
      <c r="C2723" s="221" t="s">
        <v>5066</v>
      </c>
    </row>
    <row r="2724" spans="1:3" x14ac:dyDescent="0.25">
      <c r="A2724" s="222">
        <v>300081</v>
      </c>
      <c r="B2724" s="223" t="s">
        <v>5065</v>
      </c>
      <c r="C2724" s="221" t="s">
        <v>5067</v>
      </c>
    </row>
    <row r="2725" spans="1:3" x14ac:dyDescent="0.25">
      <c r="A2725" s="222">
        <v>300082</v>
      </c>
      <c r="B2725" s="223" t="s">
        <v>5068</v>
      </c>
      <c r="C2725" s="221" t="s">
        <v>5069</v>
      </c>
    </row>
    <row r="2726" spans="1:3" x14ac:dyDescent="0.25">
      <c r="A2726" s="222">
        <v>300082</v>
      </c>
      <c r="B2726" s="223" t="s">
        <v>5068</v>
      </c>
      <c r="C2726" s="221" t="s">
        <v>5070</v>
      </c>
    </row>
    <row r="2727" spans="1:3" x14ac:dyDescent="0.25">
      <c r="A2727" s="222">
        <v>300083</v>
      </c>
      <c r="B2727" s="223" t="s">
        <v>5071</v>
      </c>
      <c r="C2727" s="221" t="s">
        <v>5072</v>
      </c>
    </row>
    <row r="2728" spans="1:3" x14ac:dyDescent="0.25">
      <c r="A2728" s="222">
        <v>300083</v>
      </c>
      <c r="B2728" s="223" t="s">
        <v>5071</v>
      </c>
      <c r="C2728" s="221" t="s">
        <v>5073</v>
      </c>
    </row>
    <row r="2729" spans="1:3" x14ac:dyDescent="0.25">
      <c r="A2729" s="222">
        <v>300084</v>
      </c>
      <c r="B2729" s="223" t="s">
        <v>5074</v>
      </c>
      <c r="C2729" s="221" t="s">
        <v>5075</v>
      </c>
    </row>
    <row r="2730" spans="1:3" x14ac:dyDescent="0.25">
      <c r="A2730" s="222">
        <v>300084</v>
      </c>
      <c r="B2730" s="223" t="s">
        <v>5074</v>
      </c>
      <c r="C2730" s="221" t="s">
        <v>5076</v>
      </c>
    </row>
    <row r="2731" spans="1:3" x14ac:dyDescent="0.25">
      <c r="A2731" s="222">
        <v>300085</v>
      </c>
      <c r="B2731" s="223" t="s">
        <v>5077</v>
      </c>
      <c r="C2731" s="221" t="s">
        <v>5078</v>
      </c>
    </row>
    <row r="2732" spans="1:3" x14ac:dyDescent="0.25">
      <c r="A2732" s="222">
        <v>300085</v>
      </c>
      <c r="B2732" s="223" t="s">
        <v>5077</v>
      </c>
      <c r="C2732" s="221" t="s">
        <v>5079</v>
      </c>
    </row>
    <row r="2733" spans="1:3" x14ac:dyDescent="0.25">
      <c r="A2733" s="222">
        <v>300086</v>
      </c>
      <c r="B2733" s="223" t="s">
        <v>5080</v>
      </c>
      <c r="C2733" s="221" t="s">
        <v>5081</v>
      </c>
    </row>
    <row r="2734" spans="1:3" x14ac:dyDescent="0.25">
      <c r="A2734" s="222">
        <v>300086</v>
      </c>
      <c r="B2734" s="223" t="s">
        <v>5080</v>
      </c>
      <c r="C2734" s="221" t="s">
        <v>5082</v>
      </c>
    </row>
    <row r="2735" spans="1:3" x14ac:dyDescent="0.25">
      <c r="A2735" s="222">
        <v>300087</v>
      </c>
      <c r="B2735" s="223" t="s">
        <v>5083</v>
      </c>
      <c r="C2735" s="221" t="s">
        <v>5084</v>
      </c>
    </row>
    <row r="2736" spans="1:3" x14ac:dyDescent="0.25">
      <c r="A2736" s="222">
        <v>300087</v>
      </c>
      <c r="B2736" s="223" t="s">
        <v>5083</v>
      </c>
      <c r="C2736" s="221" t="s">
        <v>5085</v>
      </c>
    </row>
    <row r="2737" spans="1:3" x14ac:dyDescent="0.25">
      <c r="A2737" s="222">
        <v>300088</v>
      </c>
      <c r="B2737" s="223" t="s">
        <v>5086</v>
      </c>
      <c r="C2737" s="221" t="s">
        <v>5087</v>
      </c>
    </row>
    <row r="2738" spans="1:3" x14ac:dyDescent="0.25">
      <c r="A2738" s="222">
        <v>300088</v>
      </c>
      <c r="B2738" s="223" t="s">
        <v>5086</v>
      </c>
      <c r="C2738" s="221" t="s">
        <v>5088</v>
      </c>
    </row>
    <row r="2739" spans="1:3" x14ac:dyDescent="0.25">
      <c r="A2739" s="222">
        <v>300089</v>
      </c>
      <c r="B2739" s="223" t="s">
        <v>5089</v>
      </c>
      <c r="C2739" s="221" t="s">
        <v>5090</v>
      </c>
    </row>
    <row r="2740" spans="1:3" x14ac:dyDescent="0.25">
      <c r="A2740" s="222">
        <v>300089</v>
      </c>
      <c r="B2740" s="223" t="s">
        <v>5089</v>
      </c>
      <c r="C2740" s="221" t="s">
        <v>5091</v>
      </c>
    </row>
    <row r="2741" spans="1:3" x14ac:dyDescent="0.25">
      <c r="A2741" s="222">
        <v>300090</v>
      </c>
      <c r="B2741" s="223" t="s">
        <v>5092</v>
      </c>
      <c r="C2741" s="221" t="s">
        <v>5093</v>
      </c>
    </row>
    <row r="2742" spans="1:3" x14ac:dyDescent="0.25">
      <c r="A2742" s="222">
        <v>300090</v>
      </c>
      <c r="B2742" s="223" t="s">
        <v>5092</v>
      </c>
      <c r="C2742" s="221" t="s">
        <v>5094</v>
      </c>
    </row>
    <row r="2743" spans="1:3" x14ac:dyDescent="0.25">
      <c r="A2743" s="222">
        <v>300091</v>
      </c>
      <c r="B2743" s="223" t="s">
        <v>5095</v>
      </c>
      <c r="C2743" s="221" t="s">
        <v>5096</v>
      </c>
    </row>
    <row r="2744" spans="1:3" x14ac:dyDescent="0.25">
      <c r="A2744" s="222">
        <v>300091</v>
      </c>
      <c r="B2744" s="223" t="s">
        <v>5095</v>
      </c>
      <c r="C2744" s="221" t="s">
        <v>5097</v>
      </c>
    </row>
    <row r="2745" spans="1:3" x14ac:dyDescent="0.25">
      <c r="A2745" s="222">
        <v>300092</v>
      </c>
      <c r="B2745" s="223" t="s">
        <v>5098</v>
      </c>
      <c r="C2745" s="221" t="s">
        <v>5099</v>
      </c>
    </row>
    <row r="2746" spans="1:3" x14ac:dyDescent="0.25">
      <c r="A2746" s="222">
        <v>300092</v>
      </c>
      <c r="B2746" s="223" t="s">
        <v>5098</v>
      </c>
      <c r="C2746" s="221" t="s">
        <v>5100</v>
      </c>
    </row>
    <row r="2747" spans="1:3" x14ac:dyDescent="0.25">
      <c r="A2747" s="222">
        <v>300093</v>
      </c>
      <c r="B2747" s="223" t="s">
        <v>5101</v>
      </c>
      <c r="C2747" s="221" t="s">
        <v>5102</v>
      </c>
    </row>
    <row r="2748" spans="1:3" x14ac:dyDescent="0.25">
      <c r="A2748" s="222">
        <v>300093</v>
      </c>
      <c r="B2748" s="223" t="s">
        <v>5101</v>
      </c>
      <c r="C2748" s="221" t="s">
        <v>5103</v>
      </c>
    </row>
    <row r="2749" spans="1:3" x14ac:dyDescent="0.25">
      <c r="A2749" s="222">
        <v>300094</v>
      </c>
      <c r="B2749" s="223" t="s">
        <v>5104</v>
      </c>
      <c r="C2749" s="221" t="s">
        <v>5105</v>
      </c>
    </row>
    <row r="2750" spans="1:3" x14ac:dyDescent="0.25">
      <c r="A2750" s="222">
        <v>300094</v>
      </c>
      <c r="B2750" s="223" t="s">
        <v>5104</v>
      </c>
      <c r="C2750" s="221" t="s">
        <v>5106</v>
      </c>
    </row>
    <row r="2751" spans="1:3" x14ac:dyDescent="0.25">
      <c r="A2751" s="222">
        <v>300095</v>
      </c>
      <c r="B2751" s="223" t="s">
        <v>5107</v>
      </c>
      <c r="C2751" s="221" t="s">
        <v>5108</v>
      </c>
    </row>
    <row r="2752" spans="1:3" x14ac:dyDescent="0.25">
      <c r="A2752" s="222">
        <v>300095</v>
      </c>
      <c r="B2752" s="223" t="s">
        <v>5107</v>
      </c>
      <c r="C2752" s="221" t="s">
        <v>5109</v>
      </c>
    </row>
    <row r="2753" spans="1:3" x14ac:dyDescent="0.25">
      <c r="A2753" s="222">
        <v>300096</v>
      </c>
      <c r="B2753" s="223" t="s">
        <v>5110</v>
      </c>
      <c r="C2753" s="221" t="s">
        <v>5111</v>
      </c>
    </row>
    <row r="2754" spans="1:3" x14ac:dyDescent="0.25">
      <c r="A2754" s="222">
        <v>300096</v>
      </c>
      <c r="B2754" s="223" t="s">
        <v>5110</v>
      </c>
      <c r="C2754" s="221" t="s">
        <v>5112</v>
      </c>
    </row>
    <row r="2755" spans="1:3" x14ac:dyDescent="0.25">
      <c r="A2755" s="222">
        <v>300097</v>
      </c>
      <c r="B2755" s="223" t="s">
        <v>5113</v>
      </c>
      <c r="C2755" s="221" t="s">
        <v>5114</v>
      </c>
    </row>
    <row r="2756" spans="1:3" x14ac:dyDescent="0.25">
      <c r="A2756" s="222">
        <v>300097</v>
      </c>
      <c r="B2756" s="223" t="s">
        <v>5113</v>
      </c>
      <c r="C2756" s="221" t="s">
        <v>5115</v>
      </c>
    </row>
    <row r="2757" spans="1:3" x14ac:dyDescent="0.25">
      <c r="A2757" s="222">
        <v>300098</v>
      </c>
      <c r="B2757" s="223" t="s">
        <v>5116</v>
      </c>
      <c r="C2757" s="221" t="s">
        <v>5117</v>
      </c>
    </row>
    <row r="2758" spans="1:3" x14ac:dyDescent="0.25">
      <c r="A2758" s="222">
        <v>300098</v>
      </c>
      <c r="B2758" s="223" t="s">
        <v>5116</v>
      </c>
      <c r="C2758" s="221" t="s">
        <v>5118</v>
      </c>
    </row>
    <row r="2759" spans="1:3" x14ac:dyDescent="0.25">
      <c r="A2759" s="222">
        <v>300099</v>
      </c>
      <c r="B2759" s="223" t="s">
        <v>5119</v>
      </c>
      <c r="C2759" s="221" t="s">
        <v>5120</v>
      </c>
    </row>
    <row r="2760" spans="1:3" x14ac:dyDescent="0.25">
      <c r="A2760" s="222">
        <v>300099</v>
      </c>
      <c r="B2760" s="223" t="s">
        <v>5119</v>
      </c>
      <c r="C2760" s="221" t="s">
        <v>5121</v>
      </c>
    </row>
    <row r="2761" spans="1:3" x14ac:dyDescent="0.25">
      <c r="A2761" s="222">
        <v>300100</v>
      </c>
      <c r="B2761" s="223" t="s">
        <v>5122</v>
      </c>
      <c r="C2761" s="221" t="s">
        <v>5123</v>
      </c>
    </row>
    <row r="2762" spans="1:3" x14ac:dyDescent="0.25">
      <c r="A2762" s="222">
        <v>300100</v>
      </c>
      <c r="B2762" s="223" t="s">
        <v>5122</v>
      </c>
      <c r="C2762" s="221" t="s">
        <v>5124</v>
      </c>
    </row>
    <row r="2763" spans="1:3" x14ac:dyDescent="0.25">
      <c r="A2763" s="222">
        <v>300101</v>
      </c>
      <c r="B2763" s="223" t="s">
        <v>5125</v>
      </c>
      <c r="C2763" s="221" t="s">
        <v>5126</v>
      </c>
    </row>
    <row r="2764" spans="1:3" x14ac:dyDescent="0.25">
      <c r="A2764" s="222">
        <v>300101</v>
      </c>
      <c r="B2764" s="223" t="s">
        <v>5125</v>
      </c>
      <c r="C2764" s="221" t="s">
        <v>5127</v>
      </c>
    </row>
    <row r="2765" spans="1:3" x14ac:dyDescent="0.25">
      <c r="A2765" s="222">
        <v>300102</v>
      </c>
      <c r="B2765" s="223" t="s">
        <v>5128</v>
      </c>
      <c r="C2765" s="221" t="s">
        <v>5129</v>
      </c>
    </row>
    <row r="2766" spans="1:3" x14ac:dyDescent="0.25">
      <c r="A2766" s="222">
        <v>300102</v>
      </c>
      <c r="B2766" s="223" t="s">
        <v>5128</v>
      </c>
      <c r="C2766" s="221" t="s">
        <v>5130</v>
      </c>
    </row>
    <row r="2767" spans="1:3" x14ac:dyDescent="0.25">
      <c r="A2767" s="222">
        <v>300103</v>
      </c>
      <c r="B2767" s="223" t="s">
        <v>5131</v>
      </c>
      <c r="C2767" s="221" t="s">
        <v>5132</v>
      </c>
    </row>
    <row r="2768" spans="1:3" x14ac:dyDescent="0.25">
      <c r="A2768" s="222">
        <v>300103</v>
      </c>
      <c r="B2768" s="223" t="s">
        <v>5131</v>
      </c>
      <c r="C2768" s="221" t="s">
        <v>5133</v>
      </c>
    </row>
    <row r="2769" spans="1:3" x14ac:dyDescent="0.25">
      <c r="A2769" s="222">
        <v>300104</v>
      </c>
      <c r="B2769" s="223" t="s">
        <v>5134</v>
      </c>
      <c r="C2769" s="221" t="s">
        <v>5135</v>
      </c>
    </row>
    <row r="2770" spans="1:3" x14ac:dyDescent="0.25">
      <c r="A2770" s="222">
        <v>300104</v>
      </c>
      <c r="B2770" s="223" t="s">
        <v>5134</v>
      </c>
      <c r="C2770" s="221" t="s">
        <v>5136</v>
      </c>
    </row>
    <row r="2771" spans="1:3" x14ac:dyDescent="0.25">
      <c r="A2771" s="222">
        <v>300105</v>
      </c>
      <c r="B2771" s="223" t="s">
        <v>5137</v>
      </c>
      <c r="C2771" s="221" t="s">
        <v>5138</v>
      </c>
    </row>
    <row r="2772" spans="1:3" x14ac:dyDescent="0.25">
      <c r="A2772" s="222">
        <v>300105</v>
      </c>
      <c r="B2772" s="223" t="s">
        <v>5137</v>
      </c>
      <c r="C2772" s="221" t="s">
        <v>5139</v>
      </c>
    </row>
    <row r="2773" spans="1:3" x14ac:dyDescent="0.25">
      <c r="A2773" s="222">
        <v>300106</v>
      </c>
      <c r="B2773" s="223" t="s">
        <v>5140</v>
      </c>
      <c r="C2773" s="221" t="s">
        <v>5141</v>
      </c>
    </row>
    <row r="2774" spans="1:3" x14ac:dyDescent="0.25">
      <c r="A2774" s="222">
        <v>300106</v>
      </c>
      <c r="B2774" s="223" t="s">
        <v>5140</v>
      </c>
      <c r="C2774" s="221" t="s">
        <v>5142</v>
      </c>
    </row>
    <row r="2775" spans="1:3" x14ac:dyDescent="0.25">
      <c r="A2775" s="222">
        <v>300107</v>
      </c>
      <c r="B2775" s="223" t="s">
        <v>5143</v>
      </c>
      <c r="C2775" s="221" t="s">
        <v>5144</v>
      </c>
    </row>
    <row r="2776" spans="1:3" x14ac:dyDescent="0.25">
      <c r="A2776" s="222">
        <v>300107</v>
      </c>
      <c r="B2776" s="223" t="s">
        <v>5143</v>
      </c>
      <c r="C2776" s="221" t="s">
        <v>5145</v>
      </c>
    </row>
    <row r="2777" spans="1:3" x14ac:dyDescent="0.25">
      <c r="A2777" s="222">
        <v>300108</v>
      </c>
      <c r="B2777" s="223" t="s">
        <v>5146</v>
      </c>
      <c r="C2777" s="221" t="s">
        <v>5147</v>
      </c>
    </row>
    <row r="2778" spans="1:3" x14ac:dyDescent="0.25">
      <c r="A2778" s="222">
        <v>300108</v>
      </c>
      <c r="B2778" s="223" t="s">
        <v>5146</v>
      </c>
      <c r="C2778" s="221" t="s">
        <v>5148</v>
      </c>
    </row>
    <row r="2779" spans="1:3" x14ac:dyDescent="0.25">
      <c r="A2779" s="222">
        <v>300109</v>
      </c>
      <c r="B2779" s="223" t="s">
        <v>5149</v>
      </c>
      <c r="C2779" s="221" t="s">
        <v>5150</v>
      </c>
    </row>
    <row r="2780" spans="1:3" x14ac:dyDescent="0.25">
      <c r="A2780" s="222">
        <v>300109</v>
      </c>
      <c r="B2780" s="223" t="s">
        <v>5149</v>
      </c>
      <c r="C2780" s="221" t="s">
        <v>5151</v>
      </c>
    </row>
    <row r="2781" spans="1:3" x14ac:dyDescent="0.25">
      <c r="A2781" s="222">
        <v>300110</v>
      </c>
      <c r="B2781" s="223" t="s">
        <v>5149</v>
      </c>
      <c r="C2781" s="221" t="s">
        <v>5152</v>
      </c>
    </row>
    <row r="2782" spans="1:3" x14ac:dyDescent="0.25">
      <c r="A2782" s="222">
        <v>300110</v>
      </c>
      <c r="B2782" s="223" t="s">
        <v>5149</v>
      </c>
      <c r="C2782" s="221" t="s">
        <v>5153</v>
      </c>
    </row>
    <row r="2783" spans="1:3" x14ac:dyDescent="0.25">
      <c r="A2783" s="222">
        <v>300111</v>
      </c>
      <c r="B2783" s="223" t="s">
        <v>5154</v>
      </c>
      <c r="C2783" s="221" t="s">
        <v>5155</v>
      </c>
    </row>
    <row r="2784" spans="1:3" x14ac:dyDescent="0.25">
      <c r="A2784" s="222">
        <v>300111</v>
      </c>
      <c r="B2784" s="223" t="s">
        <v>5154</v>
      </c>
      <c r="C2784" s="221" t="s">
        <v>5156</v>
      </c>
    </row>
    <row r="2785" spans="1:3" x14ac:dyDescent="0.25">
      <c r="A2785" s="222">
        <v>300112</v>
      </c>
      <c r="B2785" s="223" t="s">
        <v>5157</v>
      </c>
      <c r="C2785" s="221" t="s">
        <v>5158</v>
      </c>
    </row>
    <row r="2786" spans="1:3" x14ac:dyDescent="0.25">
      <c r="A2786" s="222">
        <v>300112</v>
      </c>
      <c r="B2786" s="223" t="s">
        <v>5157</v>
      </c>
      <c r="C2786" s="221" t="s">
        <v>5159</v>
      </c>
    </row>
    <row r="2787" spans="1:3" x14ac:dyDescent="0.25">
      <c r="A2787" s="222">
        <v>300113</v>
      </c>
      <c r="B2787" s="223" t="s">
        <v>5157</v>
      </c>
      <c r="C2787" s="221" t="s">
        <v>5160</v>
      </c>
    </row>
    <row r="2788" spans="1:3" x14ac:dyDescent="0.25">
      <c r="A2788" s="222">
        <v>300113</v>
      </c>
      <c r="B2788" s="223" t="s">
        <v>5157</v>
      </c>
      <c r="C2788" s="221" t="s">
        <v>5161</v>
      </c>
    </row>
    <row r="2789" spans="1:3" x14ac:dyDescent="0.25">
      <c r="A2789" s="222">
        <v>300114</v>
      </c>
      <c r="B2789" s="223" t="s">
        <v>5162</v>
      </c>
      <c r="C2789" s="221" t="s">
        <v>5163</v>
      </c>
    </row>
    <row r="2790" spans="1:3" x14ac:dyDescent="0.25">
      <c r="A2790" s="222">
        <v>300114</v>
      </c>
      <c r="B2790" s="223" t="s">
        <v>5162</v>
      </c>
      <c r="C2790" s="221" t="s">
        <v>5164</v>
      </c>
    </row>
    <row r="2791" spans="1:3" x14ac:dyDescent="0.25">
      <c r="A2791" s="222">
        <v>300115</v>
      </c>
      <c r="B2791" s="223" t="s">
        <v>5162</v>
      </c>
      <c r="C2791" s="221" t="s">
        <v>5165</v>
      </c>
    </row>
    <row r="2792" spans="1:3" x14ac:dyDescent="0.25">
      <c r="A2792" s="222">
        <v>300115</v>
      </c>
      <c r="B2792" s="223" t="s">
        <v>5162</v>
      </c>
      <c r="C2792" s="221" t="s">
        <v>5166</v>
      </c>
    </row>
    <row r="2793" spans="1:3" x14ac:dyDescent="0.25">
      <c r="A2793" s="222">
        <v>300116</v>
      </c>
      <c r="B2793" s="223" t="s">
        <v>5167</v>
      </c>
      <c r="C2793" s="221" t="s">
        <v>5168</v>
      </c>
    </row>
    <row r="2794" spans="1:3" x14ac:dyDescent="0.25">
      <c r="A2794" s="222">
        <v>300116</v>
      </c>
      <c r="B2794" s="223" t="s">
        <v>5167</v>
      </c>
      <c r="C2794" s="221" t="s">
        <v>5169</v>
      </c>
    </row>
    <row r="2795" spans="1:3" x14ac:dyDescent="0.25">
      <c r="A2795" s="222">
        <v>300117</v>
      </c>
      <c r="B2795" s="223" t="s">
        <v>5167</v>
      </c>
      <c r="C2795" s="221" t="s">
        <v>5170</v>
      </c>
    </row>
    <row r="2796" spans="1:3" x14ac:dyDescent="0.25">
      <c r="A2796" s="222">
        <v>300117</v>
      </c>
      <c r="B2796" s="223" t="s">
        <v>5167</v>
      </c>
      <c r="C2796" s="221" t="s">
        <v>5171</v>
      </c>
    </row>
    <row r="2797" spans="1:3" x14ac:dyDescent="0.25">
      <c r="A2797" s="222">
        <v>300118</v>
      </c>
      <c r="B2797" s="223" t="s">
        <v>5172</v>
      </c>
      <c r="C2797" s="221" t="s">
        <v>5173</v>
      </c>
    </row>
    <row r="2798" spans="1:3" x14ac:dyDescent="0.25">
      <c r="A2798" s="222">
        <v>300118</v>
      </c>
      <c r="B2798" s="223" t="s">
        <v>5172</v>
      </c>
      <c r="C2798" s="221" t="s">
        <v>5174</v>
      </c>
    </row>
    <row r="2799" spans="1:3" x14ac:dyDescent="0.25">
      <c r="A2799" s="222">
        <v>300119</v>
      </c>
      <c r="B2799" s="223" t="s">
        <v>5172</v>
      </c>
      <c r="C2799" s="221" t="s">
        <v>5175</v>
      </c>
    </row>
    <row r="2800" spans="1:3" x14ac:dyDescent="0.25">
      <c r="A2800" s="222">
        <v>300119</v>
      </c>
      <c r="B2800" s="223" t="s">
        <v>5172</v>
      </c>
      <c r="C2800" s="221" t="s">
        <v>5176</v>
      </c>
    </row>
    <row r="2801" spans="1:3" x14ac:dyDescent="0.25">
      <c r="A2801" s="222">
        <v>300120</v>
      </c>
      <c r="B2801" s="223" t="s">
        <v>5177</v>
      </c>
      <c r="C2801" s="221" t="s">
        <v>5178</v>
      </c>
    </row>
    <row r="2802" spans="1:3" x14ac:dyDescent="0.25">
      <c r="A2802" s="222">
        <v>300120</v>
      </c>
      <c r="B2802" s="223" t="s">
        <v>5177</v>
      </c>
      <c r="C2802" s="221" t="s">
        <v>5179</v>
      </c>
    </row>
    <row r="2803" spans="1:3" x14ac:dyDescent="0.25">
      <c r="A2803" s="222">
        <v>300121</v>
      </c>
      <c r="B2803" s="223" t="s">
        <v>5119</v>
      </c>
      <c r="C2803" s="221" t="s">
        <v>5180</v>
      </c>
    </row>
    <row r="2804" spans="1:3" x14ac:dyDescent="0.25">
      <c r="A2804" s="222">
        <v>300121</v>
      </c>
      <c r="B2804" s="223" t="s">
        <v>5119</v>
      </c>
      <c r="C2804" s="221" t="s">
        <v>5181</v>
      </c>
    </row>
    <row r="2805" spans="1:3" x14ac:dyDescent="0.25">
      <c r="A2805" s="222">
        <v>300122</v>
      </c>
      <c r="B2805" s="223" t="s">
        <v>5125</v>
      </c>
      <c r="C2805" s="221" t="s">
        <v>5182</v>
      </c>
    </row>
    <row r="2806" spans="1:3" x14ac:dyDescent="0.25">
      <c r="A2806" s="222">
        <v>300122</v>
      </c>
      <c r="B2806" s="223" t="s">
        <v>5125</v>
      </c>
      <c r="C2806" s="221" t="s">
        <v>5183</v>
      </c>
    </row>
    <row r="2807" spans="1:3" x14ac:dyDescent="0.25">
      <c r="A2807" s="222">
        <v>300123</v>
      </c>
      <c r="B2807" s="223" t="s">
        <v>5184</v>
      </c>
      <c r="C2807" s="221" t="s">
        <v>5185</v>
      </c>
    </row>
    <row r="2808" spans="1:3" x14ac:dyDescent="0.25">
      <c r="A2808" s="222">
        <v>300123</v>
      </c>
      <c r="B2808" s="223" t="s">
        <v>5184</v>
      </c>
      <c r="C2808" s="221" t="s">
        <v>5186</v>
      </c>
    </row>
    <row r="2809" spans="1:3" x14ac:dyDescent="0.25">
      <c r="A2809" s="222">
        <v>300124</v>
      </c>
      <c r="B2809" s="223" t="s">
        <v>5187</v>
      </c>
      <c r="C2809" s="221" t="s">
        <v>5188</v>
      </c>
    </row>
    <row r="2810" spans="1:3" x14ac:dyDescent="0.25">
      <c r="A2810" s="222">
        <v>300124</v>
      </c>
      <c r="B2810" s="223" t="s">
        <v>5187</v>
      </c>
      <c r="C2810" s="221" t="s">
        <v>5189</v>
      </c>
    </row>
    <row r="2811" spans="1:3" x14ac:dyDescent="0.25">
      <c r="A2811" s="222">
        <v>300125</v>
      </c>
      <c r="B2811" s="223" t="s">
        <v>5190</v>
      </c>
      <c r="C2811" s="221" t="s">
        <v>5191</v>
      </c>
    </row>
    <row r="2812" spans="1:3" x14ac:dyDescent="0.25">
      <c r="A2812" s="222">
        <v>300125</v>
      </c>
      <c r="B2812" s="223" t="s">
        <v>5190</v>
      </c>
      <c r="C2812" s="221" t="s">
        <v>5192</v>
      </c>
    </row>
    <row r="2813" spans="1:3" x14ac:dyDescent="0.25">
      <c r="A2813" s="222">
        <v>300126</v>
      </c>
      <c r="B2813" s="223" t="s">
        <v>5193</v>
      </c>
      <c r="C2813" s="221" t="s">
        <v>5194</v>
      </c>
    </row>
    <row r="2814" spans="1:3" x14ac:dyDescent="0.25">
      <c r="A2814" s="222">
        <v>300126</v>
      </c>
      <c r="B2814" s="223" t="s">
        <v>5193</v>
      </c>
      <c r="C2814" s="221" t="s">
        <v>5195</v>
      </c>
    </row>
    <row r="2815" spans="1:3" x14ac:dyDescent="0.25">
      <c r="A2815" s="222">
        <v>300127</v>
      </c>
      <c r="B2815" s="223" t="s">
        <v>5196</v>
      </c>
      <c r="C2815" s="221" t="s">
        <v>5197</v>
      </c>
    </row>
    <row r="2816" spans="1:3" x14ac:dyDescent="0.25">
      <c r="A2816" s="222">
        <v>300127</v>
      </c>
      <c r="B2816" s="223" t="s">
        <v>5196</v>
      </c>
      <c r="C2816" s="221" t="s">
        <v>5198</v>
      </c>
    </row>
    <row r="2817" spans="1:3" x14ac:dyDescent="0.25">
      <c r="A2817" s="222">
        <v>300128</v>
      </c>
      <c r="B2817" s="223" t="s">
        <v>5199</v>
      </c>
      <c r="C2817" s="221" t="s">
        <v>5200</v>
      </c>
    </row>
    <row r="2818" spans="1:3" x14ac:dyDescent="0.25">
      <c r="A2818" s="222">
        <v>300128</v>
      </c>
      <c r="B2818" s="223" t="s">
        <v>5199</v>
      </c>
      <c r="C2818" s="221" t="s">
        <v>5201</v>
      </c>
    </row>
    <row r="2819" spans="1:3" x14ac:dyDescent="0.25">
      <c r="A2819" s="222">
        <v>300129</v>
      </c>
      <c r="B2819" s="223" t="s">
        <v>5202</v>
      </c>
      <c r="C2819" s="221" t="s">
        <v>5203</v>
      </c>
    </row>
    <row r="2820" spans="1:3" x14ac:dyDescent="0.25">
      <c r="A2820" s="222">
        <v>300129</v>
      </c>
      <c r="B2820" s="223" t="s">
        <v>5202</v>
      </c>
      <c r="C2820" s="221" t="s">
        <v>5204</v>
      </c>
    </row>
    <row r="2821" spans="1:3" x14ac:dyDescent="0.25">
      <c r="A2821" s="222">
        <v>300130</v>
      </c>
      <c r="B2821" s="223" t="s">
        <v>5205</v>
      </c>
      <c r="C2821" s="221" t="s">
        <v>5206</v>
      </c>
    </row>
    <row r="2822" spans="1:3" x14ac:dyDescent="0.25">
      <c r="A2822" s="222">
        <v>300130</v>
      </c>
      <c r="B2822" s="223" t="s">
        <v>5205</v>
      </c>
      <c r="C2822" s="221" t="s">
        <v>5207</v>
      </c>
    </row>
    <row r="2823" spans="1:3" x14ac:dyDescent="0.25">
      <c r="A2823" s="222">
        <v>300131</v>
      </c>
      <c r="B2823" s="223" t="s">
        <v>5208</v>
      </c>
      <c r="C2823" s="221" t="s">
        <v>5209</v>
      </c>
    </row>
    <row r="2824" spans="1:3" x14ac:dyDescent="0.25">
      <c r="A2824" s="222">
        <v>300131</v>
      </c>
      <c r="B2824" s="223" t="s">
        <v>5208</v>
      </c>
      <c r="C2824" s="221" t="s">
        <v>5210</v>
      </c>
    </row>
    <row r="2825" spans="1:3" x14ac:dyDescent="0.25">
      <c r="A2825" s="222">
        <v>300132</v>
      </c>
      <c r="B2825" s="223" t="s">
        <v>5211</v>
      </c>
      <c r="C2825" s="221" t="s">
        <v>5212</v>
      </c>
    </row>
    <row r="2826" spans="1:3" x14ac:dyDescent="0.25">
      <c r="A2826" s="222">
        <v>300132</v>
      </c>
      <c r="B2826" s="223" t="s">
        <v>5211</v>
      </c>
      <c r="C2826" s="221" t="s">
        <v>5213</v>
      </c>
    </row>
    <row r="2827" spans="1:3" x14ac:dyDescent="0.25">
      <c r="A2827" s="222">
        <v>300133</v>
      </c>
      <c r="B2827" s="223" t="s">
        <v>5214</v>
      </c>
      <c r="C2827" s="221" t="s">
        <v>5215</v>
      </c>
    </row>
    <row r="2828" spans="1:3" x14ac:dyDescent="0.25">
      <c r="A2828" s="222">
        <v>300133</v>
      </c>
      <c r="B2828" s="223" t="s">
        <v>5214</v>
      </c>
      <c r="C2828" s="221" t="s">
        <v>5216</v>
      </c>
    </row>
    <row r="2829" spans="1:3" x14ac:dyDescent="0.25">
      <c r="A2829" s="222">
        <v>300134</v>
      </c>
      <c r="B2829" s="223" t="s">
        <v>5217</v>
      </c>
      <c r="C2829" s="221" t="s">
        <v>5218</v>
      </c>
    </row>
    <row r="2830" spans="1:3" x14ac:dyDescent="0.25">
      <c r="A2830" s="222">
        <v>300134</v>
      </c>
      <c r="B2830" s="223" t="s">
        <v>5217</v>
      </c>
      <c r="C2830" s="221" t="s">
        <v>5219</v>
      </c>
    </row>
    <row r="2831" spans="1:3" x14ac:dyDescent="0.25">
      <c r="A2831" s="222">
        <v>300135</v>
      </c>
      <c r="B2831" s="223" t="s">
        <v>5220</v>
      </c>
      <c r="C2831" s="221" t="s">
        <v>5221</v>
      </c>
    </row>
    <row r="2832" spans="1:3" x14ac:dyDescent="0.25">
      <c r="A2832" s="222">
        <v>300135</v>
      </c>
      <c r="B2832" s="223" t="s">
        <v>5220</v>
      </c>
      <c r="C2832" s="221" t="s">
        <v>5222</v>
      </c>
    </row>
    <row r="2833" spans="1:3" x14ac:dyDescent="0.25">
      <c r="A2833" s="222">
        <v>300136</v>
      </c>
      <c r="B2833" s="223" t="s">
        <v>5223</v>
      </c>
      <c r="C2833" s="221" t="s">
        <v>5224</v>
      </c>
    </row>
    <row r="2834" spans="1:3" x14ac:dyDescent="0.25">
      <c r="A2834" s="222">
        <v>300136</v>
      </c>
      <c r="B2834" s="223" t="s">
        <v>5223</v>
      </c>
      <c r="C2834" s="221" t="s">
        <v>5225</v>
      </c>
    </row>
    <row r="2835" spans="1:3" x14ac:dyDescent="0.25">
      <c r="A2835" s="222">
        <v>300137</v>
      </c>
      <c r="B2835" s="223" t="s">
        <v>5226</v>
      </c>
      <c r="C2835" s="221" t="s">
        <v>5227</v>
      </c>
    </row>
    <row r="2836" spans="1:3" x14ac:dyDescent="0.25">
      <c r="A2836" s="222">
        <v>300137</v>
      </c>
      <c r="B2836" s="223" t="s">
        <v>5226</v>
      </c>
      <c r="C2836" s="221" t="s">
        <v>5228</v>
      </c>
    </row>
    <row r="2837" spans="1:3" x14ac:dyDescent="0.25">
      <c r="A2837" s="222">
        <v>300138</v>
      </c>
      <c r="B2837" s="223" t="s">
        <v>5229</v>
      </c>
      <c r="C2837" s="221" t="s">
        <v>5230</v>
      </c>
    </row>
    <row r="2838" spans="1:3" x14ac:dyDescent="0.25">
      <c r="A2838" s="222">
        <v>300138</v>
      </c>
      <c r="B2838" s="223" t="s">
        <v>5229</v>
      </c>
      <c r="C2838" s="221" t="s">
        <v>5231</v>
      </c>
    </row>
    <row r="2839" spans="1:3" x14ac:dyDescent="0.25">
      <c r="A2839" s="222">
        <v>300139</v>
      </c>
      <c r="B2839" s="223" t="s">
        <v>5232</v>
      </c>
      <c r="C2839" s="221" t="s">
        <v>5233</v>
      </c>
    </row>
    <row r="2840" spans="1:3" x14ac:dyDescent="0.25">
      <c r="A2840" s="222">
        <v>300139</v>
      </c>
      <c r="B2840" s="223" t="s">
        <v>5232</v>
      </c>
      <c r="C2840" s="221" t="s">
        <v>5234</v>
      </c>
    </row>
    <row r="2841" spans="1:3" x14ac:dyDescent="0.25">
      <c r="A2841" s="222">
        <v>300140</v>
      </c>
      <c r="B2841" s="223" t="s">
        <v>5235</v>
      </c>
      <c r="C2841" s="221" t="s">
        <v>5236</v>
      </c>
    </row>
    <row r="2842" spans="1:3" x14ac:dyDescent="0.25">
      <c r="A2842" s="222">
        <v>300140</v>
      </c>
      <c r="B2842" s="223" t="s">
        <v>5235</v>
      </c>
      <c r="C2842" s="221" t="s">
        <v>5237</v>
      </c>
    </row>
    <row r="2843" spans="1:3" x14ac:dyDescent="0.25">
      <c r="A2843" s="222">
        <v>300141</v>
      </c>
      <c r="B2843" s="223" t="s">
        <v>5238</v>
      </c>
      <c r="C2843" s="221" t="s">
        <v>5239</v>
      </c>
    </row>
    <row r="2844" spans="1:3" x14ac:dyDescent="0.25">
      <c r="A2844" s="222">
        <v>300141</v>
      </c>
      <c r="B2844" s="223" t="s">
        <v>5238</v>
      </c>
      <c r="C2844" s="221" t="s">
        <v>5240</v>
      </c>
    </row>
    <row r="2845" spans="1:3" x14ac:dyDescent="0.25">
      <c r="A2845" s="222">
        <v>300142</v>
      </c>
      <c r="B2845" s="223" t="s">
        <v>5241</v>
      </c>
      <c r="C2845" s="221" t="s">
        <v>5242</v>
      </c>
    </row>
    <row r="2846" spans="1:3" x14ac:dyDescent="0.25">
      <c r="A2846" s="222">
        <v>300142</v>
      </c>
      <c r="B2846" s="223" t="s">
        <v>5241</v>
      </c>
      <c r="C2846" s="221" t="s">
        <v>5243</v>
      </c>
    </row>
    <row r="2847" spans="1:3" x14ac:dyDescent="0.25">
      <c r="A2847" s="222">
        <v>300143</v>
      </c>
      <c r="B2847" s="223" t="s">
        <v>5244</v>
      </c>
      <c r="C2847" s="221" t="s">
        <v>5245</v>
      </c>
    </row>
    <row r="2848" spans="1:3" x14ac:dyDescent="0.25">
      <c r="A2848" s="222">
        <v>300143</v>
      </c>
      <c r="B2848" s="223" t="s">
        <v>5244</v>
      </c>
      <c r="C2848" s="221" t="s">
        <v>5246</v>
      </c>
    </row>
    <row r="2849" spans="1:3" x14ac:dyDescent="0.25">
      <c r="A2849" s="222">
        <v>300144</v>
      </c>
      <c r="B2849" s="223" t="s">
        <v>5247</v>
      </c>
      <c r="C2849" s="221" t="s">
        <v>5248</v>
      </c>
    </row>
    <row r="2850" spans="1:3" x14ac:dyDescent="0.25">
      <c r="A2850" s="222">
        <v>300144</v>
      </c>
      <c r="B2850" s="223" t="s">
        <v>5247</v>
      </c>
      <c r="C2850" s="221" t="s">
        <v>5249</v>
      </c>
    </row>
    <row r="2851" spans="1:3" x14ac:dyDescent="0.25">
      <c r="A2851" s="222">
        <v>300145</v>
      </c>
      <c r="B2851" s="223" t="s">
        <v>5250</v>
      </c>
      <c r="C2851" s="221" t="s">
        <v>5251</v>
      </c>
    </row>
    <row r="2852" spans="1:3" x14ac:dyDescent="0.25">
      <c r="A2852" s="222">
        <v>300145</v>
      </c>
      <c r="B2852" s="223" t="s">
        <v>5250</v>
      </c>
      <c r="C2852" s="221" t="s">
        <v>5252</v>
      </c>
    </row>
    <row r="2853" spans="1:3" x14ac:dyDescent="0.25">
      <c r="A2853" s="222">
        <v>300146</v>
      </c>
      <c r="B2853" s="223" t="s">
        <v>5253</v>
      </c>
      <c r="C2853" s="221" t="s">
        <v>5254</v>
      </c>
    </row>
    <row r="2854" spans="1:3" x14ac:dyDescent="0.25">
      <c r="A2854" s="222">
        <v>300146</v>
      </c>
      <c r="B2854" s="223" t="s">
        <v>5253</v>
      </c>
      <c r="C2854" s="221" t="s">
        <v>5255</v>
      </c>
    </row>
    <row r="2855" spans="1:3" x14ac:dyDescent="0.25">
      <c r="A2855" s="222">
        <v>300147</v>
      </c>
      <c r="B2855" s="223" t="s">
        <v>5256</v>
      </c>
      <c r="C2855" s="221" t="s">
        <v>5257</v>
      </c>
    </row>
    <row r="2856" spans="1:3" x14ac:dyDescent="0.25">
      <c r="A2856" s="222">
        <v>300147</v>
      </c>
      <c r="B2856" s="223" t="s">
        <v>5256</v>
      </c>
      <c r="C2856" s="221" t="s">
        <v>5258</v>
      </c>
    </row>
    <row r="2857" spans="1:3" x14ac:dyDescent="0.25">
      <c r="A2857" s="222">
        <v>300148</v>
      </c>
      <c r="B2857" s="223" t="s">
        <v>5259</v>
      </c>
      <c r="C2857" s="221" t="s">
        <v>5260</v>
      </c>
    </row>
    <row r="2858" spans="1:3" x14ac:dyDescent="0.25">
      <c r="A2858" s="222">
        <v>300148</v>
      </c>
      <c r="B2858" s="223" t="s">
        <v>5259</v>
      </c>
      <c r="C2858" s="221" t="s">
        <v>5261</v>
      </c>
    </row>
    <row r="2859" spans="1:3" x14ac:dyDescent="0.25">
      <c r="A2859" s="222">
        <v>300149</v>
      </c>
      <c r="B2859" s="223" t="s">
        <v>5262</v>
      </c>
      <c r="C2859" s="221" t="s">
        <v>5263</v>
      </c>
    </row>
    <row r="2860" spans="1:3" x14ac:dyDescent="0.25">
      <c r="A2860" s="222">
        <v>300149</v>
      </c>
      <c r="B2860" s="223" t="s">
        <v>5262</v>
      </c>
      <c r="C2860" s="221" t="s">
        <v>5264</v>
      </c>
    </row>
    <row r="2861" spans="1:3" x14ac:dyDescent="0.25">
      <c r="A2861" s="222">
        <v>300150</v>
      </c>
      <c r="B2861" s="223" t="s">
        <v>5266</v>
      </c>
      <c r="C2861" s="221" t="s">
        <v>5267</v>
      </c>
    </row>
    <row r="2862" spans="1:3" x14ac:dyDescent="0.25">
      <c r="A2862" s="222">
        <v>300150</v>
      </c>
      <c r="B2862" s="223" t="s">
        <v>5266</v>
      </c>
      <c r="C2862" s="221" t="s">
        <v>5265</v>
      </c>
    </row>
    <row r="2863" spans="1:3" x14ac:dyDescent="0.25">
      <c r="A2863" s="222">
        <v>300151</v>
      </c>
      <c r="B2863" s="223" t="s">
        <v>5268</v>
      </c>
      <c r="C2863" s="221" t="s">
        <v>5269</v>
      </c>
    </row>
    <row r="2864" spans="1:3" x14ac:dyDescent="0.25">
      <c r="A2864" s="222">
        <v>300151</v>
      </c>
      <c r="B2864" s="223" t="s">
        <v>5268</v>
      </c>
      <c r="C2864" s="221" t="s">
        <v>5270</v>
      </c>
    </row>
    <row r="2865" spans="1:3" x14ac:dyDescent="0.25">
      <c r="A2865" s="222">
        <v>300152</v>
      </c>
      <c r="B2865" s="223" t="s">
        <v>5271</v>
      </c>
      <c r="C2865" s="221" t="s">
        <v>5272</v>
      </c>
    </row>
    <row r="2866" spans="1:3" x14ac:dyDescent="0.25">
      <c r="A2866" s="222">
        <v>300152</v>
      </c>
      <c r="B2866" s="223" t="s">
        <v>5271</v>
      </c>
      <c r="C2866" s="221" t="s">
        <v>5273</v>
      </c>
    </row>
    <row r="2867" spans="1:3" x14ac:dyDescent="0.25">
      <c r="A2867" s="222">
        <v>300153</v>
      </c>
      <c r="B2867" s="223" t="s">
        <v>5274</v>
      </c>
      <c r="C2867" s="221" t="s">
        <v>5275</v>
      </c>
    </row>
    <row r="2868" spans="1:3" x14ac:dyDescent="0.25">
      <c r="A2868" s="222">
        <v>300153</v>
      </c>
      <c r="B2868" s="223" t="s">
        <v>5274</v>
      </c>
      <c r="C2868" s="221" t="s">
        <v>5276</v>
      </c>
    </row>
    <row r="2869" spans="1:3" x14ac:dyDescent="0.25">
      <c r="A2869" s="222">
        <v>300154</v>
      </c>
      <c r="B2869" s="223" t="s">
        <v>5277</v>
      </c>
      <c r="C2869" s="221" t="s">
        <v>5278</v>
      </c>
    </row>
    <row r="2870" spans="1:3" x14ac:dyDescent="0.25">
      <c r="A2870" s="222">
        <v>300154</v>
      </c>
      <c r="B2870" s="223" t="s">
        <v>5277</v>
      </c>
      <c r="C2870" s="221" t="s">
        <v>5279</v>
      </c>
    </row>
    <row r="2871" spans="1:3" x14ac:dyDescent="0.25">
      <c r="A2871" s="222">
        <v>300155</v>
      </c>
      <c r="B2871" s="223" t="s">
        <v>5280</v>
      </c>
      <c r="C2871" s="221" t="s">
        <v>5281</v>
      </c>
    </row>
    <row r="2872" spans="1:3" x14ac:dyDescent="0.25">
      <c r="A2872" s="222">
        <v>300155</v>
      </c>
      <c r="B2872" s="223" t="s">
        <v>5280</v>
      </c>
      <c r="C2872" s="221" t="s">
        <v>5282</v>
      </c>
    </row>
    <row r="2873" spans="1:3" x14ac:dyDescent="0.25">
      <c r="A2873" s="222">
        <v>300156</v>
      </c>
      <c r="B2873" s="223" t="s">
        <v>5283</v>
      </c>
      <c r="C2873" s="221" t="s">
        <v>5284</v>
      </c>
    </row>
    <row r="2874" spans="1:3" x14ac:dyDescent="0.25">
      <c r="A2874" s="222">
        <v>300156</v>
      </c>
      <c r="B2874" s="223" t="s">
        <v>5283</v>
      </c>
      <c r="C2874" s="221" t="s">
        <v>5285</v>
      </c>
    </row>
    <row r="2875" spans="1:3" x14ac:dyDescent="0.25">
      <c r="A2875" s="222">
        <v>300157</v>
      </c>
      <c r="B2875" s="223" t="s">
        <v>5286</v>
      </c>
      <c r="C2875" s="221" t="s">
        <v>5287</v>
      </c>
    </row>
    <row r="2876" spans="1:3" x14ac:dyDescent="0.25">
      <c r="A2876" s="222">
        <v>300157</v>
      </c>
      <c r="B2876" s="223" t="s">
        <v>5286</v>
      </c>
      <c r="C2876" s="221" t="s">
        <v>5288</v>
      </c>
    </row>
    <row r="2877" spans="1:3" x14ac:dyDescent="0.25">
      <c r="A2877" s="222">
        <v>300158</v>
      </c>
      <c r="B2877" s="223" t="s">
        <v>5289</v>
      </c>
      <c r="C2877" s="221" t="s">
        <v>5290</v>
      </c>
    </row>
    <row r="2878" spans="1:3" x14ac:dyDescent="0.25">
      <c r="A2878" s="222">
        <v>300158</v>
      </c>
      <c r="B2878" s="223" t="s">
        <v>5289</v>
      </c>
      <c r="C2878" s="221" t="s">
        <v>5291</v>
      </c>
    </row>
    <row r="2879" spans="1:3" x14ac:dyDescent="0.25">
      <c r="A2879" s="222">
        <v>300159</v>
      </c>
      <c r="B2879" s="223" t="s">
        <v>5292</v>
      </c>
      <c r="C2879" s="221" t="s">
        <v>5293</v>
      </c>
    </row>
    <row r="2880" spans="1:3" x14ac:dyDescent="0.25">
      <c r="A2880" s="222">
        <v>300159</v>
      </c>
      <c r="B2880" s="223" t="s">
        <v>5292</v>
      </c>
      <c r="C2880" s="221" t="s">
        <v>5294</v>
      </c>
    </row>
    <row r="2881" spans="1:3" x14ac:dyDescent="0.25">
      <c r="A2881" s="222">
        <v>300160</v>
      </c>
      <c r="B2881" s="223" t="s">
        <v>5295</v>
      </c>
      <c r="C2881" s="221" t="s">
        <v>5296</v>
      </c>
    </row>
    <row r="2882" spans="1:3" x14ac:dyDescent="0.25">
      <c r="A2882" s="222">
        <v>300160</v>
      </c>
      <c r="B2882" s="223" t="s">
        <v>5295</v>
      </c>
      <c r="C2882" s="221" t="s">
        <v>5297</v>
      </c>
    </row>
    <row r="2883" spans="1:3" x14ac:dyDescent="0.25">
      <c r="A2883" s="222">
        <v>300161</v>
      </c>
      <c r="B2883" s="223" t="s">
        <v>5298</v>
      </c>
      <c r="C2883" s="221" t="s">
        <v>5299</v>
      </c>
    </row>
    <row r="2884" spans="1:3" x14ac:dyDescent="0.25">
      <c r="A2884" s="222">
        <v>300161</v>
      </c>
      <c r="B2884" s="223" t="s">
        <v>5298</v>
      </c>
      <c r="C2884" s="221" t="s">
        <v>5300</v>
      </c>
    </row>
    <row r="2885" spans="1:3" x14ac:dyDescent="0.25">
      <c r="A2885" s="222">
        <v>300162</v>
      </c>
      <c r="B2885" s="223" t="s">
        <v>5301</v>
      </c>
      <c r="C2885" s="221" t="s">
        <v>5302</v>
      </c>
    </row>
    <row r="2886" spans="1:3" x14ac:dyDescent="0.25">
      <c r="A2886" s="222">
        <v>300162</v>
      </c>
      <c r="B2886" s="223" t="s">
        <v>5301</v>
      </c>
      <c r="C2886" s="221" t="s">
        <v>5303</v>
      </c>
    </row>
    <row r="2887" spans="1:3" x14ac:dyDescent="0.25">
      <c r="A2887" s="222">
        <v>300163</v>
      </c>
      <c r="B2887" s="223" t="s">
        <v>5304</v>
      </c>
      <c r="C2887" s="221" t="s">
        <v>5305</v>
      </c>
    </row>
    <row r="2888" spans="1:3" x14ac:dyDescent="0.25">
      <c r="A2888" s="222">
        <v>300163</v>
      </c>
      <c r="B2888" s="223" t="s">
        <v>5304</v>
      </c>
      <c r="C2888" s="221" t="s">
        <v>5306</v>
      </c>
    </row>
    <row r="2889" spans="1:3" x14ac:dyDescent="0.25">
      <c r="A2889" s="222">
        <v>300164</v>
      </c>
      <c r="B2889" s="223" t="s">
        <v>5307</v>
      </c>
      <c r="C2889" s="221" t="s">
        <v>5308</v>
      </c>
    </row>
    <row r="2890" spans="1:3" x14ac:dyDescent="0.25">
      <c r="A2890" s="222">
        <v>300164</v>
      </c>
      <c r="B2890" s="223" t="s">
        <v>5307</v>
      </c>
      <c r="C2890" s="221" t="s">
        <v>5309</v>
      </c>
    </row>
    <row r="2891" spans="1:3" x14ac:dyDescent="0.25">
      <c r="A2891" s="222">
        <v>300165</v>
      </c>
      <c r="B2891" s="223" t="s">
        <v>5310</v>
      </c>
      <c r="C2891" s="221" t="s">
        <v>5311</v>
      </c>
    </row>
    <row r="2892" spans="1:3" x14ac:dyDescent="0.25">
      <c r="A2892" s="222">
        <v>300165</v>
      </c>
      <c r="B2892" s="223" t="s">
        <v>5310</v>
      </c>
      <c r="C2892" s="221" t="s">
        <v>5312</v>
      </c>
    </row>
    <row r="2893" spans="1:3" x14ac:dyDescent="0.25">
      <c r="A2893" s="222">
        <v>300166</v>
      </c>
      <c r="B2893" s="223" t="s">
        <v>5313</v>
      </c>
      <c r="C2893" s="221" t="s">
        <v>5314</v>
      </c>
    </row>
    <row r="2894" spans="1:3" x14ac:dyDescent="0.25">
      <c r="A2894" s="222">
        <v>300166</v>
      </c>
      <c r="B2894" s="223" t="s">
        <v>5313</v>
      </c>
      <c r="C2894" s="221" t="s">
        <v>5315</v>
      </c>
    </row>
    <row r="2895" spans="1:3" x14ac:dyDescent="0.25">
      <c r="A2895" s="222">
        <v>300167</v>
      </c>
      <c r="B2895" s="223" t="s">
        <v>5316</v>
      </c>
      <c r="C2895" s="221" t="s">
        <v>5317</v>
      </c>
    </row>
    <row r="2896" spans="1:3" x14ac:dyDescent="0.25">
      <c r="A2896" s="222">
        <v>300167</v>
      </c>
      <c r="B2896" s="223" t="s">
        <v>5316</v>
      </c>
      <c r="C2896" s="221" t="s">
        <v>5318</v>
      </c>
    </row>
    <row r="2897" spans="1:3" x14ac:dyDescent="0.25">
      <c r="A2897" s="222">
        <v>300168</v>
      </c>
      <c r="B2897" s="223" t="s">
        <v>5319</v>
      </c>
      <c r="C2897" s="221" t="s">
        <v>5320</v>
      </c>
    </row>
    <row r="2898" spans="1:3" x14ac:dyDescent="0.25">
      <c r="A2898" s="222">
        <v>300168</v>
      </c>
      <c r="B2898" s="223" t="s">
        <v>5319</v>
      </c>
      <c r="C2898" s="221" t="s">
        <v>5321</v>
      </c>
    </row>
    <row r="2899" spans="1:3" x14ac:dyDescent="0.25">
      <c r="A2899" s="222">
        <v>300169</v>
      </c>
      <c r="B2899" s="223" t="s">
        <v>5322</v>
      </c>
      <c r="C2899" s="221" t="s">
        <v>5323</v>
      </c>
    </row>
    <row r="2900" spans="1:3" x14ac:dyDescent="0.25">
      <c r="A2900" s="222">
        <v>300169</v>
      </c>
      <c r="B2900" s="223" t="s">
        <v>5322</v>
      </c>
      <c r="C2900" s="221" t="s">
        <v>5324</v>
      </c>
    </row>
    <row r="2901" spans="1:3" x14ac:dyDescent="0.25">
      <c r="A2901" s="222">
        <v>300170</v>
      </c>
      <c r="B2901" s="223" t="s">
        <v>5325</v>
      </c>
      <c r="C2901" s="221" t="s">
        <v>5326</v>
      </c>
    </row>
    <row r="2902" spans="1:3" x14ac:dyDescent="0.25">
      <c r="A2902" s="222">
        <v>300170</v>
      </c>
      <c r="B2902" s="223" t="s">
        <v>5325</v>
      </c>
      <c r="C2902" s="221" t="s">
        <v>5327</v>
      </c>
    </row>
    <row r="2903" spans="1:3" x14ac:dyDescent="0.25">
      <c r="A2903" s="222">
        <v>300171</v>
      </c>
      <c r="B2903" s="223" t="s">
        <v>5328</v>
      </c>
      <c r="C2903" s="221" t="s">
        <v>5329</v>
      </c>
    </row>
    <row r="2904" spans="1:3" x14ac:dyDescent="0.25">
      <c r="A2904" s="222">
        <v>300171</v>
      </c>
      <c r="B2904" s="223" t="s">
        <v>5328</v>
      </c>
      <c r="C2904" s="221" t="s">
        <v>5330</v>
      </c>
    </row>
    <row r="2905" spans="1:3" x14ac:dyDescent="0.25">
      <c r="A2905" s="222">
        <v>300172</v>
      </c>
      <c r="B2905" s="223" t="s">
        <v>5331</v>
      </c>
      <c r="C2905" s="221" t="s">
        <v>5332</v>
      </c>
    </row>
    <row r="2906" spans="1:3" x14ac:dyDescent="0.25">
      <c r="A2906" s="222">
        <v>300172</v>
      </c>
      <c r="B2906" s="223" t="s">
        <v>5331</v>
      </c>
      <c r="C2906" s="221" t="s">
        <v>5333</v>
      </c>
    </row>
    <row r="2907" spans="1:3" x14ac:dyDescent="0.25">
      <c r="A2907" s="222">
        <v>300173</v>
      </c>
      <c r="B2907" s="223" t="s">
        <v>5334</v>
      </c>
      <c r="C2907" s="221" t="s">
        <v>5335</v>
      </c>
    </row>
    <row r="2908" spans="1:3" x14ac:dyDescent="0.25">
      <c r="A2908" s="222">
        <v>300173</v>
      </c>
      <c r="B2908" s="223" t="s">
        <v>5334</v>
      </c>
      <c r="C2908" s="221" t="s">
        <v>5336</v>
      </c>
    </row>
    <row r="2909" spans="1:3" x14ac:dyDescent="0.25">
      <c r="A2909" s="222">
        <v>300174</v>
      </c>
      <c r="B2909" s="223" t="s">
        <v>5337</v>
      </c>
      <c r="C2909" s="221" t="s">
        <v>5338</v>
      </c>
    </row>
    <row r="2910" spans="1:3" x14ac:dyDescent="0.25">
      <c r="A2910" s="222">
        <v>300174</v>
      </c>
      <c r="B2910" s="223" t="s">
        <v>5337</v>
      </c>
      <c r="C2910" s="221" t="s">
        <v>5339</v>
      </c>
    </row>
    <row r="2911" spans="1:3" x14ac:dyDescent="0.25">
      <c r="A2911" s="222">
        <v>300175</v>
      </c>
      <c r="B2911" s="223" t="s">
        <v>5340</v>
      </c>
      <c r="C2911" s="221" t="s">
        <v>5341</v>
      </c>
    </row>
    <row r="2912" spans="1:3" x14ac:dyDescent="0.25">
      <c r="A2912" s="222">
        <v>300175</v>
      </c>
      <c r="B2912" s="223" t="s">
        <v>5340</v>
      </c>
      <c r="C2912" s="221" t="s">
        <v>5342</v>
      </c>
    </row>
    <row r="2913" spans="1:3" x14ac:dyDescent="0.25">
      <c r="A2913" s="222">
        <v>300176</v>
      </c>
      <c r="B2913" s="223" t="s">
        <v>5343</v>
      </c>
      <c r="C2913" s="221" t="s">
        <v>5344</v>
      </c>
    </row>
    <row r="2914" spans="1:3" x14ac:dyDescent="0.25">
      <c r="A2914" s="222">
        <v>300176</v>
      </c>
      <c r="B2914" s="223" t="s">
        <v>5343</v>
      </c>
      <c r="C2914" s="221" t="s">
        <v>5345</v>
      </c>
    </row>
    <row r="2915" spans="1:3" x14ac:dyDescent="0.25">
      <c r="A2915" s="222">
        <v>300177</v>
      </c>
      <c r="B2915" s="223" t="s">
        <v>5346</v>
      </c>
      <c r="C2915" s="221" t="s">
        <v>5347</v>
      </c>
    </row>
    <row r="2916" spans="1:3" x14ac:dyDescent="0.25">
      <c r="A2916" s="222">
        <v>300177</v>
      </c>
      <c r="B2916" s="223" t="s">
        <v>5346</v>
      </c>
      <c r="C2916" s="221" t="s">
        <v>5348</v>
      </c>
    </row>
    <row r="2917" spans="1:3" x14ac:dyDescent="0.25">
      <c r="A2917" s="222">
        <v>300178</v>
      </c>
      <c r="B2917" s="223" t="s">
        <v>5349</v>
      </c>
      <c r="C2917" s="221" t="s">
        <v>5350</v>
      </c>
    </row>
    <row r="2918" spans="1:3" x14ac:dyDescent="0.25">
      <c r="A2918" s="222">
        <v>300178</v>
      </c>
      <c r="B2918" s="223" t="s">
        <v>5349</v>
      </c>
      <c r="C2918" s="221" t="s">
        <v>5351</v>
      </c>
    </row>
    <row r="2919" spans="1:3" x14ac:dyDescent="0.25">
      <c r="A2919" s="222">
        <v>300179</v>
      </c>
      <c r="B2919" s="223" t="s">
        <v>5352</v>
      </c>
      <c r="C2919" s="221" t="s">
        <v>5353</v>
      </c>
    </row>
    <row r="2920" spans="1:3" x14ac:dyDescent="0.25">
      <c r="A2920" s="222">
        <v>300179</v>
      </c>
      <c r="B2920" s="223" t="s">
        <v>5352</v>
      </c>
      <c r="C2920" s="221" t="s">
        <v>5354</v>
      </c>
    </row>
    <row r="2921" spans="1:3" x14ac:dyDescent="0.25">
      <c r="A2921" s="222">
        <v>300180</v>
      </c>
      <c r="B2921" s="223" t="s">
        <v>5355</v>
      </c>
      <c r="C2921" s="221" t="s">
        <v>5356</v>
      </c>
    </row>
    <row r="2922" spans="1:3" x14ac:dyDescent="0.25">
      <c r="A2922" s="222">
        <v>300180</v>
      </c>
      <c r="B2922" s="223" t="s">
        <v>5355</v>
      </c>
      <c r="C2922" s="221" t="s">
        <v>5357</v>
      </c>
    </row>
    <row r="2923" spans="1:3" x14ac:dyDescent="0.25">
      <c r="A2923" s="222">
        <v>300181</v>
      </c>
      <c r="B2923" s="223" t="s">
        <v>5359</v>
      </c>
      <c r="C2923" s="221" t="s">
        <v>5360</v>
      </c>
    </row>
    <row r="2924" spans="1:3" x14ac:dyDescent="0.25">
      <c r="A2924" s="222">
        <v>300181</v>
      </c>
      <c r="B2924" s="223" t="s">
        <v>5359</v>
      </c>
      <c r="C2924" s="221" t="s">
        <v>5358</v>
      </c>
    </row>
    <row r="2925" spans="1:3" x14ac:dyDescent="0.25">
      <c r="A2925" s="222">
        <v>300181</v>
      </c>
      <c r="B2925" s="223" t="s">
        <v>5359</v>
      </c>
      <c r="C2925" s="221" t="s">
        <v>5361</v>
      </c>
    </row>
    <row r="2926" spans="1:3" x14ac:dyDescent="0.25">
      <c r="A2926" s="222">
        <v>300182</v>
      </c>
      <c r="B2926" s="223" t="s">
        <v>5362</v>
      </c>
      <c r="C2926" s="221" t="s">
        <v>5363</v>
      </c>
    </row>
    <row r="2927" spans="1:3" x14ac:dyDescent="0.25">
      <c r="A2927" s="222">
        <v>300182</v>
      </c>
      <c r="B2927" s="223" t="s">
        <v>5362</v>
      </c>
      <c r="C2927" s="221" t="s">
        <v>5364</v>
      </c>
    </row>
    <row r="2928" spans="1:3" x14ac:dyDescent="0.25">
      <c r="A2928" s="222">
        <v>300183</v>
      </c>
      <c r="B2928" s="223" t="s">
        <v>5365</v>
      </c>
      <c r="C2928" s="221" t="s">
        <v>5366</v>
      </c>
    </row>
    <row r="2929" spans="1:3" x14ac:dyDescent="0.25">
      <c r="A2929" s="222">
        <v>300183</v>
      </c>
      <c r="B2929" s="223" t="s">
        <v>5365</v>
      </c>
      <c r="C2929" s="221" t="s">
        <v>5367</v>
      </c>
    </row>
    <row r="2930" spans="1:3" x14ac:dyDescent="0.25">
      <c r="A2930" s="222">
        <v>300184</v>
      </c>
      <c r="B2930" s="223" t="s">
        <v>5368</v>
      </c>
      <c r="C2930" s="221" t="s">
        <v>5369</v>
      </c>
    </row>
    <row r="2931" spans="1:3" x14ac:dyDescent="0.25">
      <c r="A2931" s="222">
        <v>300184</v>
      </c>
      <c r="B2931" s="223" t="s">
        <v>5368</v>
      </c>
      <c r="C2931" s="221" t="s">
        <v>5370</v>
      </c>
    </row>
    <row r="2932" spans="1:3" x14ac:dyDescent="0.25">
      <c r="A2932" s="222">
        <v>300187</v>
      </c>
      <c r="B2932" s="223" t="s">
        <v>5371</v>
      </c>
      <c r="C2932" s="221" t="s">
        <v>5372</v>
      </c>
    </row>
    <row r="2933" spans="1:3" x14ac:dyDescent="0.25">
      <c r="A2933" s="222">
        <v>300187</v>
      </c>
      <c r="B2933" s="223" t="s">
        <v>5371</v>
      </c>
      <c r="C2933" s="221" t="s">
        <v>5373</v>
      </c>
    </row>
    <row r="2934" spans="1:3" x14ac:dyDescent="0.25">
      <c r="A2934" s="222">
        <v>300188</v>
      </c>
      <c r="B2934" s="223" t="s">
        <v>5374</v>
      </c>
      <c r="C2934" s="221" t="s">
        <v>5375</v>
      </c>
    </row>
    <row r="2935" spans="1:3" x14ac:dyDescent="0.25">
      <c r="A2935" s="222">
        <v>300188</v>
      </c>
      <c r="B2935" s="223" t="s">
        <v>5374</v>
      </c>
      <c r="C2935" s="221" t="s">
        <v>5376</v>
      </c>
    </row>
    <row r="2936" spans="1:3" x14ac:dyDescent="0.25">
      <c r="A2936" s="222">
        <v>300189</v>
      </c>
      <c r="B2936" s="223" t="s">
        <v>5377</v>
      </c>
      <c r="C2936" s="221" t="s">
        <v>5378</v>
      </c>
    </row>
    <row r="2937" spans="1:3" x14ac:dyDescent="0.25">
      <c r="A2937" s="222">
        <v>300189</v>
      </c>
      <c r="B2937" s="223" t="s">
        <v>5377</v>
      </c>
      <c r="C2937" s="221" t="s">
        <v>5379</v>
      </c>
    </row>
    <row r="2938" spans="1:3" x14ac:dyDescent="0.25">
      <c r="A2938" s="222">
        <v>300190</v>
      </c>
      <c r="B2938" s="223" t="s">
        <v>5380</v>
      </c>
      <c r="C2938" s="221" t="s">
        <v>5381</v>
      </c>
    </row>
    <row r="2939" spans="1:3" x14ac:dyDescent="0.25">
      <c r="A2939" s="222">
        <v>300190</v>
      </c>
      <c r="B2939" s="223" t="s">
        <v>5380</v>
      </c>
      <c r="C2939" s="221" t="s">
        <v>5382</v>
      </c>
    </row>
    <row r="2940" spans="1:3" x14ac:dyDescent="0.25">
      <c r="A2940" s="222">
        <v>300191</v>
      </c>
      <c r="B2940" s="223" t="s">
        <v>5383</v>
      </c>
      <c r="C2940" s="221" t="s">
        <v>5384</v>
      </c>
    </row>
    <row r="2941" spans="1:3" x14ac:dyDescent="0.25">
      <c r="A2941" s="222">
        <v>300191</v>
      </c>
      <c r="B2941" s="223" t="s">
        <v>5383</v>
      </c>
      <c r="C2941" s="221" t="s">
        <v>5385</v>
      </c>
    </row>
    <row r="2942" spans="1:3" x14ac:dyDescent="0.25">
      <c r="A2942" s="222">
        <v>300192</v>
      </c>
      <c r="B2942" s="223" t="s">
        <v>5386</v>
      </c>
      <c r="C2942" s="221" t="s">
        <v>5387</v>
      </c>
    </row>
    <row r="2943" spans="1:3" x14ac:dyDescent="0.25">
      <c r="A2943" s="222">
        <v>300192</v>
      </c>
      <c r="B2943" s="223" t="s">
        <v>5386</v>
      </c>
      <c r="C2943" s="221" t="s">
        <v>5388</v>
      </c>
    </row>
    <row r="2944" spans="1:3" x14ac:dyDescent="0.25">
      <c r="A2944" s="222">
        <v>300193</v>
      </c>
      <c r="B2944" s="223" t="s">
        <v>5389</v>
      </c>
      <c r="C2944" s="221" t="s">
        <v>5390</v>
      </c>
    </row>
    <row r="2945" spans="1:3" x14ac:dyDescent="0.25">
      <c r="A2945" s="222">
        <v>300193</v>
      </c>
      <c r="B2945" s="223" t="s">
        <v>5389</v>
      </c>
      <c r="C2945" s="221" t="s">
        <v>5391</v>
      </c>
    </row>
    <row r="2946" spans="1:3" x14ac:dyDescent="0.25">
      <c r="A2946" s="222">
        <v>300194</v>
      </c>
      <c r="B2946" s="223" t="s">
        <v>5392</v>
      </c>
      <c r="C2946" s="221" t="s">
        <v>5393</v>
      </c>
    </row>
    <row r="2947" spans="1:3" x14ac:dyDescent="0.25">
      <c r="A2947" s="222">
        <v>300194</v>
      </c>
      <c r="B2947" s="223" t="s">
        <v>5392</v>
      </c>
      <c r="C2947" s="221" t="s">
        <v>5394</v>
      </c>
    </row>
    <row r="2948" spans="1:3" x14ac:dyDescent="0.25">
      <c r="A2948" s="222">
        <v>300196</v>
      </c>
      <c r="B2948" s="223" t="s">
        <v>5395</v>
      </c>
      <c r="C2948" s="221" t="s">
        <v>5396</v>
      </c>
    </row>
    <row r="2949" spans="1:3" x14ac:dyDescent="0.25">
      <c r="A2949" s="222">
        <v>300196</v>
      </c>
      <c r="B2949" s="223" t="s">
        <v>5395</v>
      </c>
      <c r="C2949" s="221" t="s">
        <v>5397</v>
      </c>
    </row>
    <row r="2950" spans="1:3" x14ac:dyDescent="0.25">
      <c r="A2950" s="222">
        <v>300197</v>
      </c>
      <c r="B2950" s="223" t="s">
        <v>5398</v>
      </c>
      <c r="C2950" s="221" t="s">
        <v>5399</v>
      </c>
    </row>
    <row r="2951" spans="1:3" x14ac:dyDescent="0.25">
      <c r="A2951" s="222">
        <v>300197</v>
      </c>
      <c r="B2951" s="223" t="s">
        <v>5398</v>
      </c>
      <c r="C2951" s="221" t="s">
        <v>5400</v>
      </c>
    </row>
    <row r="2952" spans="1:3" x14ac:dyDescent="0.25">
      <c r="A2952" s="222">
        <v>300198</v>
      </c>
      <c r="B2952" s="223" t="s">
        <v>5401</v>
      </c>
      <c r="C2952" s="221" t="s">
        <v>5402</v>
      </c>
    </row>
    <row r="2953" spans="1:3" x14ac:dyDescent="0.25">
      <c r="A2953" s="222">
        <v>300198</v>
      </c>
      <c r="B2953" s="223" t="s">
        <v>5401</v>
      </c>
      <c r="C2953" s="221" t="s">
        <v>5403</v>
      </c>
    </row>
    <row r="2954" spans="1:3" x14ac:dyDescent="0.25">
      <c r="A2954" s="222">
        <v>300199</v>
      </c>
      <c r="B2954" s="223" t="s">
        <v>5404</v>
      </c>
      <c r="C2954" s="221" t="s">
        <v>5405</v>
      </c>
    </row>
    <row r="2955" spans="1:3" x14ac:dyDescent="0.25">
      <c r="A2955" s="222">
        <v>300199</v>
      </c>
      <c r="B2955" s="223" t="s">
        <v>5404</v>
      </c>
      <c r="C2955" s="221" t="s">
        <v>5406</v>
      </c>
    </row>
    <row r="2956" spans="1:3" x14ac:dyDescent="0.25">
      <c r="A2956" s="222">
        <v>300200</v>
      </c>
      <c r="B2956" s="223" t="s">
        <v>5408</v>
      </c>
      <c r="C2956" s="221" t="s">
        <v>5407</v>
      </c>
    </row>
    <row r="2957" spans="1:3" x14ac:dyDescent="0.25">
      <c r="A2957" s="222">
        <v>300201</v>
      </c>
      <c r="B2957" s="223" t="s">
        <v>5409</v>
      </c>
      <c r="C2957" s="221" t="s">
        <v>5410</v>
      </c>
    </row>
    <row r="2958" spans="1:3" x14ac:dyDescent="0.25">
      <c r="A2958" s="222">
        <v>300201</v>
      </c>
      <c r="B2958" s="223" t="s">
        <v>5409</v>
      </c>
      <c r="C2958" s="221" t="s">
        <v>5411</v>
      </c>
    </row>
    <row r="2959" spans="1:3" x14ac:dyDescent="0.25">
      <c r="A2959" s="222">
        <v>300202</v>
      </c>
      <c r="B2959" s="223" t="s">
        <v>5412</v>
      </c>
      <c r="C2959" s="221" t="s">
        <v>5413</v>
      </c>
    </row>
    <row r="2960" spans="1:3" x14ac:dyDescent="0.25">
      <c r="A2960" s="222">
        <v>300202</v>
      </c>
      <c r="B2960" s="223" t="s">
        <v>5412</v>
      </c>
      <c r="C2960" s="221" t="s">
        <v>5414</v>
      </c>
    </row>
    <row r="2961" spans="1:3" x14ac:dyDescent="0.25">
      <c r="A2961" s="222">
        <v>300203</v>
      </c>
      <c r="B2961" s="223" t="s">
        <v>5415</v>
      </c>
      <c r="C2961" s="221" t="s">
        <v>5416</v>
      </c>
    </row>
    <row r="2962" spans="1:3" x14ac:dyDescent="0.25">
      <c r="A2962" s="222">
        <v>300203</v>
      </c>
      <c r="B2962" s="223" t="s">
        <v>5415</v>
      </c>
      <c r="C2962" s="221" t="s">
        <v>5417</v>
      </c>
    </row>
    <row r="2963" spans="1:3" x14ac:dyDescent="0.25">
      <c r="A2963" s="222">
        <v>300204</v>
      </c>
      <c r="B2963" s="223" t="s">
        <v>5419</v>
      </c>
      <c r="C2963" s="221" t="s">
        <v>5420</v>
      </c>
    </row>
    <row r="2964" spans="1:3" x14ac:dyDescent="0.25">
      <c r="A2964" s="222">
        <v>300204</v>
      </c>
      <c r="B2964" s="223" t="s">
        <v>5419</v>
      </c>
      <c r="C2964" s="221" t="s">
        <v>5421</v>
      </c>
    </row>
    <row r="2965" spans="1:3" x14ac:dyDescent="0.25">
      <c r="A2965" s="222">
        <v>300204</v>
      </c>
      <c r="B2965" s="223" t="s">
        <v>5419</v>
      </c>
      <c r="C2965" s="221" t="s">
        <v>5418</v>
      </c>
    </row>
    <row r="2966" spans="1:3" x14ac:dyDescent="0.25">
      <c r="A2966" s="222">
        <v>300205</v>
      </c>
      <c r="B2966" s="223" t="s">
        <v>5422</v>
      </c>
      <c r="C2966" s="221" t="s">
        <v>5423</v>
      </c>
    </row>
    <row r="2967" spans="1:3" x14ac:dyDescent="0.25">
      <c r="A2967" s="222">
        <v>300205</v>
      </c>
      <c r="B2967" s="223" t="s">
        <v>5422</v>
      </c>
      <c r="C2967" s="221" t="s">
        <v>5424</v>
      </c>
    </row>
    <row r="2968" spans="1:3" x14ac:dyDescent="0.25">
      <c r="A2968" s="222">
        <v>300206</v>
      </c>
      <c r="B2968" s="223" t="s">
        <v>5425</v>
      </c>
      <c r="C2968" s="221" t="s">
        <v>5426</v>
      </c>
    </row>
    <row r="2969" spans="1:3" x14ac:dyDescent="0.25">
      <c r="A2969" s="222">
        <v>300206</v>
      </c>
      <c r="B2969" s="223" t="s">
        <v>5425</v>
      </c>
      <c r="C2969" s="221" t="s">
        <v>5427</v>
      </c>
    </row>
    <row r="2970" spans="1:3" x14ac:dyDescent="0.25">
      <c r="A2970" s="222">
        <v>300207</v>
      </c>
      <c r="B2970" s="223" t="s">
        <v>5429</v>
      </c>
      <c r="C2970" s="221" t="s">
        <v>5430</v>
      </c>
    </row>
    <row r="2971" spans="1:3" x14ac:dyDescent="0.25">
      <c r="A2971" s="222">
        <v>300207</v>
      </c>
      <c r="B2971" s="223" t="s">
        <v>5429</v>
      </c>
      <c r="C2971" s="221" t="s">
        <v>5428</v>
      </c>
    </row>
    <row r="2972" spans="1:3" x14ac:dyDescent="0.25">
      <c r="A2972" s="222">
        <v>300208</v>
      </c>
      <c r="B2972" s="223" t="s">
        <v>5431</v>
      </c>
      <c r="C2972" s="221" t="s">
        <v>5432</v>
      </c>
    </row>
    <row r="2973" spans="1:3" x14ac:dyDescent="0.25">
      <c r="A2973" s="222">
        <v>300208</v>
      </c>
      <c r="B2973" s="223" t="s">
        <v>5431</v>
      </c>
      <c r="C2973" s="221" t="s">
        <v>5433</v>
      </c>
    </row>
    <row r="2974" spans="1:3" x14ac:dyDescent="0.25">
      <c r="A2974" s="222">
        <v>300209</v>
      </c>
      <c r="B2974" s="223" t="s">
        <v>5435</v>
      </c>
      <c r="C2974" s="221" t="s">
        <v>5436</v>
      </c>
    </row>
    <row r="2975" spans="1:3" x14ac:dyDescent="0.25">
      <c r="A2975" s="222">
        <v>300209</v>
      </c>
      <c r="B2975" s="223" t="s">
        <v>5435</v>
      </c>
      <c r="C2975" s="221" t="s">
        <v>5437</v>
      </c>
    </row>
    <row r="2976" spans="1:3" x14ac:dyDescent="0.25">
      <c r="A2976" s="222">
        <v>300209</v>
      </c>
      <c r="B2976" s="223" t="s">
        <v>5435</v>
      </c>
      <c r="C2976" s="221" t="s">
        <v>5434</v>
      </c>
    </row>
    <row r="2977" spans="1:3" x14ac:dyDescent="0.25">
      <c r="A2977" s="222">
        <v>300210</v>
      </c>
      <c r="B2977" s="223" t="s">
        <v>5439</v>
      </c>
      <c r="C2977" s="221" t="s">
        <v>5440</v>
      </c>
    </row>
    <row r="2978" spans="1:3" x14ac:dyDescent="0.25">
      <c r="A2978" s="222">
        <v>300210</v>
      </c>
      <c r="B2978" s="223" t="s">
        <v>5439</v>
      </c>
      <c r="C2978" s="221" t="s">
        <v>5438</v>
      </c>
    </row>
    <row r="2979" spans="1:3" x14ac:dyDescent="0.25">
      <c r="A2979" s="222">
        <v>300211</v>
      </c>
      <c r="B2979" s="223" t="s">
        <v>5442</v>
      </c>
      <c r="C2979" s="221" t="s">
        <v>5443</v>
      </c>
    </row>
    <row r="2980" spans="1:3" x14ac:dyDescent="0.25">
      <c r="A2980" s="222">
        <v>300211</v>
      </c>
      <c r="B2980" s="223" t="s">
        <v>5442</v>
      </c>
      <c r="C2980" s="221" t="s">
        <v>5444</v>
      </c>
    </row>
    <row r="2981" spans="1:3" x14ac:dyDescent="0.25">
      <c r="A2981" s="222">
        <v>300211</v>
      </c>
      <c r="B2981" s="223" t="s">
        <v>5442</v>
      </c>
      <c r="C2981" s="221" t="s">
        <v>5441</v>
      </c>
    </row>
    <row r="2982" spans="1:3" x14ac:dyDescent="0.25">
      <c r="A2982" s="222">
        <v>300212</v>
      </c>
      <c r="B2982" s="223" t="s">
        <v>5446</v>
      </c>
      <c r="C2982" s="221" t="s">
        <v>5447</v>
      </c>
    </row>
    <row r="2983" spans="1:3" x14ac:dyDescent="0.25">
      <c r="A2983" s="222">
        <v>300212</v>
      </c>
      <c r="B2983" s="223" t="s">
        <v>5446</v>
      </c>
      <c r="C2983" s="221" t="s">
        <v>5448</v>
      </c>
    </row>
    <row r="2984" spans="1:3" x14ac:dyDescent="0.25">
      <c r="A2984" s="222">
        <v>300212</v>
      </c>
      <c r="B2984" s="223" t="s">
        <v>5446</v>
      </c>
      <c r="C2984" s="221" t="s">
        <v>5445</v>
      </c>
    </row>
    <row r="2985" spans="1:3" x14ac:dyDescent="0.25">
      <c r="A2985" s="222">
        <v>300213</v>
      </c>
      <c r="B2985" s="223" t="s">
        <v>5450</v>
      </c>
      <c r="C2985" s="221" t="s">
        <v>5451</v>
      </c>
    </row>
    <row r="2986" spans="1:3" x14ac:dyDescent="0.25">
      <c r="A2986" s="222">
        <v>300213</v>
      </c>
      <c r="B2986" s="223" t="s">
        <v>5450</v>
      </c>
      <c r="C2986" s="221" t="s">
        <v>5452</v>
      </c>
    </row>
    <row r="2987" spans="1:3" x14ac:dyDescent="0.25">
      <c r="A2987" s="222">
        <v>300213</v>
      </c>
      <c r="B2987" s="223" t="s">
        <v>5450</v>
      </c>
      <c r="C2987" s="221" t="s">
        <v>5449</v>
      </c>
    </row>
    <row r="2988" spans="1:3" x14ac:dyDescent="0.25">
      <c r="A2988" s="222">
        <v>300214</v>
      </c>
      <c r="B2988" s="223" t="s">
        <v>5453</v>
      </c>
      <c r="C2988" s="221" t="s">
        <v>5454</v>
      </c>
    </row>
    <row r="2989" spans="1:3" x14ac:dyDescent="0.25">
      <c r="A2989" s="222">
        <v>300214</v>
      </c>
      <c r="B2989" s="223" t="s">
        <v>5453</v>
      </c>
      <c r="C2989" s="221" t="s">
        <v>5455</v>
      </c>
    </row>
    <row r="2990" spans="1:3" x14ac:dyDescent="0.25">
      <c r="A2990" s="222">
        <v>300215</v>
      </c>
      <c r="B2990" s="223" t="s">
        <v>5457</v>
      </c>
      <c r="C2990" s="221" t="s">
        <v>5458</v>
      </c>
    </row>
    <row r="2991" spans="1:3" x14ac:dyDescent="0.25">
      <c r="A2991" s="222">
        <v>300215</v>
      </c>
      <c r="B2991" s="223" t="s">
        <v>5457</v>
      </c>
      <c r="C2991" s="221" t="s">
        <v>5459</v>
      </c>
    </row>
    <row r="2992" spans="1:3" x14ac:dyDescent="0.25">
      <c r="A2992" s="222">
        <v>300215</v>
      </c>
      <c r="B2992" s="223" t="s">
        <v>5457</v>
      </c>
      <c r="C2992" s="221" t="s">
        <v>5456</v>
      </c>
    </row>
    <row r="2993" spans="1:3" x14ac:dyDescent="0.25">
      <c r="A2993" s="222">
        <v>300217</v>
      </c>
      <c r="B2993" s="223" t="s">
        <v>5460</v>
      </c>
      <c r="C2993" s="221" t="s">
        <v>5461</v>
      </c>
    </row>
    <row r="2994" spans="1:3" x14ac:dyDescent="0.25">
      <c r="A2994" s="222">
        <v>300217</v>
      </c>
      <c r="B2994" s="223" t="s">
        <v>5460</v>
      </c>
      <c r="C2994" s="221" t="s">
        <v>5462</v>
      </c>
    </row>
    <row r="2995" spans="1:3" x14ac:dyDescent="0.25">
      <c r="A2995" s="222">
        <v>300218</v>
      </c>
      <c r="B2995" s="223" t="s">
        <v>5463</v>
      </c>
      <c r="C2995" s="221" t="s">
        <v>5464</v>
      </c>
    </row>
    <row r="2996" spans="1:3" x14ac:dyDescent="0.25">
      <c r="A2996" s="222">
        <v>300218</v>
      </c>
      <c r="B2996" s="223" t="s">
        <v>5463</v>
      </c>
      <c r="C2996" s="221" t="s">
        <v>5465</v>
      </c>
    </row>
    <row r="2997" spans="1:3" x14ac:dyDescent="0.25">
      <c r="A2997" s="222">
        <v>300219</v>
      </c>
      <c r="B2997" s="223" t="s">
        <v>5466</v>
      </c>
      <c r="C2997" s="221" t="s">
        <v>5467</v>
      </c>
    </row>
    <row r="2998" spans="1:3" x14ac:dyDescent="0.25">
      <c r="A2998" s="222">
        <v>300219</v>
      </c>
      <c r="B2998" s="223" t="s">
        <v>5466</v>
      </c>
      <c r="C2998" s="221" t="s">
        <v>5468</v>
      </c>
    </row>
    <row r="2999" spans="1:3" x14ac:dyDescent="0.25">
      <c r="A2999" s="222">
        <v>300220</v>
      </c>
      <c r="B2999" s="223" t="s">
        <v>5469</v>
      </c>
      <c r="C2999" s="221" t="s">
        <v>5470</v>
      </c>
    </row>
    <row r="3000" spans="1:3" x14ac:dyDescent="0.25">
      <c r="A3000" s="222">
        <v>300220</v>
      </c>
      <c r="B3000" s="223" t="s">
        <v>5469</v>
      </c>
      <c r="C3000" s="221" t="s">
        <v>5471</v>
      </c>
    </row>
    <row r="3001" spans="1:3" x14ac:dyDescent="0.25">
      <c r="A3001" s="222">
        <v>300221</v>
      </c>
      <c r="B3001" s="223" t="s">
        <v>5472</v>
      </c>
      <c r="C3001" s="221" t="s">
        <v>5473</v>
      </c>
    </row>
    <row r="3002" spans="1:3" x14ac:dyDescent="0.25">
      <c r="A3002" s="222">
        <v>300221</v>
      </c>
      <c r="B3002" s="223" t="s">
        <v>5472</v>
      </c>
      <c r="C3002" s="221" t="s">
        <v>5474</v>
      </c>
    </row>
    <row r="3003" spans="1:3" x14ac:dyDescent="0.25">
      <c r="A3003" s="222">
        <v>300222</v>
      </c>
      <c r="B3003" s="223" t="s">
        <v>5475</v>
      </c>
      <c r="C3003" s="221" t="s">
        <v>5476</v>
      </c>
    </row>
    <row r="3004" spans="1:3" x14ac:dyDescent="0.25">
      <c r="A3004" s="222">
        <v>300222</v>
      </c>
      <c r="B3004" s="223" t="s">
        <v>5475</v>
      </c>
      <c r="C3004" s="221" t="s">
        <v>5477</v>
      </c>
    </row>
    <row r="3005" spans="1:3" x14ac:dyDescent="0.25">
      <c r="A3005" s="222">
        <v>300223</v>
      </c>
      <c r="B3005" s="223" t="s">
        <v>5478</v>
      </c>
      <c r="C3005" s="221" t="s">
        <v>5479</v>
      </c>
    </row>
    <row r="3006" spans="1:3" x14ac:dyDescent="0.25">
      <c r="A3006" s="222">
        <v>300223</v>
      </c>
      <c r="B3006" s="223" t="s">
        <v>5478</v>
      </c>
      <c r="C3006" s="221" t="s">
        <v>5480</v>
      </c>
    </row>
    <row r="3007" spans="1:3" x14ac:dyDescent="0.25">
      <c r="A3007" s="222">
        <v>300224</v>
      </c>
      <c r="B3007" s="223" t="s">
        <v>5481</v>
      </c>
      <c r="C3007" s="221" t="s">
        <v>5482</v>
      </c>
    </row>
    <row r="3008" spans="1:3" x14ac:dyDescent="0.25">
      <c r="A3008" s="222">
        <v>300224</v>
      </c>
      <c r="B3008" s="223" t="s">
        <v>5481</v>
      </c>
      <c r="C3008" s="221" t="s">
        <v>5483</v>
      </c>
    </row>
    <row r="3009" spans="1:3" x14ac:dyDescent="0.25">
      <c r="A3009" s="222">
        <v>300225</v>
      </c>
      <c r="B3009" s="223" t="s">
        <v>5484</v>
      </c>
      <c r="C3009" s="221" t="s">
        <v>5485</v>
      </c>
    </row>
    <row r="3010" spans="1:3" x14ac:dyDescent="0.25">
      <c r="A3010" s="222">
        <v>300225</v>
      </c>
      <c r="B3010" s="223" t="s">
        <v>5484</v>
      </c>
      <c r="C3010" s="221" t="s">
        <v>5486</v>
      </c>
    </row>
    <row r="3011" spans="1:3" x14ac:dyDescent="0.25">
      <c r="A3011" s="222">
        <v>300226</v>
      </c>
      <c r="B3011" s="223" t="s">
        <v>5487</v>
      </c>
      <c r="C3011" s="221" t="s">
        <v>5488</v>
      </c>
    </row>
    <row r="3012" spans="1:3" x14ac:dyDescent="0.25">
      <c r="A3012" s="222">
        <v>300226</v>
      </c>
      <c r="B3012" s="223" t="s">
        <v>5487</v>
      </c>
      <c r="C3012" s="221" t="s">
        <v>5489</v>
      </c>
    </row>
    <row r="3013" spans="1:3" x14ac:dyDescent="0.25">
      <c r="A3013" s="222">
        <v>300227</v>
      </c>
      <c r="B3013" s="223" t="s">
        <v>5490</v>
      </c>
      <c r="C3013" s="221" t="s">
        <v>5491</v>
      </c>
    </row>
    <row r="3014" spans="1:3" x14ac:dyDescent="0.25">
      <c r="A3014" s="222">
        <v>300227</v>
      </c>
      <c r="B3014" s="223" t="s">
        <v>5490</v>
      </c>
      <c r="C3014" s="221" t="s">
        <v>5492</v>
      </c>
    </row>
    <row r="3015" spans="1:3" x14ac:dyDescent="0.25">
      <c r="A3015" s="222">
        <v>300228</v>
      </c>
      <c r="B3015" s="223" t="s">
        <v>5493</v>
      </c>
      <c r="C3015" s="221" t="s">
        <v>5494</v>
      </c>
    </row>
    <row r="3016" spans="1:3" x14ac:dyDescent="0.25">
      <c r="A3016" s="222">
        <v>300228</v>
      </c>
      <c r="B3016" s="223" t="s">
        <v>5493</v>
      </c>
      <c r="C3016" s="221" t="s">
        <v>5495</v>
      </c>
    </row>
    <row r="3017" spans="1:3" x14ac:dyDescent="0.25">
      <c r="A3017" s="222">
        <v>300229</v>
      </c>
      <c r="B3017" s="223" t="s">
        <v>5496</v>
      </c>
      <c r="C3017" s="221" t="s">
        <v>5497</v>
      </c>
    </row>
    <row r="3018" spans="1:3" x14ac:dyDescent="0.25">
      <c r="A3018" s="222">
        <v>300229</v>
      </c>
      <c r="B3018" s="223" t="s">
        <v>5496</v>
      </c>
      <c r="C3018" s="221" t="s">
        <v>5498</v>
      </c>
    </row>
    <row r="3019" spans="1:3" x14ac:dyDescent="0.25">
      <c r="A3019" s="222">
        <v>300230</v>
      </c>
      <c r="B3019" s="223" t="s">
        <v>5499</v>
      </c>
      <c r="C3019" s="221" t="s">
        <v>5500</v>
      </c>
    </row>
    <row r="3020" spans="1:3" x14ac:dyDescent="0.25">
      <c r="A3020" s="222">
        <v>300231</v>
      </c>
      <c r="B3020" s="223" t="s">
        <v>5501</v>
      </c>
      <c r="C3020" s="221" t="s">
        <v>5502</v>
      </c>
    </row>
    <row r="3021" spans="1:3" x14ac:dyDescent="0.25">
      <c r="A3021" s="222">
        <v>300231</v>
      </c>
      <c r="B3021" s="223" t="s">
        <v>5501</v>
      </c>
      <c r="C3021" s="221" t="s">
        <v>5503</v>
      </c>
    </row>
    <row r="3022" spans="1:3" x14ac:dyDescent="0.25">
      <c r="A3022" s="222">
        <v>300232</v>
      </c>
      <c r="B3022" s="223" t="s">
        <v>5504</v>
      </c>
      <c r="C3022" s="221" t="s">
        <v>5505</v>
      </c>
    </row>
    <row r="3023" spans="1:3" x14ac:dyDescent="0.25">
      <c r="A3023" s="222">
        <v>300233</v>
      </c>
      <c r="B3023" s="223" t="s">
        <v>5506</v>
      </c>
      <c r="C3023" s="221" t="s">
        <v>5507</v>
      </c>
    </row>
    <row r="3024" spans="1:3" x14ac:dyDescent="0.25">
      <c r="A3024" s="222">
        <v>300234</v>
      </c>
      <c r="B3024" s="223" t="s">
        <v>5509</v>
      </c>
      <c r="C3024" s="221" t="s">
        <v>5508</v>
      </c>
    </row>
    <row r="3025" spans="1:3" x14ac:dyDescent="0.25">
      <c r="A3025" s="222">
        <v>300235</v>
      </c>
      <c r="B3025" s="223" t="s">
        <v>5510</v>
      </c>
      <c r="C3025" s="221" t="s">
        <v>5511</v>
      </c>
    </row>
    <row r="3026" spans="1:3" x14ac:dyDescent="0.25">
      <c r="A3026" s="222">
        <v>300235</v>
      </c>
      <c r="B3026" s="223" t="s">
        <v>5510</v>
      </c>
      <c r="C3026" s="221" t="s">
        <v>5512</v>
      </c>
    </row>
    <row r="3027" spans="1:3" x14ac:dyDescent="0.25">
      <c r="A3027" s="222">
        <v>300236</v>
      </c>
      <c r="B3027" s="223" t="s">
        <v>5513</v>
      </c>
      <c r="C3027" s="221" t="s">
        <v>5514</v>
      </c>
    </row>
    <row r="3028" spans="1:3" x14ac:dyDescent="0.25">
      <c r="A3028" s="222">
        <v>300236</v>
      </c>
      <c r="B3028" s="223" t="s">
        <v>5513</v>
      </c>
      <c r="C3028" s="221" t="s">
        <v>5515</v>
      </c>
    </row>
    <row r="3029" spans="1:3" x14ac:dyDescent="0.25">
      <c r="A3029" s="222">
        <v>300237</v>
      </c>
      <c r="B3029" s="223" t="s">
        <v>5516</v>
      </c>
      <c r="C3029" s="221" t="s">
        <v>5517</v>
      </c>
    </row>
    <row r="3030" spans="1:3" x14ac:dyDescent="0.25">
      <c r="A3030" s="222">
        <v>300237</v>
      </c>
      <c r="B3030" s="223" t="s">
        <v>5516</v>
      </c>
      <c r="C3030" s="221" t="s">
        <v>5518</v>
      </c>
    </row>
    <row r="3031" spans="1:3" x14ac:dyDescent="0.25">
      <c r="A3031" s="222">
        <v>300238</v>
      </c>
      <c r="B3031" s="223" t="s">
        <v>5519</v>
      </c>
      <c r="C3031" s="221" t="s">
        <v>5520</v>
      </c>
    </row>
    <row r="3032" spans="1:3" x14ac:dyDescent="0.25">
      <c r="A3032" s="222">
        <v>300239</v>
      </c>
      <c r="B3032" s="223" t="s">
        <v>5521</v>
      </c>
      <c r="C3032" s="221" t="s">
        <v>5522</v>
      </c>
    </row>
    <row r="3033" spans="1:3" x14ac:dyDescent="0.25">
      <c r="A3033" s="222">
        <v>300240</v>
      </c>
      <c r="B3033" s="223" t="s">
        <v>5524</v>
      </c>
      <c r="C3033" s="221" t="s">
        <v>5523</v>
      </c>
    </row>
    <row r="3034" spans="1:3" x14ac:dyDescent="0.25">
      <c r="A3034" s="222">
        <v>300241</v>
      </c>
      <c r="B3034" s="223" t="s">
        <v>5525</v>
      </c>
      <c r="C3034" s="221" t="s">
        <v>5526</v>
      </c>
    </row>
    <row r="3035" spans="1:3" x14ac:dyDescent="0.25">
      <c r="A3035" s="222">
        <v>300242</v>
      </c>
      <c r="B3035" s="223" t="s">
        <v>5527</v>
      </c>
      <c r="C3035" s="221" t="s">
        <v>5528</v>
      </c>
    </row>
    <row r="3036" spans="1:3" x14ac:dyDescent="0.25">
      <c r="A3036" s="222">
        <v>300243</v>
      </c>
      <c r="B3036" s="223" t="s">
        <v>5529</v>
      </c>
      <c r="C3036" s="221" t="s">
        <v>5530</v>
      </c>
    </row>
    <row r="3037" spans="1:3" x14ac:dyDescent="0.25">
      <c r="A3037" s="222">
        <v>300244</v>
      </c>
      <c r="B3037" s="223" t="s">
        <v>5531</v>
      </c>
      <c r="C3037" s="221" t="s">
        <v>5532</v>
      </c>
    </row>
    <row r="3038" spans="1:3" x14ac:dyDescent="0.25">
      <c r="A3038" s="222">
        <v>300245</v>
      </c>
      <c r="B3038" s="223" t="s">
        <v>5533</v>
      </c>
      <c r="C3038" s="221" t="s">
        <v>5534</v>
      </c>
    </row>
    <row r="3039" spans="1:3" x14ac:dyDescent="0.25">
      <c r="A3039" s="222">
        <v>300246</v>
      </c>
      <c r="B3039" s="223" t="s">
        <v>5535</v>
      </c>
      <c r="C3039" s="221" t="s">
        <v>5536</v>
      </c>
    </row>
    <row r="3040" spans="1:3" x14ac:dyDescent="0.25">
      <c r="A3040" s="222">
        <v>300247</v>
      </c>
      <c r="B3040" s="223" t="s">
        <v>5537</v>
      </c>
      <c r="C3040" s="221" t="s">
        <v>5538</v>
      </c>
    </row>
    <row r="3041" spans="1:3" x14ac:dyDescent="0.25">
      <c r="A3041" s="222">
        <v>300248</v>
      </c>
      <c r="B3041" s="223" t="s">
        <v>5539</v>
      </c>
      <c r="C3041" s="221" t="s">
        <v>5540</v>
      </c>
    </row>
    <row r="3042" spans="1:3" x14ac:dyDescent="0.25">
      <c r="A3042" s="222">
        <v>300249</v>
      </c>
      <c r="B3042" s="223" t="s">
        <v>5542</v>
      </c>
      <c r="C3042" s="221" t="s">
        <v>5541</v>
      </c>
    </row>
    <row r="3043" spans="1:3" x14ac:dyDescent="0.25">
      <c r="A3043" s="222">
        <v>300249</v>
      </c>
      <c r="B3043" s="223" t="s">
        <v>5542</v>
      </c>
      <c r="C3043" s="221" t="s">
        <v>5543</v>
      </c>
    </row>
    <row r="3044" spans="1:3" x14ac:dyDescent="0.25">
      <c r="A3044" s="222">
        <v>300250</v>
      </c>
      <c r="B3044" s="223" t="s">
        <v>5544</v>
      </c>
      <c r="C3044" s="221" t="s">
        <v>5545</v>
      </c>
    </row>
    <row r="3045" spans="1:3" x14ac:dyDescent="0.25">
      <c r="A3045" s="222">
        <v>300251</v>
      </c>
      <c r="B3045" s="223" t="s">
        <v>5546</v>
      </c>
      <c r="C3045" s="221" t="s">
        <v>5547</v>
      </c>
    </row>
    <row r="3046" spans="1:3" x14ac:dyDescent="0.25">
      <c r="A3046" s="222">
        <v>300252</v>
      </c>
      <c r="B3046" s="223" t="s">
        <v>5548</v>
      </c>
      <c r="C3046" s="221" t="s">
        <v>5549</v>
      </c>
    </row>
    <row r="3047" spans="1:3" x14ac:dyDescent="0.25">
      <c r="A3047" s="222">
        <v>300253</v>
      </c>
      <c r="B3047" s="223" t="s">
        <v>5551</v>
      </c>
      <c r="C3047" s="221" t="s">
        <v>5550</v>
      </c>
    </row>
    <row r="3048" spans="1:3" x14ac:dyDescent="0.25">
      <c r="A3048" s="222">
        <v>300256</v>
      </c>
      <c r="B3048" s="223" t="s">
        <v>5552</v>
      </c>
      <c r="C3048" s="221" t="s">
        <v>5553</v>
      </c>
    </row>
    <row r="3049" spans="1:3" x14ac:dyDescent="0.25">
      <c r="A3049" s="222">
        <v>300256</v>
      </c>
      <c r="B3049" s="223" t="s">
        <v>5552</v>
      </c>
      <c r="C3049" s="221" t="s">
        <v>5554</v>
      </c>
    </row>
    <row r="3050" spans="1:3" x14ac:dyDescent="0.25">
      <c r="A3050" s="222">
        <v>300257</v>
      </c>
      <c r="B3050" s="223" t="s">
        <v>5555</v>
      </c>
      <c r="C3050" s="221" t="s">
        <v>5556</v>
      </c>
    </row>
    <row r="3051" spans="1:3" x14ac:dyDescent="0.25">
      <c r="A3051" s="222">
        <v>300258</v>
      </c>
      <c r="B3051" s="223" t="s">
        <v>5557</v>
      </c>
      <c r="C3051" s="221" t="s">
        <v>5558</v>
      </c>
    </row>
    <row r="3052" spans="1:3" x14ac:dyDescent="0.25">
      <c r="A3052" s="222">
        <v>300259</v>
      </c>
      <c r="B3052" s="223" t="s">
        <v>5559</v>
      </c>
      <c r="C3052" s="221" t="s">
        <v>5560</v>
      </c>
    </row>
    <row r="3053" spans="1:3" x14ac:dyDescent="0.25">
      <c r="A3053" s="222">
        <v>300260</v>
      </c>
      <c r="B3053" s="223" t="s">
        <v>5561</v>
      </c>
      <c r="C3053" s="221" t="s">
        <v>5562</v>
      </c>
    </row>
    <row r="3054" spans="1:3" x14ac:dyDescent="0.25">
      <c r="A3054" s="222">
        <v>300261</v>
      </c>
      <c r="B3054" s="223" t="s">
        <v>5563</v>
      </c>
      <c r="C3054" s="221" t="s">
        <v>5564</v>
      </c>
    </row>
    <row r="3055" spans="1:3" x14ac:dyDescent="0.25">
      <c r="A3055" s="222">
        <v>300262</v>
      </c>
      <c r="B3055" s="223" t="s">
        <v>5565</v>
      </c>
      <c r="C3055" s="221" t="s">
        <v>5566</v>
      </c>
    </row>
    <row r="3056" spans="1:3" x14ac:dyDescent="0.25">
      <c r="A3056" s="222">
        <v>300263</v>
      </c>
      <c r="B3056" s="223" t="s">
        <v>5567</v>
      </c>
      <c r="C3056" s="221" t="s">
        <v>5568</v>
      </c>
    </row>
    <row r="3057" spans="1:3" x14ac:dyDescent="0.25">
      <c r="A3057" s="222">
        <v>300264</v>
      </c>
      <c r="B3057" s="223" t="s">
        <v>5569</v>
      </c>
      <c r="C3057" s="221" t="s">
        <v>5570</v>
      </c>
    </row>
    <row r="3058" spans="1:3" x14ac:dyDescent="0.25">
      <c r="A3058" s="222">
        <v>300265</v>
      </c>
      <c r="B3058" s="223" t="s">
        <v>5571</v>
      </c>
      <c r="C3058" s="221" t="s">
        <v>5572</v>
      </c>
    </row>
    <row r="3059" spans="1:3" x14ac:dyDescent="0.25">
      <c r="A3059" s="222">
        <v>300265</v>
      </c>
      <c r="B3059" s="223" t="s">
        <v>5571</v>
      </c>
      <c r="C3059" s="221" t="s">
        <v>5573</v>
      </c>
    </row>
    <row r="3060" spans="1:3" x14ac:dyDescent="0.25">
      <c r="A3060" s="222">
        <v>300266</v>
      </c>
      <c r="B3060" s="223" t="s">
        <v>5574</v>
      </c>
      <c r="C3060" s="221" t="s">
        <v>5575</v>
      </c>
    </row>
    <row r="3061" spans="1:3" x14ac:dyDescent="0.25">
      <c r="A3061" s="222">
        <v>300267</v>
      </c>
      <c r="B3061" s="223" t="s">
        <v>5576</v>
      </c>
      <c r="C3061" s="221" t="s">
        <v>5577</v>
      </c>
    </row>
    <row r="3062" spans="1:3" x14ac:dyDescent="0.25">
      <c r="A3062" s="222">
        <v>300268</v>
      </c>
      <c r="B3062" s="223" t="s">
        <v>5578</v>
      </c>
      <c r="C3062" s="221" t="s">
        <v>5579</v>
      </c>
    </row>
    <row r="3063" spans="1:3" x14ac:dyDescent="0.25">
      <c r="A3063" s="222">
        <v>300269</v>
      </c>
      <c r="B3063" s="223" t="s">
        <v>5580</v>
      </c>
      <c r="C3063" s="221" t="s">
        <v>5581</v>
      </c>
    </row>
    <row r="3064" spans="1:3" x14ac:dyDescent="0.25">
      <c r="A3064" s="222">
        <v>300270</v>
      </c>
      <c r="B3064" s="223" t="s">
        <v>5582</v>
      </c>
      <c r="C3064" s="221" t="s">
        <v>5583</v>
      </c>
    </row>
    <row r="3065" spans="1:3" x14ac:dyDescent="0.25">
      <c r="A3065" s="222">
        <v>300271</v>
      </c>
      <c r="B3065" s="223" t="s">
        <v>5584</v>
      </c>
      <c r="C3065" s="221" t="s">
        <v>5585</v>
      </c>
    </row>
    <row r="3066" spans="1:3" x14ac:dyDescent="0.25">
      <c r="A3066" s="222">
        <v>300272</v>
      </c>
      <c r="B3066" s="223" t="s">
        <v>5584</v>
      </c>
      <c r="C3066" s="221" t="s">
        <v>5586</v>
      </c>
    </row>
    <row r="3067" spans="1:3" x14ac:dyDescent="0.25">
      <c r="A3067" s="222">
        <v>300273</v>
      </c>
      <c r="B3067" s="223" t="s">
        <v>5587</v>
      </c>
      <c r="C3067" s="221" t="s">
        <v>5588</v>
      </c>
    </row>
    <row r="3068" spans="1:3" x14ac:dyDescent="0.25">
      <c r="A3068" s="222">
        <v>300274</v>
      </c>
      <c r="B3068" s="223" t="s">
        <v>5589</v>
      </c>
      <c r="C3068" s="221" t="s">
        <v>5590</v>
      </c>
    </row>
    <row r="3069" spans="1:3" x14ac:dyDescent="0.25">
      <c r="A3069" s="222">
        <v>300275</v>
      </c>
      <c r="B3069" s="223" t="s">
        <v>5591</v>
      </c>
      <c r="C3069" s="221" t="s">
        <v>5592</v>
      </c>
    </row>
    <row r="3070" spans="1:3" x14ac:dyDescent="0.25">
      <c r="A3070" s="222">
        <v>300276</v>
      </c>
      <c r="B3070" s="223" t="s">
        <v>5593</v>
      </c>
      <c r="C3070" s="221" t="s">
        <v>5594</v>
      </c>
    </row>
    <row r="3071" spans="1:3" x14ac:dyDescent="0.25">
      <c r="A3071" s="222">
        <v>300277</v>
      </c>
      <c r="B3071" s="223" t="s">
        <v>5595</v>
      </c>
      <c r="C3071" s="221" t="s">
        <v>5596</v>
      </c>
    </row>
    <row r="3072" spans="1:3" x14ac:dyDescent="0.25">
      <c r="A3072" s="222">
        <v>300278</v>
      </c>
      <c r="B3072" s="223" t="s">
        <v>5597</v>
      </c>
      <c r="C3072" s="221" t="s">
        <v>5598</v>
      </c>
    </row>
    <row r="3073" spans="1:3" x14ac:dyDescent="0.25">
      <c r="A3073" s="222">
        <v>300279</v>
      </c>
      <c r="B3073" s="223" t="s">
        <v>5599</v>
      </c>
      <c r="C3073" s="221" t="s">
        <v>5600</v>
      </c>
    </row>
    <row r="3074" spans="1:3" x14ac:dyDescent="0.25">
      <c r="A3074" s="222">
        <v>300280</v>
      </c>
      <c r="B3074" s="223" t="s">
        <v>5601</v>
      </c>
      <c r="C3074" s="221" t="s">
        <v>5602</v>
      </c>
    </row>
    <row r="3075" spans="1:3" x14ac:dyDescent="0.25">
      <c r="A3075" s="222">
        <v>300281</v>
      </c>
      <c r="B3075" s="223" t="s">
        <v>5603</v>
      </c>
      <c r="C3075" s="221" t="s">
        <v>5604</v>
      </c>
    </row>
    <row r="3076" spans="1:3" x14ac:dyDescent="0.25">
      <c r="A3076" s="222">
        <v>300282</v>
      </c>
      <c r="B3076" s="223" t="s">
        <v>5605</v>
      </c>
      <c r="C3076" s="221" t="s">
        <v>5606</v>
      </c>
    </row>
    <row r="3077" spans="1:3" x14ac:dyDescent="0.25">
      <c r="A3077" s="222">
        <v>300283</v>
      </c>
      <c r="B3077" s="223" t="s">
        <v>5607</v>
      </c>
      <c r="C3077" s="221" t="s">
        <v>5608</v>
      </c>
    </row>
    <row r="3078" spans="1:3" x14ac:dyDescent="0.25">
      <c r="A3078" s="222">
        <v>300284</v>
      </c>
      <c r="B3078" s="223" t="s">
        <v>5609</v>
      </c>
      <c r="C3078" s="221" t="s">
        <v>5610</v>
      </c>
    </row>
    <row r="3079" spans="1:3" x14ac:dyDescent="0.25">
      <c r="A3079" s="222">
        <v>300285</v>
      </c>
      <c r="B3079" s="223" t="s">
        <v>5611</v>
      </c>
      <c r="C3079" s="221" t="s">
        <v>5612</v>
      </c>
    </row>
    <row r="3080" spans="1:3" x14ac:dyDescent="0.25">
      <c r="A3080" s="222">
        <v>300286</v>
      </c>
      <c r="B3080" s="223" t="s">
        <v>5613</v>
      </c>
      <c r="C3080" s="221" t="s">
        <v>5614</v>
      </c>
    </row>
    <row r="3081" spans="1:3" x14ac:dyDescent="0.25">
      <c r="A3081" s="222">
        <v>300287</v>
      </c>
      <c r="B3081" s="223" t="s">
        <v>5615</v>
      </c>
      <c r="C3081" s="221" t="s">
        <v>5616</v>
      </c>
    </row>
    <row r="3082" spans="1:3" x14ac:dyDescent="0.25">
      <c r="A3082" s="222">
        <v>300288</v>
      </c>
      <c r="B3082" s="223" t="s">
        <v>5617</v>
      </c>
      <c r="C3082" s="221" t="s">
        <v>5618</v>
      </c>
    </row>
    <row r="3083" spans="1:3" x14ac:dyDescent="0.25">
      <c r="A3083" s="222">
        <v>300289</v>
      </c>
      <c r="B3083" s="223" t="s">
        <v>5619</v>
      </c>
      <c r="C3083" s="221" t="s">
        <v>5620</v>
      </c>
    </row>
    <row r="3084" spans="1:3" x14ac:dyDescent="0.25">
      <c r="A3084" s="222">
        <v>300290</v>
      </c>
      <c r="B3084" s="223" t="s">
        <v>5621</v>
      </c>
      <c r="C3084" s="221" t="s">
        <v>5622</v>
      </c>
    </row>
    <row r="3085" spans="1:3" x14ac:dyDescent="0.25">
      <c r="A3085" s="222">
        <v>300292</v>
      </c>
      <c r="B3085" s="223" t="s">
        <v>5623</v>
      </c>
      <c r="C3085" s="221" t="s">
        <v>5624</v>
      </c>
    </row>
    <row r="3086" spans="1:3" x14ac:dyDescent="0.25">
      <c r="A3086" s="222">
        <v>300293</v>
      </c>
      <c r="B3086" s="223" t="s">
        <v>5626</v>
      </c>
      <c r="C3086" s="221" t="s">
        <v>5625</v>
      </c>
    </row>
    <row r="3087" spans="1:3" x14ac:dyDescent="0.25">
      <c r="A3087" s="222">
        <v>300294</v>
      </c>
      <c r="B3087" s="223" t="s">
        <v>5627</v>
      </c>
      <c r="C3087" s="221" t="s">
        <v>5628</v>
      </c>
    </row>
    <row r="3088" spans="1:3" x14ac:dyDescent="0.25">
      <c r="A3088" s="222">
        <v>300295</v>
      </c>
      <c r="B3088" s="223" t="s">
        <v>5629</v>
      </c>
      <c r="C3088" s="221" t="s">
        <v>5630</v>
      </c>
    </row>
    <row r="3089" spans="1:3" x14ac:dyDescent="0.25">
      <c r="A3089" s="222">
        <v>300296</v>
      </c>
      <c r="B3089" s="223" t="s">
        <v>5631</v>
      </c>
      <c r="C3089" s="221" t="s">
        <v>5632</v>
      </c>
    </row>
    <row r="3090" spans="1:3" x14ac:dyDescent="0.25">
      <c r="A3090" s="222">
        <v>300297</v>
      </c>
      <c r="B3090" s="223" t="s">
        <v>5633</v>
      </c>
      <c r="C3090" s="221" t="s">
        <v>5634</v>
      </c>
    </row>
    <row r="3091" spans="1:3" x14ac:dyDescent="0.25">
      <c r="A3091" s="222">
        <v>300298</v>
      </c>
      <c r="B3091" s="223" t="s">
        <v>5635</v>
      </c>
      <c r="C3091" s="221" t="s">
        <v>5636</v>
      </c>
    </row>
    <row r="3092" spans="1:3" x14ac:dyDescent="0.25">
      <c r="A3092" s="222">
        <v>300299</v>
      </c>
      <c r="B3092" s="223" t="s">
        <v>5637</v>
      </c>
      <c r="C3092" s="221" t="s">
        <v>5638</v>
      </c>
    </row>
    <row r="3093" spans="1:3" x14ac:dyDescent="0.25">
      <c r="A3093" s="222">
        <v>300300</v>
      </c>
      <c r="B3093" s="223" t="s">
        <v>5639</v>
      </c>
      <c r="C3093" s="221" t="s">
        <v>5640</v>
      </c>
    </row>
    <row r="3094" spans="1:3" x14ac:dyDescent="0.25">
      <c r="A3094" s="222">
        <v>300301</v>
      </c>
      <c r="B3094" s="223" t="s">
        <v>5641</v>
      </c>
      <c r="C3094" s="221" t="s">
        <v>5642</v>
      </c>
    </row>
    <row r="3095" spans="1:3" x14ac:dyDescent="0.25">
      <c r="A3095" s="222">
        <v>300303</v>
      </c>
      <c r="B3095" s="223" t="s">
        <v>5643</v>
      </c>
      <c r="C3095" s="221" t="s">
        <v>5644</v>
      </c>
    </row>
    <row r="3096" spans="1:3" x14ac:dyDescent="0.25">
      <c r="A3096" s="222">
        <v>300304</v>
      </c>
      <c r="B3096" s="223" t="s">
        <v>5645</v>
      </c>
      <c r="C3096" s="221" t="s">
        <v>5646</v>
      </c>
    </row>
    <row r="3097" spans="1:3" x14ac:dyDescent="0.25">
      <c r="A3097" s="222">
        <v>300305</v>
      </c>
      <c r="B3097" s="223" t="s">
        <v>5647</v>
      </c>
      <c r="C3097" s="221" t="s">
        <v>5648</v>
      </c>
    </row>
    <row r="3098" spans="1:3" x14ac:dyDescent="0.25">
      <c r="A3098" s="222">
        <v>300307</v>
      </c>
      <c r="B3098" s="223" t="s">
        <v>5649</v>
      </c>
      <c r="C3098" s="221" t="s">
        <v>5650</v>
      </c>
    </row>
    <row r="3099" spans="1:3" x14ac:dyDescent="0.25">
      <c r="A3099" s="222">
        <v>300308</v>
      </c>
      <c r="B3099" s="223" t="s">
        <v>5651</v>
      </c>
      <c r="C3099" s="221" t="s">
        <v>5652</v>
      </c>
    </row>
    <row r="3100" spans="1:3" x14ac:dyDescent="0.25">
      <c r="A3100" s="222">
        <v>300309</v>
      </c>
      <c r="B3100" s="223" t="s">
        <v>5653</v>
      </c>
      <c r="C3100" s="221" t="s">
        <v>5654</v>
      </c>
    </row>
    <row r="3101" spans="1:3" x14ac:dyDescent="0.25">
      <c r="A3101" s="222">
        <v>300310</v>
      </c>
      <c r="B3101" s="223" t="s">
        <v>5655</v>
      </c>
      <c r="C3101" s="221" t="s">
        <v>5656</v>
      </c>
    </row>
    <row r="3102" spans="1:3" x14ac:dyDescent="0.25">
      <c r="A3102" s="222">
        <v>300311</v>
      </c>
      <c r="B3102" s="223" t="s">
        <v>5657</v>
      </c>
      <c r="C3102" s="221" t="s">
        <v>5658</v>
      </c>
    </row>
    <row r="3103" spans="1:3" x14ac:dyDescent="0.25">
      <c r="A3103" s="222">
        <v>300312</v>
      </c>
      <c r="B3103" s="223" t="s">
        <v>5659</v>
      </c>
      <c r="C3103" s="221" t="s">
        <v>5660</v>
      </c>
    </row>
    <row r="3104" spans="1:3" x14ac:dyDescent="0.25">
      <c r="A3104" s="222">
        <v>300313</v>
      </c>
      <c r="B3104" s="223" t="s">
        <v>5661</v>
      </c>
      <c r="C3104" s="221" t="s">
        <v>5662</v>
      </c>
    </row>
    <row r="3105" spans="1:3" x14ac:dyDescent="0.25">
      <c r="A3105" s="222">
        <v>300314</v>
      </c>
      <c r="B3105" s="223" t="s">
        <v>5663</v>
      </c>
      <c r="C3105" s="221" t="s">
        <v>5664</v>
      </c>
    </row>
    <row r="3106" spans="1:3" x14ac:dyDescent="0.25">
      <c r="A3106" s="222">
        <v>300315</v>
      </c>
      <c r="B3106" s="223" t="s">
        <v>5665</v>
      </c>
      <c r="C3106" s="221" t="s">
        <v>5666</v>
      </c>
    </row>
    <row r="3107" spans="1:3" x14ac:dyDescent="0.25">
      <c r="A3107" s="222">
        <v>300316</v>
      </c>
      <c r="B3107" s="223" t="s">
        <v>5667</v>
      </c>
      <c r="C3107" s="221" t="s">
        <v>5668</v>
      </c>
    </row>
    <row r="3108" spans="1:3" x14ac:dyDescent="0.25">
      <c r="A3108" s="222">
        <v>300319</v>
      </c>
      <c r="B3108" s="223" t="s">
        <v>5669</v>
      </c>
      <c r="C3108" s="221" t="s">
        <v>5670</v>
      </c>
    </row>
    <row r="3109" spans="1:3" x14ac:dyDescent="0.25">
      <c r="A3109" s="222">
        <v>300320</v>
      </c>
      <c r="B3109" s="223" t="s">
        <v>5671</v>
      </c>
      <c r="C3109" s="221" t="s">
        <v>5672</v>
      </c>
    </row>
    <row r="3110" spans="1:3" x14ac:dyDescent="0.25">
      <c r="A3110" s="222">
        <v>300321</v>
      </c>
      <c r="B3110" s="223" t="s">
        <v>5673</v>
      </c>
      <c r="C3110" s="221" t="s">
        <v>5674</v>
      </c>
    </row>
    <row r="3111" spans="1:3" x14ac:dyDescent="0.25">
      <c r="A3111" s="222">
        <v>300322</v>
      </c>
      <c r="B3111" s="223" t="s">
        <v>5675</v>
      </c>
      <c r="C3111" s="221" t="s">
        <v>5676</v>
      </c>
    </row>
    <row r="3112" spans="1:3" x14ac:dyDescent="0.25">
      <c r="A3112" s="222">
        <v>300323</v>
      </c>
      <c r="B3112" s="223" t="s">
        <v>5677</v>
      </c>
      <c r="C3112" s="221" t="s">
        <v>5678</v>
      </c>
    </row>
    <row r="3113" spans="1:3" x14ac:dyDescent="0.25">
      <c r="A3113" s="222">
        <v>300324</v>
      </c>
      <c r="B3113" s="223" t="s">
        <v>5679</v>
      </c>
      <c r="C3113" s="221" t="s">
        <v>5680</v>
      </c>
    </row>
    <row r="3114" spans="1:3" x14ac:dyDescent="0.25">
      <c r="A3114" s="222">
        <v>300326</v>
      </c>
      <c r="B3114" s="223" t="s">
        <v>5682</v>
      </c>
      <c r="C3114" s="221" t="s">
        <v>5681</v>
      </c>
    </row>
    <row r="3115" spans="1:3" x14ac:dyDescent="0.25">
      <c r="A3115" s="222">
        <v>300327</v>
      </c>
      <c r="B3115" s="223" t="s">
        <v>5684</v>
      </c>
      <c r="C3115" s="221" t="s">
        <v>5683</v>
      </c>
    </row>
    <row r="3116" spans="1:3" x14ac:dyDescent="0.25">
      <c r="A3116" s="222">
        <v>300328</v>
      </c>
      <c r="B3116" s="223" t="s">
        <v>5686</v>
      </c>
      <c r="C3116" s="221" t="s">
        <v>5685</v>
      </c>
    </row>
    <row r="3117" spans="1:3" x14ac:dyDescent="0.25">
      <c r="A3117" s="222">
        <v>300329</v>
      </c>
      <c r="B3117" s="223" t="s">
        <v>5688</v>
      </c>
      <c r="C3117" s="221" t="s">
        <v>5687</v>
      </c>
    </row>
    <row r="3118" spans="1:3" x14ac:dyDescent="0.25">
      <c r="A3118" s="222">
        <v>300330</v>
      </c>
      <c r="B3118" s="223" t="s">
        <v>5690</v>
      </c>
      <c r="C3118" s="221" t="s">
        <v>5689</v>
      </c>
    </row>
    <row r="3119" spans="1:3" x14ac:dyDescent="0.25">
      <c r="A3119" s="222">
        <v>300331</v>
      </c>
      <c r="B3119" s="223" t="s">
        <v>5692</v>
      </c>
      <c r="C3119" s="221" t="s">
        <v>5691</v>
      </c>
    </row>
    <row r="3120" spans="1:3" x14ac:dyDescent="0.25">
      <c r="A3120" s="222">
        <v>300332</v>
      </c>
      <c r="B3120" s="223" t="s">
        <v>5694</v>
      </c>
      <c r="C3120" s="221" t="s">
        <v>5693</v>
      </c>
    </row>
    <row r="3121" spans="1:3" x14ac:dyDescent="0.25">
      <c r="A3121" s="222">
        <v>300333</v>
      </c>
      <c r="B3121" s="223" t="s">
        <v>5696</v>
      </c>
      <c r="C3121" s="221" t="s">
        <v>5695</v>
      </c>
    </row>
    <row r="3122" spans="1:3" x14ac:dyDescent="0.25">
      <c r="A3122" s="222">
        <v>300334</v>
      </c>
      <c r="B3122" s="223" t="s">
        <v>5698</v>
      </c>
      <c r="C3122" s="221" t="s">
        <v>5697</v>
      </c>
    </row>
    <row r="3123" spans="1:3" x14ac:dyDescent="0.25">
      <c r="A3123" s="222">
        <v>300335</v>
      </c>
      <c r="B3123" s="223" t="s">
        <v>5700</v>
      </c>
      <c r="C3123" s="221" t="s">
        <v>5699</v>
      </c>
    </row>
    <row r="3124" spans="1:3" x14ac:dyDescent="0.25">
      <c r="A3124" s="222">
        <v>300336</v>
      </c>
      <c r="B3124" s="223" t="s">
        <v>5702</v>
      </c>
      <c r="C3124" s="221" t="s">
        <v>5701</v>
      </c>
    </row>
    <row r="3125" spans="1:3" x14ac:dyDescent="0.25">
      <c r="A3125" s="222">
        <v>300337</v>
      </c>
      <c r="B3125" s="223" t="s">
        <v>5704</v>
      </c>
      <c r="C3125" s="221" t="s">
        <v>5703</v>
      </c>
    </row>
    <row r="3126" spans="1:3" x14ac:dyDescent="0.25">
      <c r="A3126" s="222">
        <v>300338</v>
      </c>
      <c r="B3126" s="223" t="s">
        <v>5706</v>
      </c>
      <c r="C3126" s="221" t="s">
        <v>5705</v>
      </c>
    </row>
    <row r="3127" spans="1:3" x14ac:dyDescent="0.25">
      <c r="A3127" s="222">
        <v>300339</v>
      </c>
      <c r="B3127" s="223" t="s">
        <v>5708</v>
      </c>
      <c r="C3127" s="221" t="s">
        <v>5707</v>
      </c>
    </row>
    <row r="3128" spans="1:3" x14ac:dyDescent="0.25">
      <c r="A3128" s="222">
        <v>300340</v>
      </c>
      <c r="B3128" s="223" t="s">
        <v>5710</v>
      </c>
      <c r="C3128" s="221" t="s">
        <v>5709</v>
      </c>
    </row>
    <row r="3129" spans="1:3" x14ac:dyDescent="0.25">
      <c r="A3129" s="222">
        <v>300341</v>
      </c>
      <c r="B3129" s="223" t="s">
        <v>5712</v>
      </c>
      <c r="C3129" s="221" t="s">
        <v>5711</v>
      </c>
    </row>
    <row r="3130" spans="1:3" x14ac:dyDescent="0.25">
      <c r="A3130" s="222">
        <v>300342</v>
      </c>
      <c r="B3130" s="223" t="s">
        <v>5714</v>
      </c>
      <c r="C3130" s="221" t="s">
        <v>5713</v>
      </c>
    </row>
    <row r="3131" spans="1:3" x14ac:dyDescent="0.25">
      <c r="A3131" s="222">
        <v>300343</v>
      </c>
      <c r="B3131" s="223" t="s">
        <v>5716</v>
      </c>
      <c r="C3131" s="221" t="s">
        <v>5715</v>
      </c>
    </row>
    <row r="3132" spans="1:3" x14ac:dyDescent="0.25">
      <c r="A3132" s="222">
        <v>300344</v>
      </c>
      <c r="B3132" s="223" t="s">
        <v>5718</v>
      </c>
      <c r="C3132" s="221" t="s">
        <v>5717</v>
      </c>
    </row>
    <row r="3133" spans="1:3" x14ac:dyDescent="0.25">
      <c r="A3133" s="222">
        <v>300345</v>
      </c>
      <c r="B3133" s="223" t="s">
        <v>5720</v>
      </c>
      <c r="C3133" s="221" t="s">
        <v>5719</v>
      </c>
    </row>
    <row r="3134" spans="1:3" x14ac:dyDescent="0.25">
      <c r="A3134" s="222">
        <v>300347</v>
      </c>
      <c r="B3134" s="223" t="s">
        <v>5721</v>
      </c>
      <c r="C3134" s="221" t="s">
        <v>5722</v>
      </c>
    </row>
    <row r="3135" spans="1:3" x14ac:dyDescent="0.25">
      <c r="A3135" s="222">
        <v>300348</v>
      </c>
      <c r="B3135" s="223" t="s">
        <v>5723</v>
      </c>
      <c r="C3135" s="221" t="s">
        <v>5724</v>
      </c>
    </row>
    <row r="3136" spans="1:3" x14ac:dyDescent="0.25">
      <c r="A3136" s="222">
        <v>300349</v>
      </c>
      <c r="B3136" s="223" t="s">
        <v>5725</v>
      </c>
      <c r="C3136" s="221" t="s">
        <v>5726</v>
      </c>
    </row>
    <row r="3137" spans="1:3" x14ac:dyDescent="0.25">
      <c r="A3137" s="222">
        <v>300350</v>
      </c>
      <c r="B3137" s="223" t="s">
        <v>5728</v>
      </c>
      <c r="C3137" s="221" t="s">
        <v>5727</v>
      </c>
    </row>
    <row r="3138" spans="1:3" x14ac:dyDescent="0.25">
      <c r="A3138" s="222">
        <v>300351</v>
      </c>
      <c r="B3138" s="223" t="s">
        <v>5730</v>
      </c>
      <c r="C3138" s="221" t="s">
        <v>5729</v>
      </c>
    </row>
    <row r="3139" spans="1:3" x14ac:dyDescent="0.25">
      <c r="A3139" s="222">
        <v>300352</v>
      </c>
      <c r="B3139" s="223" t="s">
        <v>5732</v>
      </c>
      <c r="C3139" s="221" t="s">
        <v>5731</v>
      </c>
    </row>
    <row r="3140" spans="1:3" x14ac:dyDescent="0.25">
      <c r="A3140" s="222">
        <v>300353</v>
      </c>
      <c r="B3140" s="223" t="s">
        <v>5734</v>
      </c>
      <c r="C3140" s="221" t="s">
        <v>5733</v>
      </c>
    </row>
    <row r="3141" spans="1:3" x14ac:dyDescent="0.25">
      <c r="A3141" s="222">
        <v>300354</v>
      </c>
      <c r="B3141" s="223" t="s">
        <v>5735</v>
      </c>
      <c r="C3141" s="221" t="s">
        <v>5736</v>
      </c>
    </row>
    <row r="3142" spans="1:3" x14ac:dyDescent="0.25">
      <c r="A3142" s="222">
        <v>300355</v>
      </c>
      <c r="B3142" s="223" t="s">
        <v>5737</v>
      </c>
      <c r="C3142" s="221" t="s">
        <v>5738</v>
      </c>
    </row>
    <row r="3143" spans="1:3" x14ac:dyDescent="0.25">
      <c r="A3143" s="222">
        <v>300356</v>
      </c>
      <c r="B3143" s="223" t="s">
        <v>5740</v>
      </c>
      <c r="C3143" s="221" t="s">
        <v>5739</v>
      </c>
    </row>
    <row r="3144" spans="1:3" x14ac:dyDescent="0.25">
      <c r="A3144" s="222">
        <v>300357</v>
      </c>
      <c r="B3144" s="223" t="s">
        <v>5742</v>
      </c>
      <c r="C3144" s="221" t="s">
        <v>5741</v>
      </c>
    </row>
    <row r="3145" spans="1:3" x14ac:dyDescent="0.25">
      <c r="A3145" s="222">
        <v>300358</v>
      </c>
      <c r="B3145" s="223" t="s">
        <v>5744</v>
      </c>
      <c r="C3145" s="221" t="s">
        <v>5743</v>
      </c>
    </row>
    <row r="3146" spans="1:3" x14ac:dyDescent="0.25">
      <c r="A3146" s="222">
        <v>300359</v>
      </c>
      <c r="B3146" s="223" t="s">
        <v>5746</v>
      </c>
      <c r="C3146" s="221" t="s">
        <v>5745</v>
      </c>
    </row>
    <row r="3147" spans="1:3" x14ac:dyDescent="0.25">
      <c r="A3147" s="222">
        <v>300360</v>
      </c>
      <c r="B3147" s="223" t="s">
        <v>5748</v>
      </c>
      <c r="C3147" s="221" t="s">
        <v>5747</v>
      </c>
    </row>
    <row r="3148" spans="1:3" x14ac:dyDescent="0.25">
      <c r="A3148" s="222">
        <v>300361</v>
      </c>
      <c r="B3148" s="223" t="s">
        <v>5750</v>
      </c>
      <c r="C3148" s="221" t="s">
        <v>5749</v>
      </c>
    </row>
    <row r="3149" spans="1:3" x14ac:dyDescent="0.25">
      <c r="A3149" s="222">
        <v>300362</v>
      </c>
      <c r="B3149" s="223" t="s">
        <v>5752</v>
      </c>
      <c r="C3149" s="221" t="s">
        <v>5751</v>
      </c>
    </row>
    <row r="3150" spans="1:3" x14ac:dyDescent="0.25">
      <c r="A3150" s="222">
        <v>300363</v>
      </c>
      <c r="B3150" s="223" t="s">
        <v>5753</v>
      </c>
      <c r="C3150" s="221" t="s">
        <v>5754</v>
      </c>
    </row>
    <row r="3151" spans="1:3" x14ac:dyDescent="0.25">
      <c r="A3151" s="222">
        <v>300364</v>
      </c>
      <c r="B3151" s="223" t="s">
        <v>5756</v>
      </c>
      <c r="C3151" s="221" t="s">
        <v>5755</v>
      </c>
    </row>
    <row r="3152" spans="1:3" x14ac:dyDescent="0.25">
      <c r="A3152" s="222">
        <v>300365</v>
      </c>
      <c r="B3152" s="223" t="s">
        <v>5758</v>
      </c>
      <c r="C3152" s="221" t="s">
        <v>5757</v>
      </c>
    </row>
    <row r="3153" spans="1:3" x14ac:dyDescent="0.25">
      <c r="A3153" s="222">
        <v>300369</v>
      </c>
      <c r="B3153" s="223" t="s">
        <v>5760</v>
      </c>
      <c r="C3153" s="221" t="s">
        <v>5759</v>
      </c>
    </row>
    <row r="3154" spans="1:3" x14ac:dyDescent="0.25">
      <c r="A3154" s="222">
        <v>300373</v>
      </c>
      <c r="B3154" s="223" t="s">
        <v>5762</v>
      </c>
      <c r="C3154" s="221" t="s">
        <v>5761</v>
      </c>
    </row>
    <row r="3155" spans="1:3" x14ac:dyDescent="0.25">
      <c r="A3155" s="222">
        <v>300375</v>
      </c>
      <c r="B3155" s="223" t="s">
        <v>5763</v>
      </c>
      <c r="C3155" s="221" t="s">
        <v>5764</v>
      </c>
    </row>
    <row r="3156" spans="1:3" x14ac:dyDescent="0.25">
      <c r="A3156" s="222">
        <v>300376</v>
      </c>
      <c r="B3156" s="223" t="s">
        <v>5765</v>
      </c>
      <c r="C3156" s="221" t="s">
        <v>5766</v>
      </c>
    </row>
    <row r="3157" spans="1:3" x14ac:dyDescent="0.25">
      <c r="A3157" s="222">
        <v>300378</v>
      </c>
      <c r="B3157" s="223" t="s">
        <v>5767</v>
      </c>
      <c r="C3157" s="221" t="s">
        <v>5768</v>
      </c>
    </row>
    <row r="3158" spans="1:3" x14ac:dyDescent="0.25">
      <c r="A3158" s="222">
        <v>300379</v>
      </c>
      <c r="B3158" s="223" t="s">
        <v>5769</v>
      </c>
      <c r="C3158" s="221" t="s">
        <v>5770</v>
      </c>
    </row>
    <row r="3159" spans="1:3" x14ac:dyDescent="0.25">
      <c r="A3159" s="222">
        <v>300381</v>
      </c>
      <c r="B3159" s="223" t="s">
        <v>5772</v>
      </c>
      <c r="C3159" s="221" t="s">
        <v>5771</v>
      </c>
    </row>
    <row r="3160" spans="1:3" x14ac:dyDescent="0.25">
      <c r="A3160" s="222">
        <v>300382</v>
      </c>
      <c r="B3160" s="223" t="s">
        <v>5773</v>
      </c>
      <c r="C3160" s="221" t="s">
        <v>5774</v>
      </c>
    </row>
    <row r="3161" spans="1:3" x14ac:dyDescent="0.25">
      <c r="A3161" s="222">
        <v>300384</v>
      </c>
      <c r="B3161" s="223" t="s">
        <v>5775</v>
      </c>
      <c r="C3161" s="221" t="s">
        <v>5776</v>
      </c>
    </row>
    <row r="3162" spans="1:3" x14ac:dyDescent="0.25">
      <c r="A3162" s="222">
        <v>300386</v>
      </c>
      <c r="B3162" s="223" t="s">
        <v>5777</v>
      </c>
      <c r="C3162" s="221" t="s">
        <v>5778</v>
      </c>
    </row>
    <row r="3163" spans="1:3" x14ac:dyDescent="0.25">
      <c r="A3163" s="222">
        <v>300388</v>
      </c>
      <c r="B3163" s="223" t="s">
        <v>5779</v>
      </c>
      <c r="C3163" s="221" t="s">
        <v>5780</v>
      </c>
    </row>
    <row r="3164" spans="1:3" x14ac:dyDescent="0.25">
      <c r="A3164" s="222">
        <v>300389</v>
      </c>
      <c r="B3164" s="223" t="s">
        <v>5781</v>
      </c>
      <c r="C3164" s="221" t="s">
        <v>5782</v>
      </c>
    </row>
    <row r="3165" spans="1:3" x14ac:dyDescent="0.25">
      <c r="A3165" s="222">
        <v>300392</v>
      </c>
      <c r="B3165" s="223" t="s">
        <v>5783</v>
      </c>
      <c r="C3165" s="221" t="s">
        <v>5784</v>
      </c>
    </row>
    <row r="3166" spans="1:3" x14ac:dyDescent="0.25">
      <c r="A3166" s="222">
        <v>300393</v>
      </c>
      <c r="B3166" s="223" t="s">
        <v>5785</v>
      </c>
      <c r="C3166" s="221" t="s">
        <v>5786</v>
      </c>
    </row>
    <row r="3167" spans="1:3" x14ac:dyDescent="0.25">
      <c r="A3167" s="222">
        <v>300394</v>
      </c>
      <c r="B3167" s="223" t="s">
        <v>5787</v>
      </c>
      <c r="C3167" s="221" t="s">
        <v>5788</v>
      </c>
    </row>
    <row r="3168" spans="1:3" x14ac:dyDescent="0.25">
      <c r="A3168" s="222">
        <v>300395</v>
      </c>
      <c r="B3168" s="223" t="s">
        <v>5789</v>
      </c>
      <c r="C3168" s="221" t="s">
        <v>5790</v>
      </c>
    </row>
    <row r="3169" spans="1:3" x14ac:dyDescent="0.25">
      <c r="A3169" s="222">
        <v>300396</v>
      </c>
      <c r="B3169" s="223" t="s">
        <v>5791</v>
      </c>
      <c r="C3169" s="221" t="s">
        <v>5792</v>
      </c>
    </row>
    <row r="3170" spans="1:3" x14ac:dyDescent="0.25">
      <c r="A3170" s="222">
        <v>300397</v>
      </c>
      <c r="B3170" s="223" t="s">
        <v>5793</v>
      </c>
      <c r="C3170" s="221" t="s">
        <v>5794</v>
      </c>
    </row>
    <row r="3171" spans="1:3" x14ac:dyDescent="0.25">
      <c r="A3171" s="222">
        <v>300399</v>
      </c>
      <c r="B3171" s="223" t="s">
        <v>5795</v>
      </c>
      <c r="C3171" s="221" t="s">
        <v>5796</v>
      </c>
    </row>
    <row r="3172" spans="1:3" x14ac:dyDescent="0.25">
      <c r="A3172" s="222">
        <v>300400</v>
      </c>
      <c r="B3172" s="223" t="s">
        <v>5797</v>
      </c>
      <c r="C3172" s="221" t="s">
        <v>5798</v>
      </c>
    </row>
    <row r="3173" spans="1:3" x14ac:dyDescent="0.25">
      <c r="A3173" s="222">
        <v>300403</v>
      </c>
      <c r="B3173" s="223" t="s">
        <v>5799</v>
      </c>
      <c r="C3173" s="221" t="s">
        <v>5800</v>
      </c>
    </row>
    <row r="3174" spans="1:3" x14ac:dyDescent="0.25">
      <c r="A3174" s="222">
        <v>300404</v>
      </c>
      <c r="B3174" s="223" t="s">
        <v>5801</v>
      </c>
      <c r="C3174" s="221" t="s">
        <v>5802</v>
      </c>
    </row>
    <row r="3175" spans="1:3" x14ac:dyDescent="0.25">
      <c r="A3175" s="222">
        <v>300409</v>
      </c>
      <c r="B3175" s="223" t="s">
        <v>5803</v>
      </c>
      <c r="C3175" s="221" t="s">
        <v>5804</v>
      </c>
    </row>
    <row r="3176" spans="1:3" x14ac:dyDescent="0.25">
      <c r="A3176" s="222">
        <v>300410</v>
      </c>
      <c r="B3176" s="223" t="s">
        <v>5805</v>
      </c>
      <c r="C3176" s="221" t="s">
        <v>5806</v>
      </c>
    </row>
    <row r="3177" spans="1:3" x14ac:dyDescent="0.25">
      <c r="A3177" s="222">
        <v>300418</v>
      </c>
      <c r="B3177" s="223" t="s">
        <v>5807</v>
      </c>
      <c r="C3177" s="221" t="s">
        <v>5808</v>
      </c>
    </row>
    <row r="3178" spans="1:3" x14ac:dyDescent="0.25">
      <c r="A3178" s="222">
        <v>300425</v>
      </c>
      <c r="B3178" s="223" t="s">
        <v>5809</v>
      </c>
      <c r="C3178" s="221" t="s">
        <v>5810</v>
      </c>
    </row>
    <row r="3179" spans="1:3" x14ac:dyDescent="0.25">
      <c r="A3179" s="222">
        <v>300426</v>
      </c>
      <c r="B3179" s="223" t="s">
        <v>5811</v>
      </c>
      <c r="C3179" s="221" t="s">
        <v>5812</v>
      </c>
    </row>
    <row r="3180" spans="1:3" x14ac:dyDescent="0.25">
      <c r="A3180" s="222">
        <v>300431</v>
      </c>
      <c r="B3180" s="223" t="s">
        <v>5813</v>
      </c>
      <c r="C3180" s="221" t="s">
        <v>5814</v>
      </c>
    </row>
    <row r="3181" spans="1:3" x14ac:dyDescent="0.25">
      <c r="A3181" s="222">
        <v>300432</v>
      </c>
      <c r="B3181" s="223" t="s">
        <v>5815</v>
      </c>
      <c r="C3181" s="221" t="s">
        <v>5816</v>
      </c>
    </row>
    <row r="3182" spans="1:3" x14ac:dyDescent="0.25">
      <c r="A3182" s="222">
        <v>300434</v>
      </c>
      <c r="B3182" s="223" t="s">
        <v>5817</v>
      </c>
      <c r="C3182" s="221" t="s">
        <v>5818</v>
      </c>
    </row>
    <row r="3183" spans="1:3" x14ac:dyDescent="0.25">
      <c r="A3183" s="222">
        <v>300436</v>
      </c>
      <c r="B3183" s="223" t="s">
        <v>5819</v>
      </c>
      <c r="C3183" s="221" t="s">
        <v>5820</v>
      </c>
    </row>
    <row r="3184" spans="1:3" x14ac:dyDescent="0.25">
      <c r="A3184" s="222">
        <v>300437</v>
      </c>
      <c r="B3184" s="223" t="s">
        <v>5821</v>
      </c>
      <c r="C3184" s="221" t="s">
        <v>5822</v>
      </c>
    </row>
    <row r="3185" spans="1:3" x14ac:dyDescent="0.25">
      <c r="A3185" s="222">
        <v>300438</v>
      </c>
      <c r="B3185" s="223" t="s">
        <v>5823</v>
      </c>
      <c r="C3185" s="221" t="s">
        <v>5824</v>
      </c>
    </row>
    <row r="3186" spans="1:3" x14ac:dyDescent="0.25">
      <c r="A3186" s="222">
        <v>300439</v>
      </c>
      <c r="B3186" s="223" t="s">
        <v>5825</v>
      </c>
      <c r="C3186" s="221" t="s">
        <v>5826</v>
      </c>
    </row>
    <row r="3187" spans="1:3" x14ac:dyDescent="0.25">
      <c r="A3187" s="222">
        <v>300463</v>
      </c>
      <c r="B3187" s="223" t="s">
        <v>5827</v>
      </c>
      <c r="C3187" s="221" t="s">
        <v>5828</v>
      </c>
    </row>
    <row r="3188" spans="1:3" x14ac:dyDescent="0.25">
      <c r="A3188" s="222">
        <v>300466</v>
      </c>
      <c r="B3188" s="223" t="s">
        <v>5829</v>
      </c>
      <c r="C3188" s="221" t="s">
        <v>5830</v>
      </c>
    </row>
    <row r="3189" spans="1:3" x14ac:dyDescent="0.25">
      <c r="A3189" s="222">
        <v>300516</v>
      </c>
      <c r="B3189" s="223" t="s">
        <v>5831</v>
      </c>
      <c r="C3189" s="221" t="s">
        <v>5832</v>
      </c>
    </row>
    <row r="3190" spans="1:3" x14ac:dyDescent="0.25">
      <c r="A3190" s="222">
        <v>300521</v>
      </c>
      <c r="B3190" s="223" t="s">
        <v>5833</v>
      </c>
      <c r="C3190" s="221" t="s">
        <v>5834</v>
      </c>
    </row>
    <row r="3191" spans="1:3" x14ac:dyDescent="0.25">
      <c r="A3191" s="222">
        <v>300523</v>
      </c>
      <c r="B3191" s="223" t="s">
        <v>5835</v>
      </c>
      <c r="C3191" s="221" t="s">
        <v>5836</v>
      </c>
    </row>
    <row r="3192" spans="1:3" x14ac:dyDescent="0.25">
      <c r="A3192" s="222">
        <v>300574</v>
      </c>
      <c r="B3192" s="223" t="s">
        <v>5837</v>
      </c>
      <c r="C3192" s="221" t="s">
        <v>5838</v>
      </c>
    </row>
    <row r="3193" spans="1:3" x14ac:dyDescent="0.25">
      <c r="A3193" s="222">
        <v>300580</v>
      </c>
      <c r="B3193" s="223" t="s">
        <v>5839</v>
      </c>
      <c r="C3193" s="221" t="s">
        <v>5840</v>
      </c>
    </row>
    <row r="3194" spans="1:3" x14ac:dyDescent="0.25">
      <c r="A3194" s="222">
        <v>300583</v>
      </c>
      <c r="B3194" s="223" t="s">
        <v>5841</v>
      </c>
      <c r="C3194" s="221" t="s">
        <v>5842</v>
      </c>
    </row>
    <row r="3195" spans="1:3" x14ac:dyDescent="0.25">
      <c r="A3195" s="222">
        <v>300590</v>
      </c>
      <c r="B3195" s="223" t="s">
        <v>5843</v>
      </c>
      <c r="C3195" s="221" t="s">
        <v>5844</v>
      </c>
    </row>
    <row r="3196" spans="1:3" x14ac:dyDescent="0.25">
      <c r="A3196" s="222">
        <v>300591</v>
      </c>
      <c r="B3196" s="223" t="s">
        <v>5845</v>
      </c>
      <c r="C3196" s="221" t="s">
        <v>5846</v>
      </c>
    </row>
    <row r="3197" spans="1:3" x14ac:dyDescent="0.25">
      <c r="A3197" s="222">
        <v>300594</v>
      </c>
      <c r="B3197" s="223" t="s">
        <v>5847</v>
      </c>
      <c r="C3197" s="221" t="s">
        <v>5848</v>
      </c>
    </row>
    <row r="3198" spans="1:3" x14ac:dyDescent="0.25">
      <c r="A3198" s="222">
        <v>300599</v>
      </c>
      <c r="B3198" s="223" t="s">
        <v>5849</v>
      </c>
      <c r="C3198" s="221" t="s">
        <v>5850</v>
      </c>
    </row>
    <row r="3199" spans="1:3" x14ac:dyDescent="0.25">
      <c r="A3199" s="222">
        <v>300638</v>
      </c>
      <c r="B3199" s="223" t="s">
        <v>5851</v>
      </c>
      <c r="C3199" s="221" t="s">
        <v>5852</v>
      </c>
    </row>
    <row r="3200" spans="1:3" x14ac:dyDescent="0.25">
      <c r="A3200" s="222">
        <v>300675</v>
      </c>
      <c r="B3200" s="223" t="s">
        <v>5853</v>
      </c>
      <c r="C3200" s="221" t="s">
        <v>5854</v>
      </c>
    </row>
    <row r="3201" spans="1:3" x14ac:dyDescent="0.25">
      <c r="A3201" s="222">
        <v>300699</v>
      </c>
      <c r="B3201" s="223" t="s">
        <v>5855</v>
      </c>
      <c r="C3201" s="221" t="s">
        <v>5856</v>
      </c>
    </row>
    <row r="3202" spans="1:3" x14ac:dyDescent="0.25">
      <c r="A3202" s="222">
        <v>310001</v>
      </c>
      <c r="B3202" s="223" t="s">
        <v>5857</v>
      </c>
      <c r="C3202" s="221" t="s">
        <v>5858</v>
      </c>
    </row>
    <row r="3203" spans="1:3" x14ac:dyDescent="0.25">
      <c r="A3203" s="222">
        <v>310001</v>
      </c>
      <c r="B3203" s="223" t="s">
        <v>5857</v>
      </c>
      <c r="C3203" s="221" t="s">
        <v>5859</v>
      </c>
    </row>
    <row r="3204" spans="1:3" x14ac:dyDescent="0.25">
      <c r="A3204" s="222">
        <v>310002</v>
      </c>
      <c r="B3204" s="223" t="s">
        <v>5860</v>
      </c>
      <c r="C3204" s="221" t="s">
        <v>5861</v>
      </c>
    </row>
    <row r="3205" spans="1:3" x14ac:dyDescent="0.25">
      <c r="A3205" s="222">
        <v>310002</v>
      </c>
      <c r="B3205" s="223" t="s">
        <v>5860</v>
      </c>
      <c r="C3205" s="221" t="s">
        <v>5862</v>
      </c>
    </row>
    <row r="3206" spans="1:3" x14ac:dyDescent="0.25">
      <c r="A3206" s="222">
        <v>310003</v>
      </c>
      <c r="B3206" s="223" t="s">
        <v>5863</v>
      </c>
      <c r="C3206" s="221" t="s">
        <v>5864</v>
      </c>
    </row>
    <row r="3207" spans="1:3" x14ac:dyDescent="0.25">
      <c r="A3207" s="222">
        <v>310003</v>
      </c>
      <c r="B3207" s="223" t="s">
        <v>5863</v>
      </c>
      <c r="C3207" s="221" t="s">
        <v>5865</v>
      </c>
    </row>
    <row r="3208" spans="1:3" x14ac:dyDescent="0.25">
      <c r="A3208" s="222">
        <v>310004</v>
      </c>
      <c r="B3208" s="223" t="s">
        <v>5866</v>
      </c>
      <c r="C3208" s="221" t="s">
        <v>5867</v>
      </c>
    </row>
    <row r="3209" spans="1:3" x14ac:dyDescent="0.25">
      <c r="A3209" s="222">
        <v>310004</v>
      </c>
      <c r="B3209" s="223" t="s">
        <v>5866</v>
      </c>
      <c r="C3209" s="221" t="s">
        <v>5868</v>
      </c>
    </row>
    <row r="3210" spans="1:3" x14ac:dyDescent="0.25">
      <c r="A3210" s="222">
        <v>310005</v>
      </c>
      <c r="B3210" s="223" t="s">
        <v>5869</v>
      </c>
      <c r="C3210" s="221" t="s">
        <v>5870</v>
      </c>
    </row>
    <row r="3211" spans="1:3" x14ac:dyDescent="0.25">
      <c r="A3211" s="222">
        <v>310005</v>
      </c>
      <c r="B3211" s="223" t="s">
        <v>5869</v>
      </c>
      <c r="C3211" s="221" t="s">
        <v>5871</v>
      </c>
    </row>
    <row r="3212" spans="1:3" x14ac:dyDescent="0.25">
      <c r="A3212" s="222">
        <v>310006</v>
      </c>
      <c r="B3212" s="223" t="s">
        <v>5872</v>
      </c>
      <c r="C3212" s="221" t="s">
        <v>5873</v>
      </c>
    </row>
    <row r="3213" spans="1:3" x14ac:dyDescent="0.25">
      <c r="A3213" s="222">
        <v>310006</v>
      </c>
      <c r="B3213" s="223" t="s">
        <v>5872</v>
      </c>
      <c r="C3213" s="221" t="s">
        <v>5874</v>
      </c>
    </row>
    <row r="3214" spans="1:3" x14ac:dyDescent="0.25">
      <c r="A3214" s="222">
        <v>310007</v>
      </c>
      <c r="B3214" s="223" t="s">
        <v>5875</v>
      </c>
      <c r="C3214" s="221" t="s">
        <v>5876</v>
      </c>
    </row>
    <row r="3215" spans="1:3" x14ac:dyDescent="0.25">
      <c r="A3215" s="222">
        <v>310007</v>
      </c>
      <c r="B3215" s="223" t="s">
        <v>5875</v>
      </c>
      <c r="C3215" s="221" t="s">
        <v>5877</v>
      </c>
    </row>
    <row r="3216" spans="1:3" x14ac:dyDescent="0.25">
      <c r="A3216" s="222">
        <v>310008</v>
      </c>
      <c r="B3216" s="223" t="s">
        <v>5878</v>
      </c>
      <c r="C3216" s="221" t="s">
        <v>5879</v>
      </c>
    </row>
    <row r="3217" spans="1:3" x14ac:dyDescent="0.25">
      <c r="A3217" s="222">
        <v>310008</v>
      </c>
      <c r="B3217" s="223" t="s">
        <v>5878</v>
      </c>
      <c r="C3217" s="221" t="s">
        <v>5880</v>
      </c>
    </row>
    <row r="3218" spans="1:3" x14ac:dyDescent="0.25">
      <c r="A3218" s="222">
        <v>310009</v>
      </c>
      <c r="B3218" s="223" t="s">
        <v>5881</v>
      </c>
      <c r="C3218" s="221" t="s">
        <v>5882</v>
      </c>
    </row>
    <row r="3219" spans="1:3" x14ac:dyDescent="0.25">
      <c r="A3219" s="222">
        <v>310009</v>
      </c>
      <c r="B3219" s="223" t="s">
        <v>5881</v>
      </c>
      <c r="C3219" s="221" t="s">
        <v>5883</v>
      </c>
    </row>
    <row r="3220" spans="1:3" x14ac:dyDescent="0.25">
      <c r="A3220" s="222">
        <v>310010</v>
      </c>
      <c r="B3220" s="223" t="s">
        <v>5884</v>
      </c>
      <c r="C3220" s="221" t="s">
        <v>5885</v>
      </c>
    </row>
    <row r="3221" spans="1:3" x14ac:dyDescent="0.25">
      <c r="A3221" s="222">
        <v>310010</v>
      </c>
      <c r="B3221" s="223" t="s">
        <v>5884</v>
      </c>
      <c r="C3221" s="221" t="s">
        <v>5886</v>
      </c>
    </row>
    <row r="3222" spans="1:3" x14ac:dyDescent="0.25">
      <c r="A3222" s="222">
        <v>310010</v>
      </c>
      <c r="B3222" s="223" t="s">
        <v>5884</v>
      </c>
      <c r="C3222" s="221" t="s">
        <v>5887</v>
      </c>
    </row>
    <row r="3223" spans="1:3" x14ac:dyDescent="0.25">
      <c r="A3223" s="222">
        <v>310011</v>
      </c>
      <c r="B3223" s="223" t="s">
        <v>5888</v>
      </c>
      <c r="C3223" s="221" t="s">
        <v>5889</v>
      </c>
    </row>
    <row r="3224" spans="1:3" x14ac:dyDescent="0.25">
      <c r="A3224" s="222">
        <v>310011</v>
      </c>
      <c r="B3224" s="223" t="s">
        <v>5888</v>
      </c>
      <c r="C3224" s="221" t="s">
        <v>5890</v>
      </c>
    </row>
    <row r="3225" spans="1:3" x14ac:dyDescent="0.25">
      <c r="A3225" s="222">
        <v>310012</v>
      </c>
      <c r="B3225" s="223" t="s">
        <v>5891</v>
      </c>
      <c r="C3225" s="221" t="s">
        <v>5892</v>
      </c>
    </row>
    <row r="3226" spans="1:3" x14ac:dyDescent="0.25">
      <c r="A3226" s="222">
        <v>310012</v>
      </c>
      <c r="B3226" s="223" t="s">
        <v>5891</v>
      </c>
      <c r="C3226" s="221" t="s">
        <v>5893</v>
      </c>
    </row>
    <row r="3227" spans="1:3" x14ac:dyDescent="0.25">
      <c r="A3227" s="222">
        <v>310013</v>
      </c>
      <c r="B3227" s="223" t="s">
        <v>5894</v>
      </c>
      <c r="C3227" s="221" t="s">
        <v>5895</v>
      </c>
    </row>
    <row r="3228" spans="1:3" x14ac:dyDescent="0.25">
      <c r="A3228" s="222">
        <v>310013</v>
      </c>
      <c r="B3228" s="223" t="s">
        <v>5894</v>
      </c>
      <c r="C3228" s="221" t="s">
        <v>5896</v>
      </c>
    </row>
    <row r="3229" spans="1:3" x14ac:dyDescent="0.25">
      <c r="A3229" s="222">
        <v>310014</v>
      </c>
      <c r="B3229" s="223" t="s">
        <v>5897</v>
      </c>
      <c r="C3229" s="221" t="s">
        <v>5898</v>
      </c>
    </row>
    <row r="3230" spans="1:3" x14ac:dyDescent="0.25">
      <c r="A3230" s="222">
        <v>310014</v>
      </c>
      <c r="B3230" s="223" t="s">
        <v>5897</v>
      </c>
      <c r="C3230" s="221" t="s">
        <v>5899</v>
      </c>
    </row>
    <row r="3231" spans="1:3" x14ac:dyDescent="0.25">
      <c r="A3231" s="222">
        <v>310015</v>
      </c>
      <c r="B3231" s="223" t="s">
        <v>5900</v>
      </c>
      <c r="C3231" s="221" t="s">
        <v>5901</v>
      </c>
    </row>
    <row r="3232" spans="1:3" x14ac:dyDescent="0.25">
      <c r="A3232" s="222">
        <v>310015</v>
      </c>
      <c r="B3232" s="223" t="s">
        <v>5900</v>
      </c>
      <c r="C3232" s="221" t="s">
        <v>5902</v>
      </c>
    </row>
    <row r="3233" spans="1:3" x14ac:dyDescent="0.25">
      <c r="A3233" s="222">
        <v>310016</v>
      </c>
      <c r="B3233" s="223" t="s">
        <v>5903</v>
      </c>
      <c r="C3233" s="221" t="s">
        <v>5904</v>
      </c>
    </row>
    <row r="3234" spans="1:3" x14ac:dyDescent="0.25">
      <c r="A3234" s="222">
        <v>310016</v>
      </c>
      <c r="B3234" s="223" t="s">
        <v>5903</v>
      </c>
      <c r="C3234" s="221" t="s">
        <v>5905</v>
      </c>
    </row>
    <row r="3235" spans="1:3" x14ac:dyDescent="0.25">
      <c r="A3235" s="222">
        <v>310017</v>
      </c>
      <c r="B3235" s="223" t="s">
        <v>5907</v>
      </c>
      <c r="C3235" s="221" t="s">
        <v>5908</v>
      </c>
    </row>
    <row r="3236" spans="1:3" x14ac:dyDescent="0.25">
      <c r="A3236" s="222">
        <v>310017</v>
      </c>
      <c r="B3236" s="223" t="s">
        <v>5907</v>
      </c>
      <c r="C3236" s="221" t="s">
        <v>5906</v>
      </c>
    </row>
    <row r="3237" spans="1:3" x14ac:dyDescent="0.25">
      <c r="A3237" s="222">
        <v>310017</v>
      </c>
      <c r="B3237" s="223" t="s">
        <v>5907</v>
      </c>
      <c r="C3237" s="221" t="s">
        <v>5909</v>
      </c>
    </row>
    <row r="3238" spans="1:3" x14ac:dyDescent="0.25">
      <c r="A3238" s="222">
        <v>310018</v>
      </c>
      <c r="B3238" s="223" t="s">
        <v>5910</v>
      </c>
      <c r="C3238" s="221" t="s">
        <v>5911</v>
      </c>
    </row>
    <row r="3239" spans="1:3" x14ac:dyDescent="0.25">
      <c r="A3239" s="222">
        <v>310018</v>
      </c>
      <c r="B3239" s="223" t="s">
        <v>5910</v>
      </c>
      <c r="C3239" s="221" t="s">
        <v>5912</v>
      </c>
    </row>
    <row r="3240" spans="1:3" x14ac:dyDescent="0.25">
      <c r="A3240" s="222">
        <v>310019</v>
      </c>
      <c r="B3240" s="223" t="s">
        <v>5913</v>
      </c>
      <c r="C3240" s="221" t="s">
        <v>5914</v>
      </c>
    </row>
    <row r="3241" spans="1:3" x14ac:dyDescent="0.25">
      <c r="A3241" s="222">
        <v>310019</v>
      </c>
      <c r="B3241" s="223" t="s">
        <v>5913</v>
      </c>
      <c r="C3241" s="221" t="s">
        <v>5915</v>
      </c>
    </row>
    <row r="3242" spans="1:3" x14ac:dyDescent="0.25">
      <c r="A3242" s="222">
        <v>310020</v>
      </c>
      <c r="B3242" s="223" t="s">
        <v>5916</v>
      </c>
      <c r="C3242" s="221" t="s">
        <v>5917</v>
      </c>
    </row>
    <row r="3243" spans="1:3" x14ac:dyDescent="0.25">
      <c r="A3243" s="222">
        <v>310020</v>
      </c>
      <c r="B3243" s="223" t="s">
        <v>5916</v>
      </c>
      <c r="C3243" s="221" t="s">
        <v>5918</v>
      </c>
    </row>
    <row r="3244" spans="1:3" x14ac:dyDescent="0.25">
      <c r="A3244" s="222">
        <v>310021</v>
      </c>
      <c r="B3244" s="223" t="s">
        <v>5919</v>
      </c>
      <c r="C3244" s="221" t="s">
        <v>5920</v>
      </c>
    </row>
    <row r="3245" spans="1:3" x14ac:dyDescent="0.25">
      <c r="A3245" s="222">
        <v>310021</v>
      </c>
      <c r="B3245" s="223" t="s">
        <v>5919</v>
      </c>
      <c r="C3245" s="221" t="s">
        <v>5921</v>
      </c>
    </row>
    <row r="3246" spans="1:3" x14ac:dyDescent="0.25">
      <c r="A3246" s="222">
        <v>310022</v>
      </c>
      <c r="B3246" s="223" t="s">
        <v>5922</v>
      </c>
      <c r="C3246" s="221" t="s">
        <v>5923</v>
      </c>
    </row>
    <row r="3247" spans="1:3" x14ac:dyDescent="0.25">
      <c r="A3247" s="222">
        <v>310022</v>
      </c>
      <c r="B3247" s="223" t="s">
        <v>5922</v>
      </c>
      <c r="C3247" s="221" t="s">
        <v>5924</v>
      </c>
    </row>
    <row r="3248" spans="1:3" x14ac:dyDescent="0.25">
      <c r="A3248" s="222">
        <v>310023</v>
      </c>
      <c r="B3248" s="223" t="s">
        <v>5925</v>
      </c>
      <c r="C3248" s="221" t="s">
        <v>5926</v>
      </c>
    </row>
    <row r="3249" spans="1:3" x14ac:dyDescent="0.25">
      <c r="A3249" s="222">
        <v>310023</v>
      </c>
      <c r="B3249" s="223" t="s">
        <v>5925</v>
      </c>
      <c r="C3249" s="221" t="s">
        <v>5927</v>
      </c>
    </row>
    <row r="3250" spans="1:3" x14ac:dyDescent="0.25">
      <c r="A3250" s="222">
        <v>310024</v>
      </c>
      <c r="B3250" s="223" t="s">
        <v>5928</v>
      </c>
      <c r="C3250" s="221" t="s">
        <v>5929</v>
      </c>
    </row>
    <row r="3251" spans="1:3" x14ac:dyDescent="0.25">
      <c r="A3251" s="222">
        <v>310024</v>
      </c>
      <c r="B3251" s="223" t="s">
        <v>5928</v>
      </c>
      <c r="C3251" s="221" t="s">
        <v>5930</v>
      </c>
    </row>
    <row r="3252" spans="1:3" x14ac:dyDescent="0.25">
      <c r="A3252" s="222">
        <v>310025</v>
      </c>
      <c r="B3252" s="223" t="s">
        <v>5931</v>
      </c>
      <c r="C3252" s="221" t="s">
        <v>5932</v>
      </c>
    </row>
    <row r="3253" spans="1:3" x14ac:dyDescent="0.25">
      <c r="A3253" s="222">
        <v>310025</v>
      </c>
      <c r="B3253" s="223" t="s">
        <v>5931</v>
      </c>
      <c r="C3253" s="221" t="s">
        <v>5933</v>
      </c>
    </row>
    <row r="3254" spans="1:3" x14ac:dyDescent="0.25">
      <c r="A3254" s="222">
        <v>310026</v>
      </c>
      <c r="B3254" s="223" t="s">
        <v>5934</v>
      </c>
      <c r="C3254" s="221" t="s">
        <v>5935</v>
      </c>
    </row>
    <row r="3255" spans="1:3" x14ac:dyDescent="0.25">
      <c r="A3255" s="222">
        <v>310026</v>
      </c>
      <c r="B3255" s="223" t="s">
        <v>5934</v>
      </c>
      <c r="C3255" s="221" t="s">
        <v>5936</v>
      </c>
    </row>
    <row r="3256" spans="1:3" x14ac:dyDescent="0.25">
      <c r="A3256" s="222">
        <v>310026</v>
      </c>
      <c r="B3256" s="223" t="s">
        <v>5934</v>
      </c>
      <c r="C3256" s="221" t="s">
        <v>5937</v>
      </c>
    </row>
    <row r="3257" spans="1:3" x14ac:dyDescent="0.25">
      <c r="A3257" s="222">
        <v>310027</v>
      </c>
      <c r="B3257" s="223" t="s">
        <v>5938</v>
      </c>
      <c r="C3257" s="221" t="s">
        <v>5939</v>
      </c>
    </row>
    <row r="3258" spans="1:3" x14ac:dyDescent="0.25">
      <c r="A3258" s="222">
        <v>310027</v>
      </c>
      <c r="B3258" s="223" t="s">
        <v>5938</v>
      </c>
      <c r="C3258" s="221" t="s">
        <v>5940</v>
      </c>
    </row>
    <row r="3259" spans="1:3" x14ac:dyDescent="0.25">
      <c r="A3259" s="222">
        <v>310028</v>
      </c>
      <c r="B3259" s="223" t="s">
        <v>5941</v>
      </c>
      <c r="C3259" s="221" t="s">
        <v>5942</v>
      </c>
    </row>
    <row r="3260" spans="1:3" x14ac:dyDescent="0.25">
      <c r="A3260" s="222">
        <v>310028</v>
      </c>
      <c r="B3260" s="223" t="s">
        <v>5941</v>
      </c>
      <c r="C3260" s="221" t="s">
        <v>5943</v>
      </c>
    </row>
    <row r="3261" spans="1:3" x14ac:dyDescent="0.25">
      <c r="A3261" s="222">
        <v>310029</v>
      </c>
      <c r="B3261" s="223" t="s">
        <v>5944</v>
      </c>
      <c r="C3261" s="221" t="s">
        <v>5945</v>
      </c>
    </row>
    <row r="3262" spans="1:3" x14ac:dyDescent="0.25">
      <c r="A3262" s="222">
        <v>310029</v>
      </c>
      <c r="B3262" s="223" t="s">
        <v>5944</v>
      </c>
      <c r="C3262" s="221" t="s">
        <v>5946</v>
      </c>
    </row>
    <row r="3263" spans="1:3" x14ac:dyDescent="0.25">
      <c r="A3263" s="222">
        <v>310030</v>
      </c>
      <c r="B3263" s="223" t="s">
        <v>5947</v>
      </c>
      <c r="C3263" s="221" t="s">
        <v>5948</v>
      </c>
    </row>
    <row r="3264" spans="1:3" x14ac:dyDescent="0.25">
      <c r="A3264" s="222">
        <v>310030</v>
      </c>
      <c r="B3264" s="223" t="s">
        <v>5947</v>
      </c>
      <c r="C3264" s="221" t="s">
        <v>5949</v>
      </c>
    </row>
    <row r="3265" spans="1:3" x14ac:dyDescent="0.25">
      <c r="A3265" s="222">
        <v>310031</v>
      </c>
      <c r="B3265" s="223" t="s">
        <v>5950</v>
      </c>
      <c r="C3265" s="221" t="s">
        <v>5951</v>
      </c>
    </row>
    <row r="3266" spans="1:3" x14ac:dyDescent="0.25">
      <c r="A3266" s="222">
        <v>310031</v>
      </c>
      <c r="B3266" s="223" t="s">
        <v>5950</v>
      </c>
      <c r="C3266" s="221" t="s">
        <v>5952</v>
      </c>
    </row>
    <row r="3267" spans="1:3" x14ac:dyDescent="0.25">
      <c r="A3267" s="222">
        <v>310032</v>
      </c>
      <c r="B3267" s="223" t="s">
        <v>5953</v>
      </c>
      <c r="C3267" s="221" t="s">
        <v>5954</v>
      </c>
    </row>
    <row r="3268" spans="1:3" x14ac:dyDescent="0.25">
      <c r="A3268" s="222">
        <v>310032</v>
      </c>
      <c r="B3268" s="223" t="s">
        <v>5953</v>
      </c>
      <c r="C3268" s="221" t="s">
        <v>5955</v>
      </c>
    </row>
    <row r="3269" spans="1:3" x14ac:dyDescent="0.25">
      <c r="A3269" s="222">
        <v>310033</v>
      </c>
      <c r="B3269" s="223" t="s">
        <v>5956</v>
      </c>
      <c r="C3269" s="221" t="s">
        <v>5957</v>
      </c>
    </row>
    <row r="3270" spans="1:3" x14ac:dyDescent="0.25">
      <c r="A3270" s="222">
        <v>310033</v>
      </c>
      <c r="B3270" s="223" t="s">
        <v>5956</v>
      </c>
      <c r="C3270" s="221" t="s">
        <v>5958</v>
      </c>
    </row>
    <row r="3271" spans="1:3" x14ac:dyDescent="0.25">
      <c r="A3271" s="222">
        <v>310034</v>
      </c>
      <c r="B3271" s="223" t="s">
        <v>5959</v>
      </c>
      <c r="C3271" s="221" t="s">
        <v>5960</v>
      </c>
    </row>
    <row r="3272" spans="1:3" x14ac:dyDescent="0.25">
      <c r="A3272" s="222">
        <v>310034</v>
      </c>
      <c r="B3272" s="223" t="s">
        <v>5959</v>
      </c>
      <c r="C3272" s="221" t="s">
        <v>5961</v>
      </c>
    </row>
    <row r="3273" spans="1:3" x14ac:dyDescent="0.25">
      <c r="A3273" s="222">
        <v>310035</v>
      </c>
      <c r="B3273" s="223" t="s">
        <v>5962</v>
      </c>
      <c r="C3273" s="221" t="s">
        <v>5963</v>
      </c>
    </row>
    <row r="3274" spans="1:3" x14ac:dyDescent="0.25">
      <c r="A3274" s="222">
        <v>310035</v>
      </c>
      <c r="B3274" s="223" t="s">
        <v>5962</v>
      </c>
      <c r="C3274" s="221" t="s">
        <v>5964</v>
      </c>
    </row>
    <row r="3275" spans="1:3" x14ac:dyDescent="0.25">
      <c r="A3275" s="222">
        <v>310036</v>
      </c>
      <c r="B3275" s="223" t="s">
        <v>5965</v>
      </c>
      <c r="C3275" s="221" t="s">
        <v>5966</v>
      </c>
    </row>
    <row r="3276" spans="1:3" x14ac:dyDescent="0.25">
      <c r="A3276" s="222">
        <v>310036</v>
      </c>
      <c r="B3276" s="223" t="s">
        <v>5965</v>
      </c>
      <c r="C3276" s="221" t="s">
        <v>5967</v>
      </c>
    </row>
    <row r="3277" spans="1:3" x14ac:dyDescent="0.25">
      <c r="A3277" s="222">
        <v>310037</v>
      </c>
      <c r="B3277" s="223" t="s">
        <v>5968</v>
      </c>
      <c r="C3277" s="221" t="s">
        <v>5969</v>
      </c>
    </row>
    <row r="3278" spans="1:3" x14ac:dyDescent="0.25">
      <c r="A3278" s="222">
        <v>310037</v>
      </c>
      <c r="B3278" s="223" t="s">
        <v>5968</v>
      </c>
      <c r="C3278" s="221" t="s">
        <v>5970</v>
      </c>
    </row>
    <row r="3279" spans="1:3" x14ac:dyDescent="0.25">
      <c r="A3279" s="222">
        <v>310038</v>
      </c>
      <c r="B3279" s="223" t="s">
        <v>5971</v>
      </c>
      <c r="C3279" s="221" t="s">
        <v>5972</v>
      </c>
    </row>
    <row r="3280" spans="1:3" x14ac:dyDescent="0.25">
      <c r="A3280" s="222">
        <v>310038</v>
      </c>
      <c r="B3280" s="223" t="s">
        <v>5971</v>
      </c>
      <c r="C3280" s="221" t="s">
        <v>5973</v>
      </c>
    </row>
    <row r="3281" spans="1:3" x14ac:dyDescent="0.25">
      <c r="A3281" s="222">
        <v>310039</v>
      </c>
      <c r="B3281" s="223" t="s">
        <v>5974</v>
      </c>
      <c r="C3281" s="221" t="s">
        <v>5975</v>
      </c>
    </row>
    <row r="3282" spans="1:3" x14ac:dyDescent="0.25">
      <c r="A3282" s="222">
        <v>310039</v>
      </c>
      <c r="B3282" s="223" t="s">
        <v>5974</v>
      </c>
      <c r="C3282" s="221" t="s">
        <v>5976</v>
      </c>
    </row>
    <row r="3283" spans="1:3" x14ac:dyDescent="0.25">
      <c r="A3283" s="222">
        <v>310039</v>
      </c>
      <c r="B3283" s="223" t="s">
        <v>5974</v>
      </c>
      <c r="C3283" s="221" t="s">
        <v>5977</v>
      </c>
    </row>
    <row r="3284" spans="1:3" x14ac:dyDescent="0.25">
      <c r="A3284" s="222">
        <v>310040</v>
      </c>
      <c r="B3284" s="223" t="s">
        <v>5978</v>
      </c>
      <c r="C3284" s="221" t="s">
        <v>5979</v>
      </c>
    </row>
    <row r="3285" spans="1:3" x14ac:dyDescent="0.25">
      <c r="A3285" s="222">
        <v>310040</v>
      </c>
      <c r="B3285" s="223" t="s">
        <v>5978</v>
      </c>
      <c r="C3285" s="221" t="s">
        <v>5980</v>
      </c>
    </row>
    <row r="3286" spans="1:3" x14ac:dyDescent="0.25">
      <c r="A3286" s="222">
        <v>310041</v>
      </c>
      <c r="B3286" s="223" t="s">
        <v>5981</v>
      </c>
      <c r="C3286" s="221" t="s">
        <v>5982</v>
      </c>
    </row>
    <row r="3287" spans="1:3" x14ac:dyDescent="0.25">
      <c r="A3287" s="222">
        <v>310041</v>
      </c>
      <c r="B3287" s="223" t="s">
        <v>5981</v>
      </c>
      <c r="C3287" s="221" t="s">
        <v>5983</v>
      </c>
    </row>
    <row r="3288" spans="1:3" x14ac:dyDescent="0.25">
      <c r="A3288" s="222">
        <v>310042</v>
      </c>
      <c r="B3288" s="223" t="s">
        <v>5984</v>
      </c>
      <c r="C3288" s="221" t="s">
        <v>5985</v>
      </c>
    </row>
    <row r="3289" spans="1:3" x14ac:dyDescent="0.25">
      <c r="A3289" s="222">
        <v>310042</v>
      </c>
      <c r="B3289" s="223" t="s">
        <v>5984</v>
      </c>
      <c r="C3289" s="221" t="s">
        <v>5986</v>
      </c>
    </row>
    <row r="3290" spans="1:3" x14ac:dyDescent="0.25">
      <c r="A3290" s="222">
        <v>310043</v>
      </c>
      <c r="B3290" s="223" t="s">
        <v>5987</v>
      </c>
      <c r="C3290" s="221" t="s">
        <v>5988</v>
      </c>
    </row>
    <row r="3291" spans="1:3" x14ac:dyDescent="0.25">
      <c r="A3291" s="222">
        <v>310043</v>
      </c>
      <c r="B3291" s="223" t="s">
        <v>5987</v>
      </c>
      <c r="C3291" s="221" t="s">
        <v>5989</v>
      </c>
    </row>
    <row r="3292" spans="1:3" x14ac:dyDescent="0.25">
      <c r="A3292" s="222">
        <v>310044</v>
      </c>
      <c r="B3292" s="223" t="s">
        <v>5990</v>
      </c>
      <c r="C3292" s="221" t="s">
        <v>5991</v>
      </c>
    </row>
    <row r="3293" spans="1:3" x14ac:dyDescent="0.25">
      <c r="A3293" s="222">
        <v>310044</v>
      </c>
      <c r="B3293" s="223" t="s">
        <v>5990</v>
      </c>
      <c r="C3293" s="221" t="s">
        <v>5992</v>
      </c>
    </row>
    <row r="3294" spans="1:3" x14ac:dyDescent="0.25">
      <c r="A3294" s="222">
        <v>310045</v>
      </c>
      <c r="B3294" s="223" t="s">
        <v>5993</v>
      </c>
      <c r="C3294" s="221" t="s">
        <v>5994</v>
      </c>
    </row>
    <row r="3295" spans="1:3" x14ac:dyDescent="0.25">
      <c r="A3295" s="222">
        <v>310045</v>
      </c>
      <c r="B3295" s="223" t="s">
        <v>5993</v>
      </c>
      <c r="C3295" s="221" t="s">
        <v>5995</v>
      </c>
    </row>
    <row r="3296" spans="1:3" x14ac:dyDescent="0.25">
      <c r="A3296" s="222">
        <v>310046</v>
      </c>
      <c r="B3296" s="223" t="s">
        <v>5996</v>
      </c>
      <c r="C3296" s="221" t="s">
        <v>5997</v>
      </c>
    </row>
    <row r="3297" spans="1:3" x14ac:dyDescent="0.25">
      <c r="A3297" s="222">
        <v>310046</v>
      </c>
      <c r="B3297" s="223" t="s">
        <v>5996</v>
      </c>
      <c r="C3297" s="221" t="s">
        <v>5998</v>
      </c>
    </row>
    <row r="3298" spans="1:3" x14ac:dyDescent="0.25">
      <c r="A3298" s="222">
        <v>310047</v>
      </c>
      <c r="B3298" s="223" t="s">
        <v>5999</v>
      </c>
      <c r="C3298" s="221" t="s">
        <v>6000</v>
      </c>
    </row>
    <row r="3299" spans="1:3" x14ac:dyDescent="0.25">
      <c r="A3299" s="222">
        <v>310047</v>
      </c>
      <c r="B3299" s="223" t="s">
        <v>5999</v>
      </c>
      <c r="C3299" s="221" t="s">
        <v>6001</v>
      </c>
    </row>
    <row r="3300" spans="1:3" x14ac:dyDescent="0.25">
      <c r="A3300" s="222">
        <v>310048</v>
      </c>
      <c r="B3300" s="223" t="s">
        <v>6002</v>
      </c>
      <c r="C3300" s="221" t="s">
        <v>6003</v>
      </c>
    </row>
    <row r="3301" spans="1:3" x14ac:dyDescent="0.25">
      <c r="A3301" s="222">
        <v>310048</v>
      </c>
      <c r="B3301" s="223" t="s">
        <v>6002</v>
      </c>
      <c r="C3301" s="221" t="s">
        <v>6004</v>
      </c>
    </row>
    <row r="3302" spans="1:3" x14ac:dyDescent="0.25">
      <c r="A3302" s="222">
        <v>310049</v>
      </c>
      <c r="B3302" s="223" t="s">
        <v>6005</v>
      </c>
      <c r="C3302" s="221" t="s">
        <v>6006</v>
      </c>
    </row>
    <row r="3303" spans="1:3" x14ac:dyDescent="0.25">
      <c r="A3303" s="222">
        <v>310049</v>
      </c>
      <c r="B3303" s="223" t="s">
        <v>6005</v>
      </c>
      <c r="C3303" s="221" t="s">
        <v>6007</v>
      </c>
    </row>
    <row r="3304" spans="1:3" x14ac:dyDescent="0.25">
      <c r="A3304" s="222">
        <v>310050</v>
      </c>
      <c r="B3304" s="223" t="s">
        <v>6008</v>
      </c>
      <c r="C3304" s="221" t="s">
        <v>6009</v>
      </c>
    </row>
    <row r="3305" spans="1:3" x14ac:dyDescent="0.25">
      <c r="A3305" s="222">
        <v>310050</v>
      </c>
      <c r="B3305" s="223" t="s">
        <v>6008</v>
      </c>
      <c r="C3305" s="221" t="s">
        <v>6010</v>
      </c>
    </row>
    <row r="3306" spans="1:3" x14ac:dyDescent="0.25">
      <c r="A3306" s="222">
        <v>310051</v>
      </c>
      <c r="B3306" s="223" t="s">
        <v>6011</v>
      </c>
      <c r="C3306" s="221" t="s">
        <v>6012</v>
      </c>
    </row>
    <row r="3307" spans="1:3" x14ac:dyDescent="0.25">
      <c r="A3307" s="222">
        <v>310051</v>
      </c>
      <c r="B3307" s="223" t="s">
        <v>6011</v>
      </c>
      <c r="C3307" s="221" t="s">
        <v>6013</v>
      </c>
    </row>
    <row r="3308" spans="1:3" x14ac:dyDescent="0.25">
      <c r="A3308" s="222">
        <v>310052</v>
      </c>
      <c r="B3308" s="223" t="s">
        <v>6014</v>
      </c>
      <c r="C3308" s="221" t="s">
        <v>6015</v>
      </c>
    </row>
    <row r="3309" spans="1:3" x14ac:dyDescent="0.25">
      <c r="A3309" s="222">
        <v>310052</v>
      </c>
      <c r="B3309" s="223" t="s">
        <v>6014</v>
      </c>
      <c r="C3309" s="221" t="s">
        <v>6016</v>
      </c>
    </row>
    <row r="3310" spans="1:3" x14ac:dyDescent="0.25">
      <c r="A3310" s="222">
        <v>310053</v>
      </c>
      <c r="B3310" s="223" t="s">
        <v>6017</v>
      </c>
      <c r="C3310" s="221" t="s">
        <v>6018</v>
      </c>
    </row>
    <row r="3311" spans="1:3" x14ac:dyDescent="0.25">
      <c r="A3311" s="222">
        <v>310053</v>
      </c>
      <c r="B3311" s="223" t="s">
        <v>6017</v>
      </c>
      <c r="C3311" s="221" t="s">
        <v>6019</v>
      </c>
    </row>
    <row r="3312" spans="1:3" x14ac:dyDescent="0.25">
      <c r="A3312" s="222">
        <v>310054</v>
      </c>
      <c r="B3312" s="223" t="s">
        <v>6020</v>
      </c>
      <c r="C3312" s="221" t="s">
        <v>6021</v>
      </c>
    </row>
    <row r="3313" spans="1:3" x14ac:dyDescent="0.25">
      <c r="A3313" s="222">
        <v>310054</v>
      </c>
      <c r="B3313" s="223" t="s">
        <v>6020</v>
      </c>
      <c r="C3313" s="221" t="s">
        <v>6022</v>
      </c>
    </row>
    <row r="3314" spans="1:3" x14ac:dyDescent="0.25">
      <c r="A3314" s="222">
        <v>310055</v>
      </c>
      <c r="B3314" s="223" t="s">
        <v>6023</v>
      </c>
      <c r="C3314" s="221" t="s">
        <v>6024</v>
      </c>
    </row>
    <row r="3315" spans="1:3" x14ac:dyDescent="0.25">
      <c r="A3315" s="222">
        <v>310055</v>
      </c>
      <c r="B3315" s="223" t="s">
        <v>6023</v>
      </c>
      <c r="C3315" s="221" t="s">
        <v>6025</v>
      </c>
    </row>
    <row r="3316" spans="1:3" x14ac:dyDescent="0.25">
      <c r="A3316" s="222">
        <v>310056</v>
      </c>
      <c r="B3316" s="223" t="s">
        <v>6026</v>
      </c>
      <c r="C3316" s="221" t="s">
        <v>6027</v>
      </c>
    </row>
    <row r="3317" spans="1:3" x14ac:dyDescent="0.25">
      <c r="A3317" s="222">
        <v>310056</v>
      </c>
      <c r="B3317" s="223" t="s">
        <v>6026</v>
      </c>
      <c r="C3317" s="221" t="s">
        <v>6028</v>
      </c>
    </row>
    <row r="3318" spans="1:3" x14ac:dyDescent="0.25">
      <c r="A3318" s="222">
        <v>310057</v>
      </c>
      <c r="B3318" s="223" t="s">
        <v>6029</v>
      </c>
      <c r="C3318" s="221" t="s">
        <v>6030</v>
      </c>
    </row>
    <row r="3319" spans="1:3" x14ac:dyDescent="0.25">
      <c r="A3319" s="222">
        <v>310057</v>
      </c>
      <c r="B3319" s="223" t="s">
        <v>6029</v>
      </c>
      <c r="C3319" s="221" t="s">
        <v>6031</v>
      </c>
    </row>
    <row r="3320" spans="1:3" x14ac:dyDescent="0.25">
      <c r="A3320" s="222">
        <v>310058</v>
      </c>
      <c r="B3320" s="223" t="s">
        <v>6032</v>
      </c>
      <c r="C3320" s="221" t="s">
        <v>6033</v>
      </c>
    </row>
    <row r="3321" spans="1:3" x14ac:dyDescent="0.25">
      <c r="A3321" s="222">
        <v>310058</v>
      </c>
      <c r="B3321" s="223" t="s">
        <v>6032</v>
      </c>
      <c r="C3321" s="221" t="s">
        <v>6034</v>
      </c>
    </row>
    <row r="3322" spans="1:3" x14ac:dyDescent="0.25">
      <c r="A3322" s="222">
        <v>310059</v>
      </c>
      <c r="B3322" s="223" t="s">
        <v>6035</v>
      </c>
      <c r="C3322" s="221" t="s">
        <v>6036</v>
      </c>
    </row>
    <row r="3323" spans="1:3" x14ac:dyDescent="0.25">
      <c r="A3323" s="222">
        <v>310059</v>
      </c>
      <c r="B3323" s="223" t="s">
        <v>6035</v>
      </c>
      <c r="C3323" s="221" t="s">
        <v>6037</v>
      </c>
    </row>
    <row r="3324" spans="1:3" x14ac:dyDescent="0.25">
      <c r="A3324" s="222">
        <v>310060</v>
      </c>
      <c r="B3324" s="223" t="s">
        <v>6038</v>
      </c>
      <c r="C3324" s="221" t="s">
        <v>6039</v>
      </c>
    </row>
    <row r="3325" spans="1:3" x14ac:dyDescent="0.25">
      <c r="A3325" s="222">
        <v>310060</v>
      </c>
      <c r="B3325" s="223" t="s">
        <v>6038</v>
      </c>
      <c r="C3325" s="221" t="s">
        <v>6040</v>
      </c>
    </row>
    <row r="3326" spans="1:3" x14ac:dyDescent="0.25">
      <c r="A3326" s="222">
        <v>310061</v>
      </c>
      <c r="B3326" s="223" t="s">
        <v>6041</v>
      </c>
      <c r="C3326" s="221" t="s">
        <v>6042</v>
      </c>
    </row>
    <row r="3327" spans="1:3" x14ac:dyDescent="0.25">
      <c r="A3327" s="222">
        <v>310061</v>
      </c>
      <c r="B3327" s="223" t="s">
        <v>6041</v>
      </c>
      <c r="C3327" s="221" t="s">
        <v>6043</v>
      </c>
    </row>
    <row r="3328" spans="1:3" x14ac:dyDescent="0.25">
      <c r="A3328" s="222">
        <v>310062</v>
      </c>
      <c r="B3328" s="223" t="s">
        <v>6044</v>
      </c>
      <c r="C3328" s="221" t="s">
        <v>6045</v>
      </c>
    </row>
    <row r="3329" spans="1:3" x14ac:dyDescent="0.25">
      <c r="A3329" s="222">
        <v>310062</v>
      </c>
      <c r="B3329" s="223" t="s">
        <v>6044</v>
      </c>
      <c r="C3329" s="221" t="s">
        <v>6046</v>
      </c>
    </row>
    <row r="3330" spans="1:3" x14ac:dyDescent="0.25">
      <c r="A3330" s="222">
        <v>310063</v>
      </c>
      <c r="B3330" s="223" t="s">
        <v>6047</v>
      </c>
      <c r="C3330" s="221" t="s">
        <v>6048</v>
      </c>
    </row>
    <row r="3331" spans="1:3" x14ac:dyDescent="0.25">
      <c r="A3331" s="222">
        <v>310063</v>
      </c>
      <c r="B3331" s="223" t="s">
        <v>6047</v>
      </c>
      <c r="C3331" s="221" t="s">
        <v>6049</v>
      </c>
    </row>
    <row r="3332" spans="1:3" x14ac:dyDescent="0.25">
      <c r="A3332" s="222">
        <v>310064</v>
      </c>
      <c r="B3332" s="223" t="s">
        <v>6050</v>
      </c>
      <c r="C3332" s="221" t="s">
        <v>6051</v>
      </c>
    </row>
    <row r="3333" spans="1:3" x14ac:dyDescent="0.25">
      <c r="A3333" s="222">
        <v>310064</v>
      </c>
      <c r="B3333" s="223" t="s">
        <v>6050</v>
      </c>
      <c r="C3333" s="221" t="s">
        <v>6052</v>
      </c>
    </row>
    <row r="3334" spans="1:3" x14ac:dyDescent="0.25">
      <c r="A3334" s="222">
        <v>310065</v>
      </c>
      <c r="B3334" s="223" t="s">
        <v>6053</v>
      </c>
      <c r="C3334" s="221" t="s">
        <v>6054</v>
      </c>
    </row>
    <row r="3335" spans="1:3" x14ac:dyDescent="0.25">
      <c r="A3335" s="222">
        <v>310065</v>
      </c>
      <c r="B3335" s="223" t="s">
        <v>6053</v>
      </c>
      <c r="C3335" s="221" t="s">
        <v>6055</v>
      </c>
    </row>
    <row r="3336" spans="1:3" x14ac:dyDescent="0.25">
      <c r="A3336" s="222">
        <v>310066</v>
      </c>
      <c r="B3336" s="223" t="s">
        <v>6056</v>
      </c>
      <c r="C3336" s="221" t="s">
        <v>6057</v>
      </c>
    </row>
    <row r="3337" spans="1:3" x14ac:dyDescent="0.25">
      <c r="A3337" s="222">
        <v>310066</v>
      </c>
      <c r="B3337" s="223" t="s">
        <v>6056</v>
      </c>
      <c r="C3337" s="221" t="s">
        <v>6058</v>
      </c>
    </row>
    <row r="3338" spans="1:3" x14ac:dyDescent="0.25">
      <c r="A3338" s="222">
        <v>310067</v>
      </c>
      <c r="B3338" s="223" t="s">
        <v>6059</v>
      </c>
      <c r="C3338" s="221" t="s">
        <v>6060</v>
      </c>
    </row>
    <row r="3339" spans="1:3" x14ac:dyDescent="0.25">
      <c r="A3339" s="222">
        <v>310067</v>
      </c>
      <c r="B3339" s="223" t="s">
        <v>6059</v>
      </c>
      <c r="C3339" s="221" t="s">
        <v>6061</v>
      </c>
    </row>
    <row r="3340" spans="1:3" x14ac:dyDescent="0.25">
      <c r="A3340" s="222">
        <v>310068</v>
      </c>
      <c r="B3340" s="223" t="s">
        <v>6062</v>
      </c>
      <c r="C3340" s="221" t="s">
        <v>6063</v>
      </c>
    </row>
    <row r="3341" spans="1:3" x14ac:dyDescent="0.25">
      <c r="A3341" s="222">
        <v>310068</v>
      </c>
      <c r="B3341" s="223" t="s">
        <v>6062</v>
      </c>
      <c r="C3341" s="221" t="s">
        <v>6064</v>
      </c>
    </row>
    <row r="3342" spans="1:3" x14ac:dyDescent="0.25">
      <c r="A3342" s="222">
        <v>310069</v>
      </c>
      <c r="B3342" s="223" t="s">
        <v>6065</v>
      </c>
      <c r="C3342" s="221" t="s">
        <v>6066</v>
      </c>
    </row>
    <row r="3343" spans="1:3" x14ac:dyDescent="0.25">
      <c r="A3343" s="222">
        <v>310069</v>
      </c>
      <c r="B3343" s="223" t="s">
        <v>6065</v>
      </c>
      <c r="C3343" s="221" t="s">
        <v>6067</v>
      </c>
    </row>
    <row r="3344" spans="1:3" x14ac:dyDescent="0.25">
      <c r="A3344" s="222">
        <v>310070</v>
      </c>
      <c r="B3344" s="223" t="s">
        <v>6068</v>
      </c>
      <c r="C3344" s="221" t="s">
        <v>6069</v>
      </c>
    </row>
    <row r="3345" spans="1:3" x14ac:dyDescent="0.25">
      <c r="A3345" s="222">
        <v>310070</v>
      </c>
      <c r="B3345" s="223" t="s">
        <v>6068</v>
      </c>
      <c r="C3345" s="221" t="s">
        <v>6070</v>
      </c>
    </row>
    <row r="3346" spans="1:3" x14ac:dyDescent="0.25">
      <c r="A3346" s="222">
        <v>310071</v>
      </c>
      <c r="B3346" s="223" t="s">
        <v>6071</v>
      </c>
      <c r="C3346" s="221" t="s">
        <v>6072</v>
      </c>
    </row>
    <row r="3347" spans="1:3" x14ac:dyDescent="0.25">
      <c r="A3347" s="222">
        <v>310071</v>
      </c>
      <c r="B3347" s="223" t="s">
        <v>6071</v>
      </c>
      <c r="C3347" s="221" t="s">
        <v>6073</v>
      </c>
    </row>
    <row r="3348" spans="1:3" x14ac:dyDescent="0.25">
      <c r="A3348" s="222">
        <v>310072</v>
      </c>
      <c r="B3348" s="223" t="s">
        <v>6074</v>
      </c>
      <c r="C3348" s="221" t="s">
        <v>6075</v>
      </c>
    </row>
    <row r="3349" spans="1:3" x14ac:dyDescent="0.25">
      <c r="A3349" s="222">
        <v>310072</v>
      </c>
      <c r="B3349" s="223" t="s">
        <v>6074</v>
      </c>
      <c r="C3349" s="221" t="s">
        <v>6076</v>
      </c>
    </row>
    <row r="3350" spans="1:3" x14ac:dyDescent="0.25">
      <c r="A3350" s="222">
        <v>310073</v>
      </c>
      <c r="B3350" s="223" t="s">
        <v>6077</v>
      </c>
      <c r="C3350" s="221" t="s">
        <v>6078</v>
      </c>
    </row>
    <row r="3351" spans="1:3" x14ac:dyDescent="0.25">
      <c r="A3351" s="222">
        <v>310073</v>
      </c>
      <c r="B3351" s="223" t="s">
        <v>6077</v>
      </c>
      <c r="C3351" s="221" t="s">
        <v>6079</v>
      </c>
    </row>
    <row r="3352" spans="1:3" x14ac:dyDescent="0.25">
      <c r="A3352" s="222">
        <v>310074</v>
      </c>
      <c r="B3352" s="223" t="s">
        <v>6080</v>
      </c>
      <c r="C3352" s="221" t="s">
        <v>6081</v>
      </c>
    </row>
    <row r="3353" spans="1:3" x14ac:dyDescent="0.25">
      <c r="A3353" s="222">
        <v>310074</v>
      </c>
      <c r="B3353" s="223" t="s">
        <v>6080</v>
      </c>
      <c r="C3353" s="221" t="s">
        <v>6082</v>
      </c>
    </row>
    <row r="3354" spans="1:3" x14ac:dyDescent="0.25">
      <c r="A3354" s="222">
        <v>310075</v>
      </c>
      <c r="B3354" s="223" t="s">
        <v>6083</v>
      </c>
      <c r="C3354" s="221" t="s">
        <v>6084</v>
      </c>
    </row>
    <row r="3355" spans="1:3" x14ac:dyDescent="0.25">
      <c r="A3355" s="222">
        <v>310075</v>
      </c>
      <c r="B3355" s="223" t="s">
        <v>6083</v>
      </c>
      <c r="C3355" s="221" t="s">
        <v>6085</v>
      </c>
    </row>
    <row r="3356" spans="1:3" x14ac:dyDescent="0.25">
      <c r="A3356" s="222">
        <v>310076</v>
      </c>
      <c r="B3356" s="223" t="s">
        <v>6086</v>
      </c>
      <c r="C3356" s="221" t="s">
        <v>6087</v>
      </c>
    </row>
    <row r="3357" spans="1:3" x14ac:dyDescent="0.25">
      <c r="A3357" s="222">
        <v>310076</v>
      </c>
      <c r="B3357" s="223" t="s">
        <v>6086</v>
      </c>
      <c r="C3357" s="221" t="s">
        <v>6088</v>
      </c>
    </row>
    <row r="3358" spans="1:3" x14ac:dyDescent="0.25">
      <c r="A3358" s="222">
        <v>310077</v>
      </c>
      <c r="B3358" s="223" t="s">
        <v>6089</v>
      </c>
      <c r="C3358" s="221" t="s">
        <v>6090</v>
      </c>
    </row>
    <row r="3359" spans="1:3" x14ac:dyDescent="0.25">
      <c r="A3359" s="222">
        <v>310077</v>
      </c>
      <c r="B3359" s="223" t="s">
        <v>6089</v>
      </c>
      <c r="C3359" s="221" t="s">
        <v>6091</v>
      </c>
    </row>
    <row r="3360" spans="1:3" x14ac:dyDescent="0.25">
      <c r="A3360" s="222">
        <v>310077</v>
      </c>
      <c r="B3360" s="223" t="s">
        <v>6089</v>
      </c>
      <c r="C3360" s="221" t="s">
        <v>6092</v>
      </c>
    </row>
    <row r="3361" spans="1:3" x14ac:dyDescent="0.25">
      <c r="A3361" s="222">
        <v>310077</v>
      </c>
      <c r="B3361" s="223" t="s">
        <v>6089</v>
      </c>
      <c r="C3361" s="221" t="s">
        <v>6093</v>
      </c>
    </row>
    <row r="3362" spans="1:3" x14ac:dyDescent="0.25">
      <c r="A3362" s="222">
        <v>310079</v>
      </c>
      <c r="B3362" s="223" t="s">
        <v>6094</v>
      </c>
      <c r="C3362" s="221" t="s">
        <v>6095</v>
      </c>
    </row>
    <row r="3363" spans="1:3" x14ac:dyDescent="0.25">
      <c r="A3363" s="222">
        <v>310079</v>
      </c>
      <c r="B3363" s="223" t="s">
        <v>6094</v>
      </c>
      <c r="C3363" s="221" t="s">
        <v>6096</v>
      </c>
    </row>
    <row r="3364" spans="1:3" x14ac:dyDescent="0.25">
      <c r="A3364" s="222">
        <v>310080</v>
      </c>
      <c r="B3364" s="223" t="s">
        <v>6097</v>
      </c>
      <c r="C3364" s="221" t="s">
        <v>6098</v>
      </c>
    </row>
    <row r="3365" spans="1:3" x14ac:dyDescent="0.25">
      <c r="A3365" s="222">
        <v>310080</v>
      </c>
      <c r="B3365" s="223" t="s">
        <v>6097</v>
      </c>
      <c r="C3365" s="221" t="s">
        <v>6099</v>
      </c>
    </row>
    <row r="3366" spans="1:3" x14ac:dyDescent="0.25">
      <c r="A3366" s="222">
        <v>310081</v>
      </c>
      <c r="B3366" s="223" t="s">
        <v>6100</v>
      </c>
      <c r="C3366" s="221" t="s">
        <v>6101</v>
      </c>
    </row>
    <row r="3367" spans="1:3" x14ac:dyDescent="0.25">
      <c r="A3367" s="222">
        <v>310082</v>
      </c>
      <c r="B3367" s="223" t="s">
        <v>6102</v>
      </c>
      <c r="C3367" s="221" t="s">
        <v>6103</v>
      </c>
    </row>
    <row r="3368" spans="1:3" x14ac:dyDescent="0.25">
      <c r="A3368" s="222">
        <v>310082</v>
      </c>
      <c r="B3368" s="223" t="s">
        <v>6102</v>
      </c>
      <c r="C3368" s="221" t="s">
        <v>6104</v>
      </c>
    </row>
    <row r="3369" spans="1:3" x14ac:dyDescent="0.25">
      <c r="A3369" s="222">
        <v>310083</v>
      </c>
      <c r="B3369" s="223" t="s">
        <v>6105</v>
      </c>
      <c r="C3369" s="221" t="s">
        <v>6106</v>
      </c>
    </row>
    <row r="3370" spans="1:3" x14ac:dyDescent="0.25">
      <c r="A3370" s="222">
        <v>310083</v>
      </c>
      <c r="B3370" s="223" t="s">
        <v>6105</v>
      </c>
      <c r="C3370" s="221" t="s">
        <v>6107</v>
      </c>
    </row>
    <row r="3371" spans="1:3" x14ac:dyDescent="0.25">
      <c r="A3371" s="222">
        <v>310084</v>
      </c>
      <c r="B3371" s="223" t="s">
        <v>6108</v>
      </c>
      <c r="C3371" s="221" t="s">
        <v>6109</v>
      </c>
    </row>
    <row r="3372" spans="1:3" x14ac:dyDescent="0.25">
      <c r="A3372" s="222">
        <v>310085</v>
      </c>
      <c r="B3372" s="223" t="s">
        <v>6110</v>
      </c>
      <c r="C3372" s="221" t="s">
        <v>6111</v>
      </c>
    </row>
    <row r="3373" spans="1:3" x14ac:dyDescent="0.25">
      <c r="A3373" s="222">
        <v>310086</v>
      </c>
      <c r="B3373" s="223" t="s">
        <v>6112</v>
      </c>
      <c r="C3373" s="221" t="s">
        <v>6113</v>
      </c>
    </row>
    <row r="3374" spans="1:3" x14ac:dyDescent="0.25">
      <c r="A3374" s="222">
        <v>310087</v>
      </c>
      <c r="B3374" s="223" t="s">
        <v>6114</v>
      </c>
      <c r="C3374" s="221" t="s">
        <v>6115</v>
      </c>
    </row>
    <row r="3375" spans="1:3" x14ac:dyDescent="0.25">
      <c r="A3375" s="222">
        <v>310088</v>
      </c>
      <c r="B3375" s="223" t="s">
        <v>6116</v>
      </c>
      <c r="C3375" s="221" t="s">
        <v>6117</v>
      </c>
    </row>
    <row r="3376" spans="1:3" x14ac:dyDescent="0.25">
      <c r="A3376" s="222">
        <v>310089</v>
      </c>
      <c r="B3376" s="223" t="s">
        <v>6118</v>
      </c>
      <c r="C3376" s="221" t="s">
        <v>6119</v>
      </c>
    </row>
    <row r="3377" spans="1:3" x14ac:dyDescent="0.25">
      <c r="A3377" s="222">
        <v>310090</v>
      </c>
      <c r="B3377" s="223" t="s">
        <v>6120</v>
      </c>
      <c r="C3377" s="221" t="s">
        <v>6121</v>
      </c>
    </row>
    <row r="3378" spans="1:3" x14ac:dyDescent="0.25">
      <c r="A3378" s="222">
        <v>310091</v>
      </c>
      <c r="B3378" s="223" t="s">
        <v>6122</v>
      </c>
      <c r="C3378" s="221" t="s">
        <v>6123</v>
      </c>
    </row>
    <row r="3379" spans="1:3" x14ac:dyDescent="0.25">
      <c r="A3379" s="222">
        <v>310092</v>
      </c>
      <c r="B3379" s="223" t="s">
        <v>6125</v>
      </c>
      <c r="C3379" s="221" t="s">
        <v>6124</v>
      </c>
    </row>
    <row r="3380" spans="1:3" x14ac:dyDescent="0.25">
      <c r="A3380" s="222">
        <v>310093</v>
      </c>
      <c r="B3380" s="223" t="s">
        <v>6127</v>
      </c>
      <c r="C3380" s="221" t="s">
        <v>6126</v>
      </c>
    </row>
    <row r="3381" spans="1:3" x14ac:dyDescent="0.25">
      <c r="A3381" s="222">
        <v>310094</v>
      </c>
      <c r="B3381" s="223" t="s">
        <v>6128</v>
      </c>
      <c r="C3381" s="221" t="s">
        <v>6129</v>
      </c>
    </row>
    <row r="3382" spans="1:3" x14ac:dyDescent="0.25">
      <c r="A3382" s="222">
        <v>310095</v>
      </c>
      <c r="B3382" s="223" t="s">
        <v>6130</v>
      </c>
      <c r="C3382" s="221" t="s">
        <v>6131</v>
      </c>
    </row>
    <row r="3383" spans="1:3" x14ac:dyDescent="0.25">
      <c r="A3383" s="222">
        <v>310096</v>
      </c>
      <c r="B3383" s="223" t="s">
        <v>6132</v>
      </c>
      <c r="C3383" s="221" t="s">
        <v>6133</v>
      </c>
    </row>
    <row r="3384" spans="1:3" x14ac:dyDescent="0.25">
      <c r="A3384" s="222">
        <v>310097</v>
      </c>
      <c r="B3384" s="223" t="s">
        <v>6134</v>
      </c>
      <c r="C3384" s="221" t="s">
        <v>6135</v>
      </c>
    </row>
    <row r="3385" spans="1:3" x14ac:dyDescent="0.25">
      <c r="A3385" s="222">
        <v>310098</v>
      </c>
      <c r="B3385" s="223" t="s">
        <v>6136</v>
      </c>
      <c r="C3385" s="221" t="s">
        <v>6137</v>
      </c>
    </row>
    <row r="3386" spans="1:3" x14ac:dyDescent="0.25">
      <c r="A3386" s="222">
        <v>310099</v>
      </c>
      <c r="B3386" s="223" t="s">
        <v>6139</v>
      </c>
      <c r="C3386" s="221" t="s">
        <v>6138</v>
      </c>
    </row>
    <row r="3387" spans="1:3" x14ac:dyDescent="0.25">
      <c r="A3387" s="222">
        <v>310100</v>
      </c>
      <c r="B3387" s="223" t="s">
        <v>6140</v>
      </c>
      <c r="C3387" s="221" t="s">
        <v>6141</v>
      </c>
    </row>
    <row r="3388" spans="1:3" x14ac:dyDescent="0.25">
      <c r="A3388" s="222">
        <v>310101</v>
      </c>
      <c r="B3388" s="223" t="s">
        <v>6142</v>
      </c>
      <c r="C3388" s="221" t="s">
        <v>6143</v>
      </c>
    </row>
    <row r="3389" spans="1:3" x14ac:dyDescent="0.25">
      <c r="A3389" s="222">
        <v>310102</v>
      </c>
      <c r="B3389" s="223" t="s">
        <v>6144</v>
      </c>
      <c r="C3389" s="221" t="s">
        <v>6145</v>
      </c>
    </row>
    <row r="3390" spans="1:3" x14ac:dyDescent="0.25">
      <c r="A3390" s="222">
        <v>310103</v>
      </c>
      <c r="B3390" s="223" t="s">
        <v>6146</v>
      </c>
      <c r="C3390" s="221" t="s">
        <v>6147</v>
      </c>
    </row>
    <row r="3391" spans="1:3" x14ac:dyDescent="0.25">
      <c r="A3391" s="222">
        <v>310104</v>
      </c>
      <c r="B3391" s="223" t="s">
        <v>6148</v>
      </c>
      <c r="C3391" s="221" t="s">
        <v>6149</v>
      </c>
    </row>
    <row r="3392" spans="1:3" x14ac:dyDescent="0.25">
      <c r="A3392" s="222">
        <v>310105</v>
      </c>
      <c r="B3392" s="223" t="s">
        <v>6150</v>
      </c>
      <c r="C3392" s="221" t="s">
        <v>6151</v>
      </c>
    </row>
    <row r="3393" spans="1:3" x14ac:dyDescent="0.25">
      <c r="A3393" s="222">
        <v>310106</v>
      </c>
      <c r="B3393" s="223" t="s">
        <v>6152</v>
      </c>
      <c r="C3393" s="221" t="s">
        <v>6153</v>
      </c>
    </row>
    <row r="3394" spans="1:3" x14ac:dyDescent="0.25">
      <c r="A3394" s="222">
        <v>310107</v>
      </c>
      <c r="B3394" s="223" t="s">
        <v>6154</v>
      </c>
      <c r="C3394" s="221" t="s">
        <v>6155</v>
      </c>
    </row>
    <row r="3395" spans="1:3" x14ac:dyDescent="0.25">
      <c r="A3395" s="222">
        <v>310108</v>
      </c>
      <c r="B3395" s="223" t="s">
        <v>6156</v>
      </c>
      <c r="C3395" s="221" t="s">
        <v>6157</v>
      </c>
    </row>
    <row r="3396" spans="1:3" x14ac:dyDescent="0.25">
      <c r="A3396" s="222">
        <v>310109</v>
      </c>
      <c r="B3396" s="223" t="s">
        <v>6158</v>
      </c>
      <c r="C3396" s="221" t="s">
        <v>6159</v>
      </c>
    </row>
    <row r="3397" spans="1:3" x14ac:dyDescent="0.25">
      <c r="A3397" s="222">
        <v>310111</v>
      </c>
      <c r="B3397" s="223" t="s">
        <v>6160</v>
      </c>
      <c r="C3397" s="221" t="s">
        <v>6161</v>
      </c>
    </row>
    <row r="3398" spans="1:3" x14ac:dyDescent="0.25">
      <c r="A3398" s="222">
        <v>310112</v>
      </c>
      <c r="B3398" s="223" t="s">
        <v>6162</v>
      </c>
      <c r="C3398" s="221" t="s">
        <v>6163</v>
      </c>
    </row>
    <row r="3399" spans="1:3" x14ac:dyDescent="0.25">
      <c r="A3399" s="222">
        <v>310113</v>
      </c>
      <c r="B3399" s="223" t="s">
        <v>6164</v>
      </c>
      <c r="C3399" s="221" t="s">
        <v>6165</v>
      </c>
    </row>
    <row r="3400" spans="1:3" x14ac:dyDescent="0.25">
      <c r="A3400" s="222">
        <v>310114</v>
      </c>
      <c r="B3400" s="223" t="s">
        <v>6166</v>
      </c>
      <c r="C3400" s="221" t="s">
        <v>6167</v>
      </c>
    </row>
    <row r="3401" spans="1:3" x14ac:dyDescent="0.25">
      <c r="A3401" s="222">
        <v>310115</v>
      </c>
      <c r="B3401" s="223" t="s">
        <v>6168</v>
      </c>
      <c r="C3401" s="221" t="s">
        <v>6169</v>
      </c>
    </row>
    <row r="3402" spans="1:3" x14ac:dyDescent="0.25">
      <c r="A3402" s="222">
        <v>310116</v>
      </c>
      <c r="B3402" s="223" t="s">
        <v>6170</v>
      </c>
      <c r="C3402" s="221" t="s">
        <v>6171</v>
      </c>
    </row>
    <row r="3403" spans="1:3" x14ac:dyDescent="0.25">
      <c r="A3403" s="222">
        <v>310117</v>
      </c>
      <c r="B3403" s="223" t="s">
        <v>6172</v>
      </c>
      <c r="C3403" s="221" t="s">
        <v>6173</v>
      </c>
    </row>
    <row r="3404" spans="1:3" x14ac:dyDescent="0.25">
      <c r="A3404" s="222">
        <v>310118</v>
      </c>
      <c r="B3404" s="223" t="s">
        <v>6174</v>
      </c>
      <c r="C3404" s="221" t="s">
        <v>6175</v>
      </c>
    </row>
    <row r="3405" spans="1:3" x14ac:dyDescent="0.25">
      <c r="A3405" s="222">
        <v>310119</v>
      </c>
      <c r="B3405" s="223" t="s">
        <v>6176</v>
      </c>
      <c r="C3405" s="221" t="s">
        <v>6177</v>
      </c>
    </row>
    <row r="3406" spans="1:3" x14ac:dyDescent="0.25">
      <c r="A3406" s="222">
        <v>310120</v>
      </c>
      <c r="B3406" s="223" t="s">
        <v>6178</v>
      </c>
      <c r="C3406" s="221" t="s">
        <v>6179</v>
      </c>
    </row>
    <row r="3407" spans="1:3" x14ac:dyDescent="0.25">
      <c r="A3407" s="222">
        <v>310121</v>
      </c>
      <c r="B3407" s="223" t="s">
        <v>6180</v>
      </c>
      <c r="C3407" s="221" t="s">
        <v>6181</v>
      </c>
    </row>
    <row r="3408" spans="1:3" x14ac:dyDescent="0.25">
      <c r="A3408" s="222">
        <v>310122</v>
      </c>
      <c r="B3408" s="223" t="s">
        <v>6182</v>
      </c>
      <c r="C3408" s="221" t="s">
        <v>6183</v>
      </c>
    </row>
    <row r="3409" spans="1:3" x14ac:dyDescent="0.25">
      <c r="A3409" s="222">
        <v>310123</v>
      </c>
      <c r="B3409" s="223" t="s">
        <v>6184</v>
      </c>
      <c r="C3409" s="221" t="s">
        <v>6185</v>
      </c>
    </row>
    <row r="3410" spans="1:3" x14ac:dyDescent="0.25">
      <c r="A3410" s="222">
        <v>310124</v>
      </c>
      <c r="B3410" s="223" t="s">
        <v>6186</v>
      </c>
      <c r="C3410" s="221" t="s">
        <v>6187</v>
      </c>
    </row>
    <row r="3411" spans="1:3" x14ac:dyDescent="0.25">
      <c r="A3411" s="222">
        <v>310125</v>
      </c>
      <c r="B3411" s="223" t="s">
        <v>6188</v>
      </c>
      <c r="C3411" s="221" t="s">
        <v>6189</v>
      </c>
    </row>
    <row r="3412" spans="1:3" x14ac:dyDescent="0.25">
      <c r="A3412" s="222">
        <v>310126</v>
      </c>
      <c r="B3412" s="223" t="s">
        <v>6190</v>
      </c>
      <c r="C3412" s="221" t="s">
        <v>6191</v>
      </c>
    </row>
    <row r="3413" spans="1:3" x14ac:dyDescent="0.25">
      <c r="A3413" s="222">
        <v>310127</v>
      </c>
      <c r="B3413" s="223" t="s">
        <v>6192</v>
      </c>
      <c r="C3413" s="221" t="s">
        <v>6193</v>
      </c>
    </row>
    <row r="3414" spans="1:3" x14ac:dyDescent="0.25">
      <c r="A3414" s="222">
        <v>310128</v>
      </c>
      <c r="B3414" s="223" t="s">
        <v>6194</v>
      </c>
      <c r="C3414" s="221" t="s">
        <v>6195</v>
      </c>
    </row>
    <row r="3415" spans="1:3" x14ac:dyDescent="0.25">
      <c r="A3415" s="222">
        <v>310130</v>
      </c>
      <c r="B3415" s="223" t="s">
        <v>6196</v>
      </c>
      <c r="C3415" s="221" t="s">
        <v>6197</v>
      </c>
    </row>
    <row r="3416" spans="1:3" x14ac:dyDescent="0.25">
      <c r="A3416" s="222">
        <v>310131</v>
      </c>
      <c r="B3416" s="223" t="s">
        <v>6198</v>
      </c>
      <c r="C3416" s="221" t="s">
        <v>6199</v>
      </c>
    </row>
    <row r="3417" spans="1:3" x14ac:dyDescent="0.25">
      <c r="A3417" s="222">
        <v>310132</v>
      </c>
      <c r="B3417" s="223" t="s">
        <v>6200</v>
      </c>
      <c r="C3417" s="221" t="s">
        <v>6201</v>
      </c>
    </row>
    <row r="3418" spans="1:3" x14ac:dyDescent="0.25">
      <c r="A3418" s="222">
        <v>310133</v>
      </c>
      <c r="B3418" s="223" t="s">
        <v>6202</v>
      </c>
      <c r="C3418" s="221" t="s">
        <v>6203</v>
      </c>
    </row>
    <row r="3419" spans="1:3" x14ac:dyDescent="0.25">
      <c r="A3419" s="222">
        <v>310134</v>
      </c>
      <c r="B3419" s="223" t="s">
        <v>6204</v>
      </c>
      <c r="C3419" s="221" t="s">
        <v>6205</v>
      </c>
    </row>
    <row r="3420" spans="1:3" x14ac:dyDescent="0.25">
      <c r="A3420" s="222">
        <v>310135</v>
      </c>
      <c r="B3420" s="223" t="s">
        <v>6206</v>
      </c>
      <c r="C3420" s="221" t="s">
        <v>6207</v>
      </c>
    </row>
    <row r="3421" spans="1:3" x14ac:dyDescent="0.25">
      <c r="A3421" s="222">
        <v>310136</v>
      </c>
      <c r="B3421" s="223" t="s">
        <v>6208</v>
      </c>
      <c r="C3421" s="221" t="s">
        <v>6209</v>
      </c>
    </row>
    <row r="3422" spans="1:3" x14ac:dyDescent="0.25">
      <c r="A3422" s="222">
        <v>310137</v>
      </c>
      <c r="B3422" s="223" t="s">
        <v>6210</v>
      </c>
      <c r="C3422" s="221" t="s">
        <v>6211</v>
      </c>
    </row>
    <row r="3423" spans="1:3" x14ac:dyDescent="0.25">
      <c r="A3423" s="222">
        <v>310138</v>
      </c>
      <c r="B3423" s="223" t="s">
        <v>6212</v>
      </c>
      <c r="C3423" s="221" t="s">
        <v>6213</v>
      </c>
    </row>
    <row r="3424" spans="1:3" x14ac:dyDescent="0.25">
      <c r="A3424" s="222">
        <v>310139</v>
      </c>
      <c r="B3424" s="223" t="s">
        <v>6214</v>
      </c>
      <c r="C3424" s="221" t="s">
        <v>6215</v>
      </c>
    </row>
    <row r="3425" spans="1:3" x14ac:dyDescent="0.25">
      <c r="A3425" s="222">
        <v>310140</v>
      </c>
      <c r="B3425" s="223" t="s">
        <v>6216</v>
      </c>
      <c r="C3425" s="221" t="s">
        <v>6217</v>
      </c>
    </row>
    <row r="3426" spans="1:3" x14ac:dyDescent="0.25">
      <c r="A3426" s="222">
        <v>310141</v>
      </c>
      <c r="B3426" s="223" t="s">
        <v>6218</v>
      </c>
      <c r="C3426" s="221" t="s">
        <v>6219</v>
      </c>
    </row>
    <row r="3427" spans="1:3" x14ac:dyDescent="0.25">
      <c r="A3427" s="222">
        <v>310142</v>
      </c>
      <c r="B3427" s="223" t="s">
        <v>6220</v>
      </c>
      <c r="C3427" s="221" t="s">
        <v>6221</v>
      </c>
    </row>
    <row r="3428" spans="1:3" x14ac:dyDescent="0.25">
      <c r="A3428" s="222">
        <v>310143</v>
      </c>
      <c r="B3428" s="223" t="s">
        <v>6223</v>
      </c>
      <c r="C3428" s="221" t="s">
        <v>6222</v>
      </c>
    </row>
    <row r="3429" spans="1:3" x14ac:dyDescent="0.25">
      <c r="A3429" s="222">
        <v>310144</v>
      </c>
      <c r="B3429" s="223" t="s">
        <v>6225</v>
      </c>
      <c r="C3429" s="221" t="s">
        <v>6224</v>
      </c>
    </row>
    <row r="3430" spans="1:3" x14ac:dyDescent="0.25">
      <c r="A3430" s="222">
        <v>310145</v>
      </c>
      <c r="B3430" s="223" t="s">
        <v>6227</v>
      </c>
      <c r="C3430" s="221" t="s">
        <v>6226</v>
      </c>
    </row>
    <row r="3431" spans="1:3" x14ac:dyDescent="0.25">
      <c r="A3431" s="222">
        <v>310146</v>
      </c>
      <c r="B3431" s="223" t="s">
        <v>6229</v>
      </c>
      <c r="C3431" s="221" t="s">
        <v>6228</v>
      </c>
    </row>
    <row r="3432" spans="1:3" x14ac:dyDescent="0.25">
      <c r="A3432" s="222">
        <v>310147</v>
      </c>
      <c r="B3432" s="223" t="s">
        <v>6230</v>
      </c>
      <c r="C3432" s="221" t="s">
        <v>6231</v>
      </c>
    </row>
    <row r="3433" spans="1:3" x14ac:dyDescent="0.25">
      <c r="A3433" s="222">
        <v>310148</v>
      </c>
      <c r="B3433" s="223" t="s">
        <v>6232</v>
      </c>
      <c r="C3433" s="221" t="s">
        <v>6233</v>
      </c>
    </row>
    <row r="3434" spans="1:3" x14ac:dyDescent="0.25">
      <c r="A3434" s="222">
        <v>310149</v>
      </c>
      <c r="B3434" s="223" t="s">
        <v>6234</v>
      </c>
      <c r="C3434" s="221" t="s">
        <v>6235</v>
      </c>
    </row>
    <row r="3435" spans="1:3" x14ac:dyDescent="0.25">
      <c r="A3435" s="222">
        <v>310150</v>
      </c>
      <c r="B3435" s="223" t="s">
        <v>6236</v>
      </c>
      <c r="C3435" s="221" t="s">
        <v>6237</v>
      </c>
    </row>
    <row r="3436" spans="1:3" x14ac:dyDescent="0.25">
      <c r="A3436" s="222">
        <v>310151</v>
      </c>
      <c r="B3436" s="223" t="s">
        <v>6238</v>
      </c>
      <c r="C3436" s="221" t="s">
        <v>6239</v>
      </c>
    </row>
    <row r="3437" spans="1:3" x14ac:dyDescent="0.25">
      <c r="A3437" s="222">
        <v>310153</v>
      </c>
      <c r="B3437" s="223" t="s">
        <v>6241</v>
      </c>
      <c r="C3437" s="221" t="s">
        <v>6240</v>
      </c>
    </row>
    <row r="3438" spans="1:3" x14ac:dyDescent="0.25">
      <c r="A3438" s="222">
        <v>310155</v>
      </c>
      <c r="B3438" s="223" t="s">
        <v>6242</v>
      </c>
      <c r="C3438" s="221" t="s">
        <v>6243</v>
      </c>
    </row>
    <row r="3439" spans="1:3" x14ac:dyDescent="0.25">
      <c r="A3439" s="222">
        <v>310156</v>
      </c>
      <c r="B3439" s="223" t="s">
        <v>6245</v>
      </c>
      <c r="C3439" s="221" t="s">
        <v>6244</v>
      </c>
    </row>
    <row r="3440" spans="1:3" x14ac:dyDescent="0.25">
      <c r="A3440" s="222">
        <v>310159</v>
      </c>
      <c r="B3440" s="223" t="s">
        <v>6246</v>
      </c>
      <c r="C3440" s="221" t="s">
        <v>6247</v>
      </c>
    </row>
    <row r="3441" spans="1:3" x14ac:dyDescent="0.25">
      <c r="A3441" s="222">
        <v>310160</v>
      </c>
      <c r="B3441" s="223" t="s">
        <v>6248</v>
      </c>
      <c r="C3441" s="221" t="s">
        <v>6249</v>
      </c>
    </row>
    <row r="3442" spans="1:3" x14ac:dyDescent="0.25">
      <c r="A3442" s="222">
        <v>310161</v>
      </c>
      <c r="B3442" s="223" t="s">
        <v>6250</v>
      </c>
      <c r="C3442" s="221" t="s">
        <v>6251</v>
      </c>
    </row>
    <row r="3443" spans="1:3" x14ac:dyDescent="0.25">
      <c r="A3443" s="222">
        <v>310162</v>
      </c>
      <c r="B3443" s="223" t="s">
        <v>6252</v>
      </c>
      <c r="C3443" s="221" t="s">
        <v>6253</v>
      </c>
    </row>
    <row r="3444" spans="1:3" x14ac:dyDescent="0.25">
      <c r="A3444" s="222">
        <v>310163</v>
      </c>
      <c r="B3444" s="223" t="s">
        <v>6254</v>
      </c>
      <c r="C3444" s="221" t="s">
        <v>6255</v>
      </c>
    </row>
    <row r="3445" spans="1:3" x14ac:dyDescent="0.25">
      <c r="A3445" s="222">
        <v>310164</v>
      </c>
      <c r="B3445" s="223" t="s">
        <v>6256</v>
      </c>
      <c r="C3445" s="221" t="s">
        <v>6257</v>
      </c>
    </row>
    <row r="3446" spans="1:3" x14ac:dyDescent="0.25">
      <c r="A3446" s="222">
        <v>310165</v>
      </c>
      <c r="B3446" s="223" t="s">
        <v>6258</v>
      </c>
      <c r="C3446" s="221" t="s">
        <v>6259</v>
      </c>
    </row>
    <row r="3447" spans="1:3" x14ac:dyDescent="0.25">
      <c r="A3447" s="222">
        <v>310166</v>
      </c>
      <c r="B3447" s="223" t="s">
        <v>6246</v>
      </c>
      <c r="C3447" s="221" t="s">
        <v>6260</v>
      </c>
    </row>
    <row r="3448" spans="1:3" x14ac:dyDescent="0.25">
      <c r="A3448" s="222">
        <v>310167</v>
      </c>
      <c r="B3448" s="223" t="s">
        <v>6261</v>
      </c>
      <c r="C3448" s="221" t="s">
        <v>6262</v>
      </c>
    </row>
    <row r="3449" spans="1:3" x14ac:dyDescent="0.25">
      <c r="A3449" s="222">
        <v>310168</v>
      </c>
      <c r="B3449" s="223" t="s">
        <v>6263</v>
      </c>
      <c r="C3449" s="221" t="s">
        <v>6264</v>
      </c>
    </row>
    <row r="3450" spans="1:3" x14ac:dyDescent="0.25">
      <c r="A3450" s="222">
        <v>310169</v>
      </c>
      <c r="B3450" s="223" t="s">
        <v>6265</v>
      </c>
      <c r="C3450" s="221" t="s">
        <v>6266</v>
      </c>
    </row>
    <row r="3451" spans="1:3" x14ac:dyDescent="0.25">
      <c r="A3451" s="222">
        <v>310170</v>
      </c>
      <c r="B3451" s="223" t="s">
        <v>6267</v>
      </c>
      <c r="C3451" s="221" t="s">
        <v>6268</v>
      </c>
    </row>
    <row r="3452" spans="1:3" x14ac:dyDescent="0.25">
      <c r="A3452" s="222">
        <v>310171</v>
      </c>
      <c r="B3452" s="223" t="s">
        <v>6269</v>
      </c>
      <c r="C3452" s="221" t="s">
        <v>6270</v>
      </c>
    </row>
    <row r="3453" spans="1:3" x14ac:dyDescent="0.25">
      <c r="A3453" s="222">
        <v>310172</v>
      </c>
      <c r="B3453" s="223" t="s">
        <v>6271</v>
      </c>
      <c r="C3453" s="221" t="s">
        <v>6272</v>
      </c>
    </row>
    <row r="3454" spans="1:3" x14ac:dyDescent="0.25">
      <c r="A3454" s="222">
        <v>310173</v>
      </c>
      <c r="B3454" s="223" t="s">
        <v>6273</v>
      </c>
      <c r="C3454" s="221" t="s">
        <v>6274</v>
      </c>
    </row>
    <row r="3455" spans="1:3" x14ac:dyDescent="0.25">
      <c r="A3455" s="222">
        <v>310174</v>
      </c>
      <c r="B3455" s="223" t="s">
        <v>6275</v>
      </c>
      <c r="C3455" s="221" t="s">
        <v>6276</v>
      </c>
    </row>
    <row r="3456" spans="1:3" x14ac:dyDescent="0.25">
      <c r="A3456" s="222">
        <v>310176</v>
      </c>
      <c r="B3456" s="223" t="s">
        <v>6277</v>
      </c>
      <c r="C3456" s="221" t="s">
        <v>6278</v>
      </c>
    </row>
    <row r="3457" spans="1:3" x14ac:dyDescent="0.25">
      <c r="A3457" s="222">
        <v>310177</v>
      </c>
      <c r="B3457" s="223" t="s">
        <v>6279</v>
      </c>
      <c r="C3457" s="221" t="s">
        <v>6280</v>
      </c>
    </row>
    <row r="3458" spans="1:3" x14ac:dyDescent="0.25">
      <c r="A3458" s="222">
        <v>310178</v>
      </c>
      <c r="B3458" s="223" t="s">
        <v>6281</v>
      </c>
      <c r="C3458" s="221" t="s">
        <v>6282</v>
      </c>
    </row>
    <row r="3459" spans="1:3" x14ac:dyDescent="0.25">
      <c r="A3459" s="222">
        <v>310179</v>
      </c>
      <c r="B3459" s="223" t="s">
        <v>6283</v>
      </c>
      <c r="C3459" s="221" t="s">
        <v>6284</v>
      </c>
    </row>
    <row r="3460" spans="1:3" x14ac:dyDescent="0.25">
      <c r="A3460" s="222">
        <v>310182</v>
      </c>
      <c r="B3460" s="223" t="s">
        <v>6285</v>
      </c>
      <c r="C3460" s="221" t="s">
        <v>6286</v>
      </c>
    </row>
    <row r="3461" spans="1:3" x14ac:dyDescent="0.25">
      <c r="A3461" s="222">
        <v>310186</v>
      </c>
      <c r="B3461" s="223" t="s">
        <v>6287</v>
      </c>
      <c r="C3461" s="221" t="s">
        <v>6288</v>
      </c>
    </row>
    <row r="3462" spans="1:3" x14ac:dyDescent="0.25">
      <c r="A3462" s="222">
        <v>310192</v>
      </c>
      <c r="B3462" s="223" t="s">
        <v>6289</v>
      </c>
      <c r="C3462" s="221" t="s">
        <v>6290</v>
      </c>
    </row>
    <row r="3463" spans="1:3" x14ac:dyDescent="0.25">
      <c r="A3463" s="222">
        <v>310194</v>
      </c>
      <c r="B3463" s="223" t="s">
        <v>6291</v>
      </c>
      <c r="C3463" s="221" t="s">
        <v>6292</v>
      </c>
    </row>
    <row r="3464" spans="1:3" x14ac:dyDescent="0.25">
      <c r="A3464" s="222">
        <v>310208</v>
      </c>
      <c r="B3464" s="223" t="s">
        <v>6293</v>
      </c>
      <c r="C3464" s="221" t="s">
        <v>6294</v>
      </c>
    </row>
    <row r="3465" spans="1:3" x14ac:dyDescent="0.25">
      <c r="A3465" s="222">
        <v>310209</v>
      </c>
      <c r="B3465" s="223" t="s">
        <v>6295</v>
      </c>
      <c r="C3465" s="221" t="s">
        <v>6296</v>
      </c>
    </row>
    <row r="3466" spans="1:3" x14ac:dyDescent="0.25">
      <c r="A3466" s="222">
        <v>310210</v>
      </c>
      <c r="B3466" s="223" t="s">
        <v>6297</v>
      </c>
      <c r="C3466" s="221" t="s">
        <v>6298</v>
      </c>
    </row>
    <row r="3467" spans="1:3" x14ac:dyDescent="0.25">
      <c r="A3467" s="222">
        <v>310217</v>
      </c>
      <c r="B3467" s="223" t="s">
        <v>6299</v>
      </c>
      <c r="C3467" s="221" t="s">
        <v>6300</v>
      </c>
    </row>
    <row r="3468" spans="1:3" x14ac:dyDescent="0.25">
      <c r="A3468" s="222">
        <v>310220</v>
      </c>
      <c r="B3468" s="223" t="s">
        <v>6301</v>
      </c>
      <c r="C3468" s="221" t="s">
        <v>6302</v>
      </c>
    </row>
    <row r="3469" spans="1:3" x14ac:dyDescent="0.25">
      <c r="A3469" s="222">
        <v>310238</v>
      </c>
      <c r="B3469" s="223" t="s">
        <v>6303</v>
      </c>
      <c r="C3469" s="221" t="s">
        <v>6304</v>
      </c>
    </row>
    <row r="3470" spans="1:3" x14ac:dyDescent="0.25">
      <c r="A3470" s="222">
        <v>310240</v>
      </c>
      <c r="B3470" s="223" t="s">
        <v>6305</v>
      </c>
      <c r="C3470" s="221" t="s">
        <v>6306</v>
      </c>
    </row>
    <row r="3471" spans="1:3" x14ac:dyDescent="0.25">
      <c r="A3471" s="222">
        <v>310241</v>
      </c>
      <c r="B3471" s="223" t="s">
        <v>6307</v>
      </c>
      <c r="C3471" s="221" t="s">
        <v>6308</v>
      </c>
    </row>
    <row r="3472" spans="1:3" x14ac:dyDescent="0.25">
      <c r="A3472" s="222">
        <v>310245</v>
      </c>
      <c r="B3472" s="223" t="s">
        <v>99</v>
      </c>
      <c r="C3472" s="221" t="s">
        <v>6309</v>
      </c>
    </row>
    <row r="3473" spans="1:3" x14ac:dyDescent="0.25">
      <c r="A3473" s="222">
        <v>310246</v>
      </c>
      <c r="B3473" s="223" t="s">
        <v>100</v>
      </c>
      <c r="C3473" s="221" t="s">
        <v>6310</v>
      </c>
    </row>
    <row r="3474" spans="1:3" x14ac:dyDescent="0.25">
      <c r="A3474" s="222">
        <v>310247</v>
      </c>
      <c r="B3474" s="223" t="s">
        <v>98</v>
      </c>
      <c r="C3474" s="221" t="s">
        <v>6311</v>
      </c>
    </row>
    <row r="3475" spans="1:3" x14ac:dyDescent="0.25">
      <c r="A3475" s="222">
        <v>310254</v>
      </c>
      <c r="B3475" s="223" t="s">
        <v>6312</v>
      </c>
      <c r="C3475" s="221" t="s">
        <v>6313</v>
      </c>
    </row>
    <row r="3476" spans="1:3" x14ac:dyDescent="0.25">
      <c r="A3476" s="222">
        <v>310264</v>
      </c>
      <c r="B3476" s="223" t="s">
        <v>6314</v>
      </c>
      <c r="C3476" s="221" t="s">
        <v>6315</v>
      </c>
    </row>
    <row r="3477" spans="1:3" x14ac:dyDescent="0.25">
      <c r="A3477" s="222">
        <v>310270</v>
      </c>
      <c r="B3477" s="223" t="s">
        <v>6316</v>
      </c>
      <c r="C3477" s="221" t="s">
        <v>6317</v>
      </c>
    </row>
    <row r="3478" spans="1:3" x14ac:dyDescent="0.25">
      <c r="A3478" s="222">
        <v>310271</v>
      </c>
      <c r="B3478" s="223" t="s">
        <v>6318</v>
      </c>
      <c r="C3478" s="221" t="s">
        <v>6319</v>
      </c>
    </row>
    <row r="3479" spans="1:3" x14ac:dyDescent="0.25">
      <c r="A3479" s="222">
        <v>310272</v>
      </c>
      <c r="B3479" s="223" t="s">
        <v>6320</v>
      </c>
      <c r="C3479" s="221" t="s">
        <v>6321</v>
      </c>
    </row>
    <row r="3480" spans="1:3" x14ac:dyDescent="0.25">
      <c r="A3480" s="222">
        <v>310274</v>
      </c>
      <c r="B3480" s="223" t="s">
        <v>6322</v>
      </c>
      <c r="C3480" s="221" t="s">
        <v>6323</v>
      </c>
    </row>
    <row r="3481" spans="1:3" x14ac:dyDescent="0.25">
      <c r="A3481" s="222">
        <v>310280</v>
      </c>
      <c r="B3481" s="223" t="s">
        <v>6324</v>
      </c>
      <c r="C3481" s="221" t="s">
        <v>6325</v>
      </c>
    </row>
    <row r="3482" spans="1:3" x14ac:dyDescent="0.25">
      <c r="A3482" s="222">
        <v>310292</v>
      </c>
      <c r="B3482" s="223" t="s">
        <v>6326</v>
      </c>
      <c r="C3482" s="221" t="s">
        <v>6327</v>
      </c>
    </row>
    <row r="3483" spans="1:3" x14ac:dyDescent="0.25">
      <c r="A3483" s="222">
        <v>310294</v>
      </c>
      <c r="B3483" s="223" t="s">
        <v>6328</v>
      </c>
      <c r="C3483" s="221" t="s">
        <v>6329</v>
      </c>
    </row>
    <row r="3484" spans="1:3" x14ac:dyDescent="0.25">
      <c r="A3484" s="222">
        <v>310295</v>
      </c>
      <c r="B3484" s="223" t="s">
        <v>6330</v>
      </c>
      <c r="C3484" s="221" t="s">
        <v>6331</v>
      </c>
    </row>
    <row r="3485" spans="1:3" x14ac:dyDescent="0.25">
      <c r="A3485" s="222">
        <v>310296</v>
      </c>
      <c r="B3485" s="223" t="s">
        <v>6332</v>
      </c>
      <c r="C3485" s="221" t="s">
        <v>6333</v>
      </c>
    </row>
    <row r="3486" spans="1:3" x14ac:dyDescent="0.25">
      <c r="A3486" s="222">
        <v>310299</v>
      </c>
      <c r="B3486" s="223" t="s">
        <v>6334</v>
      </c>
      <c r="C3486" s="221" t="s">
        <v>6335</v>
      </c>
    </row>
    <row r="3487" spans="1:3" x14ac:dyDescent="0.25">
      <c r="A3487" s="222">
        <v>310307</v>
      </c>
      <c r="B3487" s="223" t="s">
        <v>6336</v>
      </c>
      <c r="C3487" s="221" t="s">
        <v>6337</v>
      </c>
    </row>
    <row r="3488" spans="1:3" x14ac:dyDescent="0.25">
      <c r="A3488" s="222">
        <v>310320</v>
      </c>
      <c r="B3488" s="223" t="s">
        <v>6338</v>
      </c>
      <c r="C3488" s="221" t="s">
        <v>6339</v>
      </c>
    </row>
    <row r="3489" spans="1:3" x14ac:dyDescent="0.25">
      <c r="A3489" s="222">
        <v>310321</v>
      </c>
      <c r="B3489" s="223" t="s">
        <v>6340</v>
      </c>
      <c r="C3489" s="221" t="s">
        <v>6341</v>
      </c>
    </row>
    <row r="3490" spans="1:3" x14ac:dyDescent="0.25">
      <c r="A3490" s="222">
        <v>310328</v>
      </c>
      <c r="B3490" s="223" t="s">
        <v>6343</v>
      </c>
      <c r="C3490" s="221" t="s">
        <v>6342</v>
      </c>
    </row>
    <row r="3491" spans="1:3" x14ac:dyDescent="0.25">
      <c r="A3491" s="222">
        <v>320001</v>
      </c>
      <c r="B3491" s="223" t="s">
        <v>6345</v>
      </c>
      <c r="C3491" s="221" t="s">
        <v>6346</v>
      </c>
    </row>
    <row r="3492" spans="1:3" x14ac:dyDescent="0.25">
      <c r="A3492" s="222">
        <v>320001</v>
      </c>
      <c r="B3492" s="223" t="s">
        <v>6345</v>
      </c>
      <c r="C3492" s="221" t="s">
        <v>6347</v>
      </c>
    </row>
    <row r="3493" spans="1:3" x14ac:dyDescent="0.25">
      <c r="A3493" s="222">
        <v>320001</v>
      </c>
      <c r="B3493" s="223" t="s">
        <v>6345</v>
      </c>
      <c r="C3493" s="221" t="s">
        <v>6344</v>
      </c>
    </row>
    <row r="3494" spans="1:3" x14ac:dyDescent="0.25">
      <c r="A3494" s="222">
        <v>320002</v>
      </c>
      <c r="B3494" s="223" t="s">
        <v>6348</v>
      </c>
      <c r="C3494" s="221" t="s">
        <v>6349</v>
      </c>
    </row>
    <row r="3495" spans="1:3" x14ac:dyDescent="0.25">
      <c r="A3495" s="222">
        <v>320002</v>
      </c>
      <c r="B3495" s="223" t="s">
        <v>6348</v>
      </c>
      <c r="C3495" s="221" t="s">
        <v>6350</v>
      </c>
    </row>
    <row r="3496" spans="1:3" x14ac:dyDescent="0.25">
      <c r="A3496" s="222">
        <v>320003</v>
      </c>
      <c r="B3496" s="223" t="s">
        <v>6351</v>
      </c>
      <c r="C3496" s="221" t="s">
        <v>6352</v>
      </c>
    </row>
    <row r="3497" spans="1:3" x14ac:dyDescent="0.25">
      <c r="A3497" s="222">
        <v>320003</v>
      </c>
      <c r="B3497" s="223" t="s">
        <v>6351</v>
      </c>
      <c r="C3497" s="221" t="s">
        <v>6353</v>
      </c>
    </row>
    <row r="3498" spans="1:3" x14ac:dyDescent="0.25">
      <c r="A3498" s="222">
        <v>320003</v>
      </c>
      <c r="B3498" s="223" t="s">
        <v>6351</v>
      </c>
      <c r="C3498" s="221" t="s">
        <v>6354</v>
      </c>
    </row>
    <row r="3499" spans="1:3" x14ac:dyDescent="0.25">
      <c r="A3499" s="222">
        <v>320004</v>
      </c>
      <c r="B3499" s="223" t="s">
        <v>6355</v>
      </c>
      <c r="C3499" s="221" t="s">
        <v>6356</v>
      </c>
    </row>
    <row r="3500" spans="1:3" x14ac:dyDescent="0.25">
      <c r="A3500" s="222">
        <v>320004</v>
      </c>
      <c r="B3500" s="223" t="s">
        <v>6355</v>
      </c>
      <c r="C3500" s="221" t="s">
        <v>6357</v>
      </c>
    </row>
    <row r="3501" spans="1:3" x14ac:dyDescent="0.25">
      <c r="A3501" s="222">
        <v>320004</v>
      </c>
      <c r="B3501" s="223" t="s">
        <v>6355</v>
      </c>
      <c r="C3501" s="221" t="s">
        <v>6358</v>
      </c>
    </row>
    <row r="3502" spans="1:3" x14ac:dyDescent="0.25">
      <c r="A3502" s="222">
        <v>320005</v>
      </c>
      <c r="B3502" s="223" t="s">
        <v>6359</v>
      </c>
      <c r="C3502" s="221" t="s">
        <v>6360</v>
      </c>
    </row>
    <row r="3503" spans="1:3" x14ac:dyDescent="0.25">
      <c r="A3503" s="222">
        <v>320005</v>
      </c>
      <c r="B3503" s="223" t="s">
        <v>6359</v>
      </c>
      <c r="C3503" s="221" t="s">
        <v>6361</v>
      </c>
    </row>
    <row r="3504" spans="1:3" x14ac:dyDescent="0.25">
      <c r="A3504" s="222">
        <v>320006</v>
      </c>
      <c r="B3504" s="223" t="s">
        <v>6362</v>
      </c>
      <c r="C3504" s="221" t="s">
        <v>6363</v>
      </c>
    </row>
    <row r="3505" spans="1:3" x14ac:dyDescent="0.25">
      <c r="A3505" s="222">
        <v>320006</v>
      </c>
      <c r="B3505" s="223" t="s">
        <v>6362</v>
      </c>
      <c r="C3505" s="221" t="s">
        <v>6364</v>
      </c>
    </row>
    <row r="3506" spans="1:3" x14ac:dyDescent="0.25">
      <c r="A3506" s="222">
        <v>320007</v>
      </c>
      <c r="B3506" s="223" t="s">
        <v>6366</v>
      </c>
      <c r="C3506" s="221" t="s">
        <v>6367</v>
      </c>
    </row>
    <row r="3507" spans="1:3" x14ac:dyDescent="0.25">
      <c r="A3507" s="222">
        <v>320007</v>
      </c>
      <c r="B3507" s="223" t="s">
        <v>6366</v>
      </c>
      <c r="C3507" s="221" t="s">
        <v>6365</v>
      </c>
    </row>
    <row r="3508" spans="1:3" x14ac:dyDescent="0.25">
      <c r="A3508" s="222">
        <v>320008</v>
      </c>
      <c r="B3508" s="223" t="s">
        <v>6368</v>
      </c>
      <c r="C3508" s="221" t="s">
        <v>6369</v>
      </c>
    </row>
    <row r="3509" spans="1:3" x14ac:dyDescent="0.25">
      <c r="A3509" s="222">
        <v>320008</v>
      </c>
      <c r="B3509" s="223" t="s">
        <v>6368</v>
      </c>
      <c r="C3509" s="221" t="s">
        <v>6370</v>
      </c>
    </row>
    <row r="3510" spans="1:3" x14ac:dyDescent="0.25">
      <c r="A3510" s="222">
        <v>320008</v>
      </c>
      <c r="B3510" s="223" t="s">
        <v>6368</v>
      </c>
      <c r="C3510" s="221" t="s">
        <v>6371</v>
      </c>
    </row>
    <row r="3511" spans="1:3" x14ac:dyDescent="0.25">
      <c r="A3511" s="222">
        <v>320009</v>
      </c>
      <c r="B3511" s="223" t="s">
        <v>6372</v>
      </c>
      <c r="C3511" s="221" t="s">
        <v>6373</v>
      </c>
    </row>
    <row r="3512" spans="1:3" x14ac:dyDescent="0.25">
      <c r="A3512" s="222">
        <v>320009</v>
      </c>
      <c r="B3512" s="223" t="s">
        <v>6372</v>
      </c>
      <c r="C3512" s="221" t="s">
        <v>6374</v>
      </c>
    </row>
    <row r="3513" spans="1:3" x14ac:dyDescent="0.25">
      <c r="A3513" s="222">
        <v>320010</v>
      </c>
      <c r="B3513" s="223" t="s">
        <v>6375</v>
      </c>
      <c r="C3513" s="221" t="s">
        <v>6376</v>
      </c>
    </row>
    <row r="3514" spans="1:3" x14ac:dyDescent="0.25">
      <c r="A3514" s="222">
        <v>320010</v>
      </c>
      <c r="B3514" s="223" t="s">
        <v>6375</v>
      </c>
      <c r="C3514" s="221" t="s">
        <v>6377</v>
      </c>
    </row>
    <row r="3515" spans="1:3" x14ac:dyDescent="0.25">
      <c r="A3515" s="222">
        <v>320010</v>
      </c>
      <c r="B3515" s="223" t="s">
        <v>6375</v>
      </c>
      <c r="C3515" s="221" t="s">
        <v>6378</v>
      </c>
    </row>
    <row r="3516" spans="1:3" x14ac:dyDescent="0.25">
      <c r="A3516" s="222">
        <v>320011</v>
      </c>
      <c r="B3516" s="223" t="s">
        <v>6379</v>
      </c>
      <c r="C3516" s="221" t="s">
        <v>6380</v>
      </c>
    </row>
    <row r="3517" spans="1:3" x14ac:dyDescent="0.25">
      <c r="A3517" s="222">
        <v>320011</v>
      </c>
      <c r="B3517" s="223" t="s">
        <v>6379</v>
      </c>
      <c r="C3517" s="221" t="s">
        <v>6381</v>
      </c>
    </row>
    <row r="3518" spans="1:3" x14ac:dyDescent="0.25">
      <c r="A3518" s="222">
        <v>320011</v>
      </c>
      <c r="B3518" s="223" t="s">
        <v>6379</v>
      </c>
      <c r="C3518" s="221" t="s">
        <v>6382</v>
      </c>
    </row>
    <row r="3519" spans="1:3" x14ac:dyDescent="0.25">
      <c r="A3519" s="222">
        <v>320012</v>
      </c>
      <c r="B3519" s="223" t="s">
        <v>6383</v>
      </c>
      <c r="C3519" s="221" t="s">
        <v>6384</v>
      </c>
    </row>
    <row r="3520" spans="1:3" x14ac:dyDescent="0.25">
      <c r="A3520" s="222">
        <v>320012</v>
      </c>
      <c r="B3520" s="223" t="s">
        <v>6383</v>
      </c>
      <c r="C3520" s="221" t="s">
        <v>6385</v>
      </c>
    </row>
    <row r="3521" spans="1:3" x14ac:dyDescent="0.25">
      <c r="A3521" s="222">
        <v>320013</v>
      </c>
      <c r="B3521" s="223" t="s">
        <v>6386</v>
      </c>
      <c r="C3521" s="221" t="s">
        <v>6387</v>
      </c>
    </row>
    <row r="3522" spans="1:3" x14ac:dyDescent="0.25">
      <c r="A3522" s="222">
        <v>320013</v>
      </c>
      <c r="B3522" s="223" t="s">
        <v>6386</v>
      </c>
      <c r="C3522" s="221" t="s">
        <v>6388</v>
      </c>
    </row>
    <row r="3523" spans="1:3" x14ac:dyDescent="0.25">
      <c r="A3523" s="222">
        <v>320013</v>
      </c>
      <c r="B3523" s="223" t="s">
        <v>6386</v>
      </c>
      <c r="C3523" s="221" t="s">
        <v>6389</v>
      </c>
    </row>
    <row r="3524" spans="1:3" x14ac:dyDescent="0.25">
      <c r="A3524" s="222">
        <v>320014</v>
      </c>
      <c r="B3524" s="223" t="s">
        <v>6390</v>
      </c>
      <c r="C3524" s="221" t="s">
        <v>6391</v>
      </c>
    </row>
    <row r="3525" spans="1:3" x14ac:dyDescent="0.25">
      <c r="A3525" s="222">
        <v>320014</v>
      </c>
      <c r="B3525" s="223" t="s">
        <v>6390</v>
      </c>
      <c r="C3525" s="221" t="s">
        <v>6392</v>
      </c>
    </row>
    <row r="3526" spans="1:3" x14ac:dyDescent="0.25">
      <c r="A3526" s="222">
        <v>320014</v>
      </c>
      <c r="B3526" s="223" t="s">
        <v>6390</v>
      </c>
      <c r="C3526" s="221" t="s">
        <v>6393</v>
      </c>
    </row>
    <row r="3527" spans="1:3" x14ac:dyDescent="0.25">
      <c r="A3527" s="222">
        <v>320015</v>
      </c>
      <c r="B3527" s="223" t="s">
        <v>6394</v>
      </c>
      <c r="C3527" s="221" t="s">
        <v>6395</v>
      </c>
    </row>
    <row r="3528" spans="1:3" x14ac:dyDescent="0.25">
      <c r="A3528" s="222">
        <v>320015</v>
      </c>
      <c r="B3528" s="223" t="s">
        <v>6394</v>
      </c>
      <c r="C3528" s="221" t="s">
        <v>6396</v>
      </c>
    </row>
    <row r="3529" spans="1:3" x14ac:dyDescent="0.25">
      <c r="A3529" s="222">
        <v>320015</v>
      </c>
      <c r="B3529" s="223" t="s">
        <v>6394</v>
      </c>
      <c r="C3529" s="221" t="s">
        <v>6397</v>
      </c>
    </row>
    <row r="3530" spans="1:3" x14ac:dyDescent="0.25">
      <c r="A3530" s="222">
        <v>320016</v>
      </c>
      <c r="B3530" s="223" t="s">
        <v>6398</v>
      </c>
      <c r="C3530" s="221" t="s">
        <v>6399</v>
      </c>
    </row>
    <row r="3531" spans="1:3" x14ac:dyDescent="0.25">
      <c r="A3531" s="222">
        <v>320016</v>
      </c>
      <c r="B3531" s="223" t="s">
        <v>6398</v>
      </c>
      <c r="C3531" s="221" t="s">
        <v>6400</v>
      </c>
    </row>
    <row r="3532" spans="1:3" x14ac:dyDescent="0.25">
      <c r="A3532" s="222">
        <v>320017</v>
      </c>
      <c r="B3532" s="223" t="s">
        <v>6401</v>
      </c>
      <c r="C3532" s="221" t="s">
        <v>6402</v>
      </c>
    </row>
    <row r="3533" spans="1:3" x14ac:dyDescent="0.25">
      <c r="A3533" s="222">
        <v>320017</v>
      </c>
      <c r="B3533" s="223" t="s">
        <v>6401</v>
      </c>
      <c r="C3533" s="221" t="s">
        <v>6403</v>
      </c>
    </row>
    <row r="3534" spans="1:3" x14ac:dyDescent="0.25">
      <c r="A3534" s="222">
        <v>320018</v>
      </c>
      <c r="B3534" s="223" t="s">
        <v>6404</v>
      </c>
      <c r="C3534" s="221" t="s">
        <v>6405</v>
      </c>
    </row>
    <row r="3535" spans="1:3" x14ac:dyDescent="0.25">
      <c r="A3535" s="222">
        <v>320018</v>
      </c>
      <c r="B3535" s="223" t="s">
        <v>6404</v>
      </c>
      <c r="C3535" s="221" t="s">
        <v>6406</v>
      </c>
    </row>
    <row r="3536" spans="1:3" x14ac:dyDescent="0.25">
      <c r="A3536" s="222">
        <v>320019</v>
      </c>
      <c r="B3536" s="223" t="s">
        <v>6407</v>
      </c>
      <c r="C3536" s="221" t="s">
        <v>6408</v>
      </c>
    </row>
    <row r="3537" spans="1:3" x14ac:dyDescent="0.25">
      <c r="A3537" s="222">
        <v>320019</v>
      </c>
      <c r="B3537" s="223" t="s">
        <v>6407</v>
      </c>
      <c r="C3537" s="221" t="s">
        <v>6409</v>
      </c>
    </row>
    <row r="3538" spans="1:3" x14ac:dyDescent="0.25">
      <c r="A3538" s="222">
        <v>320020</v>
      </c>
      <c r="B3538" s="223" t="s">
        <v>6410</v>
      </c>
      <c r="C3538" s="221" t="s">
        <v>6411</v>
      </c>
    </row>
    <row r="3539" spans="1:3" x14ac:dyDescent="0.25">
      <c r="A3539" s="222">
        <v>320020</v>
      </c>
      <c r="B3539" s="223" t="s">
        <v>6410</v>
      </c>
      <c r="C3539" s="221" t="s">
        <v>6412</v>
      </c>
    </row>
    <row r="3540" spans="1:3" x14ac:dyDescent="0.25">
      <c r="A3540" s="222">
        <v>320020</v>
      </c>
      <c r="B3540" s="223" t="s">
        <v>6410</v>
      </c>
      <c r="C3540" s="221" t="s">
        <v>6413</v>
      </c>
    </row>
    <row r="3541" spans="1:3" x14ac:dyDescent="0.25">
      <c r="A3541" s="222">
        <v>320021</v>
      </c>
      <c r="B3541" s="223" t="s">
        <v>6414</v>
      </c>
      <c r="C3541" s="221" t="s">
        <v>6415</v>
      </c>
    </row>
    <row r="3542" spans="1:3" x14ac:dyDescent="0.25">
      <c r="A3542" s="222">
        <v>320021</v>
      </c>
      <c r="B3542" s="223" t="s">
        <v>6414</v>
      </c>
      <c r="C3542" s="221" t="s">
        <v>6416</v>
      </c>
    </row>
    <row r="3543" spans="1:3" x14ac:dyDescent="0.25">
      <c r="A3543" s="222">
        <v>320021</v>
      </c>
      <c r="B3543" s="223" t="s">
        <v>6414</v>
      </c>
      <c r="C3543" s="221" t="s">
        <v>6417</v>
      </c>
    </row>
    <row r="3544" spans="1:3" x14ac:dyDescent="0.25">
      <c r="A3544" s="222">
        <v>320022</v>
      </c>
      <c r="B3544" s="223" t="s">
        <v>6418</v>
      </c>
      <c r="C3544" s="221" t="s">
        <v>6419</v>
      </c>
    </row>
    <row r="3545" spans="1:3" x14ac:dyDescent="0.25">
      <c r="A3545" s="222">
        <v>320022</v>
      </c>
      <c r="B3545" s="223" t="s">
        <v>6418</v>
      </c>
      <c r="C3545" s="221" t="s">
        <v>6420</v>
      </c>
    </row>
    <row r="3546" spans="1:3" x14ac:dyDescent="0.25">
      <c r="A3546" s="222">
        <v>320022</v>
      </c>
      <c r="B3546" s="223" t="s">
        <v>6418</v>
      </c>
      <c r="C3546" s="221" t="s">
        <v>6421</v>
      </c>
    </row>
    <row r="3547" spans="1:3" x14ac:dyDescent="0.25">
      <c r="A3547" s="222">
        <v>320023</v>
      </c>
      <c r="B3547" s="223" t="s">
        <v>6422</v>
      </c>
      <c r="C3547" s="221" t="s">
        <v>6423</v>
      </c>
    </row>
    <row r="3548" spans="1:3" x14ac:dyDescent="0.25">
      <c r="A3548" s="222">
        <v>320023</v>
      </c>
      <c r="B3548" s="223" t="s">
        <v>6422</v>
      </c>
      <c r="C3548" s="221" t="s">
        <v>6424</v>
      </c>
    </row>
    <row r="3549" spans="1:3" x14ac:dyDescent="0.25">
      <c r="A3549" s="222">
        <v>320023</v>
      </c>
      <c r="B3549" s="223" t="s">
        <v>6422</v>
      </c>
      <c r="C3549" s="221" t="s">
        <v>6425</v>
      </c>
    </row>
    <row r="3550" spans="1:3" x14ac:dyDescent="0.25">
      <c r="A3550" s="222">
        <v>320024</v>
      </c>
      <c r="B3550" s="223" t="s">
        <v>6427</v>
      </c>
      <c r="C3550" s="221" t="s">
        <v>6428</v>
      </c>
    </row>
    <row r="3551" spans="1:3" x14ac:dyDescent="0.25">
      <c r="A3551" s="222">
        <v>320024</v>
      </c>
      <c r="B3551" s="223" t="s">
        <v>6427</v>
      </c>
      <c r="C3551" s="221" t="s">
        <v>6426</v>
      </c>
    </row>
    <row r="3552" spans="1:3" x14ac:dyDescent="0.25">
      <c r="A3552" s="222">
        <v>320025</v>
      </c>
      <c r="B3552" s="223" t="s">
        <v>6427</v>
      </c>
      <c r="C3552" s="221" t="s">
        <v>6430</v>
      </c>
    </row>
    <row r="3553" spans="1:3" x14ac:dyDescent="0.25">
      <c r="A3553" s="222">
        <v>320025</v>
      </c>
      <c r="B3553" s="223" t="s">
        <v>6427</v>
      </c>
      <c r="C3553" s="221" t="s">
        <v>6429</v>
      </c>
    </row>
    <row r="3554" spans="1:3" x14ac:dyDescent="0.25">
      <c r="A3554" s="222">
        <v>320026</v>
      </c>
      <c r="B3554" s="223" t="s">
        <v>6427</v>
      </c>
      <c r="C3554" s="221" t="s">
        <v>6432</v>
      </c>
    </row>
    <row r="3555" spans="1:3" x14ac:dyDescent="0.25">
      <c r="A3555" s="222">
        <v>320026</v>
      </c>
      <c r="B3555" s="223" t="s">
        <v>6427</v>
      </c>
      <c r="C3555" s="221" t="s">
        <v>6431</v>
      </c>
    </row>
    <row r="3556" spans="1:3" x14ac:dyDescent="0.25">
      <c r="A3556" s="222">
        <v>320027</v>
      </c>
      <c r="B3556" s="223" t="s">
        <v>6427</v>
      </c>
      <c r="C3556" s="221" t="s">
        <v>6434</v>
      </c>
    </row>
    <row r="3557" spans="1:3" x14ac:dyDescent="0.25">
      <c r="A3557" s="222">
        <v>320027</v>
      </c>
      <c r="B3557" s="223" t="s">
        <v>6427</v>
      </c>
      <c r="C3557" s="221" t="s">
        <v>6433</v>
      </c>
    </row>
    <row r="3558" spans="1:3" x14ac:dyDescent="0.25">
      <c r="A3558" s="222">
        <v>320028</v>
      </c>
      <c r="B3558" s="223" t="s">
        <v>6427</v>
      </c>
      <c r="C3558" s="221" t="s">
        <v>6436</v>
      </c>
    </row>
    <row r="3559" spans="1:3" x14ac:dyDescent="0.25">
      <c r="A3559" s="222">
        <v>320028</v>
      </c>
      <c r="B3559" s="223" t="s">
        <v>6427</v>
      </c>
      <c r="C3559" s="221" t="s">
        <v>6435</v>
      </c>
    </row>
    <row r="3560" spans="1:3" x14ac:dyDescent="0.25">
      <c r="A3560" s="222">
        <v>320029</v>
      </c>
      <c r="B3560" s="223" t="s">
        <v>6438</v>
      </c>
      <c r="C3560" s="221" t="s">
        <v>6439</v>
      </c>
    </row>
    <row r="3561" spans="1:3" x14ac:dyDescent="0.25">
      <c r="A3561" s="222">
        <v>320029</v>
      </c>
      <c r="B3561" s="223" t="s">
        <v>6438</v>
      </c>
      <c r="C3561" s="221" t="s">
        <v>6437</v>
      </c>
    </row>
    <row r="3562" spans="1:3" x14ac:dyDescent="0.25">
      <c r="A3562" s="222">
        <v>320030</v>
      </c>
      <c r="B3562" s="223" t="s">
        <v>6440</v>
      </c>
      <c r="C3562" s="221" t="s">
        <v>6441</v>
      </c>
    </row>
    <row r="3563" spans="1:3" x14ac:dyDescent="0.25">
      <c r="A3563" s="222">
        <v>320030</v>
      </c>
      <c r="B3563" s="223" t="s">
        <v>6440</v>
      </c>
      <c r="C3563" s="221" t="s">
        <v>6442</v>
      </c>
    </row>
    <row r="3564" spans="1:3" x14ac:dyDescent="0.25">
      <c r="A3564" s="222">
        <v>320030</v>
      </c>
      <c r="B3564" s="223" t="s">
        <v>6440</v>
      </c>
      <c r="C3564" s="221" t="s">
        <v>6443</v>
      </c>
    </row>
    <row r="3565" spans="1:3" x14ac:dyDescent="0.25">
      <c r="A3565" s="222">
        <v>320031</v>
      </c>
      <c r="B3565" s="223" t="s">
        <v>6445</v>
      </c>
      <c r="C3565" s="221" t="s">
        <v>6446</v>
      </c>
    </row>
    <row r="3566" spans="1:3" x14ac:dyDescent="0.25">
      <c r="A3566" s="222">
        <v>320031</v>
      </c>
      <c r="B3566" s="223" t="s">
        <v>6445</v>
      </c>
      <c r="C3566" s="221" t="s">
        <v>6444</v>
      </c>
    </row>
    <row r="3567" spans="1:3" x14ac:dyDescent="0.25">
      <c r="A3567" s="222">
        <v>320032</v>
      </c>
      <c r="B3567" s="223" t="s">
        <v>6448</v>
      </c>
      <c r="C3567" s="221" t="s">
        <v>6449</v>
      </c>
    </row>
    <row r="3568" spans="1:3" x14ac:dyDescent="0.25">
      <c r="A3568" s="222">
        <v>320032</v>
      </c>
      <c r="B3568" s="223" t="s">
        <v>6448</v>
      </c>
      <c r="C3568" s="221" t="s">
        <v>6447</v>
      </c>
    </row>
    <row r="3569" spans="1:3" x14ac:dyDescent="0.25">
      <c r="A3569" s="222">
        <v>320033</v>
      </c>
      <c r="B3569" s="223" t="s">
        <v>6451</v>
      </c>
      <c r="C3569" s="221" t="s">
        <v>6452</v>
      </c>
    </row>
    <row r="3570" spans="1:3" x14ac:dyDescent="0.25">
      <c r="A3570" s="222">
        <v>320033</v>
      </c>
      <c r="B3570" s="223" t="s">
        <v>6451</v>
      </c>
      <c r="C3570" s="221" t="s">
        <v>6450</v>
      </c>
    </row>
    <row r="3571" spans="1:3" x14ac:dyDescent="0.25">
      <c r="A3571" s="222">
        <v>320034</v>
      </c>
      <c r="B3571" s="223" t="s">
        <v>6454</v>
      </c>
      <c r="C3571" s="221" t="s">
        <v>6455</v>
      </c>
    </row>
    <row r="3572" spans="1:3" x14ac:dyDescent="0.25">
      <c r="A3572" s="222">
        <v>320034</v>
      </c>
      <c r="B3572" s="223" t="s">
        <v>6454</v>
      </c>
      <c r="C3572" s="221" t="s">
        <v>6453</v>
      </c>
    </row>
    <row r="3573" spans="1:3" x14ac:dyDescent="0.25">
      <c r="A3573" s="222">
        <v>320035</v>
      </c>
      <c r="B3573" s="223" t="s">
        <v>6457</v>
      </c>
      <c r="C3573" s="221" t="s">
        <v>6458</v>
      </c>
    </row>
    <row r="3574" spans="1:3" x14ac:dyDescent="0.25">
      <c r="A3574" s="222">
        <v>320035</v>
      </c>
      <c r="B3574" s="223" t="s">
        <v>6457</v>
      </c>
      <c r="C3574" s="221" t="s">
        <v>6456</v>
      </c>
    </row>
    <row r="3575" spans="1:3" x14ac:dyDescent="0.25">
      <c r="A3575" s="222">
        <v>320036</v>
      </c>
      <c r="B3575" s="223" t="s">
        <v>6457</v>
      </c>
      <c r="C3575" s="221" t="s">
        <v>6460</v>
      </c>
    </row>
    <row r="3576" spans="1:3" x14ac:dyDescent="0.25">
      <c r="A3576" s="222">
        <v>320036</v>
      </c>
      <c r="B3576" s="223" t="s">
        <v>6457</v>
      </c>
      <c r="C3576" s="221" t="s">
        <v>6459</v>
      </c>
    </row>
    <row r="3577" spans="1:3" x14ac:dyDescent="0.25">
      <c r="A3577" s="222">
        <v>320037</v>
      </c>
      <c r="B3577" s="223" t="s">
        <v>6462</v>
      </c>
      <c r="C3577" s="221" t="s">
        <v>6463</v>
      </c>
    </row>
    <row r="3578" spans="1:3" x14ac:dyDescent="0.25">
      <c r="A3578" s="222">
        <v>320037</v>
      </c>
      <c r="B3578" s="223" t="s">
        <v>6462</v>
      </c>
      <c r="C3578" s="221" t="s">
        <v>6461</v>
      </c>
    </row>
    <row r="3579" spans="1:3" x14ac:dyDescent="0.25">
      <c r="A3579" s="222">
        <v>320038</v>
      </c>
      <c r="B3579" s="223" t="s">
        <v>6465</v>
      </c>
      <c r="C3579" s="221" t="s">
        <v>6466</v>
      </c>
    </row>
    <row r="3580" spans="1:3" x14ac:dyDescent="0.25">
      <c r="A3580" s="222">
        <v>320038</v>
      </c>
      <c r="B3580" s="223" t="s">
        <v>6465</v>
      </c>
      <c r="C3580" s="221" t="s">
        <v>6464</v>
      </c>
    </row>
    <row r="3581" spans="1:3" x14ac:dyDescent="0.25">
      <c r="A3581" s="222">
        <v>320039</v>
      </c>
      <c r="B3581" s="223" t="s">
        <v>6465</v>
      </c>
      <c r="C3581" s="221" t="s">
        <v>6468</v>
      </c>
    </row>
    <row r="3582" spans="1:3" x14ac:dyDescent="0.25">
      <c r="A3582" s="222">
        <v>320039</v>
      </c>
      <c r="B3582" s="223" t="s">
        <v>6465</v>
      </c>
      <c r="C3582" s="221" t="s">
        <v>6467</v>
      </c>
    </row>
    <row r="3583" spans="1:3" x14ac:dyDescent="0.25">
      <c r="A3583" s="222">
        <v>320040</v>
      </c>
      <c r="B3583" s="223" t="s">
        <v>6470</v>
      </c>
      <c r="C3583" s="221" t="s">
        <v>6471</v>
      </c>
    </row>
    <row r="3584" spans="1:3" x14ac:dyDescent="0.25">
      <c r="A3584" s="222">
        <v>320040</v>
      </c>
      <c r="B3584" s="223" t="s">
        <v>6470</v>
      </c>
      <c r="C3584" s="221" t="s">
        <v>6469</v>
      </c>
    </row>
    <row r="3585" spans="1:3" x14ac:dyDescent="0.25">
      <c r="A3585" s="222">
        <v>320041</v>
      </c>
      <c r="B3585" s="223" t="s">
        <v>6473</v>
      </c>
      <c r="C3585" s="221" t="s">
        <v>6474</v>
      </c>
    </row>
    <row r="3586" spans="1:3" x14ac:dyDescent="0.25">
      <c r="A3586" s="222">
        <v>320041</v>
      </c>
      <c r="B3586" s="223" t="s">
        <v>6473</v>
      </c>
      <c r="C3586" s="221" t="s">
        <v>6472</v>
      </c>
    </row>
    <row r="3587" spans="1:3" x14ac:dyDescent="0.25">
      <c r="A3587" s="222">
        <v>320042</v>
      </c>
      <c r="B3587" s="223" t="s">
        <v>6476</v>
      </c>
      <c r="C3587" s="221" t="s">
        <v>6477</v>
      </c>
    </row>
    <row r="3588" spans="1:3" x14ac:dyDescent="0.25">
      <c r="A3588" s="222">
        <v>320042</v>
      </c>
      <c r="B3588" s="223" t="s">
        <v>6476</v>
      </c>
      <c r="C3588" s="221" t="s">
        <v>6475</v>
      </c>
    </row>
    <row r="3589" spans="1:3" x14ac:dyDescent="0.25">
      <c r="A3589" s="222">
        <v>320043</v>
      </c>
      <c r="B3589" s="223" t="s">
        <v>6476</v>
      </c>
      <c r="C3589" s="221" t="s">
        <v>6479</v>
      </c>
    </row>
    <row r="3590" spans="1:3" x14ac:dyDescent="0.25">
      <c r="A3590" s="222">
        <v>320043</v>
      </c>
      <c r="B3590" s="223" t="s">
        <v>6476</v>
      </c>
      <c r="C3590" s="221" t="s">
        <v>6478</v>
      </c>
    </row>
    <row r="3591" spans="1:3" x14ac:dyDescent="0.25">
      <c r="A3591" s="222">
        <v>320044</v>
      </c>
      <c r="B3591" s="223" t="s">
        <v>6480</v>
      </c>
      <c r="C3591" s="221" t="s">
        <v>6481</v>
      </c>
    </row>
    <row r="3592" spans="1:3" x14ac:dyDescent="0.25">
      <c r="A3592" s="222">
        <v>320044</v>
      </c>
      <c r="B3592" s="223" t="s">
        <v>6480</v>
      </c>
      <c r="C3592" s="221" t="s">
        <v>6482</v>
      </c>
    </row>
    <row r="3593" spans="1:3" x14ac:dyDescent="0.25">
      <c r="A3593" s="222">
        <v>320044</v>
      </c>
      <c r="B3593" s="223" t="s">
        <v>6480</v>
      </c>
      <c r="C3593" s="221" t="s">
        <v>6483</v>
      </c>
    </row>
    <row r="3594" spans="1:3" x14ac:dyDescent="0.25">
      <c r="A3594" s="222">
        <v>320045</v>
      </c>
      <c r="B3594" s="223" t="s">
        <v>6484</v>
      </c>
      <c r="C3594" s="221" t="s">
        <v>6485</v>
      </c>
    </row>
    <row r="3595" spans="1:3" x14ac:dyDescent="0.25">
      <c r="A3595" s="222">
        <v>320045</v>
      </c>
      <c r="B3595" s="223" t="s">
        <v>6484</v>
      </c>
      <c r="C3595" s="221" t="s">
        <v>6486</v>
      </c>
    </row>
    <row r="3596" spans="1:3" x14ac:dyDescent="0.25">
      <c r="A3596" s="222">
        <v>320046</v>
      </c>
      <c r="B3596" s="223" t="s">
        <v>6487</v>
      </c>
      <c r="C3596" s="221" t="s">
        <v>6488</v>
      </c>
    </row>
    <row r="3597" spans="1:3" x14ac:dyDescent="0.25">
      <c r="A3597" s="222">
        <v>320046</v>
      </c>
      <c r="B3597" s="223" t="s">
        <v>6487</v>
      </c>
      <c r="C3597" s="221" t="s">
        <v>6489</v>
      </c>
    </row>
    <row r="3598" spans="1:3" x14ac:dyDescent="0.25">
      <c r="A3598" s="222">
        <v>320047</v>
      </c>
      <c r="B3598" s="223" t="s">
        <v>6490</v>
      </c>
      <c r="C3598" s="221" t="s">
        <v>6491</v>
      </c>
    </row>
    <row r="3599" spans="1:3" x14ac:dyDescent="0.25">
      <c r="A3599" s="222">
        <v>320047</v>
      </c>
      <c r="B3599" s="223" t="s">
        <v>6490</v>
      </c>
      <c r="C3599" s="221" t="s">
        <v>6492</v>
      </c>
    </row>
    <row r="3600" spans="1:3" x14ac:dyDescent="0.25">
      <c r="A3600" s="222">
        <v>320047</v>
      </c>
      <c r="B3600" s="223" t="s">
        <v>6490</v>
      </c>
      <c r="C3600" s="221" t="s">
        <v>6493</v>
      </c>
    </row>
    <row r="3601" spans="1:3" x14ac:dyDescent="0.25">
      <c r="A3601" s="222">
        <v>320048</v>
      </c>
      <c r="B3601" s="223" t="s">
        <v>6494</v>
      </c>
      <c r="C3601" s="221" t="s">
        <v>6495</v>
      </c>
    </row>
    <row r="3602" spans="1:3" x14ac:dyDescent="0.25">
      <c r="A3602" s="222">
        <v>320048</v>
      </c>
      <c r="B3602" s="223" t="s">
        <v>6494</v>
      </c>
      <c r="C3602" s="221" t="s">
        <v>6496</v>
      </c>
    </row>
    <row r="3603" spans="1:3" x14ac:dyDescent="0.25">
      <c r="A3603" s="222">
        <v>320048</v>
      </c>
      <c r="B3603" s="223" t="s">
        <v>6494</v>
      </c>
      <c r="C3603" s="221" t="s">
        <v>6497</v>
      </c>
    </row>
    <row r="3604" spans="1:3" x14ac:dyDescent="0.25">
      <c r="A3604" s="222">
        <v>320049</v>
      </c>
      <c r="B3604" s="223" t="s">
        <v>6498</v>
      </c>
      <c r="C3604" s="221" t="s">
        <v>6499</v>
      </c>
    </row>
    <row r="3605" spans="1:3" x14ac:dyDescent="0.25">
      <c r="A3605" s="222">
        <v>320049</v>
      </c>
      <c r="B3605" s="223" t="s">
        <v>6498</v>
      </c>
      <c r="C3605" s="221" t="s">
        <v>6500</v>
      </c>
    </row>
    <row r="3606" spans="1:3" x14ac:dyDescent="0.25">
      <c r="A3606" s="222">
        <v>320050</v>
      </c>
      <c r="B3606" s="223" t="s">
        <v>6501</v>
      </c>
      <c r="C3606" s="221" t="s">
        <v>6502</v>
      </c>
    </row>
    <row r="3607" spans="1:3" x14ac:dyDescent="0.25">
      <c r="A3607" s="222">
        <v>320050</v>
      </c>
      <c r="B3607" s="223" t="s">
        <v>6501</v>
      </c>
      <c r="C3607" s="221" t="s">
        <v>6503</v>
      </c>
    </row>
    <row r="3608" spans="1:3" x14ac:dyDescent="0.25">
      <c r="A3608" s="222">
        <v>320050</v>
      </c>
      <c r="B3608" s="223" t="s">
        <v>6501</v>
      </c>
      <c r="C3608" s="221" t="s">
        <v>6504</v>
      </c>
    </row>
    <row r="3609" spans="1:3" x14ac:dyDescent="0.25">
      <c r="A3609" s="222">
        <v>320051</v>
      </c>
      <c r="B3609" s="223" t="s">
        <v>6505</v>
      </c>
      <c r="C3609" s="221" t="s">
        <v>6506</v>
      </c>
    </row>
    <row r="3610" spans="1:3" x14ac:dyDescent="0.25">
      <c r="A3610" s="222">
        <v>320051</v>
      </c>
      <c r="B3610" s="223" t="s">
        <v>6505</v>
      </c>
      <c r="C3610" s="221" t="s">
        <v>6507</v>
      </c>
    </row>
    <row r="3611" spans="1:3" x14ac:dyDescent="0.25">
      <c r="A3611" s="222">
        <v>320052</v>
      </c>
      <c r="B3611" s="223" t="s">
        <v>6508</v>
      </c>
      <c r="C3611" s="221" t="s">
        <v>6509</v>
      </c>
    </row>
    <row r="3612" spans="1:3" x14ac:dyDescent="0.25">
      <c r="A3612" s="222">
        <v>320052</v>
      </c>
      <c r="B3612" s="223" t="s">
        <v>6508</v>
      </c>
      <c r="C3612" s="221" t="s">
        <v>6510</v>
      </c>
    </row>
    <row r="3613" spans="1:3" x14ac:dyDescent="0.25">
      <c r="A3613" s="222">
        <v>320053</v>
      </c>
      <c r="B3613" s="223" t="s">
        <v>6511</v>
      </c>
      <c r="C3613" s="221" t="s">
        <v>6512</v>
      </c>
    </row>
    <row r="3614" spans="1:3" x14ac:dyDescent="0.25">
      <c r="A3614" s="222">
        <v>320053</v>
      </c>
      <c r="B3614" s="223" t="s">
        <v>6511</v>
      </c>
      <c r="C3614" s="221" t="s">
        <v>6513</v>
      </c>
    </row>
    <row r="3615" spans="1:3" x14ac:dyDescent="0.25">
      <c r="A3615" s="222">
        <v>320053</v>
      </c>
      <c r="B3615" s="223" t="s">
        <v>6511</v>
      </c>
      <c r="C3615" s="221" t="s">
        <v>6514</v>
      </c>
    </row>
    <row r="3616" spans="1:3" x14ac:dyDescent="0.25">
      <c r="A3616" s="222">
        <v>320054</v>
      </c>
      <c r="B3616" s="223" t="s">
        <v>6515</v>
      </c>
      <c r="C3616" s="221" t="s">
        <v>6516</v>
      </c>
    </row>
    <row r="3617" spans="1:3" x14ac:dyDescent="0.25">
      <c r="A3617" s="222">
        <v>320054</v>
      </c>
      <c r="B3617" s="223" t="s">
        <v>6515</v>
      </c>
      <c r="C3617" s="221" t="s">
        <v>6517</v>
      </c>
    </row>
    <row r="3618" spans="1:3" x14ac:dyDescent="0.25">
      <c r="A3618" s="222">
        <v>320054</v>
      </c>
      <c r="B3618" s="223" t="s">
        <v>6515</v>
      </c>
      <c r="C3618" s="221" t="s">
        <v>6518</v>
      </c>
    </row>
    <row r="3619" spans="1:3" x14ac:dyDescent="0.25">
      <c r="A3619" s="222">
        <v>320055</v>
      </c>
      <c r="B3619" s="223" t="s">
        <v>6519</v>
      </c>
      <c r="C3619" s="221" t="s">
        <v>6520</v>
      </c>
    </row>
    <row r="3620" spans="1:3" x14ac:dyDescent="0.25">
      <c r="A3620" s="222">
        <v>320055</v>
      </c>
      <c r="B3620" s="223" t="s">
        <v>6519</v>
      </c>
      <c r="C3620" s="221" t="s">
        <v>6521</v>
      </c>
    </row>
    <row r="3621" spans="1:3" x14ac:dyDescent="0.25">
      <c r="A3621" s="222">
        <v>320056</v>
      </c>
      <c r="B3621" s="223" t="s">
        <v>6522</v>
      </c>
      <c r="C3621" s="221" t="s">
        <v>6523</v>
      </c>
    </row>
    <row r="3622" spans="1:3" x14ac:dyDescent="0.25">
      <c r="A3622" s="222">
        <v>320056</v>
      </c>
      <c r="B3622" s="223" t="s">
        <v>6522</v>
      </c>
      <c r="C3622" s="221" t="s">
        <v>6524</v>
      </c>
    </row>
    <row r="3623" spans="1:3" x14ac:dyDescent="0.25">
      <c r="A3623" s="222">
        <v>320057</v>
      </c>
      <c r="B3623" s="223" t="s">
        <v>6525</v>
      </c>
      <c r="C3623" s="221" t="s">
        <v>6526</v>
      </c>
    </row>
    <row r="3624" spans="1:3" x14ac:dyDescent="0.25">
      <c r="A3624" s="222">
        <v>320057</v>
      </c>
      <c r="B3624" s="223" t="s">
        <v>6525</v>
      </c>
      <c r="C3624" s="221" t="s">
        <v>6527</v>
      </c>
    </row>
    <row r="3625" spans="1:3" x14ac:dyDescent="0.25">
      <c r="A3625" s="222">
        <v>320057</v>
      </c>
      <c r="B3625" s="223" t="s">
        <v>6525</v>
      </c>
      <c r="C3625" s="221" t="s">
        <v>6528</v>
      </c>
    </row>
    <row r="3626" spans="1:3" x14ac:dyDescent="0.25">
      <c r="A3626" s="222">
        <v>320058</v>
      </c>
      <c r="B3626" s="223" t="s">
        <v>6529</v>
      </c>
      <c r="C3626" s="221" t="s">
        <v>6530</v>
      </c>
    </row>
    <row r="3627" spans="1:3" x14ac:dyDescent="0.25">
      <c r="A3627" s="222">
        <v>320058</v>
      </c>
      <c r="B3627" s="223" t="s">
        <v>6529</v>
      </c>
      <c r="C3627" s="221" t="s">
        <v>6531</v>
      </c>
    </row>
    <row r="3628" spans="1:3" x14ac:dyDescent="0.25">
      <c r="A3628" s="222">
        <v>320059</v>
      </c>
      <c r="B3628" s="223" t="s">
        <v>6532</v>
      </c>
      <c r="C3628" s="221" t="s">
        <v>6533</v>
      </c>
    </row>
    <row r="3629" spans="1:3" x14ac:dyDescent="0.25">
      <c r="A3629" s="222">
        <v>320059</v>
      </c>
      <c r="B3629" s="223" t="s">
        <v>6532</v>
      </c>
      <c r="C3629" s="221" t="s">
        <v>6534</v>
      </c>
    </row>
    <row r="3630" spans="1:3" x14ac:dyDescent="0.25">
      <c r="A3630" s="222">
        <v>320060</v>
      </c>
      <c r="B3630" s="223" t="s">
        <v>102</v>
      </c>
      <c r="C3630" s="221" t="s">
        <v>6535</v>
      </c>
    </row>
    <row r="3631" spans="1:3" x14ac:dyDescent="0.25">
      <c r="A3631" s="222">
        <v>320060</v>
      </c>
      <c r="B3631" s="223" t="s">
        <v>102</v>
      </c>
      <c r="C3631" s="221" t="s">
        <v>6536</v>
      </c>
    </row>
    <row r="3632" spans="1:3" x14ac:dyDescent="0.25">
      <c r="A3632" s="222">
        <v>320061</v>
      </c>
      <c r="B3632" s="223" t="s">
        <v>6537</v>
      </c>
      <c r="C3632" s="221" t="s">
        <v>6538</v>
      </c>
    </row>
    <row r="3633" spans="1:3" x14ac:dyDescent="0.25">
      <c r="A3633" s="222">
        <v>320061</v>
      </c>
      <c r="B3633" s="223" t="s">
        <v>6537</v>
      </c>
      <c r="C3633" s="221" t="s">
        <v>6539</v>
      </c>
    </row>
    <row r="3634" spans="1:3" x14ac:dyDescent="0.25">
      <c r="A3634" s="222">
        <v>320062</v>
      </c>
      <c r="B3634" s="223" t="s">
        <v>6540</v>
      </c>
      <c r="C3634" s="221" t="s">
        <v>6541</v>
      </c>
    </row>
    <row r="3635" spans="1:3" x14ac:dyDescent="0.25">
      <c r="A3635" s="222">
        <v>320062</v>
      </c>
      <c r="B3635" s="223" t="s">
        <v>6540</v>
      </c>
      <c r="C3635" s="221" t="s">
        <v>6542</v>
      </c>
    </row>
    <row r="3636" spans="1:3" x14ac:dyDescent="0.25">
      <c r="A3636" s="222">
        <v>320063</v>
      </c>
      <c r="B3636" s="223" t="s">
        <v>6543</v>
      </c>
      <c r="C3636" s="221" t="s">
        <v>6544</v>
      </c>
    </row>
    <row r="3637" spans="1:3" x14ac:dyDescent="0.25">
      <c r="A3637" s="222">
        <v>320063</v>
      </c>
      <c r="B3637" s="223" t="s">
        <v>6543</v>
      </c>
      <c r="C3637" s="221" t="s">
        <v>6545</v>
      </c>
    </row>
    <row r="3638" spans="1:3" x14ac:dyDescent="0.25">
      <c r="A3638" s="222">
        <v>320064</v>
      </c>
      <c r="B3638" s="223" t="s">
        <v>6546</v>
      </c>
      <c r="C3638" s="221" t="s">
        <v>6547</v>
      </c>
    </row>
    <row r="3639" spans="1:3" x14ac:dyDescent="0.25">
      <c r="A3639" s="222">
        <v>320064</v>
      </c>
      <c r="B3639" s="223" t="s">
        <v>6546</v>
      </c>
      <c r="C3639" s="221" t="s">
        <v>6548</v>
      </c>
    </row>
    <row r="3640" spans="1:3" x14ac:dyDescent="0.25">
      <c r="A3640" s="222">
        <v>320065</v>
      </c>
      <c r="B3640" s="223" t="s">
        <v>6549</v>
      </c>
      <c r="C3640" s="221" t="s">
        <v>6550</v>
      </c>
    </row>
    <row r="3641" spans="1:3" x14ac:dyDescent="0.25">
      <c r="A3641" s="222">
        <v>320065</v>
      </c>
      <c r="B3641" s="223" t="s">
        <v>6549</v>
      </c>
      <c r="C3641" s="221" t="s">
        <v>6551</v>
      </c>
    </row>
    <row r="3642" spans="1:3" x14ac:dyDescent="0.25">
      <c r="A3642" s="222">
        <v>320065</v>
      </c>
      <c r="B3642" s="223" t="s">
        <v>6549</v>
      </c>
      <c r="C3642" s="221" t="s">
        <v>6552</v>
      </c>
    </row>
    <row r="3643" spans="1:3" x14ac:dyDescent="0.25">
      <c r="A3643" s="222">
        <v>320066</v>
      </c>
      <c r="B3643" s="223" t="s">
        <v>6553</v>
      </c>
      <c r="C3643" s="221" t="s">
        <v>6554</v>
      </c>
    </row>
    <row r="3644" spans="1:3" x14ac:dyDescent="0.25">
      <c r="A3644" s="222">
        <v>320066</v>
      </c>
      <c r="B3644" s="223" t="s">
        <v>6553</v>
      </c>
      <c r="C3644" s="221" t="s">
        <v>6555</v>
      </c>
    </row>
    <row r="3645" spans="1:3" x14ac:dyDescent="0.25">
      <c r="A3645" s="222">
        <v>320066</v>
      </c>
      <c r="B3645" s="223" t="s">
        <v>6553</v>
      </c>
      <c r="C3645" s="221" t="s">
        <v>6556</v>
      </c>
    </row>
    <row r="3646" spans="1:3" x14ac:dyDescent="0.25">
      <c r="A3646" s="222">
        <v>320067</v>
      </c>
      <c r="B3646" s="223" t="s">
        <v>6557</v>
      </c>
      <c r="C3646" s="221" t="s">
        <v>6558</v>
      </c>
    </row>
    <row r="3647" spans="1:3" x14ac:dyDescent="0.25">
      <c r="A3647" s="222">
        <v>320067</v>
      </c>
      <c r="B3647" s="223" t="s">
        <v>6557</v>
      </c>
      <c r="C3647" s="221" t="s">
        <v>6559</v>
      </c>
    </row>
    <row r="3648" spans="1:3" x14ac:dyDescent="0.25">
      <c r="A3648" s="222">
        <v>320068</v>
      </c>
      <c r="B3648" s="223" t="s">
        <v>6561</v>
      </c>
      <c r="C3648" s="221" t="s">
        <v>6562</v>
      </c>
    </row>
    <row r="3649" spans="1:3" x14ac:dyDescent="0.25">
      <c r="A3649" s="222">
        <v>320068</v>
      </c>
      <c r="B3649" s="223" t="s">
        <v>6561</v>
      </c>
      <c r="C3649" s="221" t="s">
        <v>6560</v>
      </c>
    </row>
    <row r="3650" spans="1:3" x14ac:dyDescent="0.25">
      <c r="A3650" s="222">
        <v>320069</v>
      </c>
      <c r="B3650" s="223" t="s">
        <v>6563</v>
      </c>
      <c r="C3650" s="221" t="s">
        <v>6564</v>
      </c>
    </row>
    <row r="3651" spans="1:3" x14ac:dyDescent="0.25">
      <c r="A3651" s="222">
        <v>320069</v>
      </c>
      <c r="B3651" s="223" t="s">
        <v>6563</v>
      </c>
      <c r="C3651" s="221" t="s">
        <v>6565</v>
      </c>
    </row>
    <row r="3652" spans="1:3" x14ac:dyDescent="0.25">
      <c r="A3652" s="222">
        <v>320070</v>
      </c>
      <c r="B3652" s="223" t="s">
        <v>6567</v>
      </c>
      <c r="C3652" s="221" t="s">
        <v>6568</v>
      </c>
    </row>
    <row r="3653" spans="1:3" x14ac:dyDescent="0.25">
      <c r="A3653" s="222">
        <v>320070</v>
      </c>
      <c r="B3653" s="223" t="s">
        <v>6567</v>
      </c>
      <c r="C3653" s="221" t="s">
        <v>6566</v>
      </c>
    </row>
    <row r="3654" spans="1:3" x14ac:dyDescent="0.25">
      <c r="A3654" s="222">
        <v>320071</v>
      </c>
      <c r="B3654" s="223" t="s">
        <v>6569</v>
      </c>
      <c r="C3654" s="221" t="s">
        <v>6570</v>
      </c>
    </row>
    <row r="3655" spans="1:3" x14ac:dyDescent="0.25">
      <c r="A3655" s="222">
        <v>320071</v>
      </c>
      <c r="B3655" s="223" t="s">
        <v>6569</v>
      </c>
      <c r="C3655" s="221" t="s">
        <v>6571</v>
      </c>
    </row>
    <row r="3656" spans="1:3" x14ac:dyDescent="0.25">
      <c r="A3656" s="222">
        <v>320071</v>
      </c>
      <c r="B3656" s="223" t="s">
        <v>6569</v>
      </c>
      <c r="C3656" s="221" t="s">
        <v>6572</v>
      </c>
    </row>
    <row r="3657" spans="1:3" x14ac:dyDescent="0.25">
      <c r="A3657" s="222">
        <v>320072</v>
      </c>
      <c r="B3657" s="223" t="s">
        <v>6573</v>
      </c>
      <c r="C3657" s="221" t="s">
        <v>6574</v>
      </c>
    </row>
    <row r="3658" spans="1:3" x14ac:dyDescent="0.25">
      <c r="A3658" s="222">
        <v>320072</v>
      </c>
      <c r="B3658" s="223" t="s">
        <v>6573</v>
      </c>
      <c r="C3658" s="221" t="s">
        <v>6575</v>
      </c>
    </row>
    <row r="3659" spans="1:3" x14ac:dyDescent="0.25">
      <c r="A3659" s="222">
        <v>320072</v>
      </c>
      <c r="B3659" s="223" t="s">
        <v>6573</v>
      </c>
      <c r="C3659" s="221" t="s">
        <v>6576</v>
      </c>
    </row>
    <row r="3660" spans="1:3" x14ac:dyDescent="0.25">
      <c r="A3660" s="222">
        <v>320073</v>
      </c>
      <c r="B3660" s="223" t="s">
        <v>6577</v>
      </c>
      <c r="C3660" s="221" t="s">
        <v>6578</v>
      </c>
    </row>
    <row r="3661" spans="1:3" x14ac:dyDescent="0.25">
      <c r="A3661" s="222">
        <v>320073</v>
      </c>
      <c r="B3661" s="223" t="s">
        <v>6577</v>
      </c>
      <c r="C3661" s="221" t="s">
        <v>6579</v>
      </c>
    </row>
    <row r="3662" spans="1:3" x14ac:dyDescent="0.25">
      <c r="A3662" s="222">
        <v>320073</v>
      </c>
      <c r="B3662" s="223" t="s">
        <v>6577</v>
      </c>
      <c r="C3662" s="221" t="s">
        <v>6580</v>
      </c>
    </row>
    <row r="3663" spans="1:3" x14ac:dyDescent="0.25">
      <c r="A3663" s="222">
        <v>320074</v>
      </c>
      <c r="B3663" s="223" t="s">
        <v>6581</v>
      </c>
      <c r="C3663" s="221" t="s">
        <v>6582</v>
      </c>
    </row>
    <row r="3664" spans="1:3" x14ac:dyDescent="0.25">
      <c r="A3664" s="222">
        <v>320074</v>
      </c>
      <c r="B3664" s="223" t="s">
        <v>6581</v>
      </c>
      <c r="C3664" s="221" t="s">
        <v>6583</v>
      </c>
    </row>
    <row r="3665" spans="1:3" x14ac:dyDescent="0.25">
      <c r="A3665" s="222">
        <v>320074</v>
      </c>
      <c r="B3665" s="223" t="s">
        <v>6581</v>
      </c>
      <c r="C3665" s="221" t="s">
        <v>6584</v>
      </c>
    </row>
    <row r="3666" spans="1:3" x14ac:dyDescent="0.25">
      <c r="A3666" s="222">
        <v>320075</v>
      </c>
      <c r="B3666" s="223" t="s">
        <v>6585</v>
      </c>
      <c r="C3666" s="221" t="s">
        <v>6586</v>
      </c>
    </row>
    <row r="3667" spans="1:3" x14ac:dyDescent="0.25">
      <c r="A3667" s="222">
        <v>320075</v>
      </c>
      <c r="B3667" s="223" t="s">
        <v>6585</v>
      </c>
      <c r="C3667" s="221" t="s">
        <v>6587</v>
      </c>
    </row>
    <row r="3668" spans="1:3" x14ac:dyDescent="0.25">
      <c r="A3668" s="222">
        <v>320075</v>
      </c>
      <c r="B3668" s="223" t="s">
        <v>6585</v>
      </c>
      <c r="C3668" s="221" t="s">
        <v>6588</v>
      </c>
    </row>
    <row r="3669" spans="1:3" x14ac:dyDescent="0.25">
      <c r="A3669" s="222">
        <v>320076</v>
      </c>
      <c r="B3669" s="223" t="s">
        <v>6589</v>
      </c>
      <c r="C3669" s="221" t="s">
        <v>6590</v>
      </c>
    </row>
    <row r="3670" spans="1:3" x14ac:dyDescent="0.25">
      <c r="A3670" s="222">
        <v>320076</v>
      </c>
      <c r="B3670" s="223" t="s">
        <v>6589</v>
      </c>
      <c r="C3670" s="221" t="s">
        <v>6591</v>
      </c>
    </row>
    <row r="3671" spans="1:3" x14ac:dyDescent="0.25">
      <c r="A3671" s="222">
        <v>320077</v>
      </c>
      <c r="B3671" s="223" t="s">
        <v>6592</v>
      </c>
      <c r="C3671" s="221" t="s">
        <v>6593</v>
      </c>
    </row>
    <row r="3672" spans="1:3" x14ac:dyDescent="0.25">
      <c r="A3672" s="222">
        <v>320077</v>
      </c>
      <c r="B3672" s="223" t="s">
        <v>6592</v>
      </c>
      <c r="C3672" s="221" t="s">
        <v>6594</v>
      </c>
    </row>
    <row r="3673" spans="1:3" x14ac:dyDescent="0.25">
      <c r="A3673" s="222">
        <v>320078</v>
      </c>
      <c r="B3673" s="223" t="s">
        <v>6595</v>
      </c>
      <c r="C3673" s="221" t="s">
        <v>6596</v>
      </c>
    </row>
    <row r="3674" spans="1:3" x14ac:dyDescent="0.25">
      <c r="A3674" s="222">
        <v>320078</v>
      </c>
      <c r="B3674" s="223" t="s">
        <v>6595</v>
      </c>
      <c r="C3674" s="221" t="s">
        <v>6597</v>
      </c>
    </row>
    <row r="3675" spans="1:3" x14ac:dyDescent="0.25">
      <c r="A3675" s="222">
        <v>320079</v>
      </c>
      <c r="B3675" s="223" t="s">
        <v>6598</v>
      </c>
      <c r="C3675" s="221" t="s">
        <v>6599</v>
      </c>
    </row>
    <row r="3676" spans="1:3" x14ac:dyDescent="0.25">
      <c r="A3676" s="222">
        <v>320079</v>
      </c>
      <c r="B3676" s="223" t="s">
        <v>6598</v>
      </c>
      <c r="C3676" s="221" t="s">
        <v>6600</v>
      </c>
    </row>
    <row r="3677" spans="1:3" x14ac:dyDescent="0.25">
      <c r="A3677" s="222">
        <v>320080</v>
      </c>
      <c r="B3677" s="223" t="s">
        <v>6601</v>
      </c>
      <c r="C3677" s="221" t="s">
        <v>6602</v>
      </c>
    </row>
    <row r="3678" spans="1:3" x14ac:dyDescent="0.25">
      <c r="A3678" s="222">
        <v>320080</v>
      </c>
      <c r="B3678" s="223" t="s">
        <v>6601</v>
      </c>
      <c r="C3678" s="221" t="s">
        <v>6603</v>
      </c>
    </row>
    <row r="3679" spans="1:3" x14ac:dyDescent="0.25">
      <c r="A3679" s="222">
        <v>320081</v>
      </c>
      <c r="B3679" s="223" t="s">
        <v>6604</v>
      </c>
      <c r="C3679" s="221" t="s">
        <v>6605</v>
      </c>
    </row>
    <row r="3680" spans="1:3" x14ac:dyDescent="0.25">
      <c r="A3680" s="222">
        <v>320081</v>
      </c>
      <c r="B3680" s="223" t="s">
        <v>6604</v>
      </c>
      <c r="C3680" s="221" t="s">
        <v>6606</v>
      </c>
    </row>
    <row r="3681" spans="1:3" x14ac:dyDescent="0.25">
      <c r="A3681" s="222">
        <v>320081</v>
      </c>
      <c r="B3681" s="223" t="s">
        <v>6604</v>
      </c>
      <c r="C3681" s="221" t="s">
        <v>6607</v>
      </c>
    </row>
    <row r="3682" spans="1:3" x14ac:dyDescent="0.25">
      <c r="A3682" s="222">
        <v>320082</v>
      </c>
      <c r="B3682" s="223" t="s">
        <v>6608</v>
      </c>
      <c r="C3682" s="221" t="s">
        <v>6609</v>
      </c>
    </row>
    <row r="3683" spans="1:3" x14ac:dyDescent="0.25">
      <c r="A3683" s="222">
        <v>320082</v>
      </c>
      <c r="B3683" s="223" t="s">
        <v>6608</v>
      </c>
      <c r="C3683" s="221" t="s">
        <v>6610</v>
      </c>
    </row>
    <row r="3684" spans="1:3" x14ac:dyDescent="0.25">
      <c r="A3684" s="222">
        <v>320082</v>
      </c>
      <c r="B3684" s="223" t="s">
        <v>6608</v>
      </c>
      <c r="C3684" s="221" t="s">
        <v>6611</v>
      </c>
    </row>
    <row r="3685" spans="1:3" x14ac:dyDescent="0.25">
      <c r="A3685" s="222">
        <v>320083</v>
      </c>
      <c r="B3685" s="223" t="s">
        <v>6612</v>
      </c>
      <c r="C3685" s="221" t="s">
        <v>6613</v>
      </c>
    </row>
    <row r="3686" spans="1:3" x14ac:dyDescent="0.25">
      <c r="A3686" s="222">
        <v>320083</v>
      </c>
      <c r="B3686" s="223" t="s">
        <v>6612</v>
      </c>
      <c r="C3686" s="221" t="s">
        <v>6614</v>
      </c>
    </row>
    <row r="3687" spans="1:3" x14ac:dyDescent="0.25">
      <c r="A3687" s="222">
        <v>320084</v>
      </c>
      <c r="B3687" s="223" t="s">
        <v>6615</v>
      </c>
      <c r="C3687" s="221" t="s">
        <v>6616</v>
      </c>
    </row>
    <row r="3688" spans="1:3" x14ac:dyDescent="0.25">
      <c r="A3688" s="222">
        <v>320084</v>
      </c>
      <c r="B3688" s="223" t="s">
        <v>6615</v>
      </c>
      <c r="C3688" s="221" t="s">
        <v>6617</v>
      </c>
    </row>
    <row r="3689" spans="1:3" x14ac:dyDescent="0.25">
      <c r="A3689" s="222">
        <v>320085</v>
      </c>
      <c r="B3689" s="223" t="s">
        <v>6618</v>
      </c>
      <c r="C3689" s="221" t="s">
        <v>6619</v>
      </c>
    </row>
    <row r="3690" spans="1:3" x14ac:dyDescent="0.25">
      <c r="A3690" s="222">
        <v>320085</v>
      </c>
      <c r="B3690" s="223" t="s">
        <v>6618</v>
      </c>
      <c r="C3690" s="221" t="s">
        <v>6620</v>
      </c>
    </row>
    <row r="3691" spans="1:3" x14ac:dyDescent="0.25">
      <c r="A3691" s="222">
        <v>320085</v>
      </c>
      <c r="B3691" s="223" t="s">
        <v>6618</v>
      </c>
      <c r="C3691" s="221" t="s">
        <v>6621</v>
      </c>
    </row>
    <row r="3692" spans="1:3" x14ac:dyDescent="0.25">
      <c r="A3692" s="222">
        <v>320086</v>
      </c>
      <c r="B3692" s="223" t="s">
        <v>6622</v>
      </c>
      <c r="C3692" s="221" t="s">
        <v>6623</v>
      </c>
    </row>
    <row r="3693" spans="1:3" x14ac:dyDescent="0.25">
      <c r="A3693" s="222">
        <v>320086</v>
      </c>
      <c r="B3693" s="223" t="s">
        <v>6622</v>
      </c>
      <c r="C3693" s="221" t="s">
        <v>6624</v>
      </c>
    </row>
    <row r="3694" spans="1:3" x14ac:dyDescent="0.25">
      <c r="A3694" s="222">
        <v>320087</v>
      </c>
      <c r="B3694" s="223" t="s">
        <v>6625</v>
      </c>
      <c r="C3694" s="221" t="s">
        <v>6626</v>
      </c>
    </row>
    <row r="3695" spans="1:3" x14ac:dyDescent="0.25">
      <c r="A3695" s="222">
        <v>320087</v>
      </c>
      <c r="B3695" s="223" t="s">
        <v>6625</v>
      </c>
      <c r="C3695" s="221" t="s">
        <v>6627</v>
      </c>
    </row>
    <row r="3696" spans="1:3" x14ac:dyDescent="0.25">
      <c r="A3696" s="222">
        <v>320088</v>
      </c>
      <c r="B3696" s="223" t="s">
        <v>6628</v>
      </c>
      <c r="C3696" s="221" t="s">
        <v>6629</v>
      </c>
    </row>
    <row r="3697" spans="1:3" x14ac:dyDescent="0.25">
      <c r="A3697" s="222">
        <v>320088</v>
      </c>
      <c r="B3697" s="223" t="s">
        <v>6628</v>
      </c>
      <c r="C3697" s="221" t="s">
        <v>6630</v>
      </c>
    </row>
    <row r="3698" spans="1:3" x14ac:dyDescent="0.25">
      <c r="A3698" s="222">
        <v>320088</v>
      </c>
      <c r="B3698" s="223" t="s">
        <v>6628</v>
      </c>
      <c r="C3698" s="221" t="s">
        <v>6631</v>
      </c>
    </row>
    <row r="3699" spans="1:3" x14ac:dyDescent="0.25">
      <c r="A3699" s="222">
        <v>320089</v>
      </c>
      <c r="B3699" s="223" t="s">
        <v>6632</v>
      </c>
      <c r="C3699" s="221" t="s">
        <v>6633</v>
      </c>
    </row>
    <row r="3700" spans="1:3" x14ac:dyDescent="0.25">
      <c r="A3700" s="222">
        <v>320089</v>
      </c>
      <c r="B3700" s="223" t="s">
        <v>6632</v>
      </c>
      <c r="C3700" s="221" t="s">
        <v>6634</v>
      </c>
    </row>
    <row r="3701" spans="1:3" x14ac:dyDescent="0.25">
      <c r="A3701" s="222">
        <v>320090</v>
      </c>
      <c r="B3701" s="223" t="s">
        <v>6635</v>
      </c>
      <c r="C3701" s="221" t="s">
        <v>6636</v>
      </c>
    </row>
    <row r="3702" spans="1:3" x14ac:dyDescent="0.25">
      <c r="A3702" s="222">
        <v>320090</v>
      </c>
      <c r="B3702" s="223" t="s">
        <v>6635</v>
      </c>
      <c r="C3702" s="221" t="s">
        <v>6637</v>
      </c>
    </row>
    <row r="3703" spans="1:3" x14ac:dyDescent="0.25">
      <c r="A3703" s="222">
        <v>320091</v>
      </c>
      <c r="B3703" s="223" t="s">
        <v>6638</v>
      </c>
      <c r="C3703" s="221" t="s">
        <v>6639</v>
      </c>
    </row>
    <row r="3704" spans="1:3" x14ac:dyDescent="0.25">
      <c r="A3704" s="222">
        <v>320091</v>
      </c>
      <c r="B3704" s="223" t="s">
        <v>6638</v>
      </c>
      <c r="C3704" s="221" t="s">
        <v>6640</v>
      </c>
    </row>
    <row r="3705" spans="1:3" x14ac:dyDescent="0.25">
      <c r="A3705" s="222">
        <v>320091</v>
      </c>
      <c r="B3705" s="223" t="s">
        <v>6638</v>
      </c>
      <c r="C3705" s="221" t="s">
        <v>6641</v>
      </c>
    </row>
    <row r="3706" spans="1:3" x14ac:dyDescent="0.25">
      <c r="A3706" s="222">
        <v>320092</v>
      </c>
      <c r="B3706" s="223" t="s">
        <v>6642</v>
      </c>
      <c r="C3706" s="221" t="s">
        <v>6643</v>
      </c>
    </row>
    <row r="3707" spans="1:3" x14ac:dyDescent="0.25">
      <c r="A3707" s="222">
        <v>320092</v>
      </c>
      <c r="B3707" s="223" t="s">
        <v>6642</v>
      </c>
      <c r="C3707" s="221" t="s">
        <v>6644</v>
      </c>
    </row>
    <row r="3708" spans="1:3" x14ac:dyDescent="0.25">
      <c r="A3708" s="222">
        <v>320092</v>
      </c>
      <c r="B3708" s="223" t="s">
        <v>6642</v>
      </c>
      <c r="C3708" s="221" t="s">
        <v>6645</v>
      </c>
    </row>
    <row r="3709" spans="1:3" x14ac:dyDescent="0.25">
      <c r="A3709" s="222">
        <v>320093</v>
      </c>
      <c r="B3709" s="223" t="s">
        <v>6646</v>
      </c>
      <c r="C3709" s="221" t="s">
        <v>6647</v>
      </c>
    </row>
    <row r="3710" spans="1:3" x14ac:dyDescent="0.25">
      <c r="A3710" s="222">
        <v>320093</v>
      </c>
      <c r="B3710" s="223" t="s">
        <v>6646</v>
      </c>
      <c r="C3710" s="221" t="s">
        <v>6648</v>
      </c>
    </row>
    <row r="3711" spans="1:3" x14ac:dyDescent="0.25">
      <c r="A3711" s="222">
        <v>320093</v>
      </c>
      <c r="B3711" s="223" t="s">
        <v>6646</v>
      </c>
      <c r="C3711" s="221" t="s">
        <v>6649</v>
      </c>
    </row>
    <row r="3712" spans="1:3" x14ac:dyDescent="0.25">
      <c r="A3712" s="222">
        <v>320094</v>
      </c>
      <c r="B3712" s="223" t="s">
        <v>6650</v>
      </c>
      <c r="C3712" s="221" t="s">
        <v>6651</v>
      </c>
    </row>
    <row r="3713" spans="1:3" x14ac:dyDescent="0.25">
      <c r="A3713" s="222">
        <v>320094</v>
      </c>
      <c r="B3713" s="223" t="s">
        <v>6650</v>
      </c>
      <c r="C3713" s="221" t="s">
        <v>6652</v>
      </c>
    </row>
    <row r="3714" spans="1:3" x14ac:dyDescent="0.25">
      <c r="A3714" s="222">
        <v>320094</v>
      </c>
      <c r="B3714" s="223" t="s">
        <v>6650</v>
      </c>
      <c r="C3714" s="221" t="s">
        <v>6653</v>
      </c>
    </row>
    <row r="3715" spans="1:3" x14ac:dyDescent="0.25">
      <c r="A3715" s="222">
        <v>320095</v>
      </c>
      <c r="B3715" s="223" t="s">
        <v>6654</v>
      </c>
      <c r="C3715" s="221" t="s">
        <v>6655</v>
      </c>
    </row>
    <row r="3716" spans="1:3" x14ac:dyDescent="0.25">
      <c r="A3716" s="222">
        <v>320095</v>
      </c>
      <c r="B3716" s="223" t="s">
        <v>6654</v>
      </c>
      <c r="C3716" s="221" t="s">
        <v>6656</v>
      </c>
    </row>
    <row r="3717" spans="1:3" x14ac:dyDescent="0.25">
      <c r="A3717" s="222">
        <v>320095</v>
      </c>
      <c r="B3717" s="223" t="s">
        <v>6654</v>
      </c>
      <c r="C3717" s="221" t="s">
        <v>6657</v>
      </c>
    </row>
    <row r="3718" spans="1:3" x14ac:dyDescent="0.25">
      <c r="A3718" s="222">
        <v>320096</v>
      </c>
      <c r="B3718" s="223" t="s">
        <v>6658</v>
      </c>
      <c r="C3718" s="221" t="s">
        <v>6659</v>
      </c>
    </row>
    <row r="3719" spans="1:3" x14ac:dyDescent="0.25">
      <c r="A3719" s="222">
        <v>320096</v>
      </c>
      <c r="B3719" s="223" t="s">
        <v>6658</v>
      </c>
      <c r="C3719" s="221" t="s">
        <v>6660</v>
      </c>
    </row>
    <row r="3720" spans="1:3" x14ac:dyDescent="0.25">
      <c r="A3720" s="222">
        <v>320096</v>
      </c>
      <c r="B3720" s="223" t="s">
        <v>6658</v>
      </c>
      <c r="C3720" s="221" t="s">
        <v>6661</v>
      </c>
    </row>
    <row r="3721" spans="1:3" x14ac:dyDescent="0.25">
      <c r="A3721" s="222">
        <v>320097</v>
      </c>
      <c r="B3721" s="223" t="s">
        <v>6662</v>
      </c>
      <c r="C3721" s="221" t="s">
        <v>6663</v>
      </c>
    </row>
    <row r="3722" spans="1:3" x14ac:dyDescent="0.25">
      <c r="A3722" s="222">
        <v>320097</v>
      </c>
      <c r="B3722" s="223" t="s">
        <v>6662</v>
      </c>
      <c r="C3722" s="221" t="s">
        <v>6664</v>
      </c>
    </row>
    <row r="3723" spans="1:3" x14ac:dyDescent="0.25">
      <c r="A3723" s="222">
        <v>320097</v>
      </c>
      <c r="B3723" s="223" t="s">
        <v>6662</v>
      </c>
      <c r="C3723" s="221" t="s">
        <v>6665</v>
      </c>
    </row>
    <row r="3724" spans="1:3" x14ac:dyDescent="0.25">
      <c r="A3724" s="222">
        <v>320098</v>
      </c>
      <c r="B3724" s="223" t="s">
        <v>6666</v>
      </c>
      <c r="C3724" s="221" t="s">
        <v>6667</v>
      </c>
    </row>
    <row r="3725" spans="1:3" x14ac:dyDescent="0.25">
      <c r="A3725" s="222">
        <v>320098</v>
      </c>
      <c r="B3725" s="223" t="s">
        <v>6666</v>
      </c>
      <c r="C3725" s="221" t="s">
        <v>6668</v>
      </c>
    </row>
    <row r="3726" spans="1:3" x14ac:dyDescent="0.25">
      <c r="A3726" s="222">
        <v>320098</v>
      </c>
      <c r="B3726" s="223" t="s">
        <v>6666</v>
      </c>
      <c r="C3726" s="221" t="s">
        <v>6669</v>
      </c>
    </row>
    <row r="3727" spans="1:3" x14ac:dyDescent="0.25">
      <c r="A3727" s="222">
        <v>320099</v>
      </c>
      <c r="B3727" s="223" t="s">
        <v>6670</v>
      </c>
      <c r="C3727" s="221" t="s">
        <v>6671</v>
      </c>
    </row>
    <row r="3728" spans="1:3" x14ac:dyDescent="0.25">
      <c r="A3728" s="222">
        <v>320099</v>
      </c>
      <c r="B3728" s="223" t="s">
        <v>6670</v>
      </c>
      <c r="C3728" s="221" t="s">
        <v>6672</v>
      </c>
    </row>
    <row r="3729" spans="1:3" x14ac:dyDescent="0.25">
      <c r="A3729" s="222">
        <v>320100</v>
      </c>
      <c r="B3729" s="223" t="s">
        <v>6673</v>
      </c>
      <c r="C3729" s="221" t="s">
        <v>6674</v>
      </c>
    </row>
    <row r="3730" spans="1:3" x14ac:dyDescent="0.25">
      <c r="A3730" s="222">
        <v>320100</v>
      </c>
      <c r="B3730" s="223" t="s">
        <v>6673</v>
      </c>
      <c r="C3730" s="221" t="s">
        <v>6675</v>
      </c>
    </row>
    <row r="3731" spans="1:3" x14ac:dyDescent="0.25">
      <c r="A3731" s="222">
        <v>320100</v>
      </c>
      <c r="B3731" s="223" t="s">
        <v>6673</v>
      </c>
      <c r="C3731" s="221" t="s">
        <v>6676</v>
      </c>
    </row>
    <row r="3732" spans="1:3" x14ac:dyDescent="0.25">
      <c r="A3732" s="222">
        <v>320101</v>
      </c>
      <c r="B3732" s="223" t="s">
        <v>6677</v>
      </c>
      <c r="C3732" s="221" t="s">
        <v>6678</v>
      </c>
    </row>
    <row r="3733" spans="1:3" x14ac:dyDescent="0.25">
      <c r="A3733" s="222">
        <v>320101</v>
      </c>
      <c r="B3733" s="223" t="s">
        <v>6677</v>
      </c>
      <c r="C3733" s="221" t="s">
        <v>6679</v>
      </c>
    </row>
    <row r="3734" spans="1:3" x14ac:dyDescent="0.25">
      <c r="A3734" s="222">
        <v>320102</v>
      </c>
      <c r="B3734" s="223" t="s">
        <v>6680</v>
      </c>
      <c r="C3734" s="221" t="s">
        <v>6681</v>
      </c>
    </row>
    <row r="3735" spans="1:3" x14ac:dyDescent="0.25">
      <c r="A3735" s="222">
        <v>320102</v>
      </c>
      <c r="B3735" s="223" t="s">
        <v>6680</v>
      </c>
      <c r="C3735" s="221" t="s">
        <v>6682</v>
      </c>
    </row>
    <row r="3736" spans="1:3" x14ac:dyDescent="0.25">
      <c r="A3736" s="222">
        <v>320103</v>
      </c>
      <c r="B3736" s="223" t="s">
        <v>6683</v>
      </c>
      <c r="C3736" s="221" t="s">
        <v>6684</v>
      </c>
    </row>
    <row r="3737" spans="1:3" x14ac:dyDescent="0.25">
      <c r="A3737" s="222">
        <v>320103</v>
      </c>
      <c r="B3737" s="223" t="s">
        <v>6683</v>
      </c>
      <c r="C3737" s="221" t="s">
        <v>6685</v>
      </c>
    </row>
    <row r="3738" spans="1:3" x14ac:dyDescent="0.25">
      <c r="A3738" s="222">
        <v>320104</v>
      </c>
      <c r="B3738" s="223" t="s">
        <v>6686</v>
      </c>
      <c r="C3738" s="221" t="s">
        <v>6687</v>
      </c>
    </row>
    <row r="3739" spans="1:3" x14ac:dyDescent="0.25">
      <c r="A3739" s="222">
        <v>320104</v>
      </c>
      <c r="B3739" s="223" t="s">
        <v>6686</v>
      </c>
      <c r="C3739" s="221" t="s">
        <v>6688</v>
      </c>
    </row>
    <row r="3740" spans="1:3" x14ac:dyDescent="0.25">
      <c r="A3740" s="222">
        <v>320104</v>
      </c>
      <c r="B3740" s="223" t="s">
        <v>6686</v>
      </c>
      <c r="C3740" s="221" t="s">
        <v>6689</v>
      </c>
    </row>
    <row r="3741" spans="1:3" x14ac:dyDescent="0.25">
      <c r="A3741" s="222">
        <v>320105</v>
      </c>
      <c r="B3741" s="223" t="s">
        <v>6690</v>
      </c>
      <c r="C3741" s="221" t="s">
        <v>6691</v>
      </c>
    </row>
    <row r="3742" spans="1:3" x14ac:dyDescent="0.25">
      <c r="A3742" s="222">
        <v>320105</v>
      </c>
      <c r="B3742" s="223" t="s">
        <v>6690</v>
      </c>
      <c r="C3742" s="221" t="s">
        <v>6692</v>
      </c>
    </row>
    <row r="3743" spans="1:3" x14ac:dyDescent="0.25">
      <c r="A3743" s="222">
        <v>320106</v>
      </c>
      <c r="B3743" s="223" t="s">
        <v>6693</v>
      </c>
      <c r="C3743" s="221" t="s">
        <v>6694</v>
      </c>
    </row>
    <row r="3744" spans="1:3" x14ac:dyDescent="0.25">
      <c r="A3744" s="222">
        <v>320106</v>
      </c>
      <c r="B3744" s="223" t="s">
        <v>6693</v>
      </c>
      <c r="C3744" s="221" t="s">
        <v>6695</v>
      </c>
    </row>
    <row r="3745" spans="1:3" x14ac:dyDescent="0.25">
      <c r="A3745" s="222">
        <v>320107</v>
      </c>
      <c r="B3745" s="223" t="s">
        <v>6696</v>
      </c>
      <c r="C3745" s="221" t="s">
        <v>6697</v>
      </c>
    </row>
    <row r="3746" spans="1:3" x14ac:dyDescent="0.25">
      <c r="A3746" s="222">
        <v>320107</v>
      </c>
      <c r="B3746" s="223" t="s">
        <v>6696</v>
      </c>
      <c r="C3746" s="221" t="s">
        <v>6698</v>
      </c>
    </row>
    <row r="3747" spans="1:3" x14ac:dyDescent="0.25">
      <c r="A3747" s="222">
        <v>320107</v>
      </c>
      <c r="B3747" s="223" t="s">
        <v>6696</v>
      </c>
      <c r="C3747" s="221" t="s">
        <v>6699</v>
      </c>
    </row>
    <row r="3748" spans="1:3" x14ac:dyDescent="0.25">
      <c r="A3748" s="222">
        <v>320108</v>
      </c>
      <c r="B3748" s="223" t="s">
        <v>6700</v>
      </c>
      <c r="C3748" s="221" t="s">
        <v>6701</v>
      </c>
    </row>
    <row r="3749" spans="1:3" x14ac:dyDescent="0.25">
      <c r="A3749" s="222">
        <v>320108</v>
      </c>
      <c r="B3749" s="223" t="s">
        <v>6700</v>
      </c>
      <c r="C3749" s="221" t="s">
        <v>6702</v>
      </c>
    </row>
    <row r="3750" spans="1:3" x14ac:dyDescent="0.25">
      <c r="A3750" s="222">
        <v>320108</v>
      </c>
      <c r="B3750" s="223" t="s">
        <v>6700</v>
      </c>
      <c r="C3750" s="221" t="s">
        <v>6703</v>
      </c>
    </row>
    <row r="3751" spans="1:3" x14ac:dyDescent="0.25">
      <c r="A3751" s="222">
        <v>320109</v>
      </c>
      <c r="B3751" s="223" t="s">
        <v>6704</v>
      </c>
      <c r="C3751" s="221" t="s">
        <v>6705</v>
      </c>
    </row>
    <row r="3752" spans="1:3" x14ac:dyDescent="0.25">
      <c r="A3752" s="222">
        <v>320109</v>
      </c>
      <c r="B3752" s="223" t="s">
        <v>6704</v>
      </c>
      <c r="C3752" s="221" t="s">
        <v>6706</v>
      </c>
    </row>
    <row r="3753" spans="1:3" x14ac:dyDescent="0.25">
      <c r="A3753" s="222">
        <v>320109</v>
      </c>
      <c r="B3753" s="223" t="s">
        <v>6704</v>
      </c>
      <c r="C3753" s="221" t="s">
        <v>6707</v>
      </c>
    </row>
    <row r="3754" spans="1:3" x14ac:dyDescent="0.25">
      <c r="A3754" s="222">
        <v>320110</v>
      </c>
      <c r="B3754" s="223" t="s">
        <v>6708</v>
      </c>
      <c r="C3754" s="221" t="s">
        <v>6709</v>
      </c>
    </row>
    <row r="3755" spans="1:3" x14ac:dyDescent="0.25">
      <c r="A3755" s="222">
        <v>320110</v>
      </c>
      <c r="B3755" s="223" t="s">
        <v>6708</v>
      </c>
      <c r="C3755" s="221" t="s">
        <v>6710</v>
      </c>
    </row>
    <row r="3756" spans="1:3" x14ac:dyDescent="0.25">
      <c r="A3756" s="222">
        <v>320111</v>
      </c>
      <c r="B3756" s="223" t="s">
        <v>6711</v>
      </c>
      <c r="C3756" s="221" t="s">
        <v>6712</v>
      </c>
    </row>
    <row r="3757" spans="1:3" x14ac:dyDescent="0.25">
      <c r="A3757" s="222">
        <v>320111</v>
      </c>
      <c r="B3757" s="223" t="s">
        <v>6711</v>
      </c>
      <c r="C3757" s="221" t="s">
        <v>6713</v>
      </c>
    </row>
    <row r="3758" spans="1:3" x14ac:dyDescent="0.25">
      <c r="A3758" s="222">
        <v>320112</v>
      </c>
      <c r="B3758" s="223" t="s">
        <v>6714</v>
      </c>
      <c r="C3758" s="221" t="s">
        <v>6715</v>
      </c>
    </row>
    <row r="3759" spans="1:3" x14ac:dyDescent="0.25">
      <c r="A3759" s="222">
        <v>320112</v>
      </c>
      <c r="B3759" s="223" t="s">
        <v>6714</v>
      </c>
      <c r="C3759" s="221" t="s">
        <v>6716</v>
      </c>
    </row>
    <row r="3760" spans="1:3" x14ac:dyDescent="0.25">
      <c r="A3760" s="222">
        <v>320112</v>
      </c>
      <c r="B3760" s="223" t="s">
        <v>6714</v>
      </c>
      <c r="C3760" s="221" t="s">
        <v>6717</v>
      </c>
    </row>
    <row r="3761" spans="1:3" x14ac:dyDescent="0.25">
      <c r="A3761" s="222">
        <v>320113</v>
      </c>
      <c r="B3761" s="223" t="s">
        <v>6718</v>
      </c>
      <c r="C3761" s="221" t="s">
        <v>6719</v>
      </c>
    </row>
    <row r="3762" spans="1:3" x14ac:dyDescent="0.25">
      <c r="A3762" s="222">
        <v>320113</v>
      </c>
      <c r="B3762" s="223" t="s">
        <v>6718</v>
      </c>
      <c r="C3762" s="221" t="s">
        <v>6716</v>
      </c>
    </row>
    <row r="3763" spans="1:3" x14ac:dyDescent="0.25">
      <c r="A3763" s="222">
        <v>320113</v>
      </c>
      <c r="B3763" s="223" t="s">
        <v>6718</v>
      </c>
      <c r="C3763" s="221" t="s">
        <v>6720</v>
      </c>
    </row>
    <row r="3764" spans="1:3" x14ac:dyDescent="0.25">
      <c r="A3764" s="222">
        <v>320114</v>
      </c>
      <c r="B3764" s="223" t="s">
        <v>6721</v>
      </c>
      <c r="C3764" s="221" t="s">
        <v>6722</v>
      </c>
    </row>
    <row r="3765" spans="1:3" x14ac:dyDescent="0.25">
      <c r="A3765" s="222">
        <v>320114</v>
      </c>
      <c r="B3765" s="223" t="s">
        <v>6721</v>
      </c>
      <c r="C3765" s="221" t="s">
        <v>6723</v>
      </c>
    </row>
    <row r="3766" spans="1:3" x14ac:dyDescent="0.25">
      <c r="A3766" s="222">
        <v>320114</v>
      </c>
      <c r="B3766" s="223" t="s">
        <v>6721</v>
      </c>
      <c r="C3766" s="221" t="s">
        <v>6724</v>
      </c>
    </row>
    <row r="3767" spans="1:3" x14ac:dyDescent="0.25">
      <c r="A3767" s="222">
        <v>320115</v>
      </c>
      <c r="B3767" s="223" t="s">
        <v>6725</v>
      </c>
      <c r="C3767" s="221" t="s">
        <v>6726</v>
      </c>
    </row>
    <row r="3768" spans="1:3" x14ac:dyDescent="0.25">
      <c r="A3768" s="222">
        <v>320115</v>
      </c>
      <c r="B3768" s="223" t="s">
        <v>6725</v>
      </c>
      <c r="C3768" s="221" t="s">
        <v>6727</v>
      </c>
    </row>
    <row r="3769" spans="1:3" x14ac:dyDescent="0.25">
      <c r="A3769" s="222">
        <v>320116</v>
      </c>
      <c r="B3769" s="223" t="s">
        <v>6728</v>
      </c>
      <c r="C3769" s="221" t="s">
        <v>6729</v>
      </c>
    </row>
    <row r="3770" spans="1:3" x14ac:dyDescent="0.25">
      <c r="A3770" s="222">
        <v>320116</v>
      </c>
      <c r="B3770" s="223" t="s">
        <v>6728</v>
      </c>
      <c r="C3770" s="221" t="s">
        <v>6723</v>
      </c>
    </row>
    <row r="3771" spans="1:3" x14ac:dyDescent="0.25">
      <c r="A3771" s="222">
        <v>320116</v>
      </c>
      <c r="B3771" s="223" t="s">
        <v>6728</v>
      </c>
      <c r="C3771" s="221" t="s">
        <v>6730</v>
      </c>
    </row>
    <row r="3772" spans="1:3" x14ac:dyDescent="0.25">
      <c r="A3772" s="222">
        <v>320117</v>
      </c>
      <c r="B3772" s="223" t="s">
        <v>6731</v>
      </c>
      <c r="C3772" s="221" t="s">
        <v>6732</v>
      </c>
    </row>
    <row r="3773" spans="1:3" x14ac:dyDescent="0.25">
      <c r="A3773" s="222">
        <v>320117</v>
      </c>
      <c r="B3773" s="223" t="s">
        <v>6731</v>
      </c>
      <c r="C3773" s="221" t="s">
        <v>6733</v>
      </c>
    </row>
    <row r="3774" spans="1:3" x14ac:dyDescent="0.25">
      <c r="A3774" s="222">
        <v>320118</v>
      </c>
      <c r="B3774" s="223" t="s">
        <v>6734</v>
      </c>
      <c r="C3774" s="221" t="s">
        <v>6735</v>
      </c>
    </row>
    <row r="3775" spans="1:3" x14ac:dyDescent="0.25">
      <c r="A3775" s="222">
        <v>320118</v>
      </c>
      <c r="B3775" s="223" t="s">
        <v>6734</v>
      </c>
      <c r="C3775" s="221" t="s">
        <v>6736</v>
      </c>
    </row>
    <row r="3776" spans="1:3" x14ac:dyDescent="0.25">
      <c r="A3776" s="222">
        <v>320118</v>
      </c>
      <c r="B3776" s="223" t="s">
        <v>6734</v>
      </c>
      <c r="C3776" s="221" t="s">
        <v>6737</v>
      </c>
    </row>
    <row r="3777" spans="1:3" x14ac:dyDescent="0.25">
      <c r="A3777" s="222">
        <v>320119</v>
      </c>
      <c r="B3777" s="223" t="s">
        <v>6738</v>
      </c>
      <c r="C3777" s="221" t="s">
        <v>6739</v>
      </c>
    </row>
    <row r="3778" spans="1:3" x14ac:dyDescent="0.25">
      <c r="A3778" s="222">
        <v>320119</v>
      </c>
      <c r="B3778" s="223" t="s">
        <v>6738</v>
      </c>
      <c r="C3778" s="221" t="s">
        <v>6740</v>
      </c>
    </row>
    <row r="3779" spans="1:3" x14ac:dyDescent="0.25">
      <c r="A3779" s="222">
        <v>320119</v>
      </c>
      <c r="B3779" s="223" t="s">
        <v>6738</v>
      </c>
      <c r="C3779" s="221" t="s">
        <v>6741</v>
      </c>
    </row>
    <row r="3780" spans="1:3" x14ac:dyDescent="0.25">
      <c r="A3780" s="222">
        <v>320120</v>
      </c>
      <c r="B3780" s="223" t="s">
        <v>6742</v>
      </c>
      <c r="C3780" s="221" t="s">
        <v>6743</v>
      </c>
    </row>
    <row r="3781" spans="1:3" x14ac:dyDescent="0.25">
      <c r="A3781" s="222">
        <v>320120</v>
      </c>
      <c r="B3781" s="223" t="s">
        <v>6742</v>
      </c>
      <c r="C3781" s="221" t="s">
        <v>6744</v>
      </c>
    </row>
    <row r="3782" spans="1:3" x14ac:dyDescent="0.25">
      <c r="A3782" s="222">
        <v>320121</v>
      </c>
      <c r="B3782" s="223" t="s">
        <v>6745</v>
      </c>
      <c r="C3782" s="221" t="s">
        <v>6746</v>
      </c>
    </row>
    <row r="3783" spans="1:3" x14ac:dyDescent="0.25">
      <c r="A3783" s="222">
        <v>320121</v>
      </c>
      <c r="B3783" s="223" t="s">
        <v>6745</v>
      </c>
      <c r="C3783" s="221" t="s">
        <v>6747</v>
      </c>
    </row>
    <row r="3784" spans="1:3" x14ac:dyDescent="0.25">
      <c r="A3784" s="222">
        <v>320122</v>
      </c>
      <c r="B3784" s="223" t="s">
        <v>6748</v>
      </c>
      <c r="C3784" s="221" t="s">
        <v>6749</v>
      </c>
    </row>
    <row r="3785" spans="1:3" x14ac:dyDescent="0.25">
      <c r="A3785" s="222">
        <v>320122</v>
      </c>
      <c r="B3785" s="223" t="s">
        <v>6748</v>
      </c>
      <c r="C3785" s="221" t="s">
        <v>6750</v>
      </c>
    </row>
    <row r="3786" spans="1:3" x14ac:dyDescent="0.25">
      <c r="A3786" s="222">
        <v>320123</v>
      </c>
      <c r="B3786" s="223" t="s">
        <v>6751</v>
      </c>
      <c r="C3786" s="221" t="s">
        <v>6752</v>
      </c>
    </row>
    <row r="3787" spans="1:3" x14ac:dyDescent="0.25">
      <c r="A3787" s="222">
        <v>320123</v>
      </c>
      <c r="B3787" s="223" t="s">
        <v>6751</v>
      </c>
      <c r="C3787" s="221" t="s">
        <v>6753</v>
      </c>
    </row>
    <row r="3788" spans="1:3" x14ac:dyDescent="0.25">
      <c r="A3788" s="222">
        <v>320124</v>
      </c>
      <c r="B3788" s="223" t="s">
        <v>6754</v>
      </c>
      <c r="C3788" s="221" t="s">
        <v>6755</v>
      </c>
    </row>
    <row r="3789" spans="1:3" x14ac:dyDescent="0.25">
      <c r="A3789" s="222">
        <v>320124</v>
      </c>
      <c r="B3789" s="223" t="s">
        <v>6754</v>
      </c>
      <c r="C3789" s="221" t="s">
        <v>6756</v>
      </c>
    </row>
    <row r="3790" spans="1:3" x14ac:dyDescent="0.25">
      <c r="A3790" s="222">
        <v>320125</v>
      </c>
      <c r="B3790" s="223" t="s">
        <v>6757</v>
      </c>
      <c r="C3790" s="221" t="s">
        <v>6758</v>
      </c>
    </row>
    <row r="3791" spans="1:3" x14ac:dyDescent="0.25">
      <c r="A3791" s="222">
        <v>320125</v>
      </c>
      <c r="B3791" s="223" t="s">
        <v>6757</v>
      </c>
      <c r="C3791" s="221" t="s">
        <v>6759</v>
      </c>
    </row>
    <row r="3792" spans="1:3" x14ac:dyDescent="0.25">
      <c r="A3792" s="222">
        <v>320126</v>
      </c>
      <c r="B3792" s="223" t="s">
        <v>6760</v>
      </c>
      <c r="C3792" s="221" t="s">
        <v>6761</v>
      </c>
    </row>
    <row r="3793" spans="1:3" x14ac:dyDescent="0.25">
      <c r="A3793" s="222">
        <v>320126</v>
      </c>
      <c r="B3793" s="223" t="s">
        <v>6760</v>
      </c>
      <c r="C3793" s="221" t="s">
        <v>6762</v>
      </c>
    </row>
    <row r="3794" spans="1:3" x14ac:dyDescent="0.25">
      <c r="A3794" s="222">
        <v>320127</v>
      </c>
      <c r="B3794" s="223" t="s">
        <v>6763</v>
      </c>
      <c r="C3794" s="221" t="s">
        <v>6764</v>
      </c>
    </row>
    <row r="3795" spans="1:3" x14ac:dyDescent="0.25">
      <c r="A3795" s="222">
        <v>320127</v>
      </c>
      <c r="B3795" s="223" t="s">
        <v>6763</v>
      </c>
      <c r="C3795" s="221" t="s">
        <v>6765</v>
      </c>
    </row>
    <row r="3796" spans="1:3" x14ac:dyDescent="0.25">
      <c r="A3796" s="222">
        <v>320128</v>
      </c>
      <c r="B3796" s="223" t="s">
        <v>6766</v>
      </c>
      <c r="C3796" s="221" t="s">
        <v>6767</v>
      </c>
    </row>
    <row r="3797" spans="1:3" x14ac:dyDescent="0.25">
      <c r="A3797" s="222">
        <v>320128</v>
      </c>
      <c r="B3797" s="223" t="s">
        <v>6766</v>
      </c>
      <c r="C3797" s="221" t="s">
        <v>6768</v>
      </c>
    </row>
    <row r="3798" spans="1:3" x14ac:dyDescent="0.25">
      <c r="A3798" s="222">
        <v>320129</v>
      </c>
      <c r="B3798" s="223" t="s">
        <v>6766</v>
      </c>
      <c r="C3798" s="221" t="s">
        <v>6769</v>
      </c>
    </row>
    <row r="3799" spans="1:3" x14ac:dyDescent="0.25">
      <c r="A3799" s="222">
        <v>320129</v>
      </c>
      <c r="B3799" s="223" t="s">
        <v>6766</v>
      </c>
      <c r="C3799" s="221" t="s">
        <v>6770</v>
      </c>
    </row>
    <row r="3800" spans="1:3" x14ac:dyDescent="0.25">
      <c r="A3800" s="222">
        <v>320130</v>
      </c>
      <c r="B3800" s="223" t="s">
        <v>6771</v>
      </c>
      <c r="C3800" s="221" t="s">
        <v>6772</v>
      </c>
    </row>
    <row r="3801" spans="1:3" x14ac:dyDescent="0.25">
      <c r="A3801" s="222">
        <v>320130</v>
      </c>
      <c r="B3801" s="223" t="s">
        <v>6771</v>
      </c>
      <c r="C3801" s="221" t="s">
        <v>6773</v>
      </c>
    </row>
    <row r="3802" spans="1:3" x14ac:dyDescent="0.25">
      <c r="A3802" s="222">
        <v>320131</v>
      </c>
      <c r="B3802" s="223" t="s">
        <v>6774</v>
      </c>
      <c r="C3802" s="221" t="s">
        <v>6775</v>
      </c>
    </row>
    <row r="3803" spans="1:3" x14ac:dyDescent="0.25">
      <c r="A3803" s="222">
        <v>320131</v>
      </c>
      <c r="B3803" s="223" t="s">
        <v>6774</v>
      </c>
      <c r="C3803" s="221" t="s">
        <v>6776</v>
      </c>
    </row>
    <row r="3804" spans="1:3" x14ac:dyDescent="0.25">
      <c r="A3804" s="222">
        <v>320132</v>
      </c>
      <c r="B3804" s="223" t="s">
        <v>6777</v>
      </c>
      <c r="C3804" s="221" t="s">
        <v>6778</v>
      </c>
    </row>
    <row r="3805" spans="1:3" x14ac:dyDescent="0.25">
      <c r="A3805" s="222">
        <v>320132</v>
      </c>
      <c r="B3805" s="223" t="s">
        <v>6777</v>
      </c>
      <c r="C3805" s="221" t="s">
        <v>6779</v>
      </c>
    </row>
    <row r="3806" spans="1:3" x14ac:dyDescent="0.25">
      <c r="A3806" s="222">
        <v>320133</v>
      </c>
      <c r="B3806" s="223" t="s">
        <v>6780</v>
      </c>
      <c r="C3806" s="221" t="s">
        <v>6781</v>
      </c>
    </row>
    <row r="3807" spans="1:3" x14ac:dyDescent="0.25">
      <c r="A3807" s="222">
        <v>320133</v>
      </c>
      <c r="B3807" s="223" t="s">
        <v>6780</v>
      </c>
      <c r="C3807" s="221" t="s">
        <v>6782</v>
      </c>
    </row>
    <row r="3808" spans="1:3" x14ac:dyDescent="0.25">
      <c r="A3808" s="222">
        <v>320134</v>
      </c>
      <c r="B3808" s="223" t="s">
        <v>6783</v>
      </c>
      <c r="C3808" s="221" t="s">
        <v>6784</v>
      </c>
    </row>
    <row r="3809" spans="1:3" x14ac:dyDescent="0.25">
      <c r="A3809" s="222">
        <v>320134</v>
      </c>
      <c r="B3809" s="223" t="s">
        <v>6783</v>
      </c>
      <c r="C3809" s="221" t="s">
        <v>6785</v>
      </c>
    </row>
    <row r="3810" spans="1:3" x14ac:dyDescent="0.25">
      <c r="A3810" s="222">
        <v>320135</v>
      </c>
      <c r="B3810" s="223" t="s">
        <v>6786</v>
      </c>
      <c r="C3810" s="221" t="s">
        <v>6787</v>
      </c>
    </row>
    <row r="3811" spans="1:3" x14ac:dyDescent="0.25">
      <c r="A3811" s="222">
        <v>320135</v>
      </c>
      <c r="B3811" s="223" t="s">
        <v>6786</v>
      </c>
      <c r="C3811" s="221" t="s">
        <v>6788</v>
      </c>
    </row>
    <row r="3812" spans="1:3" x14ac:dyDescent="0.25">
      <c r="A3812" s="222">
        <v>320136</v>
      </c>
      <c r="B3812" s="223" t="s">
        <v>6789</v>
      </c>
      <c r="C3812" s="221" t="s">
        <v>6790</v>
      </c>
    </row>
    <row r="3813" spans="1:3" x14ac:dyDescent="0.25">
      <c r="A3813" s="222">
        <v>320136</v>
      </c>
      <c r="B3813" s="223" t="s">
        <v>6789</v>
      </c>
      <c r="C3813" s="221" t="s">
        <v>6791</v>
      </c>
    </row>
    <row r="3814" spans="1:3" x14ac:dyDescent="0.25">
      <c r="A3814" s="222">
        <v>320137</v>
      </c>
      <c r="B3814" s="223" t="s">
        <v>6792</v>
      </c>
      <c r="C3814" s="221" t="s">
        <v>6793</v>
      </c>
    </row>
    <row r="3815" spans="1:3" x14ac:dyDescent="0.25">
      <c r="A3815" s="222">
        <v>320137</v>
      </c>
      <c r="B3815" s="223" t="s">
        <v>6792</v>
      </c>
      <c r="C3815" s="221" t="s">
        <v>6794</v>
      </c>
    </row>
    <row r="3816" spans="1:3" x14ac:dyDescent="0.25">
      <c r="A3816" s="222">
        <v>320138</v>
      </c>
      <c r="B3816" s="223" t="s">
        <v>6795</v>
      </c>
      <c r="C3816" s="221" t="s">
        <v>6796</v>
      </c>
    </row>
    <row r="3817" spans="1:3" x14ac:dyDescent="0.25">
      <c r="A3817" s="222">
        <v>320138</v>
      </c>
      <c r="B3817" s="223" t="s">
        <v>6795</v>
      </c>
      <c r="C3817" s="221" t="s">
        <v>6797</v>
      </c>
    </row>
    <row r="3818" spans="1:3" x14ac:dyDescent="0.25">
      <c r="A3818" s="222">
        <v>320139</v>
      </c>
      <c r="B3818" s="223" t="s">
        <v>6798</v>
      </c>
      <c r="C3818" s="221" t="s">
        <v>6799</v>
      </c>
    </row>
    <row r="3819" spans="1:3" x14ac:dyDescent="0.25">
      <c r="A3819" s="222">
        <v>320139</v>
      </c>
      <c r="B3819" s="223" t="s">
        <v>6798</v>
      </c>
      <c r="C3819" s="221" t="s">
        <v>6800</v>
      </c>
    </row>
    <row r="3820" spans="1:3" x14ac:dyDescent="0.25">
      <c r="A3820" s="222">
        <v>320139</v>
      </c>
      <c r="B3820" s="223" t="s">
        <v>6798</v>
      </c>
      <c r="C3820" s="221" t="s">
        <v>6801</v>
      </c>
    </row>
    <row r="3821" spans="1:3" x14ac:dyDescent="0.25">
      <c r="A3821" s="222">
        <v>320140</v>
      </c>
      <c r="B3821" s="223" t="s">
        <v>6802</v>
      </c>
      <c r="C3821" s="221" t="s">
        <v>6803</v>
      </c>
    </row>
    <row r="3822" spans="1:3" x14ac:dyDescent="0.25">
      <c r="A3822" s="222">
        <v>320140</v>
      </c>
      <c r="B3822" s="223" t="s">
        <v>6802</v>
      </c>
      <c r="C3822" s="221" t="s">
        <v>6804</v>
      </c>
    </row>
    <row r="3823" spans="1:3" x14ac:dyDescent="0.25">
      <c r="A3823" s="222">
        <v>320140</v>
      </c>
      <c r="B3823" s="223" t="s">
        <v>6802</v>
      </c>
      <c r="C3823" s="221" t="s">
        <v>6805</v>
      </c>
    </row>
    <row r="3824" spans="1:3" x14ac:dyDescent="0.25">
      <c r="A3824" s="222">
        <v>320141</v>
      </c>
      <c r="B3824" s="223" t="s">
        <v>6806</v>
      </c>
      <c r="C3824" s="221" t="s">
        <v>6807</v>
      </c>
    </row>
    <row r="3825" spans="1:3" x14ac:dyDescent="0.25">
      <c r="A3825" s="222">
        <v>320141</v>
      </c>
      <c r="B3825" s="223" t="s">
        <v>6806</v>
      </c>
      <c r="C3825" s="221" t="s">
        <v>6808</v>
      </c>
    </row>
    <row r="3826" spans="1:3" x14ac:dyDescent="0.25">
      <c r="A3826" s="222">
        <v>320141</v>
      </c>
      <c r="B3826" s="223" t="s">
        <v>6806</v>
      </c>
      <c r="C3826" s="221" t="s">
        <v>6809</v>
      </c>
    </row>
    <row r="3827" spans="1:3" x14ac:dyDescent="0.25">
      <c r="A3827" s="222">
        <v>320142</v>
      </c>
      <c r="B3827" s="223" t="s">
        <v>6806</v>
      </c>
      <c r="C3827" s="221" t="s">
        <v>6810</v>
      </c>
    </row>
    <row r="3828" spans="1:3" x14ac:dyDescent="0.25">
      <c r="A3828" s="222">
        <v>320142</v>
      </c>
      <c r="B3828" s="223" t="s">
        <v>6806</v>
      </c>
      <c r="C3828" s="221" t="s">
        <v>6811</v>
      </c>
    </row>
    <row r="3829" spans="1:3" x14ac:dyDescent="0.25">
      <c r="A3829" s="222">
        <v>320142</v>
      </c>
      <c r="B3829" s="223" t="s">
        <v>6806</v>
      </c>
      <c r="C3829" s="221" t="s">
        <v>6812</v>
      </c>
    </row>
    <row r="3830" spans="1:3" x14ac:dyDescent="0.25">
      <c r="A3830" s="222">
        <v>320143</v>
      </c>
      <c r="B3830" s="223" t="s">
        <v>6813</v>
      </c>
      <c r="C3830" s="221" t="s">
        <v>6814</v>
      </c>
    </row>
    <row r="3831" spans="1:3" x14ac:dyDescent="0.25">
      <c r="A3831" s="222">
        <v>320143</v>
      </c>
      <c r="B3831" s="223" t="s">
        <v>6813</v>
      </c>
      <c r="C3831" s="221" t="s">
        <v>6815</v>
      </c>
    </row>
    <row r="3832" spans="1:3" x14ac:dyDescent="0.25">
      <c r="A3832" s="222">
        <v>320143</v>
      </c>
      <c r="B3832" s="223" t="s">
        <v>6813</v>
      </c>
      <c r="C3832" s="221" t="s">
        <v>6816</v>
      </c>
    </row>
    <row r="3833" spans="1:3" x14ac:dyDescent="0.25">
      <c r="A3833" s="222">
        <v>320144</v>
      </c>
      <c r="B3833" s="223" t="s">
        <v>6817</v>
      </c>
      <c r="C3833" s="221" t="s">
        <v>6818</v>
      </c>
    </row>
    <row r="3834" spans="1:3" x14ac:dyDescent="0.25">
      <c r="A3834" s="222">
        <v>320144</v>
      </c>
      <c r="B3834" s="223" t="s">
        <v>6817</v>
      </c>
      <c r="C3834" s="221" t="s">
        <v>6819</v>
      </c>
    </row>
    <row r="3835" spans="1:3" x14ac:dyDescent="0.25">
      <c r="A3835" s="222">
        <v>320144</v>
      </c>
      <c r="B3835" s="223" t="s">
        <v>6817</v>
      </c>
      <c r="C3835" s="221" t="s">
        <v>6820</v>
      </c>
    </row>
    <row r="3836" spans="1:3" x14ac:dyDescent="0.25">
      <c r="A3836" s="222">
        <v>320145</v>
      </c>
      <c r="B3836" s="223" t="s">
        <v>6821</v>
      </c>
      <c r="C3836" s="221" t="s">
        <v>6822</v>
      </c>
    </row>
    <row r="3837" spans="1:3" x14ac:dyDescent="0.25">
      <c r="A3837" s="222">
        <v>320145</v>
      </c>
      <c r="B3837" s="223" t="s">
        <v>6821</v>
      </c>
      <c r="C3837" s="221" t="s">
        <v>6823</v>
      </c>
    </row>
    <row r="3838" spans="1:3" x14ac:dyDescent="0.25">
      <c r="A3838" s="222">
        <v>320145</v>
      </c>
      <c r="B3838" s="223" t="s">
        <v>6821</v>
      </c>
      <c r="C3838" s="221" t="s">
        <v>6824</v>
      </c>
    </row>
    <row r="3839" spans="1:3" x14ac:dyDescent="0.25">
      <c r="A3839" s="222">
        <v>320146</v>
      </c>
      <c r="B3839" s="223" t="s">
        <v>6825</v>
      </c>
      <c r="C3839" s="221" t="s">
        <v>6826</v>
      </c>
    </row>
    <row r="3840" spans="1:3" x14ac:dyDescent="0.25">
      <c r="A3840" s="222">
        <v>320146</v>
      </c>
      <c r="B3840" s="223" t="s">
        <v>6825</v>
      </c>
      <c r="C3840" s="221" t="s">
        <v>6827</v>
      </c>
    </row>
    <row r="3841" spans="1:3" x14ac:dyDescent="0.25">
      <c r="A3841" s="222">
        <v>320147</v>
      </c>
      <c r="B3841" s="223" t="s">
        <v>6828</v>
      </c>
      <c r="C3841" s="221" t="s">
        <v>6829</v>
      </c>
    </row>
    <row r="3842" spans="1:3" x14ac:dyDescent="0.25">
      <c r="A3842" s="222">
        <v>320147</v>
      </c>
      <c r="B3842" s="223" t="s">
        <v>6828</v>
      </c>
      <c r="C3842" s="221" t="s">
        <v>6830</v>
      </c>
    </row>
    <row r="3843" spans="1:3" x14ac:dyDescent="0.25">
      <c r="A3843" s="222">
        <v>320147</v>
      </c>
      <c r="B3843" s="223" t="s">
        <v>6828</v>
      </c>
      <c r="C3843" s="221" t="s">
        <v>6831</v>
      </c>
    </row>
    <row r="3844" spans="1:3" x14ac:dyDescent="0.25">
      <c r="A3844" s="222">
        <v>320148</v>
      </c>
      <c r="B3844" s="223" t="s">
        <v>6832</v>
      </c>
      <c r="C3844" s="221" t="s">
        <v>6833</v>
      </c>
    </row>
    <row r="3845" spans="1:3" x14ac:dyDescent="0.25">
      <c r="A3845" s="222">
        <v>320148</v>
      </c>
      <c r="B3845" s="223" t="s">
        <v>6832</v>
      </c>
      <c r="C3845" s="221" t="s">
        <v>6834</v>
      </c>
    </row>
    <row r="3846" spans="1:3" x14ac:dyDescent="0.25">
      <c r="A3846" s="222">
        <v>320148</v>
      </c>
      <c r="B3846" s="223" t="s">
        <v>6832</v>
      </c>
      <c r="C3846" s="221" t="s">
        <v>6835</v>
      </c>
    </row>
    <row r="3847" spans="1:3" x14ac:dyDescent="0.25">
      <c r="A3847" s="222">
        <v>320149</v>
      </c>
      <c r="B3847" s="223" t="s">
        <v>6836</v>
      </c>
      <c r="C3847" s="221" t="s">
        <v>6837</v>
      </c>
    </row>
    <row r="3848" spans="1:3" x14ac:dyDescent="0.25">
      <c r="A3848" s="222">
        <v>320149</v>
      </c>
      <c r="B3848" s="223" t="s">
        <v>6836</v>
      </c>
      <c r="C3848" s="221" t="s">
        <v>6838</v>
      </c>
    </row>
    <row r="3849" spans="1:3" x14ac:dyDescent="0.25">
      <c r="A3849" s="222">
        <v>320149</v>
      </c>
      <c r="B3849" s="223" t="s">
        <v>6836</v>
      </c>
      <c r="C3849" s="221" t="s">
        <v>6839</v>
      </c>
    </row>
    <row r="3850" spans="1:3" x14ac:dyDescent="0.25">
      <c r="A3850" s="222">
        <v>320150</v>
      </c>
      <c r="B3850" s="223" t="s">
        <v>6840</v>
      </c>
      <c r="C3850" s="221" t="s">
        <v>6841</v>
      </c>
    </row>
    <row r="3851" spans="1:3" x14ac:dyDescent="0.25">
      <c r="A3851" s="222">
        <v>320150</v>
      </c>
      <c r="B3851" s="223" t="s">
        <v>6840</v>
      </c>
      <c r="C3851" s="221" t="s">
        <v>6838</v>
      </c>
    </row>
    <row r="3852" spans="1:3" x14ac:dyDescent="0.25">
      <c r="A3852" s="222">
        <v>320150</v>
      </c>
      <c r="B3852" s="223" t="s">
        <v>6840</v>
      </c>
      <c r="C3852" s="221" t="s">
        <v>6842</v>
      </c>
    </row>
    <row r="3853" spans="1:3" x14ac:dyDescent="0.25">
      <c r="A3853" s="222">
        <v>320151</v>
      </c>
      <c r="B3853" s="223" t="s">
        <v>6843</v>
      </c>
      <c r="C3853" s="221" t="s">
        <v>6844</v>
      </c>
    </row>
    <row r="3854" spans="1:3" x14ac:dyDescent="0.25">
      <c r="A3854" s="222">
        <v>320151</v>
      </c>
      <c r="B3854" s="223" t="s">
        <v>6843</v>
      </c>
      <c r="C3854" s="221" t="s">
        <v>6815</v>
      </c>
    </row>
    <row r="3855" spans="1:3" x14ac:dyDescent="0.25">
      <c r="A3855" s="222">
        <v>320151</v>
      </c>
      <c r="B3855" s="223" t="s">
        <v>6843</v>
      </c>
      <c r="C3855" s="221" t="s">
        <v>6845</v>
      </c>
    </row>
    <row r="3856" spans="1:3" x14ac:dyDescent="0.25">
      <c r="A3856" s="222">
        <v>320152</v>
      </c>
      <c r="B3856" s="223" t="s">
        <v>6846</v>
      </c>
      <c r="C3856" s="221" t="s">
        <v>6847</v>
      </c>
    </row>
    <row r="3857" spans="1:3" x14ac:dyDescent="0.25">
      <c r="A3857" s="222">
        <v>320152</v>
      </c>
      <c r="B3857" s="223" t="s">
        <v>6846</v>
      </c>
      <c r="C3857" s="221" t="s">
        <v>6838</v>
      </c>
    </row>
    <row r="3858" spans="1:3" x14ac:dyDescent="0.25">
      <c r="A3858" s="222">
        <v>320152</v>
      </c>
      <c r="B3858" s="223" t="s">
        <v>6846</v>
      </c>
      <c r="C3858" s="221" t="s">
        <v>6848</v>
      </c>
    </row>
    <row r="3859" spans="1:3" x14ac:dyDescent="0.25">
      <c r="A3859" s="222">
        <v>320153</v>
      </c>
      <c r="B3859" s="223" t="s">
        <v>6849</v>
      </c>
      <c r="C3859" s="221" t="s">
        <v>6850</v>
      </c>
    </row>
    <row r="3860" spans="1:3" x14ac:dyDescent="0.25">
      <c r="A3860" s="222">
        <v>320153</v>
      </c>
      <c r="B3860" s="223" t="s">
        <v>6849</v>
      </c>
      <c r="C3860" s="221" t="s">
        <v>6838</v>
      </c>
    </row>
    <row r="3861" spans="1:3" x14ac:dyDescent="0.25">
      <c r="A3861" s="222">
        <v>320153</v>
      </c>
      <c r="B3861" s="223" t="s">
        <v>6849</v>
      </c>
      <c r="C3861" s="221" t="s">
        <v>6851</v>
      </c>
    </row>
    <row r="3862" spans="1:3" x14ac:dyDescent="0.25">
      <c r="A3862" s="222">
        <v>320154</v>
      </c>
      <c r="B3862" s="223" t="s">
        <v>6853</v>
      </c>
      <c r="C3862" s="221" t="s">
        <v>6854</v>
      </c>
    </row>
    <row r="3863" spans="1:3" x14ac:dyDescent="0.25">
      <c r="A3863" s="222">
        <v>320154</v>
      </c>
      <c r="B3863" s="223" t="s">
        <v>6853</v>
      </c>
      <c r="C3863" s="221" t="s">
        <v>6852</v>
      </c>
    </row>
    <row r="3864" spans="1:3" x14ac:dyDescent="0.25">
      <c r="A3864" s="222">
        <v>320155</v>
      </c>
      <c r="B3864" s="223" t="s">
        <v>6855</v>
      </c>
      <c r="C3864" s="221" t="s">
        <v>6856</v>
      </c>
    </row>
    <row r="3865" spans="1:3" x14ac:dyDescent="0.25">
      <c r="A3865" s="222">
        <v>320155</v>
      </c>
      <c r="B3865" s="223" t="s">
        <v>6855</v>
      </c>
      <c r="C3865" s="221" t="s">
        <v>6857</v>
      </c>
    </row>
    <row r="3866" spans="1:3" x14ac:dyDescent="0.25">
      <c r="A3866" s="222">
        <v>320155</v>
      </c>
      <c r="B3866" s="223" t="s">
        <v>6855</v>
      </c>
      <c r="C3866" s="221" t="s">
        <v>6858</v>
      </c>
    </row>
    <row r="3867" spans="1:3" x14ac:dyDescent="0.25">
      <c r="A3867" s="222">
        <v>320156</v>
      </c>
      <c r="B3867" s="223" t="s">
        <v>6859</v>
      </c>
      <c r="C3867" s="221" t="s">
        <v>6860</v>
      </c>
    </row>
    <row r="3868" spans="1:3" x14ac:dyDescent="0.25">
      <c r="A3868" s="222">
        <v>320156</v>
      </c>
      <c r="B3868" s="223" t="s">
        <v>6859</v>
      </c>
      <c r="C3868" s="221" t="s">
        <v>6857</v>
      </c>
    </row>
    <row r="3869" spans="1:3" x14ac:dyDescent="0.25">
      <c r="A3869" s="222">
        <v>320156</v>
      </c>
      <c r="B3869" s="223" t="s">
        <v>6859</v>
      </c>
      <c r="C3869" s="221" t="s">
        <v>6861</v>
      </c>
    </row>
    <row r="3870" spans="1:3" x14ac:dyDescent="0.25">
      <c r="A3870" s="222">
        <v>320157</v>
      </c>
      <c r="B3870" s="223" t="s">
        <v>6862</v>
      </c>
      <c r="C3870" s="221" t="s">
        <v>6863</v>
      </c>
    </row>
    <row r="3871" spans="1:3" x14ac:dyDescent="0.25">
      <c r="A3871" s="222">
        <v>320157</v>
      </c>
      <c r="B3871" s="223" t="s">
        <v>6862</v>
      </c>
      <c r="C3871" s="221" t="s">
        <v>6857</v>
      </c>
    </row>
    <row r="3872" spans="1:3" x14ac:dyDescent="0.25">
      <c r="A3872" s="222">
        <v>320157</v>
      </c>
      <c r="B3872" s="223" t="s">
        <v>6862</v>
      </c>
      <c r="C3872" s="221" t="s">
        <v>6864</v>
      </c>
    </row>
    <row r="3873" spans="1:3" x14ac:dyDescent="0.25">
      <c r="A3873" s="222">
        <v>320158</v>
      </c>
      <c r="B3873" s="223" t="s">
        <v>6865</v>
      </c>
      <c r="C3873" s="221" t="s">
        <v>6866</v>
      </c>
    </row>
    <row r="3874" spans="1:3" x14ac:dyDescent="0.25">
      <c r="A3874" s="222">
        <v>320158</v>
      </c>
      <c r="B3874" s="223" t="s">
        <v>6865</v>
      </c>
      <c r="C3874" s="221" t="s">
        <v>6857</v>
      </c>
    </row>
    <row r="3875" spans="1:3" x14ac:dyDescent="0.25">
      <c r="A3875" s="222">
        <v>320158</v>
      </c>
      <c r="B3875" s="223" t="s">
        <v>6865</v>
      </c>
      <c r="C3875" s="221" t="s">
        <v>6867</v>
      </c>
    </row>
    <row r="3876" spans="1:3" x14ac:dyDescent="0.25">
      <c r="A3876" s="222">
        <v>320159</v>
      </c>
      <c r="B3876" s="223" t="s">
        <v>6868</v>
      </c>
      <c r="C3876" s="221" t="s">
        <v>6869</v>
      </c>
    </row>
    <row r="3877" spans="1:3" x14ac:dyDescent="0.25">
      <c r="A3877" s="222">
        <v>320159</v>
      </c>
      <c r="B3877" s="223" t="s">
        <v>6868</v>
      </c>
      <c r="C3877" s="221" t="s">
        <v>6857</v>
      </c>
    </row>
    <row r="3878" spans="1:3" x14ac:dyDescent="0.25">
      <c r="A3878" s="222">
        <v>320159</v>
      </c>
      <c r="B3878" s="223" t="s">
        <v>6868</v>
      </c>
      <c r="C3878" s="221" t="s">
        <v>6870</v>
      </c>
    </row>
    <row r="3879" spans="1:3" x14ac:dyDescent="0.25">
      <c r="A3879" s="222">
        <v>320160</v>
      </c>
      <c r="B3879" s="223" t="s">
        <v>6871</v>
      </c>
      <c r="C3879" s="221" t="s">
        <v>6872</v>
      </c>
    </row>
    <row r="3880" spans="1:3" x14ac:dyDescent="0.25">
      <c r="A3880" s="222">
        <v>320160</v>
      </c>
      <c r="B3880" s="223" t="s">
        <v>6871</v>
      </c>
      <c r="C3880" s="221" t="s">
        <v>6857</v>
      </c>
    </row>
    <row r="3881" spans="1:3" x14ac:dyDescent="0.25">
      <c r="A3881" s="222">
        <v>320160</v>
      </c>
      <c r="B3881" s="223" t="s">
        <v>6871</v>
      </c>
      <c r="C3881" s="221" t="s">
        <v>6873</v>
      </c>
    </row>
    <row r="3882" spans="1:3" x14ac:dyDescent="0.25">
      <c r="A3882" s="222">
        <v>320161</v>
      </c>
      <c r="B3882" s="223" t="s">
        <v>6874</v>
      </c>
      <c r="C3882" s="221" t="s">
        <v>6875</v>
      </c>
    </row>
    <row r="3883" spans="1:3" x14ac:dyDescent="0.25">
      <c r="A3883" s="222">
        <v>320161</v>
      </c>
      <c r="B3883" s="223" t="s">
        <v>6874</v>
      </c>
      <c r="C3883" s="221" t="s">
        <v>6857</v>
      </c>
    </row>
    <row r="3884" spans="1:3" x14ac:dyDescent="0.25">
      <c r="A3884" s="222">
        <v>320161</v>
      </c>
      <c r="B3884" s="223" t="s">
        <v>6874</v>
      </c>
      <c r="C3884" s="221" t="s">
        <v>6876</v>
      </c>
    </row>
    <row r="3885" spans="1:3" x14ac:dyDescent="0.25">
      <c r="A3885" s="222">
        <v>320162</v>
      </c>
      <c r="B3885" s="223" t="s">
        <v>6877</v>
      </c>
      <c r="C3885" s="221" t="s">
        <v>6878</v>
      </c>
    </row>
    <row r="3886" spans="1:3" x14ac:dyDescent="0.25">
      <c r="A3886" s="222">
        <v>320162</v>
      </c>
      <c r="B3886" s="223" t="s">
        <v>6877</v>
      </c>
      <c r="C3886" s="221" t="s">
        <v>6857</v>
      </c>
    </row>
    <row r="3887" spans="1:3" x14ac:dyDescent="0.25">
      <c r="A3887" s="222">
        <v>320162</v>
      </c>
      <c r="B3887" s="223" t="s">
        <v>6877</v>
      </c>
      <c r="C3887" s="221" t="s">
        <v>6879</v>
      </c>
    </row>
    <row r="3888" spans="1:3" x14ac:dyDescent="0.25">
      <c r="A3888" s="222">
        <v>320163</v>
      </c>
      <c r="B3888" s="223" t="s">
        <v>6880</v>
      </c>
      <c r="C3888" s="221" t="s">
        <v>6881</v>
      </c>
    </row>
    <row r="3889" spans="1:3" x14ac:dyDescent="0.25">
      <c r="A3889" s="222">
        <v>320163</v>
      </c>
      <c r="B3889" s="223" t="s">
        <v>6880</v>
      </c>
      <c r="C3889" s="221" t="s">
        <v>6882</v>
      </c>
    </row>
    <row r="3890" spans="1:3" x14ac:dyDescent="0.25">
      <c r="A3890" s="222">
        <v>320164</v>
      </c>
      <c r="B3890" s="223" t="s">
        <v>6883</v>
      </c>
      <c r="C3890" s="221" t="s">
        <v>6884</v>
      </c>
    </row>
    <row r="3891" spans="1:3" x14ac:dyDescent="0.25">
      <c r="A3891" s="222">
        <v>320164</v>
      </c>
      <c r="B3891" s="223" t="s">
        <v>6883</v>
      </c>
      <c r="C3891" s="221" t="s">
        <v>6885</v>
      </c>
    </row>
    <row r="3892" spans="1:3" x14ac:dyDescent="0.25">
      <c r="A3892" s="222">
        <v>320165</v>
      </c>
      <c r="B3892" s="223" t="s">
        <v>6886</v>
      </c>
      <c r="C3892" s="221" t="s">
        <v>6887</v>
      </c>
    </row>
    <row r="3893" spans="1:3" x14ac:dyDescent="0.25">
      <c r="A3893" s="222">
        <v>320165</v>
      </c>
      <c r="B3893" s="223" t="s">
        <v>6886</v>
      </c>
      <c r="C3893" s="221" t="s">
        <v>6888</v>
      </c>
    </row>
    <row r="3894" spans="1:3" x14ac:dyDescent="0.25">
      <c r="A3894" s="222">
        <v>320166</v>
      </c>
      <c r="B3894" s="223" t="s">
        <v>6889</v>
      </c>
      <c r="C3894" s="221" t="s">
        <v>6890</v>
      </c>
    </row>
    <row r="3895" spans="1:3" x14ac:dyDescent="0.25">
      <c r="A3895" s="222">
        <v>320166</v>
      </c>
      <c r="B3895" s="223" t="s">
        <v>6889</v>
      </c>
      <c r="C3895" s="221" t="s">
        <v>6891</v>
      </c>
    </row>
    <row r="3896" spans="1:3" x14ac:dyDescent="0.25">
      <c r="A3896" s="222">
        <v>320167</v>
      </c>
      <c r="B3896" s="223" t="s">
        <v>6892</v>
      </c>
      <c r="C3896" s="221" t="s">
        <v>6893</v>
      </c>
    </row>
    <row r="3897" spans="1:3" x14ac:dyDescent="0.25">
      <c r="A3897" s="222">
        <v>320167</v>
      </c>
      <c r="B3897" s="223" t="s">
        <v>6892</v>
      </c>
      <c r="C3897" s="221" t="s">
        <v>6894</v>
      </c>
    </row>
    <row r="3898" spans="1:3" x14ac:dyDescent="0.25">
      <c r="A3898" s="222">
        <v>320168</v>
      </c>
      <c r="B3898" s="223" t="s">
        <v>6895</v>
      </c>
      <c r="C3898" s="221" t="s">
        <v>6896</v>
      </c>
    </row>
    <row r="3899" spans="1:3" x14ac:dyDescent="0.25">
      <c r="A3899" s="222">
        <v>320168</v>
      </c>
      <c r="B3899" s="223" t="s">
        <v>6895</v>
      </c>
      <c r="C3899" s="221" t="s">
        <v>6897</v>
      </c>
    </row>
    <row r="3900" spans="1:3" x14ac:dyDescent="0.25">
      <c r="A3900" s="222">
        <v>320169</v>
      </c>
      <c r="B3900" s="223" t="s">
        <v>6898</v>
      </c>
      <c r="C3900" s="221" t="s">
        <v>6899</v>
      </c>
    </row>
    <row r="3901" spans="1:3" x14ac:dyDescent="0.25">
      <c r="A3901" s="222">
        <v>320169</v>
      </c>
      <c r="B3901" s="223" t="s">
        <v>6898</v>
      </c>
      <c r="C3901" s="221" t="s">
        <v>6900</v>
      </c>
    </row>
    <row r="3902" spans="1:3" x14ac:dyDescent="0.25">
      <c r="A3902" s="222">
        <v>320170</v>
      </c>
      <c r="B3902" s="223" t="s">
        <v>6901</v>
      </c>
      <c r="C3902" s="221" t="s">
        <v>6902</v>
      </c>
    </row>
    <row r="3903" spans="1:3" x14ac:dyDescent="0.25">
      <c r="A3903" s="222">
        <v>320170</v>
      </c>
      <c r="B3903" s="223" t="s">
        <v>6901</v>
      </c>
      <c r="C3903" s="221" t="s">
        <v>6903</v>
      </c>
    </row>
    <row r="3904" spans="1:3" x14ac:dyDescent="0.25">
      <c r="A3904" s="222">
        <v>320171</v>
      </c>
      <c r="B3904" s="223" t="s">
        <v>6904</v>
      </c>
      <c r="C3904" s="221" t="s">
        <v>6905</v>
      </c>
    </row>
    <row r="3905" spans="1:3" x14ac:dyDescent="0.25">
      <c r="A3905" s="222">
        <v>320171</v>
      </c>
      <c r="B3905" s="223" t="s">
        <v>6904</v>
      </c>
      <c r="C3905" s="221" t="s">
        <v>6906</v>
      </c>
    </row>
    <row r="3906" spans="1:3" x14ac:dyDescent="0.25">
      <c r="A3906" s="222">
        <v>320172</v>
      </c>
      <c r="B3906" s="223" t="s">
        <v>6907</v>
      </c>
      <c r="C3906" s="221" t="s">
        <v>6908</v>
      </c>
    </row>
    <row r="3907" spans="1:3" x14ac:dyDescent="0.25">
      <c r="A3907" s="222">
        <v>320172</v>
      </c>
      <c r="B3907" s="223" t="s">
        <v>6907</v>
      </c>
      <c r="C3907" s="221" t="s">
        <v>6909</v>
      </c>
    </row>
    <row r="3908" spans="1:3" x14ac:dyDescent="0.25">
      <c r="A3908" s="222">
        <v>320173</v>
      </c>
      <c r="B3908" s="223" t="s">
        <v>6910</v>
      </c>
      <c r="C3908" s="221" t="s">
        <v>6911</v>
      </c>
    </row>
    <row r="3909" spans="1:3" x14ac:dyDescent="0.25">
      <c r="A3909" s="222">
        <v>320173</v>
      </c>
      <c r="B3909" s="223" t="s">
        <v>6910</v>
      </c>
      <c r="C3909" s="221" t="s">
        <v>6912</v>
      </c>
    </row>
    <row r="3910" spans="1:3" x14ac:dyDescent="0.25">
      <c r="A3910" s="222">
        <v>320174</v>
      </c>
      <c r="B3910" s="223" t="s">
        <v>6913</v>
      </c>
      <c r="C3910" s="221" t="s">
        <v>6914</v>
      </c>
    </row>
    <row r="3911" spans="1:3" x14ac:dyDescent="0.25">
      <c r="A3911" s="222">
        <v>320174</v>
      </c>
      <c r="B3911" s="223" t="s">
        <v>6913</v>
      </c>
      <c r="C3911" s="221" t="s">
        <v>6915</v>
      </c>
    </row>
    <row r="3912" spans="1:3" x14ac:dyDescent="0.25">
      <c r="A3912" s="222">
        <v>320175</v>
      </c>
      <c r="B3912" s="223" t="s">
        <v>6916</v>
      </c>
      <c r="C3912" s="221" t="s">
        <v>6917</v>
      </c>
    </row>
    <row r="3913" spans="1:3" x14ac:dyDescent="0.25">
      <c r="A3913" s="222">
        <v>320175</v>
      </c>
      <c r="B3913" s="223" t="s">
        <v>6916</v>
      </c>
      <c r="C3913" s="221" t="s">
        <v>6918</v>
      </c>
    </row>
    <row r="3914" spans="1:3" x14ac:dyDescent="0.25">
      <c r="A3914" s="222">
        <v>320175</v>
      </c>
      <c r="B3914" s="223" t="s">
        <v>6916</v>
      </c>
      <c r="C3914" s="221" t="s">
        <v>6919</v>
      </c>
    </row>
    <row r="3915" spans="1:3" x14ac:dyDescent="0.25">
      <c r="A3915" s="222">
        <v>320176</v>
      </c>
      <c r="B3915" s="223" t="s">
        <v>6920</v>
      </c>
      <c r="C3915" s="221" t="s">
        <v>6921</v>
      </c>
    </row>
    <row r="3916" spans="1:3" x14ac:dyDescent="0.25">
      <c r="A3916" s="222">
        <v>320176</v>
      </c>
      <c r="B3916" s="223" t="s">
        <v>6920</v>
      </c>
      <c r="C3916" s="221" t="s">
        <v>6922</v>
      </c>
    </row>
    <row r="3917" spans="1:3" x14ac:dyDescent="0.25">
      <c r="A3917" s="222">
        <v>320176</v>
      </c>
      <c r="B3917" s="223" t="s">
        <v>6920</v>
      </c>
      <c r="C3917" s="221" t="s">
        <v>6923</v>
      </c>
    </row>
    <row r="3918" spans="1:3" x14ac:dyDescent="0.25">
      <c r="A3918" s="222">
        <v>320177</v>
      </c>
      <c r="B3918" s="223" t="s">
        <v>6924</v>
      </c>
      <c r="C3918" s="221" t="s">
        <v>6925</v>
      </c>
    </row>
    <row r="3919" spans="1:3" x14ac:dyDescent="0.25">
      <c r="A3919" s="222">
        <v>320177</v>
      </c>
      <c r="B3919" s="223" t="s">
        <v>6924</v>
      </c>
      <c r="C3919" s="221" t="s">
        <v>6926</v>
      </c>
    </row>
    <row r="3920" spans="1:3" x14ac:dyDescent="0.25">
      <c r="A3920" s="222">
        <v>320177</v>
      </c>
      <c r="B3920" s="223" t="s">
        <v>6924</v>
      </c>
      <c r="C3920" s="221" t="s">
        <v>6927</v>
      </c>
    </row>
    <row r="3921" spans="1:3" x14ac:dyDescent="0.25">
      <c r="A3921" s="222">
        <v>320178</v>
      </c>
      <c r="B3921" s="223" t="s">
        <v>6928</v>
      </c>
      <c r="C3921" s="221" t="s">
        <v>6929</v>
      </c>
    </row>
    <row r="3922" spans="1:3" x14ac:dyDescent="0.25">
      <c r="A3922" s="222">
        <v>320178</v>
      </c>
      <c r="B3922" s="223" t="s">
        <v>6928</v>
      </c>
      <c r="C3922" s="221" t="s">
        <v>6930</v>
      </c>
    </row>
    <row r="3923" spans="1:3" x14ac:dyDescent="0.25">
      <c r="A3923" s="222">
        <v>320178</v>
      </c>
      <c r="B3923" s="223" t="s">
        <v>6928</v>
      </c>
      <c r="C3923" s="221" t="s">
        <v>6931</v>
      </c>
    </row>
    <row r="3924" spans="1:3" x14ac:dyDescent="0.25">
      <c r="A3924" s="222">
        <v>320179</v>
      </c>
      <c r="B3924" s="223" t="s">
        <v>6932</v>
      </c>
      <c r="C3924" s="221" t="s">
        <v>6933</v>
      </c>
    </row>
    <row r="3925" spans="1:3" x14ac:dyDescent="0.25">
      <c r="A3925" s="222">
        <v>320179</v>
      </c>
      <c r="B3925" s="223" t="s">
        <v>6932</v>
      </c>
      <c r="C3925" s="221" t="s">
        <v>6934</v>
      </c>
    </row>
    <row r="3926" spans="1:3" x14ac:dyDescent="0.25">
      <c r="A3926" s="222">
        <v>320179</v>
      </c>
      <c r="B3926" s="223" t="s">
        <v>6932</v>
      </c>
      <c r="C3926" s="221" t="s">
        <v>6935</v>
      </c>
    </row>
    <row r="3927" spans="1:3" x14ac:dyDescent="0.25">
      <c r="A3927" s="222">
        <v>320180</v>
      </c>
      <c r="B3927" s="223" t="s">
        <v>6936</v>
      </c>
      <c r="C3927" s="221" t="s">
        <v>6937</v>
      </c>
    </row>
    <row r="3928" spans="1:3" x14ac:dyDescent="0.25">
      <c r="A3928" s="222">
        <v>320180</v>
      </c>
      <c r="B3928" s="223" t="s">
        <v>6936</v>
      </c>
      <c r="C3928" s="221" t="s">
        <v>6938</v>
      </c>
    </row>
    <row r="3929" spans="1:3" x14ac:dyDescent="0.25">
      <c r="A3929" s="222">
        <v>320180</v>
      </c>
      <c r="B3929" s="223" t="s">
        <v>6936</v>
      </c>
      <c r="C3929" s="221" t="s">
        <v>6939</v>
      </c>
    </row>
    <row r="3930" spans="1:3" x14ac:dyDescent="0.25">
      <c r="A3930" s="222">
        <v>320181</v>
      </c>
      <c r="B3930" s="223" t="s">
        <v>6940</v>
      </c>
      <c r="C3930" s="221" t="s">
        <v>6941</v>
      </c>
    </row>
    <row r="3931" spans="1:3" x14ac:dyDescent="0.25">
      <c r="A3931" s="222">
        <v>320181</v>
      </c>
      <c r="B3931" s="223" t="s">
        <v>6940</v>
      </c>
      <c r="C3931" s="221" t="s">
        <v>6942</v>
      </c>
    </row>
    <row r="3932" spans="1:3" x14ac:dyDescent="0.25">
      <c r="A3932" s="222">
        <v>320181</v>
      </c>
      <c r="B3932" s="223" t="s">
        <v>6940</v>
      </c>
      <c r="C3932" s="221" t="s">
        <v>6943</v>
      </c>
    </row>
    <row r="3933" spans="1:3" x14ac:dyDescent="0.25">
      <c r="A3933" s="222">
        <v>320182</v>
      </c>
      <c r="B3933" s="223" t="s">
        <v>6944</v>
      </c>
      <c r="C3933" s="221" t="s">
        <v>6945</v>
      </c>
    </row>
    <row r="3934" spans="1:3" x14ac:dyDescent="0.25">
      <c r="A3934" s="222">
        <v>320182</v>
      </c>
      <c r="B3934" s="223" t="s">
        <v>6944</v>
      </c>
      <c r="C3934" s="221" t="s">
        <v>6946</v>
      </c>
    </row>
    <row r="3935" spans="1:3" x14ac:dyDescent="0.25">
      <c r="A3935" s="222">
        <v>320183</v>
      </c>
      <c r="B3935" s="223" t="s">
        <v>6947</v>
      </c>
      <c r="C3935" s="221" t="s">
        <v>6948</v>
      </c>
    </row>
    <row r="3936" spans="1:3" x14ac:dyDescent="0.25">
      <c r="A3936" s="222">
        <v>320183</v>
      </c>
      <c r="B3936" s="223" t="s">
        <v>6947</v>
      </c>
      <c r="C3936" s="221" t="s">
        <v>6949</v>
      </c>
    </row>
    <row r="3937" spans="1:3" x14ac:dyDescent="0.25">
      <c r="A3937" s="222">
        <v>320183</v>
      </c>
      <c r="B3937" s="223" t="s">
        <v>6947</v>
      </c>
      <c r="C3937" s="221" t="s">
        <v>6950</v>
      </c>
    </row>
    <row r="3938" spans="1:3" x14ac:dyDescent="0.25">
      <c r="A3938" s="222">
        <v>320184</v>
      </c>
      <c r="B3938" s="223" t="s">
        <v>6951</v>
      </c>
      <c r="C3938" s="221" t="s">
        <v>6952</v>
      </c>
    </row>
    <row r="3939" spans="1:3" x14ac:dyDescent="0.25">
      <c r="A3939" s="222">
        <v>320184</v>
      </c>
      <c r="B3939" s="223" t="s">
        <v>6951</v>
      </c>
      <c r="C3939" s="221" t="s">
        <v>6953</v>
      </c>
    </row>
    <row r="3940" spans="1:3" x14ac:dyDescent="0.25">
      <c r="A3940" s="222">
        <v>320184</v>
      </c>
      <c r="B3940" s="223" t="s">
        <v>6951</v>
      </c>
      <c r="C3940" s="221" t="s">
        <v>6954</v>
      </c>
    </row>
    <row r="3941" spans="1:3" x14ac:dyDescent="0.25">
      <c r="A3941" s="222">
        <v>320185</v>
      </c>
      <c r="B3941" s="223" t="s">
        <v>6955</v>
      </c>
      <c r="C3941" s="221" t="s">
        <v>6956</v>
      </c>
    </row>
    <row r="3942" spans="1:3" x14ac:dyDescent="0.25">
      <c r="A3942" s="222">
        <v>320185</v>
      </c>
      <c r="B3942" s="223" t="s">
        <v>6955</v>
      </c>
      <c r="C3942" s="221" t="s">
        <v>6957</v>
      </c>
    </row>
    <row r="3943" spans="1:3" x14ac:dyDescent="0.25">
      <c r="A3943" s="222">
        <v>320186</v>
      </c>
      <c r="B3943" s="223" t="s">
        <v>6958</v>
      </c>
      <c r="C3943" s="221" t="s">
        <v>6959</v>
      </c>
    </row>
    <row r="3944" spans="1:3" x14ac:dyDescent="0.25">
      <c r="A3944" s="222">
        <v>320186</v>
      </c>
      <c r="B3944" s="223" t="s">
        <v>6958</v>
      </c>
      <c r="C3944" s="221" t="s">
        <v>6954</v>
      </c>
    </row>
    <row r="3945" spans="1:3" x14ac:dyDescent="0.25">
      <c r="A3945" s="222">
        <v>320187</v>
      </c>
      <c r="B3945" s="223" t="s">
        <v>6960</v>
      </c>
      <c r="C3945" s="221" t="s">
        <v>6961</v>
      </c>
    </row>
    <row r="3946" spans="1:3" x14ac:dyDescent="0.25">
      <c r="A3946" s="222">
        <v>320187</v>
      </c>
      <c r="B3946" s="223" t="s">
        <v>6960</v>
      </c>
      <c r="C3946" s="221" t="s">
        <v>6962</v>
      </c>
    </row>
    <row r="3947" spans="1:3" x14ac:dyDescent="0.25">
      <c r="A3947" s="222">
        <v>320187</v>
      </c>
      <c r="B3947" s="223" t="s">
        <v>6960</v>
      </c>
      <c r="C3947" s="221" t="s">
        <v>6963</v>
      </c>
    </row>
    <row r="3948" spans="1:3" x14ac:dyDescent="0.25">
      <c r="A3948" s="222">
        <v>320188</v>
      </c>
      <c r="B3948" s="223" t="s">
        <v>6964</v>
      </c>
      <c r="C3948" s="221" t="s">
        <v>6965</v>
      </c>
    </row>
    <row r="3949" spans="1:3" x14ac:dyDescent="0.25">
      <c r="A3949" s="222">
        <v>320188</v>
      </c>
      <c r="B3949" s="223" t="s">
        <v>6964</v>
      </c>
      <c r="C3949" s="221" t="s">
        <v>6966</v>
      </c>
    </row>
    <row r="3950" spans="1:3" x14ac:dyDescent="0.25">
      <c r="A3950" s="222">
        <v>320188</v>
      </c>
      <c r="B3950" s="223" t="s">
        <v>6964</v>
      </c>
      <c r="C3950" s="221" t="s">
        <v>6967</v>
      </c>
    </row>
    <row r="3951" spans="1:3" x14ac:dyDescent="0.25">
      <c r="A3951" s="222">
        <v>320189</v>
      </c>
      <c r="B3951" s="223" t="s">
        <v>6968</v>
      </c>
      <c r="C3951" s="221" t="s">
        <v>6969</v>
      </c>
    </row>
    <row r="3952" spans="1:3" x14ac:dyDescent="0.25">
      <c r="A3952" s="222">
        <v>320189</v>
      </c>
      <c r="B3952" s="223" t="s">
        <v>6968</v>
      </c>
      <c r="C3952" s="221" t="s">
        <v>6970</v>
      </c>
    </row>
    <row r="3953" spans="1:3" x14ac:dyDescent="0.25">
      <c r="A3953" s="222">
        <v>320190</v>
      </c>
      <c r="B3953" s="223" t="s">
        <v>6971</v>
      </c>
      <c r="C3953" s="221" t="s">
        <v>6972</v>
      </c>
    </row>
    <row r="3954" spans="1:3" x14ac:dyDescent="0.25">
      <c r="A3954" s="222">
        <v>320190</v>
      </c>
      <c r="B3954" s="223" t="s">
        <v>6971</v>
      </c>
      <c r="C3954" s="221" t="s">
        <v>6973</v>
      </c>
    </row>
    <row r="3955" spans="1:3" x14ac:dyDescent="0.25">
      <c r="A3955" s="222">
        <v>320191</v>
      </c>
      <c r="B3955" s="223" t="s">
        <v>6974</v>
      </c>
      <c r="C3955" s="221" t="s">
        <v>6975</v>
      </c>
    </row>
    <row r="3956" spans="1:3" x14ac:dyDescent="0.25">
      <c r="A3956" s="222">
        <v>320191</v>
      </c>
      <c r="B3956" s="223" t="s">
        <v>6974</v>
      </c>
      <c r="C3956" s="221" t="s">
        <v>6976</v>
      </c>
    </row>
    <row r="3957" spans="1:3" x14ac:dyDescent="0.25">
      <c r="A3957" s="222">
        <v>320192</v>
      </c>
      <c r="B3957" s="223" t="s">
        <v>6977</v>
      </c>
      <c r="C3957" s="221" t="s">
        <v>6978</v>
      </c>
    </row>
    <row r="3958" spans="1:3" x14ac:dyDescent="0.25">
      <c r="A3958" s="222">
        <v>320192</v>
      </c>
      <c r="B3958" s="223" t="s">
        <v>6977</v>
      </c>
      <c r="C3958" s="221" t="s">
        <v>6979</v>
      </c>
    </row>
    <row r="3959" spans="1:3" x14ac:dyDescent="0.25">
      <c r="A3959" s="222">
        <v>320193</v>
      </c>
      <c r="B3959" s="223" t="s">
        <v>6980</v>
      </c>
      <c r="C3959" s="221" t="s">
        <v>6981</v>
      </c>
    </row>
    <row r="3960" spans="1:3" x14ac:dyDescent="0.25">
      <c r="A3960" s="222">
        <v>320193</v>
      </c>
      <c r="B3960" s="223" t="s">
        <v>6980</v>
      </c>
      <c r="C3960" s="221" t="s">
        <v>6982</v>
      </c>
    </row>
    <row r="3961" spans="1:3" x14ac:dyDescent="0.25">
      <c r="A3961" s="222">
        <v>320194</v>
      </c>
      <c r="B3961" s="223" t="s">
        <v>6983</v>
      </c>
      <c r="C3961" s="221" t="s">
        <v>6984</v>
      </c>
    </row>
    <row r="3962" spans="1:3" x14ac:dyDescent="0.25">
      <c r="A3962" s="222">
        <v>320194</v>
      </c>
      <c r="B3962" s="223" t="s">
        <v>6983</v>
      </c>
      <c r="C3962" s="221" t="s">
        <v>6985</v>
      </c>
    </row>
    <row r="3963" spans="1:3" x14ac:dyDescent="0.25">
      <c r="A3963" s="222">
        <v>320196</v>
      </c>
      <c r="B3963" s="223" t="s">
        <v>6986</v>
      </c>
      <c r="C3963" s="221" t="s">
        <v>6987</v>
      </c>
    </row>
    <row r="3964" spans="1:3" x14ac:dyDescent="0.25">
      <c r="A3964" s="222">
        <v>320196</v>
      </c>
      <c r="B3964" s="223" t="s">
        <v>6986</v>
      </c>
      <c r="C3964" s="221" t="s">
        <v>6988</v>
      </c>
    </row>
    <row r="3965" spans="1:3" x14ac:dyDescent="0.25">
      <c r="A3965" s="222">
        <v>320198</v>
      </c>
      <c r="B3965" s="223" t="s">
        <v>6989</v>
      </c>
      <c r="C3965" s="221" t="s">
        <v>6990</v>
      </c>
    </row>
    <row r="3966" spans="1:3" x14ac:dyDescent="0.25">
      <c r="A3966" s="222">
        <v>320198</v>
      </c>
      <c r="B3966" s="223" t="s">
        <v>6989</v>
      </c>
      <c r="C3966" s="221" t="s">
        <v>6991</v>
      </c>
    </row>
    <row r="3967" spans="1:3" x14ac:dyDescent="0.25">
      <c r="A3967" s="222">
        <v>320199</v>
      </c>
      <c r="B3967" s="223" t="s">
        <v>6993</v>
      </c>
      <c r="C3967" s="221" t="s">
        <v>6994</v>
      </c>
    </row>
    <row r="3968" spans="1:3" x14ac:dyDescent="0.25">
      <c r="A3968" s="222">
        <v>320199</v>
      </c>
      <c r="B3968" s="223" t="s">
        <v>6993</v>
      </c>
      <c r="C3968" s="221" t="s">
        <v>6995</v>
      </c>
    </row>
    <row r="3969" spans="1:3" x14ac:dyDescent="0.25">
      <c r="A3969" s="222">
        <v>320199</v>
      </c>
      <c r="B3969" s="223" t="s">
        <v>6993</v>
      </c>
      <c r="C3969" s="221" t="s">
        <v>6992</v>
      </c>
    </row>
    <row r="3970" spans="1:3" x14ac:dyDescent="0.25">
      <c r="A3970" s="222">
        <v>320200</v>
      </c>
      <c r="B3970" s="223" t="s">
        <v>6997</v>
      </c>
      <c r="C3970" s="221" t="s">
        <v>6998</v>
      </c>
    </row>
    <row r="3971" spans="1:3" x14ac:dyDescent="0.25">
      <c r="A3971" s="222">
        <v>320200</v>
      </c>
      <c r="B3971" s="223" t="s">
        <v>6997</v>
      </c>
      <c r="C3971" s="221" t="s">
        <v>6996</v>
      </c>
    </row>
    <row r="3972" spans="1:3" x14ac:dyDescent="0.25">
      <c r="A3972" s="222">
        <v>320202</v>
      </c>
      <c r="B3972" s="223" t="s">
        <v>7000</v>
      </c>
      <c r="C3972" s="221" t="s">
        <v>7001</v>
      </c>
    </row>
    <row r="3973" spans="1:3" x14ac:dyDescent="0.25">
      <c r="A3973" s="222">
        <v>320202</v>
      </c>
      <c r="B3973" s="223" t="s">
        <v>7000</v>
      </c>
      <c r="C3973" s="221" t="s">
        <v>7002</v>
      </c>
    </row>
    <row r="3974" spans="1:3" x14ac:dyDescent="0.25">
      <c r="A3974" s="222">
        <v>320202</v>
      </c>
      <c r="B3974" s="223" t="s">
        <v>7000</v>
      </c>
      <c r="C3974" s="221" t="s">
        <v>6999</v>
      </c>
    </row>
    <row r="3975" spans="1:3" x14ac:dyDescent="0.25">
      <c r="A3975" s="222">
        <v>320203</v>
      </c>
      <c r="B3975" s="223" t="s">
        <v>7004</v>
      </c>
      <c r="C3975" s="221" t="s">
        <v>7005</v>
      </c>
    </row>
    <row r="3976" spans="1:3" x14ac:dyDescent="0.25">
      <c r="A3976" s="222">
        <v>320203</v>
      </c>
      <c r="B3976" s="223" t="s">
        <v>7004</v>
      </c>
      <c r="C3976" s="221" t="s">
        <v>7006</v>
      </c>
    </row>
    <row r="3977" spans="1:3" x14ac:dyDescent="0.25">
      <c r="A3977" s="222">
        <v>320203</v>
      </c>
      <c r="B3977" s="223" t="s">
        <v>7004</v>
      </c>
      <c r="C3977" s="221" t="s">
        <v>7003</v>
      </c>
    </row>
    <row r="3978" spans="1:3" x14ac:dyDescent="0.25">
      <c r="A3978" s="222">
        <v>320204</v>
      </c>
      <c r="B3978" s="223" t="s">
        <v>7008</v>
      </c>
      <c r="C3978" s="221" t="s">
        <v>7009</v>
      </c>
    </row>
    <row r="3979" spans="1:3" x14ac:dyDescent="0.25">
      <c r="A3979" s="222">
        <v>320204</v>
      </c>
      <c r="B3979" s="223" t="s">
        <v>7008</v>
      </c>
      <c r="C3979" s="221" t="s">
        <v>7010</v>
      </c>
    </row>
    <row r="3980" spans="1:3" x14ac:dyDescent="0.25">
      <c r="A3980" s="222">
        <v>320204</v>
      </c>
      <c r="B3980" s="223" t="s">
        <v>7008</v>
      </c>
      <c r="C3980" s="221" t="s">
        <v>7007</v>
      </c>
    </row>
    <row r="3981" spans="1:3" x14ac:dyDescent="0.25">
      <c r="A3981" s="222">
        <v>320205</v>
      </c>
      <c r="B3981" s="223" t="s">
        <v>7011</v>
      </c>
      <c r="C3981" s="221" t="s">
        <v>7012</v>
      </c>
    </row>
    <row r="3982" spans="1:3" x14ac:dyDescent="0.25">
      <c r="A3982" s="222">
        <v>320205</v>
      </c>
      <c r="B3982" s="223" t="s">
        <v>7011</v>
      </c>
      <c r="C3982" s="221" t="s">
        <v>7013</v>
      </c>
    </row>
    <row r="3983" spans="1:3" x14ac:dyDescent="0.25">
      <c r="A3983" s="222">
        <v>320206</v>
      </c>
      <c r="B3983" s="223" t="s">
        <v>7014</v>
      </c>
      <c r="C3983" s="221" t="s">
        <v>7015</v>
      </c>
    </row>
    <row r="3984" spans="1:3" x14ac:dyDescent="0.25">
      <c r="A3984" s="222">
        <v>320206</v>
      </c>
      <c r="B3984" s="223" t="s">
        <v>7014</v>
      </c>
      <c r="C3984" s="221" t="s">
        <v>7016</v>
      </c>
    </row>
    <row r="3985" spans="1:3" x14ac:dyDescent="0.25">
      <c r="A3985" s="222">
        <v>320207</v>
      </c>
      <c r="B3985" s="223" t="s">
        <v>7018</v>
      </c>
      <c r="C3985" s="221" t="s">
        <v>7019</v>
      </c>
    </row>
    <row r="3986" spans="1:3" x14ac:dyDescent="0.25">
      <c r="A3986" s="222">
        <v>320207</v>
      </c>
      <c r="B3986" s="223" t="s">
        <v>7018</v>
      </c>
      <c r="C3986" s="221" t="s">
        <v>7020</v>
      </c>
    </row>
    <row r="3987" spans="1:3" x14ac:dyDescent="0.25">
      <c r="A3987" s="222">
        <v>320207</v>
      </c>
      <c r="B3987" s="223" t="s">
        <v>7018</v>
      </c>
      <c r="C3987" s="221" t="s">
        <v>7017</v>
      </c>
    </row>
    <row r="3988" spans="1:3" x14ac:dyDescent="0.25">
      <c r="A3988" s="222">
        <v>320208</v>
      </c>
      <c r="B3988" s="223" t="s">
        <v>7021</v>
      </c>
      <c r="C3988" s="221" t="s">
        <v>7022</v>
      </c>
    </row>
    <row r="3989" spans="1:3" x14ac:dyDescent="0.25">
      <c r="A3989" s="222">
        <v>320208</v>
      </c>
      <c r="B3989" s="223" t="s">
        <v>7021</v>
      </c>
      <c r="C3989" s="221" t="s">
        <v>7023</v>
      </c>
    </row>
    <row r="3990" spans="1:3" x14ac:dyDescent="0.25">
      <c r="A3990" s="222">
        <v>320208</v>
      </c>
      <c r="B3990" s="223" t="s">
        <v>7021</v>
      </c>
      <c r="C3990" s="221" t="s">
        <v>7024</v>
      </c>
    </row>
    <row r="3991" spans="1:3" x14ac:dyDescent="0.25">
      <c r="A3991" s="222">
        <v>320209</v>
      </c>
      <c r="B3991" s="223" t="s">
        <v>7025</v>
      </c>
      <c r="C3991" s="221" t="s">
        <v>7026</v>
      </c>
    </row>
    <row r="3992" spans="1:3" x14ac:dyDescent="0.25">
      <c r="A3992" s="222">
        <v>320209</v>
      </c>
      <c r="B3992" s="223" t="s">
        <v>7025</v>
      </c>
      <c r="C3992" s="221" t="s">
        <v>7027</v>
      </c>
    </row>
    <row r="3993" spans="1:3" x14ac:dyDescent="0.25">
      <c r="A3993" s="222">
        <v>320209</v>
      </c>
      <c r="B3993" s="223" t="s">
        <v>7025</v>
      </c>
      <c r="C3993" s="221" t="s">
        <v>7028</v>
      </c>
    </row>
    <row r="3994" spans="1:3" x14ac:dyDescent="0.25">
      <c r="A3994" s="222">
        <v>320210</v>
      </c>
      <c r="B3994" s="223" t="s">
        <v>7030</v>
      </c>
      <c r="C3994" s="221" t="s">
        <v>7031</v>
      </c>
    </row>
    <row r="3995" spans="1:3" x14ac:dyDescent="0.25">
      <c r="A3995" s="222">
        <v>320210</v>
      </c>
      <c r="B3995" s="223" t="s">
        <v>7030</v>
      </c>
      <c r="C3995" s="221" t="s">
        <v>7029</v>
      </c>
    </row>
    <row r="3996" spans="1:3" x14ac:dyDescent="0.25">
      <c r="A3996" s="222">
        <v>320211</v>
      </c>
      <c r="B3996" s="223" t="s">
        <v>7033</v>
      </c>
      <c r="C3996" s="221" t="s">
        <v>7034</v>
      </c>
    </row>
    <row r="3997" spans="1:3" x14ac:dyDescent="0.25">
      <c r="A3997" s="222">
        <v>320211</v>
      </c>
      <c r="B3997" s="223" t="s">
        <v>7033</v>
      </c>
      <c r="C3997" s="221" t="s">
        <v>7032</v>
      </c>
    </row>
    <row r="3998" spans="1:3" x14ac:dyDescent="0.25">
      <c r="A3998" s="222">
        <v>320212</v>
      </c>
      <c r="B3998" s="223" t="s">
        <v>7035</v>
      </c>
      <c r="C3998" s="221" t="s">
        <v>7036</v>
      </c>
    </row>
    <row r="3999" spans="1:3" x14ac:dyDescent="0.25">
      <c r="A3999" s="222">
        <v>320212</v>
      </c>
      <c r="B3999" s="223" t="s">
        <v>7035</v>
      </c>
      <c r="C3999" s="221" t="s">
        <v>7037</v>
      </c>
    </row>
    <row r="4000" spans="1:3" x14ac:dyDescent="0.25">
      <c r="A4000" s="222">
        <v>320213</v>
      </c>
      <c r="B4000" s="223" t="s">
        <v>7038</v>
      </c>
      <c r="C4000" s="221" t="s">
        <v>7039</v>
      </c>
    </row>
    <row r="4001" spans="1:3" x14ac:dyDescent="0.25">
      <c r="A4001" s="222">
        <v>320213</v>
      </c>
      <c r="B4001" s="223" t="s">
        <v>7038</v>
      </c>
      <c r="C4001" s="221" t="s">
        <v>7040</v>
      </c>
    </row>
    <row r="4002" spans="1:3" x14ac:dyDescent="0.25">
      <c r="A4002" s="222">
        <v>320214</v>
      </c>
      <c r="B4002" s="223" t="s">
        <v>7041</v>
      </c>
      <c r="C4002" s="221" t="s">
        <v>7042</v>
      </c>
    </row>
    <row r="4003" spans="1:3" x14ac:dyDescent="0.25">
      <c r="A4003" s="222">
        <v>320214</v>
      </c>
      <c r="B4003" s="223" t="s">
        <v>7041</v>
      </c>
      <c r="C4003" s="221" t="s">
        <v>7043</v>
      </c>
    </row>
    <row r="4004" spans="1:3" x14ac:dyDescent="0.25">
      <c r="A4004" s="222">
        <v>320215</v>
      </c>
      <c r="B4004" s="223" t="s">
        <v>7044</v>
      </c>
      <c r="C4004" s="221" t="s">
        <v>7045</v>
      </c>
    </row>
    <row r="4005" spans="1:3" x14ac:dyDescent="0.25">
      <c r="A4005" s="222">
        <v>320215</v>
      </c>
      <c r="B4005" s="223" t="s">
        <v>7044</v>
      </c>
      <c r="C4005" s="221" t="s">
        <v>7046</v>
      </c>
    </row>
    <row r="4006" spans="1:3" x14ac:dyDescent="0.25">
      <c r="A4006" s="222">
        <v>320216</v>
      </c>
      <c r="B4006" s="223" t="s">
        <v>7047</v>
      </c>
      <c r="C4006" s="221" t="s">
        <v>7048</v>
      </c>
    </row>
    <row r="4007" spans="1:3" x14ac:dyDescent="0.25">
      <c r="A4007" s="222">
        <v>320216</v>
      </c>
      <c r="B4007" s="223" t="s">
        <v>7047</v>
      </c>
      <c r="C4007" s="221" t="s">
        <v>7049</v>
      </c>
    </row>
    <row r="4008" spans="1:3" x14ac:dyDescent="0.25">
      <c r="A4008" s="222">
        <v>320217</v>
      </c>
      <c r="B4008" s="223" t="s">
        <v>7050</v>
      </c>
      <c r="C4008" s="221" t="s">
        <v>7051</v>
      </c>
    </row>
    <row r="4009" spans="1:3" x14ac:dyDescent="0.25">
      <c r="A4009" s="222">
        <v>320217</v>
      </c>
      <c r="B4009" s="223" t="s">
        <v>7050</v>
      </c>
      <c r="C4009" s="221" t="s">
        <v>7052</v>
      </c>
    </row>
    <row r="4010" spans="1:3" x14ac:dyDescent="0.25">
      <c r="A4010" s="222">
        <v>320218</v>
      </c>
      <c r="B4010" s="223" t="s">
        <v>7053</v>
      </c>
      <c r="C4010" s="221" t="s">
        <v>7054</v>
      </c>
    </row>
    <row r="4011" spans="1:3" x14ac:dyDescent="0.25">
      <c r="A4011" s="222">
        <v>320218</v>
      </c>
      <c r="B4011" s="223" t="s">
        <v>7053</v>
      </c>
      <c r="C4011" s="221" t="s">
        <v>7055</v>
      </c>
    </row>
    <row r="4012" spans="1:3" x14ac:dyDescent="0.25">
      <c r="A4012" s="222">
        <v>320219</v>
      </c>
      <c r="B4012" s="223" t="s">
        <v>7056</v>
      </c>
      <c r="C4012" s="221" t="s">
        <v>7057</v>
      </c>
    </row>
    <row r="4013" spans="1:3" x14ac:dyDescent="0.25">
      <c r="A4013" s="222">
        <v>320219</v>
      </c>
      <c r="B4013" s="223" t="s">
        <v>7056</v>
      </c>
      <c r="C4013" s="221" t="s">
        <v>7058</v>
      </c>
    </row>
    <row r="4014" spans="1:3" x14ac:dyDescent="0.25">
      <c r="A4014" s="222">
        <v>320220</v>
      </c>
      <c r="B4014" s="223" t="s">
        <v>7059</v>
      </c>
      <c r="C4014" s="221" t="s">
        <v>7060</v>
      </c>
    </row>
    <row r="4015" spans="1:3" x14ac:dyDescent="0.25">
      <c r="A4015" s="222">
        <v>320220</v>
      </c>
      <c r="B4015" s="223" t="s">
        <v>7059</v>
      </c>
      <c r="C4015" s="221" t="s">
        <v>7061</v>
      </c>
    </row>
    <row r="4016" spans="1:3" x14ac:dyDescent="0.25">
      <c r="A4016" s="222">
        <v>320221</v>
      </c>
      <c r="B4016" s="223" t="s">
        <v>7062</v>
      </c>
      <c r="C4016" s="221" t="s">
        <v>7063</v>
      </c>
    </row>
    <row r="4017" spans="1:3" x14ac:dyDescent="0.25">
      <c r="A4017" s="222">
        <v>320221</v>
      </c>
      <c r="B4017" s="223" t="s">
        <v>7062</v>
      </c>
      <c r="C4017" s="221" t="s">
        <v>7064</v>
      </c>
    </row>
    <row r="4018" spans="1:3" x14ac:dyDescent="0.25">
      <c r="A4018" s="222">
        <v>320222</v>
      </c>
      <c r="B4018" s="223" t="s">
        <v>7065</v>
      </c>
      <c r="C4018" s="221" t="s">
        <v>7066</v>
      </c>
    </row>
    <row r="4019" spans="1:3" x14ac:dyDescent="0.25">
      <c r="A4019" s="222">
        <v>320222</v>
      </c>
      <c r="B4019" s="223" t="s">
        <v>7065</v>
      </c>
      <c r="C4019" s="221" t="s">
        <v>7067</v>
      </c>
    </row>
    <row r="4020" spans="1:3" x14ac:dyDescent="0.25">
      <c r="A4020" s="222">
        <v>320223</v>
      </c>
      <c r="B4020" s="223" t="s">
        <v>7068</v>
      </c>
      <c r="C4020" s="221" t="s">
        <v>7069</v>
      </c>
    </row>
    <row r="4021" spans="1:3" x14ac:dyDescent="0.25">
      <c r="A4021" s="222">
        <v>320223</v>
      </c>
      <c r="B4021" s="223" t="s">
        <v>7068</v>
      </c>
      <c r="C4021" s="221" t="s">
        <v>7070</v>
      </c>
    </row>
    <row r="4022" spans="1:3" x14ac:dyDescent="0.25">
      <c r="A4022" s="222">
        <v>320224</v>
      </c>
      <c r="B4022" s="223" t="s">
        <v>7071</v>
      </c>
      <c r="C4022" s="221" t="s">
        <v>7072</v>
      </c>
    </row>
    <row r="4023" spans="1:3" x14ac:dyDescent="0.25">
      <c r="A4023" s="222">
        <v>320224</v>
      </c>
      <c r="B4023" s="223" t="s">
        <v>7071</v>
      </c>
      <c r="C4023" s="221" t="s">
        <v>7073</v>
      </c>
    </row>
    <row r="4024" spans="1:3" x14ac:dyDescent="0.25">
      <c r="A4024" s="222">
        <v>320225</v>
      </c>
      <c r="B4024" s="223" t="s">
        <v>7074</v>
      </c>
      <c r="C4024" s="221" t="s">
        <v>7075</v>
      </c>
    </row>
    <row r="4025" spans="1:3" x14ac:dyDescent="0.25">
      <c r="A4025" s="222">
        <v>320225</v>
      </c>
      <c r="B4025" s="223" t="s">
        <v>7074</v>
      </c>
      <c r="C4025" s="221" t="s">
        <v>7076</v>
      </c>
    </row>
    <row r="4026" spans="1:3" x14ac:dyDescent="0.25">
      <c r="A4026" s="222">
        <v>320226</v>
      </c>
      <c r="B4026" s="223" t="s">
        <v>7077</v>
      </c>
      <c r="C4026" s="221" t="s">
        <v>7078</v>
      </c>
    </row>
    <row r="4027" spans="1:3" x14ac:dyDescent="0.25">
      <c r="A4027" s="222">
        <v>320226</v>
      </c>
      <c r="B4027" s="223" t="s">
        <v>7077</v>
      </c>
      <c r="C4027" s="221" t="s">
        <v>7079</v>
      </c>
    </row>
    <row r="4028" spans="1:3" x14ac:dyDescent="0.25">
      <c r="A4028" s="222">
        <v>320227</v>
      </c>
      <c r="B4028" s="223" t="s">
        <v>7080</v>
      </c>
      <c r="C4028" s="221" t="s">
        <v>7081</v>
      </c>
    </row>
    <row r="4029" spans="1:3" x14ac:dyDescent="0.25">
      <c r="A4029" s="222">
        <v>320227</v>
      </c>
      <c r="B4029" s="223" t="s">
        <v>7080</v>
      </c>
      <c r="C4029" s="221" t="s">
        <v>7082</v>
      </c>
    </row>
    <row r="4030" spans="1:3" x14ac:dyDescent="0.25">
      <c r="A4030" s="222">
        <v>320228</v>
      </c>
      <c r="B4030" s="223" t="s">
        <v>7083</v>
      </c>
      <c r="C4030" s="221" t="s">
        <v>7084</v>
      </c>
    </row>
    <row r="4031" spans="1:3" x14ac:dyDescent="0.25">
      <c r="A4031" s="222">
        <v>320228</v>
      </c>
      <c r="B4031" s="223" t="s">
        <v>7083</v>
      </c>
      <c r="C4031" s="221" t="s">
        <v>7085</v>
      </c>
    </row>
    <row r="4032" spans="1:3" x14ac:dyDescent="0.25">
      <c r="A4032" s="222">
        <v>320229</v>
      </c>
      <c r="B4032" s="223" t="s">
        <v>7086</v>
      </c>
      <c r="C4032" s="221" t="s">
        <v>7087</v>
      </c>
    </row>
    <row r="4033" spans="1:3" x14ac:dyDescent="0.25">
      <c r="A4033" s="222">
        <v>320229</v>
      </c>
      <c r="B4033" s="223" t="s">
        <v>7086</v>
      </c>
      <c r="C4033" s="221" t="s">
        <v>7088</v>
      </c>
    </row>
    <row r="4034" spans="1:3" x14ac:dyDescent="0.25">
      <c r="A4034" s="222">
        <v>320230</v>
      </c>
      <c r="B4034" s="223" t="s">
        <v>7089</v>
      </c>
      <c r="C4034" s="221" t="s">
        <v>7090</v>
      </c>
    </row>
    <row r="4035" spans="1:3" x14ac:dyDescent="0.25">
      <c r="A4035" s="222">
        <v>320230</v>
      </c>
      <c r="B4035" s="223" t="s">
        <v>7089</v>
      </c>
      <c r="C4035" s="221" t="s">
        <v>7091</v>
      </c>
    </row>
    <row r="4036" spans="1:3" x14ac:dyDescent="0.25">
      <c r="A4036" s="222">
        <v>320231</v>
      </c>
      <c r="B4036" s="223" t="s">
        <v>7092</v>
      </c>
      <c r="C4036" s="221" t="s">
        <v>7093</v>
      </c>
    </row>
    <row r="4037" spans="1:3" x14ac:dyDescent="0.25">
      <c r="A4037" s="222">
        <v>320231</v>
      </c>
      <c r="B4037" s="223" t="s">
        <v>7092</v>
      </c>
      <c r="C4037" s="221" t="s">
        <v>7094</v>
      </c>
    </row>
    <row r="4038" spans="1:3" x14ac:dyDescent="0.25">
      <c r="A4038" s="222">
        <v>320232</v>
      </c>
      <c r="B4038" s="223" t="s">
        <v>7095</v>
      </c>
      <c r="C4038" s="221" t="s">
        <v>7096</v>
      </c>
    </row>
    <row r="4039" spans="1:3" x14ac:dyDescent="0.25">
      <c r="A4039" s="222">
        <v>320232</v>
      </c>
      <c r="B4039" s="223" t="s">
        <v>7095</v>
      </c>
      <c r="C4039" s="221" t="s">
        <v>7097</v>
      </c>
    </row>
    <row r="4040" spans="1:3" x14ac:dyDescent="0.25">
      <c r="A4040" s="222">
        <v>320233</v>
      </c>
      <c r="B4040" s="223" t="s">
        <v>7098</v>
      </c>
      <c r="C4040" s="221" t="s">
        <v>7099</v>
      </c>
    </row>
    <row r="4041" spans="1:3" x14ac:dyDescent="0.25">
      <c r="A4041" s="222">
        <v>320233</v>
      </c>
      <c r="B4041" s="223" t="s">
        <v>7098</v>
      </c>
      <c r="C4041" s="221" t="s">
        <v>7100</v>
      </c>
    </row>
    <row r="4042" spans="1:3" x14ac:dyDescent="0.25">
      <c r="A4042" s="222">
        <v>320234</v>
      </c>
      <c r="B4042" s="223" t="s">
        <v>7101</v>
      </c>
      <c r="C4042" s="221" t="s">
        <v>7102</v>
      </c>
    </row>
    <row r="4043" spans="1:3" x14ac:dyDescent="0.25">
      <c r="A4043" s="222">
        <v>320234</v>
      </c>
      <c r="B4043" s="223" t="s">
        <v>7101</v>
      </c>
      <c r="C4043" s="221" t="s">
        <v>7103</v>
      </c>
    </row>
    <row r="4044" spans="1:3" x14ac:dyDescent="0.25">
      <c r="A4044" s="222">
        <v>320235</v>
      </c>
      <c r="B4044" s="223" t="s">
        <v>7104</v>
      </c>
      <c r="C4044" s="221" t="s">
        <v>7105</v>
      </c>
    </row>
    <row r="4045" spans="1:3" x14ac:dyDescent="0.25">
      <c r="A4045" s="222">
        <v>320235</v>
      </c>
      <c r="B4045" s="223" t="s">
        <v>7104</v>
      </c>
      <c r="C4045" s="221" t="s">
        <v>7106</v>
      </c>
    </row>
    <row r="4046" spans="1:3" x14ac:dyDescent="0.25">
      <c r="A4046" s="222">
        <v>320236</v>
      </c>
      <c r="B4046" s="223" t="s">
        <v>7107</v>
      </c>
      <c r="C4046" s="221" t="s">
        <v>7108</v>
      </c>
    </row>
    <row r="4047" spans="1:3" x14ac:dyDescent="0.25">
      <c r="A4047" s="222">
        <v>320236</v>
      </c>
      <c r="B4047" s="223" t="s">
        <v>7107</v>
      </c>
      <c r="C4047" s="221" t="s">
        <v>7109</v>
      </c>
    </row>
    <row r="4048" spans="1:3" x14ac:dyDescent="0.25">
      <c r="A4048" s="222">
        <v>320237</v>
      </c>
      <c r="B4048" s="223" t="s">
        <v>7110</v>
      </c>
      <c r="C4048" s="221" t="s">
        <v>7111</v>
      </c>
    </row>
    <row r="4049" spans="1:3" x14ac:dyDescent="0.25">
      <c r="A4049" s="222">
        <v>320237</v>
      </c>
      <c r="B4049" s="223" t="s">
        <v>7110</v>
      </c>
      <c r="C4049" s="221" t="s">
        <v>7112</v>
      </c>
    </row>
    <row r="4050" spans="1:3" x14ac:dyDescent="0.25">
      <c r="A4050" s="222">
        <v>320238</v>
      </c>
      <c r="B4050" s="223" t="s">
        <v>7113</v>
      </c>
      <c r="C4050" s="221" t="s">
        <v>7114</v>
      </c>
    </row>
    <row r="4051" spans="1:3" x14ac:dyDescent="0.25">
      <c r="A4051" s="222">
        <v>320238</v>
      </c>
      <c r="B4051" s="223" t="s">
        <v>7113</v>
      </c>
      <c r="C4051" s="221" t="s">
        <v>7115</v>
      </c>
    </row>
    <row r="4052" spans="1:3" x14ac:dyDescent="0.25">
      <c r="A4052" s="222">
        <v>320239</v>
      </c>
      <c r="B4052" s="223" t="s">
        <v>7116</v>
      </c>
      <c r="C4052" s="221" t="s">
        <v>7117</v>
      </c>
    </row>
    <row r="4053" spans="1:3" x14ac:dyDescent="0.25">
      <c r="A4053" s="222">
        <v>320239</v>
      </c>
      <c r="B4053" s="223" t="s">
        <v>7116</v>
      </c>
      <c r="C4053" s="221" t="s">
        <v>7118</v>
      </c>
    </row>
    <row r="4054" spans="1:3" x14ac:dyDescent="0.25">
      <c r="A4054" s="222">
        <v>320240</v>
      </c>
      <c r="B4054" s="223" t="s">
        <v>7119</v>
      </c>
      <c r="C4054" s="221" t="s">
        <v>7120</v>
      </c>
    </row>
    <row r="4055" spans="1:3" x14ac:dyDescent="0.25">
      <c r="A4055" s="222">
        <v>320240</v>
      </c>
      <c r="B4055" s="223" t="s">
        <v>7119</v>
      </c>
      <c r="C4055" s="221" t="s">
        <v>7121</v>
      </c>
    </row>
    <row r="4056" spans="1:3" x14ac:dyDescent="0.25">
      <c r="A4056" s="222">
        <v>320241</v>
      </c>
      <c r="B4056" s="223" t="s">
        <v>7122</v>
      </c>
      <c r="C4056" s="221" t="s">
        <v>7123</v>
      </c>
    </row>
    <row r="4057" spans="1:3" x14ac:dyDescent="0.25">
      <c r="A4057" s="222">
        <v>320241</v>
      </c>
      <c r="B4057" s="223" t="s">
        <v>7122</v>
      </c>
      <c r="C4057" s="221" t="s">
        <v>7124</v>
      </c>
    </row>
    <row r="4058" spans="1:3" x14ac:dyDescent="0.25">
      <c r="A4058" s="222">
        <v>320242</v>
      </c>
      <c r="B4058" s="223" t="s">
        <v>7125</v>
      </c>
      <c r="C4058" s="221" t="s">
        <v>7126</v>
      </c>
    </row>
    <row r="4059" spans="1:3" x14ac:dyDescent="0.25">
      <c r="A4059" s="222">
        <v>320242</v>
      </c>
      <c r="B4059" s="223" t="s">
        <v>7125</v>
      </c>
      <c r="C4059" s="221" t="s">
        <v>7127</v>
      </c>
    </row>
    <row r="4060" spans="1:3" x14ac:dyDescent="0.25">
      <c r="A4060" s="222">
        <v>320243</v>
      </c>
      <c r="B4060" s="223" t="s">
        <v>7128</v>
      </c>
      <c r="C4060" s="221" t="s">
        <v>7129</v>
      </c>
    </row>
    <row r="4061" spans="1:3" x14ac:dyDescent="0.25">
      <c r="A4061" s="222">
        <v>320243</v>
      </c>
      <c r="B4061" s="223" t="s">
        <v>7128</v>
      </c>
      <c r="C4061" s="221" t="s">
        <v>7130</v>
      </c>
    </row>
    <row r="4062" spans="1:3" x14ac:dyDescent="0.25">
      <c r="A4062" s="222">
        <v>320244</v>
      </c>
      <c r="B4062" s="223" t="s">
        <v>7131</v>
      </c>
      <c r="C4062" s="221" t="s">
        <v>7132</v>
      </c>
    </row>
    <row r="4063" spans="1:3" x14ac:dyDescent="0.25">
      <c r="A4063" s="222">
        <v>320244</v>
      </c>
      <c r="B4063" s="223" t="s">
        <v>7131</v>
      </c>
      <c r="C4063" s="221" t="s">
        <v>7133</v>
      </c>
    </row>
    <row r="4064" spans="1:3" x14ac:dyDescent="0.25">
      <c r="A4064" s="222">
        <v>320245</v>
      </c>
      <c r="B4064" s="223" t="s">
        <v>7134</v>
      </c>
      <c r="C4064" s="221" t="s">
        <v>7135</v>
      </c>
    </row>
    <row r="4065" spans="1:3" x14ac:dyDescent="0.25">
      <c r="A4065" s="222">
        <v>320245</v>
      </c>
      <c r="B4065" s="223" t="s">
        <v>7134</v>
      </c>
      <c r="C4065" s="221" t="s">
        <v>7136</v>
      </c>
    </row>
    <row r="4066" spans="1:3" x14ac:dyDescent="0.25">
      <c r="A4066" s="222">
        <v>320246</v>
      </c>
      <c r="B4066" s="223" t="s">
        <v>7137</v>
      </c>
      <c r="C4066" s="221" t="s">
        <v>7138</v>
      </c>
    </row>
    <row r="4067" spans="1:3" x14ac:dyDescent="0.25">
      <c r="A4067" s="222">
        <v>320246</v>
      </c>
      <c r="B4067" s="223" t="s">
        <v>7137</v>
      </c>
      <c r="C4067" s="221" t="s">
        <v>7139</v>
      </c>
    </row>
    <row r="4068" spans="1:3" x14ac:dyDescent="0.25">
      <c r="A4068" s="222">
        <v>320247</v>
      </c>
      <c r="B4068" s="223" t="s">
        <v>7140</v>
      </c>
      <c r="C4068" s="221" t="s">
        <v>7141</v>
      </c>
    </row>
    <row r="4069" spans="1:3" x14ac:dyDescent="0.25">
      <c r="A4069" s="222">
        <v>320247</v>
      </c>
      <c r="B4069" s="223" t="s">
        <v>7140</v>
      </c>
      <c r="C4069" s="221" t="s">
        <v>7142</v>
      </c>
    </row>
    <row r="4070" spans="1:3" x14ac:dyDescent="0.25">
      <c r="A4070" s="222">
        <v>320247</v>
      </c>
      <c r="B4070" s="223" t="s">
        <v>7140</v>
      </c>
      <c r="C4070" s="221" t="s">
        <v>7143</v>
      </c>
    </row>
    <row r="4071" spans="1:3" x14ac:dyDescent="0.25">
      <c r="A4071" s="222">
        <v>320248</v>
      </c>
      <c r="B4071" s="223" t="s">
        <v>7144</v>
      </c>
      <c r="C4071" s="221" t="s">
        <v>7145</v>
      </c>
    </row>
    <row r="4072" spans="1:3" x14ac:dyDescent="0.25">
      <c r="A4072" s="222">
        <v>320248</v>
      </c>
      <c r="B4072" s="223" t="s">
        <v>7144</v>
      </c>
      <c r="C4072" s="221" t="s">
        <v>7146</v>
      </c>
    </row>
    <row r="4073" spans="1:3" x14ac:dyDescent="0.25">
      <c r="A4073" s="222">
        <v>320249</v>
      </c>
      <c r="B4073" s="223" t="s">
        <v>7147</v>
      </c>
      <c r="C4073" s="221" t="s">
        <v>7148</v>
      </c>
    </row>
    <row r="4074" spans="1:3" x14ac:dyDescent="0.25">
      <c r="A4074" s="222">
        <v>320249</v>
      </c>
      <c r="B4074" s="223" t="s">
        <v>7147</v>
      </c>
      <c r="C4074" s="221" t="s">
        <v>7149</v>
      </c>
    </row>
    <row r="4075" spans="1:3" x14ac:dyDescent="0.25">
      <c r="A4075" s="222">
        <v>320250</v>
      </c>
      <c r="B4075" s="223" t="s">
        <v>7150</v>
      </c>
      <c r="C4075" s="221" t="s">
        <v>7151</v>
      </c>
    </row>
    <row r="4076" spans="1:3" x14ac:dyDescent="0.25">
      <c r="A4076" s="222">
        <v>320250</v>
      </c>
      <c r="B4076" s="223" t="s">
        <v>7150</v>
      </c>
      <c r="C4076" s="221" t="s">
        <v>7152</v>
      </c>
    </row>
    <row r="4077" spans="1:3" x14ac:dyDescent="0.25">
      <c r="A4077" s="222">
        <v>320251</v>
      </c>
      <c r="B4077" s="223" t="s">
        <v>7153</v>
      </c>
      <c r="C4077" s="221" t="s">
        <v>7154</v>
      </c>
    </row>
    <row r="4078" spans="1:3" x14ac:dyDescent="0.25">
      <c r="A4078" s="222">
        <v>320251</v>
      </c>
      <c r="B4078" s="223" t="s">
        <v>7153</v>
      </c>
      <c r="C4078" s="221" t="s">
        <v>7155</v>
      </c>
    </row>
    <row r="4079" spans="1:3" x14ac:dyDescent="0.25">
      <c r="A4079" s="222">
        <v>320252</v>
      </c>
      <c r="B4079" s="223" t="s">
        <v>7156</v>
      </c>
      <c r="C4079" s="221" t="s">
        <v>7157</v>
      </c>
    </row>
    <row r="4080" spans="1:3" x14ac:dyDescent="0.25">
      <c r="A4080" s="222">
        <v>320252</v>
      </c>
      <c r="B4080" s="223" t="s">
        <v>7156</v>
      </c>
      <c r="C4080" s="221" t="s">
        <v>7158</v>
      </c>
    </row>
    <row r="4081" spans="1:3" x14ac:dyDescent="0.25">
      <c r="A4081" s="222">
        <v>320253</v>
      </c>
      <c r="B4081" s="223" t="s">
        <v>7159</v>
      </c>
      <c r="C4081" s="221" t="s">
        <v>7160</v>
      </c>
    </row>
    <row r="4082" spans="1:3" x14ac:dyDescent="0.25">
      <c r="A4082" s="222">
        <v>320253</v>
      </c>
      <c r="B4082" s="223" t="s">
        <v>7159</v>
      </c>
      <c r="C4082" s="221" t="s">
        <v>7161</v>
      </c>
    </row>
    <row r="4083" spans="1:3" x14ac:dyDescent="0.25">
      <c r="A4083" s="222">
        <v>320254</v>
      </c>
      <c r="B4083" s="223" t="s">
        <v>7162</v>
      </c>
      <c r="C4083" s="221" t="s">
        <v>7163</v>
      </c>
    </row>
    <row r="4084" spans="1:3" x14ac:dyDescent="0.25">
      <c r="A4084" s="222">
        <v>320254</v>
      </c>
      <c r="B4084" s="223" t="s">
        <v>7162</v>
      </c>
      <c r="C4084" s="221" t="s">
        <v>7164</v>
      </c>
    </row>
    <row r="4085" spans="1:3" x14ac:dyDescent="0.25">
      <c r="A4085" s="222">
        <v>320255</v>
      </c>
      <c r="B4085" s="223" t="s">
        <v>7165</v>
      </c>
      <c r="C4085" s="221" t="s">
        <v>7166</v>
      </c>
    </row>
    <row r="4086" spans="1:3" x14ac:dyDescent="0.25">
      <c r="A4086" s="222">
        <v>320255</v>
      </c>
      <c r="B4086" s="223" t="s">
        <v>7165</v>
      </c>
      <c r="C4086" s="221" t="s">
        <v>7167</v>
      </c>
    </row>
    <row r="4087" spans="1:3" x14ac:dyDescent="0.25">
      <c r="A4087" s="222">
        <v>320256</v>
      </c>
      <c r="B4087" s="223" t="s">
        <v>7168</v>
      </c>
      <c r="C4087" s="221" t="s">
        <v>7169</v>
      </c>
    </row>
    <row r="4088" spans="1:3" x14ac:dyDescent="0.25">
      <c r="A4088" s="222">
        <v>320256</v>
      </c>
      <c r="B4088" s="223" t="s">
        <v>7168</v>
      </c>
      <c r="C4088" s="221" t="s">
        <v>7170</v>
      </c>
    </row>
    <row r="4089" spans="1:3" x14ac:dyDescent="0.25">
      <c r="A4089" s="222">
        <v>320257</v>
      </c>
      <c r="B4089" s="223" t="s">
        <v>7171</v>
      </c>
      <c r="C4089" s="221" t="s">
        <v>7172</v>
      </c>
    </row>
    <row r="4090" spans="1:3" x14ac:dyDescent="0.25">
      <c r="A4090" s="222">
        <v>320257</v>
      </c>
      <c r="B4090" s="223" t="s">
        <v>7171</v>
      </c>
      <c r="C4090" s="221" t="s">
        <v>7173</v>
      </c>
    </row>
    <row r="4091" spans="1:3" x14ac:dyDescent="0.25">
      <c r="A4091" s="222">
        <v>320258</v>
      </c>
      <c r="B4091" s="223" t="s">
        <v>7174</v>
      </c>
      <c r="C4091" s="221" t="s">
        <v>7175</v>
      </c>
    </row>
    <row r="4092" spans="1:3" x14ac:dyDescent="0.25">
      <c r="A4092" s="222">
        <v>320258</v>
      </c>
      <c r="B4092" s="223" t="s">
        <v>7174</v>
      </c>
      <c r="C4092" s="221" t="s">
        <v>7176</v>
      </c>
    </row>
    <row r="4093" spans="1:3" x14ac:dyDescent="0.25">
      <c r="A4093" s="222">
        <v>320259</v>
      </c>
      <c r="B4093" s="223" t="s">
        <v>7177</v>
      </c>
      <c r="C4093" s="221" t="s">
        <v>7178</v>
      </c>
    </row>
    <row r="4094" spans="1:3" x14ac:dyDescent="0.25">
      <c r="A4094" s="222">
        <v>320259</v>
      </c>
      <c r="B4094" s="223" t="s">
        <v>7177</v>
      </c>
      <c r="C4094" s="221" t="s">
        <v>7179</v>
      </c>
    </row>
    <row r="4095" spans="1:3" x14ac:dyDescent="0.25">
      <c r="A4095" s="222">
        <v>320260</v>
      </c>
      <c r="B4095" s="223" t="s">
        <v>7180</v>
      </c>
      <c r="C4095" s="221" t="s">
        <v>7181</v>
      </c>
    </row>
    <row r="4096" spans="1:3" x14ac:dyDescent="0.25">
      <c r="A4096" s="222">
        <v>320260</v>
      </c>
      <c r="B4096" s="223" t="s">
        <v>7180</v>
      </c>
      <c r="C4096" s="221" t="s">
        <v>7182</v>
      </c>
    </row>
    <row r="4097" spans="1:3" x14ac:dyDescent="0.25">
      <c r="A4097" s="222">
        <v>320261</v>
      </c>
      <c r="B4097" s="223" t="s">
        <v>7183</v>
      </c>
      <c r="C4097" s="221" t="s">
        <v>7184</v>
      </c>
    </row>
    <row r="4098" spans="1:3" x14ac:dyDescent="0.25">
      <c r="A4098" s="222">
        <v>320261</v>
      </c>
      <c r="B4098" s="223" t="s">
        <v>7183</v>
      </c>
      <c r="C4098" s="221" t="s">
        <v>7185</v>
      </c>
    </row>
    <row r="4099" spans="1:3" x14ac:dyDescent="0.25">
      <c r="A4099" s="222">
        <v>320262</v>
      </c>
      <c r="B4099" s="223" t="s">
        <v>7187</v>
      </c>
      <c r="C4099" s="221" t="s">
        <v>7188</v>
      </c>
    </row>
    <row r="4100" spans="1:3" x14ac:dyDescent="0.25">
      <c r="A4100" s="222">
        <v>320262</v>
      </c>
      <c r="B4100" s="223" t="s">
        <v>7187</v>
      </c>
      <c r="C4100" s="221" t="s">
        <v>7186</v>
      </c>
    </row>
    <row r="4101" spans="1:3" x14ac:dyDescent="0.25">
      <c r="A4101" s="222">
        <v>320263</v>
      </c>
      <c r="B4101" s="223" t="s">
        <v>6798</v>
      </c>
      <c r="C4101" s="221" t="s">
        <v>6799</v>
      </c>
    </row>
    <row r="4102" spans="1:3" x14ac:dyDescent="0.25">
      <c r="A4102" s="222">
        <v>320263</v>
      </c>
      <c r="B4102" s="223" t="s">
        <v>6798</v>
      </c>
      <c r="C4102" s="221" t="s">
        <v>7190</v>
      </c>
    </row>
    <row r="4103" spans="1:3" x14ac:dyDescent="0.25">
      <c r="A4103" s="222">
        <v>320263</v>
      </c>
      <c r="B4103" s="223" t="s">
        <v>6798</v>
      </c>
      <c r="C4103" s="221" t="s">
        <v>7189</v>
      </c>
    </row>
    <row r="4104" spans="1:3" x14ac:dyDescent="0.25">
      <c r="A4104" s="222">
        <v>320264</v>
      </c>
      <c r="B4104" s="223" t="s">
        <v>7192</v>
      </c>
      <c r="C4104" s="221" t="s">
        <v>7193</v>
      </c>
    </row>
    <row r="4105" spans="1:3" x14ac:dyDescent="0.25">
      <c r="A4105" s="222">
        <v>320264</v>
      </c>
      <c r="B4105" s="223" t="s">
        <v>7192</v>
      </c>
      <c r="C4105" s="221" t="s">
        <v>7191</v>
      </c>
    </row>
    <row r="4106" spans="1:3" x14ac:dyDescent="0.25">
      <c r="A4106" s="222">
        <v>320265</v>
      </c>
      <c r="B4106" s="223" t="s">
        <v>7195</v>
      </c>
      <c r="C4106" s="221" t="s">
        <v>7196</v>
      </c>
    </row>
    <row r="4107" spans="1:3" x14ac:dyDescent="0.25">
      <c r="A4107" s="222">
        <v>320265</v>
      </c>
      <c r="B4107" s="223" t="s">
        <v>7195</v>
      </c>
      <c r="C4107" s="221" t="s">
        <v>7197</v>
      </c>
    </row>
    <row r="4108" spans="1:3" x14ac:dyDescent="0.25">
      <c r="A4108" s="222">
        <v>320265</v>
      </c>
      <c r="B4108" s="223" t="s">
        <v>7195</v>
      </c>
      <c r="C4108" s="221" t="s">
        <v>7194</v>
      </c>
    </row>
    <row r="4109" spans="1:3" x14ac:dyDescent="0.25">
      <c r="A4109" s="222">
        <v>320266</v>
      </c>
      <c r="B4109" s="223" t="s">
        <v>7199</v>
      </c>
      <c r="C4109" s="221" t="s">
        <v>7198</v>
      </c>
    </row>
    <row r="4110" spans="1:3" x14ac:dyDescent="0.25">
      <c r="A4110" s="222">
        <v>320267</v>
      </c>
      <c r="B4110" s="223" t="s">
        <v>7201</v>
      </c>
      <c r="C4110" s="221" t="s">
        <v>7202</v>
      </c>
    </row>
    <row r="4111" spans="1:3" x14ac:dyDescent="0.25">
      <c r="A4111" s="222">
        <v>320267</v>
      </c>
      <c r="B4111" s="223" t="s">
        <v>7201</v>
      </c>
      <c r="C4111" s="221" t="s">
        <v>7200</v>
      </c>
    </row>
    <row r="4112" spans="1:3" x14ac:dyDescent="0.25">
      <c r="A4112" s="222">
        <v>320268</v>
      </c>
      <c r="B4112" s="223" t="s">
        <v>7204</v>
      </c>
      <c r="C4112" s="221" t="s">
        <v>7205</v>
      </c>
    </row>
    <row r="4113" spans="1:3" x14ac:dyDescent="0.25">
      <c r="A4113" s="222">
        <v>320268</v>
      </c>
      <c r="B4113" s="223" t="s">
        <v>7204</v>
      </c>
      <c r="C4113" s="221" t="s">
        <v>7203</v>
      </c>
    </row>
    <row r="4114" spans="1:3" x14ac:dyDescent="0.25">
      <c r="A4114" s="222">
        <v>320269</v>
      </c>
      <c r="B4114" s="223" t="s">
        <v>7207</v>
      </c>
      <c r="C4114" s="221" t="s">
        <v>7208</v>
      </c>
    </row>
    <row r="4115" spans="1:3" x14ac:dyDescent="0.25">
      <c r="A4115" s="222">
        <v>320269</v>
      </c>
      <c r="B4115" s="223" t="s">
        <v>7207</v>
      </c>
      <c r="C4115" s="221" t="s">
        <v>7206</v>
      </c>
    </row>
    <row r="4116" spans="1:3" x14ac:dyDescent="0.25">
      <c r="A4116" s="222">
        <v>320270</v>
      </c>
      <c r="B4116" s="223" t="s">
        <v>7209</v>
      </c>
      <c r="C4116" s="221" t="s">
        <v>7210</v>
      </c>
    </row>
    <row r="4117" spans="1:3" x14ac:dyDescent="0.25">
      <c r="A4117" s="222">
        <v>320270</v>
      </c>
      <c r="B4117" s="223" t="s">
        <v>7209</v>
      </c>
      <c r="C4117" s="221" t="s">
        <v>7211</v>
      </c>
    </row>
    <row r="4118" spans="1:3" x14ac:dyDescent="0.25">
      <c r="A4118" s="222">
        <v>320271</v>
      </c>
      <c r="B4118" s="223" t="s">
        <v>7212</v>
      </c>
      <c r="C4118" s="221" t="s">
        <v>7213</v>
      </c>
    </row>
    <row r="4119" spans="1:3" x14ac:dyDescent="0.25">
      <c r="A4119" s="222">
        <v>320271</v>
      </c>
      <c r="B4119" s="223" t="s">
        <v>7212</v>
      </c>
      <c r="C4119" s="221" t="s">
        <v>7214</v>
      </c>
    </row>
    <row r="4120" spans="1:3" x14ac:dyDescent="0.25">
      <c r="A4120" s="222">
        <v>320272</v>
      </c>
      <c r="B4120" s="223" t="s">
        <v>7215</v>
      </c>
      <c r="C4120" s="221" t="s">
        <v>7216</v>
      </c>
    </row>
    <row r="4121" spans="1:3" x14ac:dyDescent="0.25">
      <c r="A4121" s="222">
        <v>320272</v>
      </c>
      <c r="B4121" s="223" t="s">
        <v>7215</v>
      </c>
      <c r="C4121" s="221" t="s">
        <v>7217</v>
      </c>
    </row>
    <row r="4122" spans="1:3" x14ac:dyDescent="0.25">
      <c r="A4122" s="222">
        <v>320276</v>
      </c>
      <c r="B4122" s="223" t="s">
        <v>7218</v>
      </c>
      <c r="C4122" s="221" t="s">
        <v>7219</v>
      </c>
    </row>
    <row r="4123" spans="1:3" x14ac:dyDescent="0.25">
      <c r="A4123" s="222">
        <v>320276</v>
      </c>
      <c r="B4123" s="223" t="s">
        <v>7218</v>
      </c>
      <c r="C4123" s="221" t="s">
        <v>7220</v>
      </c>
    </row>
    <row r="4124" spans="1:3" x14ac:dyDescent="0.25">
      <c r="A4124" s="222">
        <v>320277</v>
      </c>
      <c r="B4124" s="223" t="s">
        <v>7221</v>
      </c>
      <c r="C4124" s="221" t="s">
        <v>7222</v>
      </c>
    </row>
    <row r="4125" spans="1:3" x14ac:dyDescent="0.25">
      <c r="A4125" s="222">
        <v>320277</v>
      </c>
      <c r="B4125" s="223" t="s">
        <v>7221</v>
      </c>
      <c r="C4125" s="221" t="s">
        <v>7223</v>
      </c>
    </row>
    <row r="4126" spans="1:3" x14ac:dyDescent="0.25">
      <c r="A4126" s="222">
        <v>320278</v>
      </c>
      <c r="B4126" s="223" t="s">
        <v>7224</v>
      </c>
      <c r="C4126" s="221" t="s">
        <v>7225</v>
      </c>
    </row>
    <row r="4127" spans="1:3" x14ac:dyDescent="0.25">
      <c r="A4127" s="222">
        <v>320278</v>
      </c>
      <c r="B4127" s="223" t="s">
        <v>7224</v>
      </c>
      <c r="C4127" s="221" t="s">
        <v>7226</v>
      </c>
    </row>
    <row r="4128" spans="1:3" x14ac:dyDescent="0.25">
      <c r="A4128" s="222">
        <v>320279</v>
      </c>
      <c r="B4128" s="223" t="s">
        <v>7228</v>
      </c>
      <c r="C4128" s="221" t="s">
        <v>7227</v>
      </c>
    </row>
    <row r="4129" spans="1:3" x14ac:dyDescent="0.25">
      <c r="A4129" s="222">
        <v>320280</v>
      </c>
      <c r="B4129" s="223" t="s">
        <v>7230</v>
      </c>
      <c r="C4129" s="221" t="s">
        <v>7229</v>
      </c>
    </row>
    <row r="4130" spans="1:3" x14ac:dyDescent="0.25">
      <c r="A4130" s="222">
        <v>320281</v>
      </c>
      <c r="B4130" s="223" t="s">
        <v>7232</v>
      </c>
      <c r="C4130" s="221" t="s">
        <v>7231</v>
      </c>
    </row>
    <row r="4131" spans="1:3" x14ac:dyDescent="0.25">
      <c r="A4131" s="222">
        <v>320282</v>
      </c>
      <c r="B4131" s="223" t="s">
        <v>7234</v>
      </c>
      <c r="C4131" s="221" t="s">
        <v>7233</v>
      </c>
    </row>
    <row r="4132" spans="1:3" x14ac:dyDescent="0.25">
      <c r="A4132" s="222">
        <v>320283</v>
      </c>
      <c r="B4132" s="223" t="s">
        <v>7236</v>
      </c>
      <c r="C4132" s="221" t="s">
        <v>7235</v>
      </c>
    </row>
    <row r="4133" spans="1:3" x14ac:dyDescent="0.25">
      <c r="A4133" s="222">
        <v>320284</v>
      </c>
      <c r="B4133" s="223" t="s">
        <v>7238</v>
      </c>
      <c r="C4133" s="221" t="s">
        <v>7237</v>
      </c>
    </row>
    <row r="4134" spans="1:3" x14ac:dyDescent="0.25">
      <c r="A4134" s="222">
        <v>320285</v>
      </c>
      <c r="B4134" s="223" t="s">
        <v>7240</v>
      </c>
      <c r="C4134" s="221" t="s">
        <v>7239</v>
      </c>
    </row>
    <row r="4135" spans="1:3" x14ac:dyDescent="0.25">
      <c r="A4135" s="222">
        <v>320286</v>
      </c>
      <c r="B4135" s="223" t="s">
        <v>7242</v>
      </c>
      <c r="C4135" s="221" t="s">
        <v>7241</v>
      </c>
    </row>
    <row r="4136" spans="1:3" x14ac:dyDescent="0.25">
      <c r="A4136" s="222">
        <v>320287</v>
      </c>
      <c r="B4136" s="223" t="s">
        <v>7244</v>
      </c>
      <c r="C4136" s="221" t="s">
        <v>7243</v>
      </c>
    </row>
    <row r="4137" spans="1:3" x14ac:dyDescent="0.25">
      <c r="A4137" s="222">
        <v>320288</v>
      </c>
      <c r="B4137" s="223" t="s">
        <v>7246</v>
      </c>
      <c r="C4137" s="221" t="s">
        <v>7245</v>
      </c>
    </row>
    <row r="4138" spans="1:3" x14ac:dyDescent="0.25">
      <c r="A4138" s="222">
        <v>320289</v>
      </c>
      <c r="B4138" s="223" t="s">
        <v>7248</v>
      </c>
      <c r="C4138" s="221" t="s">
        <v>7247</v>
      </c>
    </row>
    <row r="4139" spans="1:3" x14ac:dyDescent="0.25">
      <c r="A4139" s="222">
        <v>320290</v>
      </c>
      <c r="B4139" s="223" t="s">
        <v>7250</v>
      </c>
      <c r="C4139" s="221" t="s">
        <v>7249</v>
      </c>
    </row>
    <row r="4140" spans="1:3" x14ac:dyDescent="0.25">
      <c r="A4140" s="222">
        <v>320291</v>
      </c>
      <c r="B4140" s="223" t="s">
        <v>7252</v>
      </c>
      <c r="C4140" s="221" t="s">
        <v>7251</v>
      </c>
    </row>
    <row r="4141" spans="1:3" x14ac:dyDescent="0.25">
      <c r="A4141" s="222">
        <v>320292</v>
      </c>
      <c r="B4141" s="223" t="s">
        <v>7254</v>
      </c>
      <c r="C4141" s="221" t="s">
        <v>7253</v>
      </c>
    </row>
    <row r="4142" spans="1:3" x14ac:dyDescent="0.25">
      <c r="A4142" s="222">
        <v>320293</v>
      </c>
      <c r="B4142" s="223" t="s">
        <v>7256</v>
      </c>
      <c r="C4142" s="221" t="s">
        <v>7255</v>
      </c>
    </row>
    <row r="4143" spans="1:3" x14ac:dyDescent="0.25">
      <c r="A4143" s="222">
        <v>320294</v>
      </c>
      <c r="B4143" s="223" t="s">
        <v>7258</v>
      </c>
      <c r="C4143" s="221" t="s">
        <v>7257</v>
      </c>
    </row>
    <row r="4144" spans="1:3" x14ac:dyDescent="0.25">
      <c r="A4144" s="222">
        <v>320295</v>
      </c>
      <c r="B4144" s="223" t="s">
        <v>7260</v>
      </c>
      <c r="C4144" s="221" t="s">
        <v>7259</v>
      </c>
    </row>
    <row r="4145" spans="1:3" x14ac:dyDescent="0.25">
      <c r="A4145" s="222">
        <v>320296</v>
      </c>
      <c r="B4145" s="223" t="s">
        <v>7262</v>
      </c>
      <c r="C4145" s="221" t="s">
        <v>7261</v>
      </c>
    </row>
    <row r="4146" spans="1:3" x14ac:dyDescent="0.25">
      <c r="A4146" s="222">
        <v>320297</v>
      </c>
      <c r="B4146" s="223" t="s">
        <v>7264</v>
      </c>
      <c r="C4146" s="221" t="s">
        <v>7263</v>
      </c>
    </row>
    <row r="4147" spans="1:3" x14ac:dyDescent="0.25">
      <c r="A4147" s="222">
        <v>320298</v>
      </c>
      <c r="B4147" s="223" t="s">
        <v>7266</v>
      </c>
      <c r="C4147" s="221" t="s">
        <v>7265</v>
      </c>
    </row>
    <row r="4148" spans="1:3" x14ac:dyDescent="0.25">
      <c r="A4148" s="222">
        <v>320299</v>
      </c>
      <c r="B4148" s="223" t="s">
        <v>7267</v>
      </c>
      <c r="C4148" s="221" t="s">
        <v>7268</v>
      </c>
    </row>
    <row r="4149" spans="1:3" x14ac:dyDescent="0.25">
      <c r="A4149" s="222">
        <v>320299</v>
      </c>
      <c r="B4149" s="223" t="s">
        <v>7267</v>
      </c>
      <c r="C4149" s="221" t="s">
        <v>7269</v>
      </c>
    </row>
    <row r="4150" spans="1:3" x14ac:dyDescent="0.25">
      <c r="A4150" s="222">
        <v>320300</v>
      </c>
      <c r="B4150" s="223" t="s">
        <v>7270</v>
      </c>
      <c r="C4150" s="221" t="s">
        <v>7271</v>
      </c>
    </row>
    <row r="4151" spans="1:3" x14ac:dyDescent="0.25">
      <c r="A4151" s="222">
        <v>320301</v>
      </c>
      <c r="B4151" s="223" t="s">
        <v>7272</v>
      </c>
      <c r="C4151" s="221" t="s">
        <v>7273</v>
      </c>
    </row>
    <row r="4152" spans="1:3" x14ac:dyDescent="0.25">
      <c r="A4152" s="222">
        <v>320302</v>
      </c>
      <c r="B4152" s="223" t="s">
        <v>7275</v>
      </c>
      <c r="C4152" s="221" t="s">
        <v>7274</v>
      </c>
    </row>
    <row r="4153" spans="1:3" x14ac:dyDescent="0.25">
      <c r="A4153" s="222">
        <v>320303</v>
      </c>
      <c r="B4153" s="223" t="s">
        <v>7277</v>
      </c>
      <c r="C4153" s="221" t="s">
        <v>7276</v>
      </c>
    </row>
    <row r="4154" spans="1:3" x14ac:dyDescent="0.25">
      <c r="A4154" s="222">
        <v>320304</v>
      </c>
      <c r="B4154" s="223" t="s">
        <v>7279</v>
      </c>
      <c r="C4154" s="221" t="s">
        <v>7278</v>
      </c>
    </row>
    <row r="4155" spans="1:3" x14ac:dyDescent="0.25">
      <c r="A4155" s="222">
        <v>320305</v>
      </c>
      <c r="B4155" s="223" t="s">
        <v>7281</v>
      </c>
      <c r="C4155" s="221" t="s">
        <v>7280</v>
      </c>
    </row>
    <row r="4156" spans="1:3" x14ac:dyDescent="0.25">
      <c r="A4156" s="222">
        <v>320306</v>
      </c>
      <c r="B4156" s="223" t="s">
        <v>7283</v>
      </c>
      <c r="C4156" s="221" t="s">
        <v>7282</v>
      </c>
    </row>
    <row r="4157" spans="1:3" x14ac:dyDescent="0.25">
      <c r="A4157" s="222">
        <v>320307</v>
      </c>
      <c r="B4157" s="223" t="s">
        <v>7285</v>
      </c>
      <c r="C4157" s="221" t="s">
        <v>7284</v>
      </c>
    </row>
    <row r="4158" spans="1:3" x14ac:dyDescent="0.25">
      <c r="A4158" s="222">
        <v>320308</v>
      </c>
      <c r="B4158" s="223" t="s">
        <v>7287</v>
      </c>
      <c r="C4158" s="221" t="s">
        <v>7286</v>
      </c>
    </row>
    <row r="4159" spans="1:3" x14ac:dyDescent="0.25">
      <c r="A4159" s="222">
        <v>320309</v>
      </c>
      <c r="B4159" s="223" t="s">
        <v>7289</v>
      </c>
      <c r="C4159" s="221" t="s">
        <v>7290</v>
      </c>
    </row>
    <row r="4160" spans="1:3" x14ac:dyDescent="0.25">
      <c r="A4160" s="222">
        <v>320309</v>
      </c>
      <c r="B4160" s="223" t="s">
        <v>7289</v>
      </c>
      <c r="C4160" s="221" t="s">
        <v>7288</v>
      </c>
    </row>
    <row r="4161" spans="1:3" x14ac:dyDescent="0.25">
      <c r="A4161" s="222">
        <v>320310</v>
      </c>
      <c r="B4161" s="223" t="s">
        <v>7292</v>
      </c>
      <c r="C4161" s="221" t="s">
        <v>7293</v>
      </c>
    </row>
    <row r="4162" spans="1:3" x14ac:dyDescent="0.25">
      <c r="A4162" s="222">
        <v>320310</v>
      </c>
      <c r="B4162" s="223" t="s">
        <v>7292</v>
      </c>
      <c r="C4162" s="221" t="s">
        <v>7291</v>
      </c>
    </row>
    <row r="4163" spans="1:3" x14ac:dyDescent="0.25">
      <c r="A4163" s="222">
        <v>320311</v>
      </c>
      <c r="B4163" s="223" t="s">
        <v>7295</v>
      </c>
      <c r="C4163" s="221" t="s">
        <v>7197</v>
      </c>
    </row>
    <row r="4164" spans="1:3" x14ac:dyDescent="0.25">
      <c r="A4164" s="222">
        <v>320311</v>
      </c>
      <c r="B4164" s="223" t="s">
        <v>7295</v>
      </c>
      <c r="C4164" s="221" t="s">
        <v>7294</v>
      </c>
    </row>
    <row r="4165" spans="1:3" x14ac:dyDescent="0.25">
      <c r="A4165" s="222">
        <v>320312</v>
      </c>
      <c r="B4165" s="223" t="s">
        <v>6825</v>
      </c>
      <c r="C4165" s="221" t="s">
        <v>7297</v>
      </c>
    </row>
    <row r="4166" spans="1:3" x14ac:dyDescent="0.25">
      <c r="A4166" s="222">
        <v>320312</v>
      </c>
      <c r="B4166" s="223" t="s">
        <v>6825</v>
      </c>
      <c r="C4166" s="221" t="s">
        <v>7296</v>
      </c>
    </row>
    <row r="4167" spans="1:3" x14ac:dyDescent="0.25">
      <c r="A4167" s="222">
        <v>320313</v>
      </c>
      <c r="B4167" s="223" t="s">
        <v>7299</v>
      </c>
      <c r="C4167" s="221" t="s">
        <v>7300</v>
      </c>
    </row>
    <row r="4168" spans="1:3" x14ac:dyDescent="0.25">
      <c r="A4168" s="222">
        <v>320313</v>
      </c>
      <c r="B4168" s="223" t="s">
        <v>7299</v>
      </c>
      <c r="C4168" s="221" t="s">
        <v>7298</v>
      </c>
    </row>
    <row r="4169" spans="1:3" x14ac:dyDescent="0.25">
      <c r="A4169" s="222">
        <v>320314</v>
      </c>
      <c r="B4169" s="223" t="s">
        <v>7302</v>
      </c>
      <c r="C4169" s="221" t="s">
        <v>7301</v>
      </c>
    </row>
    <row r="4170" spans="1:3" x14ac:dyDescent="0.25">
      <c r="A4170" s="222">
        <v>320315</v>
      </c>
      <c r="B4170" s="223" t="s">
        <v>7304</v>
      </c>
      <c r="C4170" s="221" t="s">
        <v>7303</v>
      </c>
    </row>
    <row r="4171" spans="1:3" x14ac:dyDescent="0.25">
      <c r="A4171" s="222">
        <v>320315</v>
      </c>
      <c r="B4171" s="223" t="s">
        <v>7304</v>
      </c>
      <c r="C4171" s="221" t="s">
        <v>7305</v>
      </c>
    </row>
    <row r="4172" spans="1:3" x14ac:dyDescent="0.25">
      <c r="A4172" s="222">
        <v>320316</v>
      </c>
      <c r="B4172" s="223" t="s">
        <v>7307</v>
      </c>
      <c r="C4172" s="221" t="s">
        <v>7306</v>
      </c>
    </row>
    <row r="4173" spans="1:3" x14ac:dyDescent="0.25">
      <c r="A4173" s="222">
        <v>320318</v>
      </c>
      <c r="B4173" s="223" t="s">
        <v>7309</v>
      </c>
      <c r="C4173" s="221" t="s">
        <v>7308</v>
      </c>
    </row>
    <row r="4174" spans="1:3" x14ac:dyDescent="0.25">
      <c r="A4174" s="222">
        <v>320319</v>
      </c>
      <c r="B4174" s="223" t="s">
        <v>7311</v>
      </c>
      <c r="C4174" s="221" t="s">
        <v>7312</v>
      </c>
    </row>
    <row r="4175" spans="1:3" x14ac:dyDescent="0.25">
      <c r="A4175" s="222">
        <v>320319</v>
      </c>
      <c r="B4175" s="223" t="s">
        <v>7311</v>
      </c>
      <c r="C4175" s="221" t="s">
        <v>7310</v>
      </c>
    </row>
    <row r="4176" spans="1:3" x14ac:dyDescent="0.25">
      <c r="A4176" s="222">
        <v>320320</v>
      </c>
      <c r="B4176" s="223" t="s">
        <v>7314</v>
      </c>
      <c r="C4176" s="221" t="s">
        <v>7315</v>
      </c>
    </row>
    <row r="4177" spans="1:3" x14ac:dyDescent="0.25">
      <c r="A4177" s="222">
        <v>320320</v>
      </c>
      <c r="B4177" s="223" t="s">
        <v>7314</v>
      </c>
      <c r="C4177" s="221" t="s">
        <v>7313</v>
      </c>
    </row>
    <row r="4178" spans="1:3" x14ac:dyDescent="0.25">
      <c r="A4178" s="222">
        <v>320321</v>
      </c>
      <c r="B4178" s="223" t="s">
        <v>7317</v>
      </c>
      <c r="C4178" s="221" t="s">
        <v>7318</v>
      </c>
    </row>
    <row r="4179" spans="1:3" x14ac:dyDescent="0.25">
      <c r="A4179" s="222">
        <v>320321</v>
      </c>
      <c r="B4179" s="223" t="s">
        <v>7317</v>
      </c>
      <c r="C4179" s="221" t="s">
        <v>7316</v>
      </c>
    </row>
    <row r="4180" spans="1:3" x14ac:dyDescent="0.25">
      <c r="A4180" s="222">
        <v>320322</v>
      </c>
      <c r="B4180" s="223" t="s">
        <v>7320</v>
      </c>
      <c r="C4180" s="221" t="s">
        <v>7321</v>
      </c>
    </row>
    <row r="4181" spans="1:3" x14ac:dyDescent="0.25">
      <c r="A4181" s="222">
        <v>320322</v>
      </c>
      <c r="B4181" s="223" t="s">
        <v>7320</v>
      </c>
      <c r="C4181" s="221" t="s">
        <v>7319</v>
      </c>
    </row>
    <row r="4182" spans="1:3" x14ac:dyDescent="0.25">
      <c r="A4182" s="222">
        <v>320323</v>
      </c>
      <c r="B4182" s="223" t="s">
        <v>7323</v>
      </c>
      <c r="C4182" s="221" t="s">
        <v>7324</v>
      </c>
    </row>
    <row r="4183" spans="1:3" x14ac:dyDescent="0.25">
      <c r="A4183" s="222">
        <v>320323</v>
      </c>
      <c r="B4183" s="223" t="s">
        <v>7323</v>
      </c>
      <c r="C4183" s="221" t="s">
        <v>7322</v>
      </c>
    </row>
    <row r="4184" spans="1:3" x14ac:dyDescent="0.25">
      <c r="A4184" s="222">
        <v>320324</v>
      </c>
      <c r="B4184" s="223" t="s">
        <v>7326</v>
      </c>
      <c r="C4184" s="221" t="s">
        <v>7327</v>
      </c>
    </row>
    <row r="4185" spans="1:3" x14ac:dyDescent="0.25">
      <c r="A4185" s="222">
        <v>320324</v>
      </c>
      <c r="B4185" s="223" t="s">
        <v>7326</v>
      </c>
      <c r="C4185" s="221" t="s">
        <v>7325</v>
      </c>
    </row>
    <row r="4186" spans="1:3" x14ac:dyDescent="0.25">
      <c r="A4186" s="222">
        <v>320325</v>
      </c>
      <c r="B4186" s="223" t="s">
        <v>7329</v>
      </c>
      <c r="C4186" s="221" t="s">
        <v>7330</v>
      </c>
    </row>
    <row r="4187" spans="1:3" x14ac:dyDescent="0.25">
      <c r="A4187" s="222">
        <v>320325</v>
      </c>
      <c r="B4187" s="223" t="s">
        <v>7329</v>
      </c>
      <c r="C4187" s="221" t="s">
        <v>7328</v>
      </c>
    </row>
    <row r="4188" spans="1:3" x14ac:dyDescent="0.25">
      <c r="A4188" s="222">
        <v>320326</v>
      </c>
      <c r="B4188" s="223" t="s">
        <v>7332</v>
      </c>
      <c r="C4188" s="221" t="s">
        <v>7300</v>
      </c>
    </row>
    <row r="4189" spans="1:3" x14ac:dyDescent="0.25">
      <c r="A4189" s="222">
        <v>320326</v>
      </c>
      <c r="B4189" s="223" t="s">
        <v>7332</v>
      </c>
      <c r="C4189" s="221" t="s">
        <v>7331</v>
      </c>
    </row>
    <row r="4190" spans="1:3" x14ac:dyDescent="0.25">
      <c r="A4190" s="222">
        <v>320354</v>
      </c>
      <c r="B4190" s="223" t="s">
        <v>7333</v>
      </c>
      <c r="C4190" s="221" t="s">
        <v>7334</v>
      </c>
    </row>
    <row r="4191" spans="1:3" x14ac:dyDescent="0.25">
      <c r="A4191" s="222">
        <v>320355</v>
      </c>
      <c r="B4191" s="223" t="s">
        <v>7335</v>
      </c>
      <c r="C4191" s="221" t="s">
        <v>7336</v>
      </c>
    </row>
    <row r="4192" spans="1:3" x14ac:dyDescent="0.25">
      <c r="A4192" s="222">
        <v>320356</v>
      </c>
      <c r="B4192" s="223" t="s">
        <v>7337</v>
      </c>
      <c r="C4192" s="221" t="s">
        <v>7338</v>
      </c>
    </row>
    <row r="4193" spans="1:3" x14ac:dyDescent="0.25">
      <c r="A4193" s="222">
        <v>320357</v>
      </c>
      <c r="B4193" s="223" t="s">
        <v>7339</v>
      </c>
      <c r="C4193" s="221" t="s">
        <v>7340</v>
      </c>
    </row>
    <row r="4194" spans="1:3" x14ac:dyDescent="0.25">
      <c r="A4194" s="222">
        <v>320358</v>
      </c>
      <c r="B4194" s="223" t="s">
        <v>7341</v>
      </c>
      <c r="C4194" s="221" t="s">
        <v>7342</v>
      </c>
    </row>
    <row r="4195" spans="1:3" x14ac:dyDescent="0.25">
      <c r="A4195" s="222">
        <v>320359</v>
      </c>
      <c r="B4195" s="223" t="s">
        <v>7343</v>
      </c>
      <c r="C4195" s="221" t="s">
        <v>7344</v>
      </c>
    </row>
    <row r="4196" spans="1:3" x14ac:dyDescent="0.25">
      <c r="A4196" s="222">
        <v>320360</v>
      </c>
      <c r="B4196" s="223" t="s">
        <v>7345</v>
      </c>
      <c r="C4196" s="221" t="s">
        <v>7346</v>
      </c>
    </row>
    <row r="4197" spans="1:3" x14ac:dyDescent="0.25">
      <c r="A4197" s="222">
        <v>320362</v>
      </c>
      <c r="B4197" s="223" t="s">
        <v>7347</v>
      </c>
      <c r="C4197" s="221" t="s">
        <v>7348</v>
      </c>
    </row>
    <row r="4198" spans="1:3" x14ac:dyDescent="0.25">
      <c r="A4198" s="222">
        <v>320365</v>
      </c>
      <c r="B4198" s="223" t="s">
        <v>7349</v>
      </c>
      <c r="C4198" s="221" t="s">
        <v>7350</v>
      </c>
    </row>
    <row r="4199" spans="1:3" x14ac:dyDescent="0.25">
      <c r="A4199" s="222">
        <v>320366</v>
      </c>
      <c r="B4199" s="223" t="s">
        <v>7351</v>
      </c>
      <c r="C4199" s="221" t="s">
        <v>7352</v>
      </c>
    </row>
    <row r="4200" spans="1:3" x14ac:dyDescent="0.25">
      <c r="A4200" s="222">
        <v>320367</v>
      </c>
      <c r="B4200" s="223" t="s">
        <v>7353</v>
      </c>
      <c r="C4200" s="221" t="s">
        <v>7354</v>
      </c>
    </row>
    <row r="4201" spans="1:3" x14ac:dyDescent="0.25">
      <c r="A4201" s="222">
        <v>320368</v>
      </c>
      <c r="B4201" s="223" t="s">
        <v>7355</v>
      </c>
      <c r="C4201" s="221" t="s">
        <v>7356</v>
      </c>
    </row>
    <row r="4202" spans="1:3" x14ac:dyDescent="0.25">
      <c r="A4202" s="222">
        <v>320369</v>
      </c>
      <c r="B4202" s="223" t="s">
        <v>7357</v>
      </c>
      <c r="C4202" s="221" t="s">
        <v>7358</v>
      </c>
    </row>
    <row r="4203" spans="1:3" x14ac:dyDescent="0.25">
      <c r="A4203" s="222">
        <v>320370</v>
      </c>
      <c r="B4203" s="223" t="s">
        <v>7359</v>
      </c>
      <c r="C4203" s="221" t="s">
        <v>7360</v>
      </c>
    </row>
    <row r="4204" spans="1:3" x14ac:dyDescent="0.25">
      <c r="A4204" s="222">
        <v>320371</v>
      </c>
      <c r="B4204" s="223" t="s">
        <v>7361</v>
      </c>
      <c r="C4204" s="221" t="s">
        <v>6311</v>
      </c>
    </row>
    <row r="4205" spans="1:3" x14ac:dyDescent="0.25">
      <c r="A4205" s="222">
        <v>320372</v>
      </c>
      <c r="B4205" s="223" t="s">
        <v>7362</v>
      </c>
      <c r="C4205" s="221" t="s">
        <v>6309</v>
      </c>
    </row>
    <row r="4206" spans="1:3" x14ac:dyDescent="0.25">
      <c r="A4206" s="222">
        <v>320373</v>
      </c>
      <c r="B4206" s="223" t="s">
        <v>7363</v>
      </c>
      <c r="C4206" s="221" t="s">
        <v>6310</v>
      </c>
    </row>
    <row r="4207" spans="1:3" x14ac:dyDescent="0.25">
      <c r="A4207" s="222">
        <v>320374</v>
      </c>
      <c r="B4207" s="223" t="s">
        <v>7364</v>
      </c>
      <c r="C4207" s="221" t="s">
        <v>7365</v>
      </c>
    </row>
    <row r="4208" spans="1:3" x14ac:dyDescent="0.25">
      <c r="A4208" s="222">
        <v>320378</v>
      </c>
      <c r="B4208" s="223" t="s">
        <v>7366</v>
      </c>
      <c r="C4208" s="221" t="s">
        <v>7367</v>
      </c>
    </row>
    <row r="4209" spans="1:3" x14ac:dyDescent="0.25">
      <c r="A4209" s="222">
        <v>320379</v>
      </c>
      <c r="B4209" s="223" t="s">
        <v>7368</v>
      </c>
      <c r="C4209" s="221" t="s">
        <v>7369</v>
      </c>
    </row>
    <row r="4210" spans="1:3" x14ac:dyDescent="0.25">
      <c r="A4210" s="222">
        <v>320380</v>
      </c>
      <c r="B4210" s="223" t="s">
        <v>7370</v>
      </c>
      <c r="C4210" s="221" t="s">
        <v>7371</v>
      </c>
    </row>
    <row r="4211" spans="1:3" x14ac:dyDescent="0.25">
      <c r="A4211" s="222">
        <v>320381</v>
      </c>
      <c r="B4211" s="223" t="s">
        <v>7372</v>
      </c>
      <c r="C4211" s="221" t="s">
        <v>7373</v>
      </c>
    </row>
    <row r="4212" spans="1:3" x14ac:dyDescent="0.25">
      <c r="A4212" s="222">
        <v>320382</v>
      </c>
      <c r="B4212" s="223" t="s">
        <v>7374</v>
      </c>
      <c r="C4212" s="221" t="s">
        <v>7375</v>
      </c>
    </row>
    <row r="4213" spans="1:3" x14ac:dyDescent="0.25">
      <c r="A4213" s="222">
        <v>320384</v>
      </c>
      <c r="B4213" s="223" t="s">
        <v>7376</v>
      </c>
      <c r="C4213" s="221" t="s">
        <v>7377</v>
      </c>
    </row>
    <row r="4214" spans="1:3" x14ac:dyDescent="0.25">
      <c r="A4214" s="222">
        <v>320385</v>
      </c>
      <c r="B4214" s="223" t="s">
        <v>7378</v>
      </c>
      <c r="C4214" s="221" t="s">
        <v>7379</v>
      </c>
    </row>
    <row r="4215" spans="1:3" x14ac:dyDescent="0.25">
      <c r="A4215" s="222">
        <v>320386</v>
      </c>
      <c r="B4215" s="223" t="s">
        <v>7380</v>
      </c>
      <c r="C4215" s="221" t="s">
        <v>7381</v>
      </c>
    </row>
    <row r="4216" spans="1:3" x14ac:dyDescent="0.25">
      <c r="A4216" s="222">
        <v>320387</v>
      </c>
      <c r="B4216" s="223" t="s">
        <v>7382</v>
      </c>
      <c r="C4216" s="221" t="s">
        <v>7383</v>
      </c>
    </row>
    <row r="4217" spans="1:3" x14ac:dyDescent="0.25">
      <c r="A4217" s="222">
        <v>320388</v>
      </c>
      <c r="B4217" s="223" t="s">
        <v>7384</v>
      </c>
      <c r="C4217" s="221" t="s">
        <v>7385</v>
      </c>
    </row>
    <row r="4218" spans="1:3" x14ac:dyDescent="0.25">
      <c r="A4218" s="222">
        <v>320398</v>
      </c>
      <c r="B4218" s="223" t="s">
        <v>106</v>
      </c>
      <c r="C4218" s="221" t="s">
        <v>7386</v>
      </c>
    </row>
    <row r="4219" spans="1:3" x14ac:dyDescent="0.25">
      <c r="A4219" s="222">
        <v>320401</v>
      </c>
      <c r="B4219" s="223" t="s">
        <v>7387</v>
      </c>
      <c r="C4219" s="221" t="s">
        <v>7388</v>
      </c>
    </row>
    <row r="4220" spans="1:3" x14ac:dyDescent="0.25">
      <c r="A4220" s="222">
        <v>320402</v>
      </c>
      <c r="B4220" s="223" t="s">
        <v>7389</v>
      </c>
      <c r="C4220" s="221" t="s">
        <v>7390</v>
      </c>
    </row>
    <row r="4221" spans="1:3" x14ac:dyDescent="0.25">
      <c r="A4221" s="222">
        <v>320404</v>
      </c>
      <c r="B4221" s="223" t="s">
        <v>7391</v>
      </c>
      <c r="C4221" s="221" t="s">
        <v>7392</v>
      </c>
    </row>
    <row r="4222" spans="1:3" x14ac:dyDescent="0.25">
      <c r="A4222" s="222">
        <v>320409</v>
      </c>
      <c r="B4222" s="223" t="s">
        <v>7393</v>
      </c>
      <c r="C4222" s="221" t="s">
        <v>7394</v>
      </c>
    </row>
    <row r="4223" spans="1:3" x14ac:dyDescent="0.25">
      <c r="A4223" s="222">
        <v>320414</v>
      </c>
      <c r="B4223" s="223" t="s">
        <v>7395</v>
      </c>
      <c r="C4223" s="221" t="s">
        <v>7396</v>
      </c>
    </row>
    <row r="4224" spans="1:3" x14ac:dyDescent="0.25">
      <c r="A4224" s="222">
        <v>320416</v>
      </c>
      <c r="B4224" s="223" t="s">
        <v>7397</v>
      </c>
      <c r="C4224" s="221" t="s">
        <v>7398</v>
      </c>
    </row>
    <row r="4225" spans="1:3" x14ac:dyDescent="0.25">
      <c r="A4225" s="222">
        <v>320418</v>
      </c>
      <c r="B4225" s="223" t="s">
        <v>7399</v>
      </c>
      <c r="C4225" s="221" t="s">
        <v>7400</v>
      </c>
    </row>
    <row r="4226" spans="1:3" x14ac:dyDescent="0.25">
      <c r="A4226" s="222">
        <v>320419</v>
      </c>
      <c r="B4226" s="223" t="s">
        <v>7401</v>
      </c>
      <c r="C4226" s="221" t="s">
        <v>7402</v>
      </c>
    </row>
    <row r="4227" spans="1:3" x14ac:dyDescent="0.25">
      <c r="A4227" s="222">
        <v>320424</v>
      </c>
      <c r="B4227" s="223" t="s">
        <v>7403</v>
      </c>
      <c r="C4227" s="221" t="s">
        <v>7404</v>
      </c>
    </row>
    <row r="4228" spans="1:3" x14ac:dyDescent="0.25">
      <c r="A4228" s="222">
        <v>320425</v>
      </c>
      <c r="B4228" s="223" t="s">
        <v>7405</v>
      </c>
      <c r="C4228" s="221" t="s">
        <v>7406</v>
      </c>
    </row>
    <row r="4229" spans="1:3" x14ac:dyDescent="0.25">
      <c r="A4229" s="222">
        <v>320426</v>
      </c>
      <c r="B4229" s="223" t="s">
        <v>7407</v>
      </c>
      <c r="C4229" s="221" t="s">
        <v>7408</v>
      </c>
    </row>
    <row r="4230" spans="1:3" x14ac:dyDescent="0.25">
      <c r="A4230" s="222">
        <v>320429</v>
      </c>
      <c r="B4230" s="223" t="s">
        <v>7409</v>
      </c>
      <c r="C4230" s="221" t="s">
        <v>7410</v>
      </c>
    </row>
    <row r="4231" spans="1:3" x14ac:dyDescent="0.25">
      <c r="A4231" s="222">
        <v>320430</v>
      </c>
      <c r="B4231" s="223" t="s">
        <v>7411</v>
      </c>
      <c r="C4231" s="221" t="s">
        <v>7412</v>
      </c>
    </row>
    <row r="4232" spans="1:3" x14ac:dyDescent="0.25">
      <c r="A4232" s="222">
        <v>320433</v>
      </c>
      <c r="B4232" s="223" t="s">
        <v>7413</v>
      </c>
      <c r="C4232" s="221" t="s">
        <v>7414</v>
      </c>
    </row>
    <row r="4233" spans="1:3" x14ac:dyDescent="0.25">
      <c r="A4233" s="222">
        <v>320435</v>
      </c>
      <c r="B4233" s="223" t="s">
        <v>7415</v>
      </c>
      <c r="C4233" s="221" t="s">
        <v>7416</v>
      </c>
    </row>
    <row r="4234" spans="1:3" x14ac:dyDescent="0.25">
      <c r="A4234" s="222">
        <v>320437</v>
      </c>
      <c r="B4234" s="223" t="s">
        <v>7417</v>
      </c>
      <c r="C4234" s="221" t="s">
        <v>7418</v>
      </c>
    </row>
    <row r="4235" spans="1:3" x14ac:dyDescent="0.25">
      <c r="A4235" s="222">
        <v>320438</v>
      </c>
      <c r="B4235" s="223" t="s">
        <v>7419</v>
      </c>
      <c r="C4235" s="221" t="s">
        <v>7420</v>
      </c>
    </row>
    <row r="4236" spans="1:3" x14ac:dyDescent="0.25">
      <c r="A4236" s="222">
        <v>320442</v>
      </c>
      <c r="B4236" s="223" t="s">
        <v>7421</v>
      </c>
      <c r="C4236" s="221" t="s">
        <v>7422</v>
      </c>
    </row>
    <row r="4237" spans="1:3" x14ac:dyDescent="0.25">
      <c r="A4237" s="222">
        <v>320447</v>
      </c>
      <c r="B4237" s="223" t="s">
        <v>7423</v>
      </c>
      <c r="C4237" s="221" t="s">
        <v>7424</v>
      </c>
    </row>
    <row r="4238" spans="1:3" x14ac:dyDescent="0.25">
      <c r="A4238" s="222">
        <v>320448</v>
      </c>
      <c r="B4238" s="223" t="s">
        <v>7425</v>
      </c>
      <c r="C4238" s="221" t="s">
        <v>7426</v>
      </c>
    </row>
    <row r="4239" spans="1:3" x14ac:dyDescent="0.25">
      <c r="A4239" s="222">
        <v>320450</v>
      </c>
      <c r="B4239" s="223" t="s">
        <v>7427</v>
      </c>
      <c r="C4239" s="221" t="s">
        <v>7428</v>
      </c>
    </row>
    <row r="4240" spans="1:3" x14ac:dyDescent="0.25">
      <c r="A4240" s="222">
        <v>320456</v>
      </c>
      <c r="B4240" s="223" t="s">
        <v>7429</v>
      </c>
      <c r="C4240" s="221" t="s">
        <v>7430</v>
      </c>
    </row>
    <row r="4241" spans="1:3" x14ac:dyDescent="0.25">
      <c r="A4241" s="222">
        <v>320457</v>
      </c>
      <c r="B4241" s="223" t="s">
        <v>7431</v>
      </c>
      <c r="C4241" s="221" t="s">
        <v>7432</v>
      </c>
    </row>
    <row r="4242" spans="1:3" x14ac:dyDescent="0.25">
      <c r="A4242" s="222">
        <v>320465</v>
      </c>
      <c r="B4242" s="223" t="s">
        <v>7433</v>
      </c>
      <c r="C4242" s="221" t="s">
        <v>7434</v>
      </c>
    </row>
    <row r="4243" spans="1:3" x14ac:dyDescent="0.25">
      <c r="A4243" s="222">
        <v>320466</v>
      </c>
      <c r="B4243" s="223" t="s">
        <v>738</v>
      </c>
      <c r="C4243" s="221" t="s">
        <v>7435</v>
      </c>
    </row>
    <row r="4244" spans="1:3" x14ac:dyDescent="0.25">
      <c r="A4244" s="222">
        <v>320467</v>
      </c>
      <c r="B4244" s="223" t="s">
        <v>7436</v>
      </c>
      <c r="C4244" s="221" t="s">
        <v>7437</v>
      </c>
    </row>
    <row r="4245" spans="1:3" x14ac:dyDescent="0.25">
      <c r="A4245" s="222">
        <v>320491</v>
      </c>
      <c r="B4245" s="223" t="s">
        <v>7438</v>
      </c>
      <c r="C4245" s="221" t="s">
        <v>7439</v>
      </c>
    </row>
    <row r="4246" spans="1:3" x14ac:dyDescent="0.25">
      <c r="A4246" s="222">
        <v>320493</v>
      </c>
      <c r="B4246" s="223" t="s">
        <v>7440</v>
      </c>
      <c r="C4246" s="221" t="s">
        <v>7441</v>
      </c>
    </row>
    <row r="4247" spans="1:3" x14ac:dyDescent="0.25">
      <c r="A4247" s="222">
        <v>320494</v>
      </c>
      <c r="B4247" s="223" t="s">
        <v>7442</v>
      </c>
      <c r="C4247" s="221" t="s">
        <v>7443</v>
      </c>
    </row>
    <row r="4248" spans="1:3" x14ac:dyDescent="0.25">
      <c r="A4248" s="222">
        <v>320497</v>
      </c>
      <c r="B4248" s="223" t="s">
        <v>7444</v>
      </c>
      <c r="C4248" s="221" t="s">
        <v>7445</v>
      </c>
    </row>
    <row r="4249" spans="1:3" x14ac:dyDescent="0.25">
      <c r="A4249" s="222">
        <v>320498</v>
      </c>
      <c r="B4249" s="223" t="s">
        <v>7446</v>
      </c>
      <c r="C4249" s="221" t="s">
        <v>7447</v>
      </c>
    </row>
    <row r="4250" spans="1:3" x14ac:dyDescent="0.25">
      <c r="A4250" s="222">
        <v>320507</v>
      </c>
      <c r="B4250" s="223" t="s">
        <v>7448</v>
      </c>
      <c r="C4250" s="221" t="s">
        <v>7449</v>
      </c>
    </row>
    <row r="4251" spans="1:3" x14ac:dyDescent="0.25">
      <c r="A4251" s="222">
        <v>320514</v>
      </c>
      <c r="B4251" s="223" t="s">
        <v>7450</v>
      </c>
      <c r="C4251" s="221" t="s">
        <v>7451</v>
      </c>
    </row>
    <row r="4252" spans="1:3" x14ac:dyDescent="0.25">
      <c r="A4252" s="222">
        <v>320515</v>
      </c>
      <c r="B4252" s="223" t="s">
        <v>7452</v>
      </c>
      <c r="C4252" s="221" t="s">
        <v>7453</v>
      </c>
    </row>
    <row r="4253" spans="1:3" x14ac:dyDescent="0.25">
      <c r="A4253" s="222">
        <v>320518</v>
      </c>
      <c r="B4253" s="223" t="s">
        <v>7454</v>
      </c>
      <c r="C4253" s="221" t="s">
        <v>7455</v>
      </c>
    </row>
    <row r="4254" spans="1:3" x14ac:dyDescent="0.25">
      <c r="A4254" s="222">
        <v>320520</v>
      </c>
      <c r="B4254" s="223" t="s">
        <v>7456</v>
      </c>
      <c r="C4254" s="221" t="s">
        <v>7457</v>
      </c>
    </row>
    <row r="4255" spans="1:3" x14ac:dyDescent="0.25">
      <c r="A4255" s="222">
        <v>320521</v>
      </c>
      <c r="B4255" s="223" t="s">
        <v>7458</v>
      </c>
      <c r="C4255" s="221" t="s">
        <v>7459</v>
      </c>
    </row>
    <row r="4256" spans="1:3" x14ac:dyDescent="0.25">
      <c r="A4256" s="222">
        <v>320522</v>
      </c>
      <c r="B4256" s="223" t="s">
        <v>7460</v>
      </c>
      <c r="C4256" s="221" t="s">
        <v>7461</v>
      </c>
    </row>
    <row r="4257" spans="1:3" x14ac:dyDescent="0.25">
      <c r="A4257" s="222">
        <v>320523</v>
      </c>
      <c r="B4257" s="223" t="s">
        <v>7462</v>
      </c>
      <c r="C4257" s="221" t="s">
        <v>7463</v>
      </c>
    </row>
    <row r="4258" spans="1:3" x14ac:dyDescent="0.25">
      <c r="A4258" s="222">
        <v>320524</v>
      </c>
      <c r="B4258" s="223" t="s">
        <v>7464</v>
      </c>
      <c r="C4258" s="221" t="s">
        <v>7465</v>
      </c>
    </row>
    <row r="4259" spans="1:3" x14ac:dyDescent="0.25">
      <c r="A4259" s="222">
        <v>320527</v>
      </c>
      <c r="B4259" s="223" t="s">
        <v>7466</v>
      </c>
      <c r="C4259" s="221" t="s">
        <v>7467</v>
      </c>
    </row>
    <row r="4260" spans="1:3" x14ac:dyDescent="0.25">
      <c r="A4260" s="222">
        <v>320528</v>
      </c>
      <c r="B4260" s="223" t="s">
        <v>7468</v>
      </c>
      <c r="C4260" s="221" t="s">
        <v>7469</v>
      </c>
    </row>
    <row r="4261" spans="1:3" x14ac:dyDescent="0.25">
      <c r="A4261" s="222">
        <v>320529</v>
      </c>
      <c r="B4261" s="223" t="s">
        <v>7470</v>
      </c>
      <c r="C4261" s="221" t="s">
        <v>7471</v>
      </c>
    </row>
    <row r="4262" spans="1:3" x14ac:dyDescent="0.25">
      <c r="A4262" s="222">
        <v>320532</v>
      </c>
      <c r="B4262" s="223" t="s">
        <v>7472</v>
      </c>
      <c r="C4262" s="221" t="s">
        <v>7473</v>
      </c>
    </row>
    <row r="4263" spans="1:3" x14ac:dyDescent="0.25">
      <c r="A4263" s="222">
        <v>320537</v>
      </c>
      <c r="B4263" s="223" t="s">
        <v>7474</v>
      </c>
      <c r="C4263" s="221" t="s">
        <v>7475</v>
      </c>
    </row>
    <row r="4264" spans="1:3" x14ac:dyDescent="0.25">
      <c r="A4264" s="222">
        <v>320538</v>
      </c>
      <c r="B4264" s="223" t="s">
        <v>7476</v>
      </c>
      <c r="C4264" s="221" t="s">
        <v>7477</v>
      </c>
    </row>
    <row r="4265" spans="1:3" x14ac:dyDescent="0.25">
      <c r="A4265" s="222">
        <v>320539</v>
      </c>
      <c r="B4265" s="223" t="s">
        <v>7478</v>
      </c>
      <c r="C4265" s="221" t="s">
        <v>7479</v>
      </c>
    </row>
    <row r="4266" spans="1:3" x14ac:dyDescent="0.25">
      <c r="A4266" s="222">
        <v>320541</v>
      </c>
      <c r="B4266" s="223" t="s">
        <v>7480</v>
      </c>
      <c r="C4266" s="221" t="s">
        <v>7481</v>
      </c>
    </row>
    <row r="4267" spans="1:3" x14ac:dyDescent="0.25">
      <c r="A4267" s="222">
        <v>320542</v>
      </c>
      <c r="B4267" s="223" t="s">
        <v>7482</v>
      </c>
      <c r="C4267" s="221" t="s">
        <v>7483</v>
      </c>
    </row>
    <row r="4268" spans="1:3" x14ac:dyDescent="0.25">
      <c r="A4268" s="222">
        <v>320543</v>
      </c>
      <c r="B4268" s="223" t="s">
        <v>7484</v>
      </c>
      <c r="C4268" s="221" t="s">
        <v>7485</v>
      </c>
    </row>
    <row r="4269" spans="1:3" x14ac:dyDescent="0.25">
      <c r="A4269" s="222">
        <v>320544</v>
      </c>
      <c r="B4269" s="223" t="s">
        <v>7486</v>
      </c>
      <c r="C4269" s="221" t="s">
        <v>7487</v>
      </c>
    </row>
    <row r="4270" spans="1:3" x14ac:dyDescent="0.25">
      <c r="A4270" s="222">
        <v>320545</v>
      </c>
      <c r="B4270" s="223" t="s">
        <v>7488</v>
      </c>
      <c r="C4270" s="221" t="s">
        <v>7489</v>
      </c>
    </row>
    <row r="4271" spans="1:3" x14ac:dyDescent="0.25">
      <c r="A4271" s="222">
        <v>320546</v>
      </c>
      <c r="B4271" s="223" t="s">
        <v>7490</v>
      </c>
      <c r="C4271" s="221" t="s">
        <v>7491</v>
      </c>
    </row>
    <row r="4272" spans="1:3" x14ac:dyDescent="0.25">
      <c r="A4272" s="222">
        <v>320547</v>
      </c>
      <c r="B4272" s="223" t="s">
        <v>7492</v>
      </c>
      <c r="C4272" s="221" t="s">
        <v>7493</v>
      </c>
    </row>
    <row r="4273" spans="1:3" x14ac:dyDescent="0.25">
      <c r="A4273" s="222">
        <v>320548</v>
      </c>
      <c r="B4273" s="223" t="s">
        <v>103</v>
      </c>
      <c r="C4273" s="221" t="s">
        <v>7494</v>
      </c>
    </row>
    <row r="4274" spans="1:3" x14ac:dyDescent="0.25">
      <c r="A4274" s="222">
        <v>320549</v>
      </c>
      <c r="B4274" s="223" t="s">
        <v>104</v>
      </c>
      <c r="C4274" s="221" t="s">
        <v>7495</v>
      </c>
    </row>
    <row r="4275" spans="1:3" x14ac:dyDescent="0.25">
      <c r="A4275" s="222">
        <v>320550</v>
      </c>
      <c r="B4275" s="223" t="s">
        <v>105</v>
      </c>
      <c r="C4275" s="221" t="s">
        <v>7496</v>
      </c>
    </row>
    <row r="4276" spans="1:3" x14ac:dyDescent="0.25">
      <c r="A4276" s="222">
        <v>320551</v>
      </c>
      <c r="B4276" s="223" t="s">
        <v>7497</v>
      </c>
      <c r="C4276" s="221" t="s">
        <v>7498</v>
      </c>
    </row>
    <row r="4277" spans="1:3" x14ac:dyDescent="0.25">
      <c r="A4277" s="222">
        <v>320552</v>
      </c>
      <c r="B4277" s="223" t="s">
        <v>7499</v>
      </c>
      <c r="C4277" s="221" t="s">
        <v>7500</v>
      </c>
    </row>
    <row r="4278" spans="1:3" x14ac:dyDescent="0.25">
      <c r="A4278" s="222">
        <v>320553</v>
      </c>
      <c r="B4278" s="223" t="s">
        <v>7501</v>
      </c>
      <c r="C4278" s="221" t="s">
        <v>7502</v>
      </c>
    </row>
    <row r="4279" spans="1:3" x14ac:dyDescent="0.25">
      <c r="A4279" s="222">
        <v>320559</v>
      </c>
      <c r="B4279" s="223" t="s">
        <v>7503</v>
      </c>
      <c r="C4279" s="221" t="s">
        <v>7504</v>
      </c>
    </row>
    <row r="4280" spans="1:3" x14ac:dyDescent="0.25">
      <c r="A4280" s="222">
        <v>320560</v>
      </c>
      <c r="B4280" s="223" t="s">
        <v>101</v>
      </c>
      <c r="C4280" s="221" t="s">
        <v>7505</v>
      </c>
    </row>
    <row r="4281" spans="1:3" x14ac:dyDescent="0.25">
      <c r="A4281" s="222">
        <v>320561</v>
      </c>
      <c r="B4281" s="223" t="s">
        <v>7506</v>
      </c>
      <c r="C4281" s="221" t="s">
        <v>7507</v>
      </c>
    </row>
    <row r="4282" spans="1:3" x14ac:dyDescent="0.25">
      <c r="A4282" s="222">
        <v>320562</v>
      </c>
      <c r="B4282" s="223" t="s">
        <v>7508</v>
      </c>
      <c r="C4282" s="221" t="s">
        <v>7509</v>
      </c>
    </row>
    <row r="4283" spans="1:3" x14ac:dyDescent="0.25">
      <c r="A4283" s="222">
        <v>320565</v>
      </c>
      <c r="B4283" s="223" t="s">
        <v>7510</v>
      </c>
      <c r="C4283" s="221" t="s">
        <v>7511</v>
      </c>
    </row>
    <row r="4284" spans="1:3" x14ac:dyDescent="0.25">
      <c r="A4284" s="222">
        <v>320575</v>
      </c>
      <c r="B4284" s="223" t="s">
        <v>7512</v>
      </c>
      <c r="C4284" s="221" t="s">
        <v>7513</v>
      </c>
    </row>
    <row r="4285" spans="1:3" x14ac:dyDescent="0.25">
      <c r="A4285" s="222">
        <v>320576</v>
      </c>
      <c r="B4285" s="223" t="s">
        <v>7514</v>
      </c>
      <c r="C4285" s="221" t="s">
        <v>7515</v>
      </c>
    </row>
    <row r="4286" spans="1:3" x14ac:dyDescent="0.25">
      <c r="A4286" s="222">
        <v>320577</v>
      </c>
      <c r="B4286" s="223" t="s">
        <v>7516</v>
      </c>
      <c r="C4286" s="221" t="s">
        <v>7517</v>
      </c>
    </row>
    <row r="4287" spans="1:3" x14ac:dyDescent="0.25">
      <c r="A4287" s="222">
        <v>320578</v>
      </c>
      <c r="B4287" s="223" t="s">
        <v>7518</v>
      </c>
      <c r="C4287" s="221" t="s">
        <v>7519</v>
      </c>
    </row>
    <row r="4288" spans="1:3" x14ac:dyDescent="0.25">
      <c r="A4288" s="222">
        <v>320579</v>
      </c>
      <c r="B4288" s="223" t="s">
        <v>7520</v>
      </c>
      <c r="C4288" s="221" t="s">
        <v>7521</v>
      </c>
    </row>
    <row r="4289" spans="1:3" x14ac:dyDescent="0.25">
      <c r="A4289" s="222">
        <v>320580</v>
      </c>
      <c r="B4289" s="223" t="s">
        <v>7522</v>
      </c>
      <c r="C4289" s="221" t="s">
        <v>7523</v>
      </c>
    </row>
    <row r="4290" spans="1:3" x14ac:dyDescent="0.25">
      <c r="A4290" s="222">
        <v>320581</v>
      </c>
      <c r="B4290" s="223" t="s">
        <v>7524</v>
      </c>
      <c r="C4290" s="221" t="s">
        <v>7525</v>
      </c>
    </row>
    <row r="4291" spans="1:3" x14ac:dyDescent="0.25">
      <c r="A4291" s="222">
        <v>320582</v>
      </c>
      <c r="B4291" s="223" t="s">
        <v>7526</v>
      </c>
      <c r="C4291" s="221" t="s">
        <v>7527</v>
      </c>
    </row>
    <row r="4292" spans="1:3" x14ac:dyDescent="0.25">
      <c r="A4292" s="222">
        <v>320583</v>
      </c>
      <c r="B4292" s="223" t="s">
        <v>7528</v>
      </c>
      <c r="C4292" s="221" t="s">
        <v>7529</v>
      </c>
    </row>
    <row r="4293" spans="1:3" x14ac:dyDescent="0.25">
      <c r="A4293" s="222">
        <v>320584</v>
      </c>
      <c r="B4293" s="223" t="s">
        <v>7530</v>
      </c>
      <c r="C4293" s="221" t="s">
        <v>7531</v>
      </c>
    </row>
    <row r="4294" spans="1:3" x14ac:dyDescent="0.25">
      <c r="A4294" s="222">
        <v>320585</v>
      </c>
      <c r="B4294" s="223" t="s">
        <v>7532</v>
      </c>
      <c r="C4294" s="221" t="s">
        <v>7533</v>
      </c>
    </row>
    <row r="4295" spans="1:3" x14ac:dyDescent="0.25">
      <c r="A4295" s="222">
        <v>320586</v>
      </c>
      <c r="B4295" s="223" t="s">
        <v>7534</v>
      </c>
      <c r="C4295" s="221" t="s">
        <v>7535</v>
      </c>
    </row>
    <row r="4296" spans="1:3" x14ac:dyDescent="0.25">
      <c r="A4296" s="222">
        <v>320587</v>
      </c>
      <c r="B4296" s="223" t="s">
        <v>7536</v>
      </c>
      <c r="C4296" s="221" t="s">
        <v>7537</v>
      </c>
    </row>
    <row r="4297" spans="1:3" x14ac:dyDescent="0.25">
      <c r="A4297" s="222">
        <v>320588</v>
      </c>
      <c r="B4297" s="223" t="s">
        <v>7538</v>
      </c>
      <c r="C4297" s="221" t="s">
        <v>7539</v>
      </c>
    </row>
    <row r="4298" spans="1:3" x14ac:dyDescent="0.25">
      <c r="A4298" s="222">
        <v>320589</v>
      </c>
      <c r="B4298" s="223" t="s">
        <v>7540</v>
      </c>
      <c r="C4298" s="221" t="s">
        <v>7541</v>
      </c>
    </row>
    <row r="4299" spans="1:3" x14ac:dyDescent="0.25">
      <c r="A4299" s="222">
        <v>320590</v>
      </c>
      <c r="B4299" s="223" t="s">
        <v>7542</v>
      </c>
      <c r="C4299" s="221" t="s">
        <v>7543</v>
      </c>
    </row>
    <row r="4300" spans="1:3" x14ac:dyDescent="0.25">
      <c r="A4300" s="222">
        <v>320591</v>
      </c>
      <c r="B4300" s="223" t="s">
        <v>7544</v>
      </c>
      <c r="C4300" s="221" t="s">
        <v>7545</v>
      </c>
    </row>
    <row r="4301" spans="1:3" x14ac:dyDescent="0.25">
      <c r="A4301" s="222">
        <v>320592</v>
      </c>
      <c r="B4301" s="223" t="s">
        <v>7546</v>
      </c>
      <c r="C4301" s="221" t="s">
        <v>7547</v>
      </c>
    </row>
    <row r="4302" spans="1:3" x14ac:dyDescent="0.25">
      <c r="A4302" s="222">
        <v>320593</v>
      </c>
      <c r="B4302" s="223" t="s">
        <v>7548</v>
      </c>
      <c r="C4302" s="221" t="s">
        <v>7549</v>
      </c>
    </row>
    <row r="4303" spans="1:3" x14ac:dyDescent="0.25">
      <c r="A4303" s="222">
        <v>320670</v>
      </c>
      <c r="B4303" s="223" t="s">
        <v>7550</v>
      </c>
      <c r="C4303" s="221" t="s">
        <v>7551</v>
      </c>
    </row>
    <row r="4304" spans="1:3" x14ac:dyDescent="0.25">
      <c r="A4304" s="222">
        <v>320671</v>
      </c>
      <c r="B4304" s="223" t="s">
        <v>7552</v>
      </c>
      <c r="C4304" s="221" t="s">
        <v>7553</v>
      </c>
    </row>
    <row r="4305" spans="1:3" x14ac:dyDescent="0.25">
      <c r="A4305" s="222">
        <v>320672</v>
      </c>
      <c r="B4305" s="223" t="s">
        <v>7554</v>
      </c>
      <c r="C4305" s="221" t="s">
        <v>7555</v>
      </c>
    </row>
    <row r="4306" spans="1:3" x14ac:dyDescent="0.25">
      <c r="A4306" s="222">
        <v>320673</v>
      </c>
      <c r="B4306" s="223" t="s">
        <v>7556</v>
      </c>
      <c r="C4306" s="221" t="s">
        <v>7557</v>
      </c>
    </row>
    <row r="4307" spans="1:3" x14ac:dyDescent="0.25">
      <c r="A4307" s="222">
        <v>330001</v>
      </c>
      <c r="B4307" s="223" t="s">
        <v>7559</v>
      </c>
      <c r="C4307" s="221" t="s">
        <v>7560</v>
      </c>
    </row>
    <row r="4308" spans="1:3" x14ac:dyDescent="0.25">
      <c r="A4308" s="222">
        <v>330001</v>
      </c>
      <c r="B4308" s="223" t="s">
        <v>7559</v>
      </c>
      <c r="C4308" s="221" t="s">
        <v>7558</v>
      </c>
    </row>
    <row r="4309" spans="1:3" x14ac:dyDescent="0.25">
      <c r="A4309" s="222">
        <v>330002</v>
      </c>
      <c r="B4309" s="223" t="s">
        <v>7562</v>
      </c>
      <c r="C4309" s="221" t="s">
        <v>7563</v>
      </c>
    </row>
    <row r="4310" spans="1:3" x14ac:dyDescent="0.25">
      <c r="A4310" s="222">
        <v>330002</v>
      </c>
      <c r="B4310" s="223" t="s">
        <v>7562</v>
      </c>
      <c r="C4310" s="221" t="s">
        <v>7561</v>
      </c>
    </row>
    <row r="4311" spans="1:3" x14ac:dyDescent="0.25">
      <c r="A4311" s="222">
        <v>330003</v>
      </c>
      <c r="B4311" s="223" t="s">
        <v>7565</v>
      </c>
      <c r="C4311" s="221" t="s">
        <v>7566</v>
      </c>
    </row>
    <row r="4312" spans="1:3" x14ac:dyDescent="0.25">
      <c r="A4312" s="222">
        <v>330003</v>
      </c>
      <c r="B4312" s="223" t="s">
        <v>7565</v>
      </c>
      <c r="C4312" s="221" t="s">
        <v>7564</v>
      </c>
    </row>
    <row r="4313" spans="1:3" x14ac:dyDescent="0.25">
      <c r="A4313" s="222">
        <v>330004</v>
      </c>
      <c r="B4313" s="223" t="s">
        <v>7568</v>
      </c>
      <c r="C4313" s="221" t="s">
        <v>7569</v>
      </c>
    </row>
    <row r="4314" spans="1:3" x14ac:dyDescent="0.25">
      <c r="A4314" s="222">
        <v>330004</v>
      </c>
      <c r="B4314" s="223" t="s">
        <v>7568</v>
      </c>
      <c r="C4314" s="221" t="s">
        <v>7567</v>
      </c>
    </row>
    <row r="4315" spans="1:3" x14ac:dyDescent="0.25">
      <c r="A4315" s="222">
        <v>330005</v>
      </c>
      <c r="B4315" s="223" t="s">
        <v>7571</v>
      </c>
      <c r="C4315" s="221" t="s">
        <v>7572</v>
      </c>
    </row>
    <row r="4316" spans="1:3" x14ac:dyDescent="0.25">
      <c r="A4316" s="222">
        <v>330005</v>
      </c>
      <c r="B4316" s="223" t="s">
        <v>7571</v>
      </c>
      <c r="C4316" s="221" t="s">
        <v>7570</v>
      </c>
    </row>
    <row r="4317" spans="1:3" x14ac:dyDescent="0.25">
      <c r="A4317" s="222">
        <v>330006</v>
      </c>
      <c r="B4317" s="223" t="s">
        <v>7575</v>
      </c>
      <c r="C4317" s="221" t="s">
        <v>7576</v>
      </c>
    </row>
    <row r="4318" spans="1:3" x14ac:dyDescent="0.25">
      <c r="A4318" s="222">
        <v>330006</v>
      </c>
      <c r="B4318" s="223" t="s">
        <v>7575</v>
      </c>
      <c r="C4318" s="221" t="s">
        <v>7574</v>
      </c>
    </row>
    <row r="4319" spans="1:3" x14ac:dyDescent="0.25">
      <c r="A4319" s="222">
        <v>330007</v>
      </c>
      <c r="B4319" s="223" t="s">
        <v>7578</v>
      </c>
      <c r="C4319" s="221" t="s">
        <v>7579</v>
      </c>
    </row>
    <row r="4320" spans="1:3" x14ac:dyDescent="0.25">
      <c r="A4320" s="222">
        <v>330007</v>
      </c>
      <c r="B4320" s="223" t="s">
        <v>7578</v>
      </c>
      <c r="C4320" s="221" t="s">
        <v>7577</v>
      </c>
    </row>
    <row r="4321" spans="1:3" x14ac:dyDescent="0.25">
      <c r="A4321" s="222">
        <v>330008</v>
      </c>
      <c r="B4321" s="223" t="s">
        <v>7581</v>
      </c>
      <c r="C4321" s="221" t="s">
        <v>7582</v>
      </c>
    </row>
    <row r="4322" spans="1:3" x14ac:dyDescent="0.25">
      <c r="A4322" s="222">
        <v>330008</v>
      </c>
      <c r="B4322" s="223" t="s">
        <v>7581</v>
      </c>
      <c r="C4322" s="221" t="s">
        <v>7580</v>
      </c>
    </row>
    <row r="4323" spans="1:3" x14ac:dyDescent="0.25">
      <c r="A4323" s="222">
        <v>330009</v>
      </c>
      <c r="B4323" s="223" t="s">
        <v>7584</v>
      </c>
      <c r="C4323" s="221" t="s">
        <v>7585</v>
      </c>
    </row>
    <row r="4324" spans="1:3" x14ac:dyDescent="0.25">
      <c r="A4324" s="222">
        <v>330009</v>
      </c>
      <c r="B4324" s="223" t="s">
        <v>7584</v>
      </c>
      <c r="C4324" s="221" t="s">
        <v>7583</v>
      </c>
    </row>
    <row r="4325" spans="1:3" x14ac:dyDescent="0.25">
      <c r="A4325" s="222">
        <v>330010</v>
      </c>
      <c r="B4325" s="223" t="s">
        <v>7587</v>
      </c>
      <c r="C4325" s="221" t="s">
        <v>7588</v>
      </c>
    </row>
    <row r="4326" spans="1:3" x14ac:dyDescent="0.25">
      <c r="A4326" s="222">
        <v>330010</v>
      </c>
      <c r="B4326" s="223" t="s">
        <v>7587</v>
      </c>
      <c r="C4326" s="221" t="s">
        <v>7586</v>
      </c>
    </row>
    <row r="4327" spans="1:3" x14ac:dyDescent="0.25">
      <c r="A4327" s="222">
        <v>330011</v>
      </c>
      <c r="B4327" s="223" t="s">
        <v>7590</v>
      </c>
      <c r="C4327" s="221" t="s">
        <v>7591</v>
      </c>
    </row>
    <row r="4328" spans="1:3" x14ac:dyDescent="0.25">
      <c r="A4328" s="222">
        <v>330011</v>
      </c>
      <c r="B4328" s="223" t="s">
        <v>7590</v>
      </c>
      <c r="C4328" s="221" t="s">
        <v>7592</v>
      </c>
    </row>
    <row r="4329" spans="1:3" x14ac:dyDescent="0.25">
      <c r="A4329" s="222">
        <v>330011</v>
      </c>
      <c r="B4329" s="223" t="s">
        <v>7590</v>
      </c>
      <c r="C4329" s="221" t="s">
        <v>7589</v>
      </c>
    </row>
    <row r="4330" spans="1:3" x14ac:dyDescent="0.25">
      <c r="A4330" s="222">
        <v>330012</v>
      </c>
      <c r="B4330" s="223" t="s">
        <v>7594</v>
      </c>
      <c r="C4330" s="221" t="s">
        <v>7593</v>
      </c>
    </row>
    <row r="4331" spans="1:3" x14ac:dyDescent="0.25">
      <c r="A4331" s="222">
        <v>330013</v>
      </c>
      <c r="B4331" s="223" t="s">
        <v>7596</v>
      </c>
      <c r="C4331" s="221" t="s">
        <v>7597</v>
      </c>
    </row>
    <row r="4332" spans="1:3" x14ac:dyDescent="0.25">
      <c r="A4332" s="222">
        <v>330013</v>
      </c>
      <c r="B4332" s="223" t="s">
        <v>7596</v>
      </c>
      <c r="C4332" s="221" t="s">
        <v>7595</v>
      </c>
    </row>
    <row r="4333" spans="1:3" x14ac:dyDescent="0.25">
      <c r="A4333" s="222">
        <v>330014</v>
      </c>
      <c r="B4333" s="223" t="s">
        <v>7599</v>
      </c>
      <c r="C4333" s="221" t="s">
        <v>7600</v>
      </c>
    </row>
    <row r="4334" spans="1:3" x14ac:dyDescent="0.25">
      <c r="A4334" s="222">
        <v>330014</v>
      </c>
      <c r="B4334" s="223" t="s">
        <v>7599</v>
      </c>
      <c r="C4334" s="221" t="s">
        <v>7598</v>
      </c>
    </row>
    <row r="4335" spans="1:3" x14ac:dyDescent="0.25">
      <c r="A4335" s="222">
        <v>330015</v>
      </c>
      <c r="B4335" s="223" t="s">
        <v>7602</v>
      </c>
      <c r="C4335" s="221" t="s">
        <v>7603</v>
      </c>
    </row>
    <row r="4336" spans="1:3" x14ac:dyDescent="0.25">
      <c r="A4336" s="222">
        <v>330015</v>
      </c>
      <c r="B4336" s="223" t="s">
        <v>7602</v>
      </c>
      <c r="C4336" s="221" t="s">
        <v>7601</v>
      </c>
    </row>
    <row r="4337" spans="1:3" x14ac:dyDescent="0.25">
      <c r="A4337" s="222">
        <v>330016</v>
      </c>
      <c r="B4337" s="223" t="s">
        <v>7605</v>
      </c>
      <c r="C4337" s="221" t="s">
        <v>7600</v>
      </c>
    </row>
    <row r="4338" spans="1:3" x14ac:dyDescent="0.25">
      <c r="A4338" s="222">
        <v>330016</v>
      </c>
      <c r="B4338" s="223" t="s">
        <v>7605</v>
      </c>
      <c r="C4338" s="221" t="s">
        <v>7604</v>
      </c>
    </row>
    <row r="4339" spans="1:3" x14ac:dyDescent="0.25">
      <c r="A4339" s="222">
        <v>330017</v>
      </c>
      <c r="B4339" s="223" t="s">
        <v>7607</v>
      </c>
      <c r="C4339" s="221" t="s">
        <v>7608</v>
      </c>
    </row>
    <row r="4340" spans="1:3" x14ac:dyDescent="0.25">
      <c r="A4340" s="222">
        <v>330017</v>
      </c>
      <c r="B4340" s="223" t="s">
        <v>7607</v>
      </c>
      <c r="C4340" s="221" t="s">
        <v>7606</v>
      </c>
    </row>
    <row r="4341" spans="1:3" x14ac:dyDescent="0.25">
      <c r="A4341" s="222">
        <v>330018</v>
      </c>
      <c r="B4341" s="223" t="s">
        <v>7610</v>
      </c>
      <c r="C4341" s="221" t="s">
        <v>7611</v>
      </c>
    </row>
    <row r="4342" spans="1:3" x14ac:dyDescent="0.25">
      <c r="A4342" s="222">
        <v>330018</v>
      </c>
      <c r="B4342" s="223" t="s">
        <v>7610</v>
      </c>
      <c r="C4342" s="221" t="s">
        <v>7609</v>
      </c>
    </row>
    <row r="4343" spans="1:3" x14ac:dyDescent="0.25">
      <c r="A4343" s="222">
        <v>330019</v>
      </c>
      <c r="B4343" s="223" t="s">
        <v>7613</v>
      </c>
      <c r="C4343" s="221" t="s">
        <v>7614</v>
      </c>
    </row>
    <row r="4344" spans="1:3" x14ac:dyDescent="0.25">
      <c r="A4344" s="222">
        <v>330019</v>
      </c>
      <c r="B4344" s="223" t="s">
        <v>7613</v>
      </c>
      <c r="C4344" s="221" t="s">
        <v>7612</v>
      </c>
    </row>
    <row r="4345" spans="1:3" x14ac:dyDescent="0.25">
      <c r="A4345" s="222">
        <v>330020</v>
      </c>
      <c r="B4345" s="223" t="s">
        <v>7616</v>
      </c>
      <c r="C4345" s="221" t="s">
        <v>7617</v>
      </c>
    </row>
    <row r="4346" spans="1:3" x14ac:dyDescent="0.25">
      <c r="A4346" s="222">
        <v>330020</v>
      </c>
      <c r="B4346" s="223" t="s">
        <v>7616</v>
      </c>
      <c r="C4346" s="221" t="s">
        <v>7615</v>
      </c>
    </row>
    <row r="4347" spans="1:3" x14ac:dyDescent="0.25">
      <c r="A4347" s="222">
        <v>330021</v>
      </c>
      <c r="B4347" s="223" t="s">
        <v>7619</v>
      </c>
      <c r="C4347" s="221" t="s">
        <v>7620</v>
      </c>
    </row>
    <row r="4348" spans="1:3" x14ac:dyDescent="0.25">
      <c r="A4348" s="222">
        <v>330021</v>
      </c>
      <c r="B4348" s="223" t="s">
        <v>7619</v>
      </c>
      <c r="C4348" s="221" t="s">
        <v>7618</v>
      </c>
    </row>
    <row r="4349" spans="1:3" x14ac:dyDescent="0.25">
      <c r="A4349" s="222">
        <v>330022</v>
      </c>
      <c r="B4349" s="223" t="s">
        <v>7622</v>
      </c>
      <c r="C4349" s="221" t="s">
        <v>7623</v>
      </c>
    </row>
    <row r="4350" spans="1:3" x14ac:dyDescent="0.25">
      <c r="A4350" s="222">
        <v>330022</v>
      </c>
      <c r="B4350" s="223" t="s">
        <v>7622</v>
      </c>
      <c r="C4350" s="221" t="s">
        <v>7621</v>
      </c>
    </row>
    <row r="4351" spans="1:3" x14ac:dyDescent="0.25">
      <c r="A4351" s="222">
        <v>330023</v>
      </c>
      <c r="B4351" s="223" t="s">
        <v>7625</v>
      </c>
      <c r="C4351" s="221" t="s">
        <v>7626</v>
      </c>
    </row>
    <row r="4352" spans="1:3" x14ac:dyDescent="0.25">
      <c r="A4352" s="222">
        <v>330023</v>
      </c>
      <c r="B4352" s="223" t="s">
        <v>7625</v>
      </c>
      <c r="C4352" s="221" t="s">
        <v>7624</v>
      </c>
    </row>
    <row r="4353" spans="1:3" x14ac:dyDescent="0.25">
      <c r="A4353" s="222">
        <v>330024</v>
      </c>
      <c r="B4353" s="223" t="s">
        <v>7628</v>
      </c>
      <c r="C4353" s="221" t="s">
        <v>7629</v>
      </c>
    </row>
    <row r="4354" spans="1:3" x14ac:dyDescent="0.25">
      <c r="A4354" s="222">
        <v>330024</v>
      </c>
      <c r="B4354" s="223" t="s">
        <v>7628</v>
      </c>
      <c r="C4354" s="221" t="s">
        <v>7627</v>
      </c>
    </row>
    <row r="4355" spans="1:3" x14ac:dyDescent="0.25">
      <c r="A4355" s="222">
        <v>330025</v>
      </c>
      <c r="B4355" s="223" t="s">
        <v>7631</v>
      </c>
      <c r="C4355" s="221" t="s">
        <v>7632</v>
      </c>
    </row>
    <row r="4356" spans="1:3" x14ac:dyDescent="0.25">
      <c r="A4356" s="222">
        <v>330025</v>
      </c>
      <c r="B4356" s="223" t="s">
        <v>7631</v>
      </c>
      <c r="C4356" s="221" t="s">
        <v>7630</v>
      </c>
    </row>
    <row r="4357" spans="1:3" x14ac:dyDescent="0.25">
      <c r="A4357" s="222">
        <v>330026</v>
      </c>
      <c r="B4357" s="223" t="s">
        <v>7634</v>
      </c>
      <c r="C4357" s="221" t="s">
        <v>7635</v>
      </c>
    </row>
    <row r="4358" spans="1:3" x14ac:dyDescent="0.25">
      <c r="A4358" s="222">
        <v>330026</v>
      </c>
      <c r="B4358" s="223" t="s">
        <v>7634</v>
      </c>
      <c r="C4358" s="221" t="s">
        <v>7633</v>
      </c>
    </row>
    <row r="4359" spans="1:3" x14ac:dyDescent="0.25">
      <c r="A4359" s="222">
        <v>330027</v>
      </c>
      <c r="B4359" s="223" t="s">
        <v>7637</v>
      </c>
      <c r="C4359" s="221" t="s">
        <v>7638</v>
      </c>
    </row>
    <row r="4360" spans="1:3" x14ac:dyDescent="0.25">
      <c r="A4360" s="222">
        <v>330027</v>
      </c>
      <c r="B4360" s="223" t="s">
        <v>7637</v>
      </c>
      <c r="C4360" s="221" t="s">
        <v>7636</v>
      </c>
    </row>
    <row r="4361" spans="1:3" x14ac:dyDescent="0.25">
      <c r="A4361" s="222">
        <v>330028</v>
      </c>
      <c r="B4361" s="223" t="s">
        <v>7640</v>
      </c>
      <c r="C4361" s="221" t="s">
        <v>7641</v>
      </c>
    </row>
    <row r="4362" spans="1:3" x14ac:dyDescent="0.25">
      <c r="A4362" s="222">
        <v>330028</v>
      </c>
      <c r="B4362" s="223" t="s">
        <v>7640</v>
      </c>
      <c r="C4362" s="221" t="s">
        <v>7639</v>
      </c>
    </row>
    <row r="4363" spans="1:3" x14ac:dyDescent="0.25">
      <c r="A4363" s="222">
        <v>330029</v>
      </c>
      <c r="B4363" s="223" t="s">
        <v>7643</v>
      </c>
      <c r="C4363" s="221" t="s">
        <v>7644</v>
      </c>
    </row>
    <row r="4364" spans="1:3" x14ac:dyDescent="0.25">
      <c r="A4364" s="222">
        <v>330029</v>
      </c>
      <c r="B4364" s="223" t="s">
        <v>7643</v>
      </c>
      <c r="C4364" s="221" t="s">
        <v>7642</v>
      </c>
    </row>
    <row r="4365" spans="1:3" x14ac:dyDescent="0.25">
      <c r="A4365" s="222">
        <v>330030</v>
      </c>
      <c r="B4365" s="223" t="s">
        <v>7646</v>
      </c>
      <c r="C4365" s="221" t="s">
        <v>7647</v>
      </c>
    </row>
    <row r="4366" spans="1:3" x14ac:dyDescent="0.25">
      <c r="A4366" s="222">
        <v>330030</v>
      </c>
      <c r="B4366" s="223" t="s">
        <v>7646</v>
      </c>
      <c r="C4366" s="221" t="s">
        <v>7645</v>
      </c>
    </row>
    <row r="4367" spans="1:3" x14ac:dyDescent="0.25">
      <c r="A4367" s="222">
        <v>330031</v>
      </c>
      <c r="B4367" s="223" t="s">
        <v>7649</v>
      </c>
      <c r="C4367" s="221" t="s">
        <v>7650</v>
      </c>
    </row>
    <row r="4368" spans="1:3" x14ac:dyDescent="0.25">
      <c r="A4368" s="222">
        <v>330031</v>
      </c>
      <c r="B4368" s="223" t="s">
        <v>7649</v>
      </c>
      <c r="C4368" s="221" t="s">
        <v>7648</v>
      </c>
    </row>
    <row r="4369" spans="1:3" x14ac:dyDescent="0.25">
      <c r="A4369" s="222">
        <v>330032</v>
      </c>
      <c r="B4369" s="223" t="s">
        <v>7652</v>
      </c>
      <c r="C4369" s="221" t="s">
        <v>7653</v>
      </c>
    </row>
    <row r="4370" spans="1:3" x14ac:dyDescent="0.25">
      <c r="A4370" s="222">
        <v>330032</v>
      </c>
      <c r="B4370" s="223" t="s">
        <v>7652</v>
      </c>
      <c r="C4370" s="221" t="s">
        <v>7651</v>
      </c>
    </row>
    <row r="4371" spans="1:3" x14ac:dyDescent="0.25">
      <c r="A4371" s="222">
        <v>330033</v>
      </c>
      <c r="B4371" s="223" t="s">
        <v>7655</v>
      </c>
      <c r="C4371" s="221" t="s">
        <v>7656</v>
      </c>
    </row>
    <row r="4372" spans="1:3" x14ac:dyDescent="0.25">
      <c r="A4372" s="222">
        <v>330033</v>
      </c>
      <c r="B4372" s="223" t="s">
        <v>7655</v>
      </c>
      <c r="C4372" s="221" t="s">
        <v>7654</v>
      </c>
    </row>
    <row r="4373" spans="1:3" x14ac:dyDescent="0.25">
      <c r="A4373" s="222">
        <v>330034</v>
      </c>
      <c r="B4373" s="223" t="s">
        <v>7658</v>
      </c>
      <c r="C4373" s="221" t="s">
        <v>7659</v>
      </c>
    </row>
    <row r="4374" spans="1:3" x14ac:dyDescent="0.25">
      <c r="A4374" s="222">
        <v>330034</v>
      </c>
      <c r="B4374" s="223" t="s">
        <v>7658</v>
      </c>
      <c r="C4374" s="221" t="s">
        <v>7657</v>
      </c>
    </row>
    <row r="4375" spans="1:3" x14ac:dyDescent="0.25">
      <c r="A4375" s="222">
        <v>330035</v>
      </c>
      <c r="B4375" s="223" t="s">
        <v>7661</v>
      </c>
      <c r="C4375" s="221" t="s">
        <v>7662</v>
      </c>
    </row>
    <row r="4376" spans="1:3" x14ac:dyDescent="0.25">
      <c r="A4376" s="222">
        <v>330035</v>
      </c>
      <c r="B4376" s="223" t="s">
        <v>7661</v>
      </c>
      <c r="C4376" s="221" t="s">
        <v>7660</v>
      </c>
    </row>
    <row r="4377" spans="1:3" x14ac:dyDescent="0.25">
      <c r="A4377" s="222">
        <v>330036</v>
      </c>
      <c r="B4377" s="223" t="s">
        <v>7664</v>
      </c>
      <c r="C4377" s="221" t="s">
        <v>7665</v>
      </c>
    </row>
    <row r="4378" spans="1:3" x14ac:dyDescent="0.25">
      <c r="A4378" s="222">
        <v>330036</v>
      </c>
      <c r="B4378" s="223" t="s">
        <v>7664</v>
      </c>
      <c r="C4378" s="221" t="s">
        <v>7663</v>
      </c>
    </row>
    <row r="4379" spans="1:3" x14ac:dyDescent="0.25">
      <c r="A4379" s="222">
        <v>330037</v>
      </c>
      <c r="B4379" s="223" t="s">
        <v>7667</v>
      </c>
      <c r="C4379" s="221" t="s">
        <v>7668</v>
      </c>
    </row>
    <row r="4380" spans="1:3" x14ac:dyDescent="0.25">
      <c r="A4380" s="222">
        <v>330037</v>
      </c>
      <c r="B4380" s="223" t="s">
        <v>7667</v>
      </c>
      <c r="C4380" s="221" t="s">
        <v>7666</v>
      </c>
    </row>
    <row r="4381" spans="1:3" x14ac:dyDescent="0.25">
      <c r="A4381" s="222">
        <v>330038</v>
      </c>
      <c r="B4381" s="223" t="s">
        <v>7670</v>
      </c>
      <c r="C4381" s="221" t="s">
        <v>7671</v>
      </c>
    </row>
    <row r="4382" spans="1:3" x14ac:dyDescent="0.25">
      <c r="A4382" s="222">
        <v>330038</v>
      </c>
      <c r="B4382" s="223" t="s">
        <v>7670</v>
      </c>
      <c r="C4382" s="221" t="s">
        <v>7669</v>
      </c>
    </row>
    <row r="4383" spans="1:3" x14ac:dyDescent="0.25">
      <c r="A4383" s="222">
        <v>330039</v>
      </c>
      <c r="B4383" s="223" t="s">
        <v>7673</v>
      </c>
      <c r="C4383" s="221" t="s">
        <v>7674</v>
      </c>
    </row>
    <row r="4384" spans="1:3" x14ac:dyDescent="0.25">
      <c r="A4384" s="222">
        <v>330039</v>
      </c>
      <c r="B4384" s="223" t="s">
        <v>7673</v>
      </c>
      <c r="C4384" s="221" t="s">
        <v>7672</v>
      </c>
    </row>
    <row r="4385" spans="1:3" x14ac:dyDescent="0.25">
      <c r="A4385" s="222">
        <v>330040</v>
      </c>
      <c r="B4385" s="223" t="s">
        <v>7676</v>
      </c>
      <c r="C4385" s="221" t="s">
        <v>7677</v>
      </c>
    </row>
    <row r="4386" spans="1:3" x14ac:dyDescent="0.25">
      <c r="A4386" s="222">
        <v>330040</v>
      </c>
      <c r="B4386" s="223" t="s">
        <v>7676</v>
      </c>
      <c r="C4386" s="221" t="s">
        <v>7675</v>
      </c>
    </row>
    <row r="4387" spans="1:3" x14ac:dyDescent="0.25">
      <c r="A4387" s="222">
        <v>330041</v>
      </c>
      <c r="B4387" s="223" t="s">
        <v>7679</v>
      </c>
      <c r="C4387" s="221" t="s">
        <v>7680</v>
      </c>
    </row>
    <row r="4388" spans="1:3" x14ac:dyDescent="0.25">
      <c r="A4388" s="222">
        <v>330041</v>
      </c>
      <c r="B4388" s="223" t="s">
        <v>7679</v>
      </c>
      <c r="C4388" s="221" t="s">
        <v>7678</v>
      </c>
    </row>
    <row r="4389" spans="1:3" x14ac:dyDescent="0.25">
      <c r="A4389" s="222">
        <v>330042</v>
      </c>
      <c r="B4389" s="223" t="s">
        <v>7682</v>
      </c>
      <c r="C4389" s="221" t="s">
        <v>7683</v>
      </c>
    </row>
    <row r="4390" spans="1:3" x14ac:dyDescent="0.25">
      <c r="A4390" s="222">
        <v>330042</v>
      </c>
      <c r="B4390" s="223" t="s">
        <v>7682</v>
      </c>
      <c r="C4390" s="221" t="s">
        <v>7681</v>
      </c>
    </row>
    <row r="4391" spans="1:3" x14ac:dyDescent="0.25">
      <c r="A4391" s="222">
        <v>330043</v>
      </c>
      <c r="B4391" s="223" t="s">
        <v>7685</v>
      </c>
      <c r="C4391" s="221" t="s">
        <v>7686</v>
      </c>
    </row>
    <row r="4392" spans="1:3" x14ac:dyDescent="0.25">
      <c r="A4392" s="222">
        <v>330043</v>
      </c>
      <c r="B4392" s="223" t="s">
        <v>7685</v>
      </c>
      <c r="C4392" s="221" t="s">
        <v>7684</v>
      </c>
    </row>
    <row r="4393" spans="1:3" x14ac:dyDescent="0.25">
      <c r="A4393" s="222">
        <v>330044</v>
      </c>
      <c r="B4393" s="223" t="s">
        <v>7688</v>
      </c>
      <c r="C4393" s="221" t="s">
        <v>7689</v>
      </c>
    </row>
    <row r="4394" spans="1:3" x14ac:dyDescent="0.25">
      <c r="A4394" s="222">
        <v>330044</v>
      </c>
      <c r="B4394" s="223" t="s">
        <v>7688</v>
      </c>
      <c r="C4394" s="221" t="s">
        <v>7687</v>
      </c>
    </row>
    <row r="4395" spans="1:3" x14ac:dyDescent="0.25">
      <c r="A4395" s="222">
        <v>330045</v>
      </c>
      <c r="B4395" s="223" t="s">
        <v>7691</v>
      </c>
      <c r="C4395" s="221" t="s">
        <v>7692</v>
      </c>
    </row>
    <row r="4396" spans="1:3" x14ac:dyDescent="0.25">
      <c r="A4396" s="222">
        <v>330045</v>
      </c>
      <c r="B4396" s="223" t="s">
        <v>7691</v>
      </c>
      <c r="C4396" s="221" t="s">
        <v>7690</v>
      </c>
    </row>
    <row r="4397" spans="1:3" x14ac:dyDescent="0.25">
      <c r="A4397" s="222">
        <v>330046</v>
      </c>
      <c r="B4397" s="223" t="s">
        <v>7694</v>
      </c>
      <c r="C4397" s="221" t="s">
        <v>7695</v>
      </c>
    </row>
    <row r="4398" spans="1:3" x14ac:dyDescent="0.25">
      <c r="A4398" s="222">
        <v>330046</v>
      </c>
      <c r="B4398" s="223" t="s">
        <v>7694</v>
      </c>
      <c r="C4398" s="221" t="s">
        <v>7693</v>
      </c>
    </row>
    <row r="4399" spans="1:3" x14ac:dyDescent="0.25">
      <c r="A4399" s="222">
        <v>330047</v>
      </c>
      <c r="B4399" s="223" t="s">
        <v>7697</v>
      </c>
      <c r="C4399" s="221" t="s">
        <v>7698</v>
      </c>
    </row>
    <row r="4400" spans="1:3" x14ac:dyDescent="0.25">
      <c r="A4400" s="222">
        <v>330047</v>
      </c>
      <c r="B4400" s="223" t="s">
        <v>7697</v>
      </c>
      <c r="C4400" s="221" t="s">
        <v>7696</v>
      </c>
    </row>
    <row r="4401" spans="1:3" x14ac:dyDescent="0.25">
      <c r="A4401" s="222">
        <v>330048</v>
      </c>
      <c r="B4401" s="223" t="s">
        <v>7700</v>
      </c>
      <c r="C4401" s="221" t="s">
        <v>7701</v>
      </c>
    </row>
    <row r="4402" spans="1:3" x14ac:dyDescent="0.25">
      <c r="A4402" s="222">
        <v>330048</v>
      </c>
      <c r="B4402" s="223" t="s">
        <v>7700</v>
      </c>
      <c r="C4402" s="221" t="s">
        <v>7699</v>
      </c>
    </row>
    <row r="4403" spans="1:3" x14ac:dyDescent="0.25">
      <c r="A4403" s="222">
        <v>330049</v>
      </c>
      <c r="B4403" s="223" t="s">
        <v>7703</v>
      </c>
      <c r="C4403" s="221" t="s">
        <v>7704</v>
      </c>
    </row>
    <row r="4404" spans="1:3" x14ac:dyDescent="0.25">
      <c r="A4404" s="222">
        <v>330049</v>
      </c>
      <c r="B4404" s="223" t="s">
        <v>7703</v>
      </c>
      <c r="C4404" s="221" t="s">
        <v>7702</v>
      </c>
    </row>
    <row r="4405" spans="1:3" x14ac:dyDescent="0.25">
      <c r="A4405" s="222">
        <v>330050</v>
      </c>
      <c r="B4405" s="223" t="s">
        <v>7706</v>
      </c>
      <c r="C4405" s="221" t="s">
        <v>7707</v>
      </c>
    </row>
    <row r="4406" spans="1:3" x14ac:dyDescent="0.25">
      <c r="A4406" s="222">
        <v>330050</v>
      </c>
      <c r="B4406" s="223" t="s">
        <v>7706</v>
      </c>
      <c r="C4406" s="221" t="s">
        <v>7705</v>
      </c>
    </row>
    <row r="4407" spans="1:3" x14ac:dyDescent="0.25">
      <c r="A4407" s="222">
        <v>330051</v>
      </c>
      <c r="B4407" s="223" t="s">
        <v>7709</v>
      </c>
      <c r="C4407" s="221" t="s">
        <v>7710</v>
      </c>
    </row>
    <row r="4408" spans="1:3" x14ac:dyDescent="0.25">
      <c r="A4408" s="222">
        <v>330051</v>
      </c>
      <c r="B4408" s="223" t="s">
        <v>7709</v>
      </c>
      <c r="C4408" s="221" t="s">
        <v>7708</v>
      </c>
    </row>
    <row r="4409" spans="1:3" x14ac:dyDescent="0.25">
      <c r="A4409" s="222">
        <v>330052</v>
      </c>
      <c r="B4409" s="223" t="s">
        <v>7712</v>
      </c>
      <c r="C4409" s="221" t="s">
        <v>7713</v>
      </c>
    </row>
    <row r="4410" spans="1:3" x14ac:dyDescent="0.25">
      <c r="A4410" s="222">
        <v>330052</v>
      </c>
      <c r="B4410" s="223" t="s">
        <v>7712</v>
      </c>
      <c r="C4410" s="221" t="s">
        <v>7711</v>
      </c>
    </row>
    <row r="4411" spans="1:3" x14ac:dyDescent="0.25">
      <c r="A4411" s="222">
        <v>330053</v>
      </c>
      <c r="B4411" s="223" t="s">
        <v>7715</v>
      </c>
      <c r="C4411" s="221" t="s">
        <v>7716</v>
      </c>
    </row>
    <row r="4412" spans="1:3" x14ac:dyDescent="0.25">
      <c r="A4412" s="222">
        <v>330053</v>
      </c>
      <c r="B4412" s="223" t="s">
        <v>7715</v>
      </c>
      <c r="C4412" s="221" t="s">
        <v>7714</v>
      </c>
    </row>
    <row r="4413" spans="1:3" x14ac:dyDescent="0.25">
      <c r="A4413" s="222">
        <v>330054</v>
      </c>
      <c r="B4413" s="223" t="s">
        <v>7718</v>
      </c>
      <c r="C4413" s="221" t="s">
        <v>7719</v>
      </c>
    </row>
    <row r="4414" spans="1:3" x14ac:dyDescent="0.25">
      <c r="A4414" s="222">
        <v>330054</v>
      </c>
      <c r="B4414" s="223" t="s">
        <v>7718</v>
      </c>
      <c r="C4414" s="221" t="s">
        <v>7717</v>
      </c>
    </row>
    <row r="4415" spans="1:3" x14ac:dyDescent="0.25">
      <c r="A4415" s="222">
        <v>330055</v>
      </c>
      <c r="B4415" s="223" t="s">
        <v>7721</v>
      </c>
      <c r="C4415" s="221" t="s">
        <v>7722</v>
      </c>
    </row>
    <row r="4416" spans="1:3" x14ac:dyDescent="0.25">
      <c r="A4416" s="222">
        <v>330055</v>
      </c>
      <c r="B4416" s="223" t="s">
        <v>7721</v>
      </c>
      <c r="C4416" s="221" t="s">
        <v>7720</v>
      </c>
    </row>
    <row r="4417" spans="1:3" x14ac:dyDescent="0.25">
      <c r="A4417" s="222">
        <v>330056</v>
      </c>
      <c r="B4417" s="223" t="s">
        <v>7724</v>
      </c>
      <c r="C4417" s="221" t="s">
        <v>7725</v>
      </c>
    </row>
    <row r="4418" spans="1:3" x14ac:dyDescent="0.25">
      <c r="A4418" s="222">
        <v>330056</v>
      </c>
      <c r="B4418" s="223" t="s">
        <v>7724</v>
      </c>
      <c r="C4418" s="221" t="s">
        <v>7723</v>
      </c>
    </row>
    <row r="4419" spans="1:3" x14ac:dyDescent="0.25">
      <c r="A4419" s="222">
        <v>330057</v>
      </c>
      <c r="B4419" s="223" t="s">
        <v>7727</v>
      </c>
      <c r="C4419" s="221" t="s">
        <v>7728</v>
      </c>
    </row>
    <row r="4420" spans="1:3" x14ac:dyDescent="0.25">
      <c r="A4420" s="222">
        <v>330057</v>
      </c>
      <c r="B4420" s="223" t="s">
        <v>7727</v>
      </c>
      <c r="C4420" s="221" t="s">
        <v>7726</v>
      </c>
    </row>
    <row r="4421" spans="1:3" x14ac:dyDescent="0.25">
      <c r="A4421" s="222">
        <v>330058</v>
      </c>
      <c r="B4421" s="223" t="s">
        <v>7730</v>
      </c>
      <c r="C4421" s="221" t="s">
        <v>7731</v>
      </c>
    </row>
    <row r="4422" spans="1:3" x14ac:dyDescent="0.25">
      <c r="A4422" s="222">
        <v>330058</v>
      </c>
      <c r="B4422" s="223" t="s">
        <v>7730</v>
      </c>
      <c r="C4422" s="221" t="s">
        <v>7729</v>
      </c>
    </row>
    <row r="4423" spans="1:3" x14ac:dyDescent="0.25">
      <c r="A4423" s="222">
        <v>330059</v>
      </c>
      <c r="B4423" s="223" t="s">
        <v>7733</v>
      </c>
      <c r="C4423" s="221" t="s">
        <v>7734</v>
      </c>
    </row>
    <row r="4424" spans="1:3" x14ac:dyDescent="0.25">
      <c r="A4424" s="222">
        <v>330059</v>
      </c>
      <c r="B4424" s="223" t="s">
        <v>7733</v>
      </c>
      <c r="C4424" s="221" t="s">
        <v>7732</v>
      </c>
    </row>
    <row r="4425" spans="1:3" x14ac:dyDescent="0.25">
      <c r="A4425" s="222">
        <v>330060</v>
      </c>
      <c r="B4425" s="223" t="s">
        <v>7736</v>
      </c>
      <c r="C4425" s="221" t="s">
        <v>7737</v>
      </c>
    </row>
    <row r="4426" spans="1:3" x14ac:dyDescent="0.25">
      <c r="A4426" s="222">
        <v>330060</v>
      </c>
      <c r="B4426" s="223" t="s">
        <v>7736</v>
      </c>
      <c r="C4426" s="221" t="s">
        <v>7735</v>
      </c>
    </row>
    <row r="4427" spans="1:3" x14ac:dyDescent="0.25">
      <c r="A4427" s="222">
        <v>330061</v>
      </c>
      <c r="B4427" s="223" t="s">
        <v>7739</v>
      </c>
      <c r="C4427" s="221" t="s">
        <v>7740</v>
      </c>
    </row>
    <row r="4428" spans="1:3" x14ac:dyDescent="0.25">
      <c r="A4428" s="222">
        <v>330061</v>
      </c>
      <c r="B4428" s="223" t="s">
        <v>7739</v>
      </c>
      <c r="C4428" s="221" t="s">
        <v>7738</v>
      </c>
    </row>
    <row r="4429" spans="1:3" x14ac:dyDescent="0.25">
      <c r="A4429" s="222">
        <v>330062</v>
      </c>
      <c r="B4429" s="223" t="s">
        <v>7742</v>
      </c>
      <c r="C4429" s="221" t="s">
        <v>7743</v>
      </c>
    </row>
    <row r="4430" spans="1:3" x14ac:dyDescent="0.25">
      <c r="A4430" s="222">
        <v>330062</v>
      </c>
      <c r="B4430" s="223" t="s">
        <v>7742</v>
      </c>
      <c r="C4430" s="221" t="s">
        <v>7741</v>
      </c>
    </row>
    <row r="4431" spans="1:3" x14ac:dyDescent="0.25">
      <c r="A4431" s="222">
        <v>330063</v>
      </c>
      <c r="B4431" s="223" t="s">
        <v>7745</v>
      </c>
      <c r="C4431" s="221" t="s">
        <v>7746</v>
      </c>
    </row>
    <row r="4432" spans="1:3" x14ac:dyDescent="0.25">
      <c r="A4432" s="222">
        <v>330063</v>
      </c>
      <c r="B4432" s="223" t="s">
        <v>7745</v>
      </c>
      <c r="C4432" s="221" t="s">
        <v>7744</v>
      </c>
    </row>
    <row r="4433" spans="1:3" x14ac:dyDescent="0.25">
      <c r="A4433" s="222">
        <v>330064</v>
      </c>
      <c r="B4433" s="223" t="s">
        <v>7748</v>
      </c>
      <c r="C4433" s="221" t="s">
        <v>7749</v>
      </c>
    </row>
    <row r="4434" spans="1:3" x14ac:dyDescent="0.25">
      <c r="A4434" s="222">
        <v>330064</v>
      </c>
      <c r="B4434" s="223" t="s">
        <v>7748</v>
      </c>
      <c r="C4434" s="221" t="s">
        <v>7747</v>
      </c>
    </row>
    <row r="4435" spans="1:3" x14ac:dyDescent="0.25">
      <c r="A4435" s="222">
        <v>330065</v>
      </c>
      <c r="B4435" s="223" t="s">
        <v>7751</v>
      </c>
      <c r="C4435" s="221" t="s">
        <v>7752</v>
      </c>
    </row>
    <row r="4436" spans="1:3" x14ac:dyDescent="0.25">
      <c r="A4436" s="222">
        <v>330065</v>
      </c>
      <c r="B4436" s="223" t="s">
        <v>7751</v>
      </c>
      <c r="C4436" s="221" t="s">
        <v>7750</v>
      </c>
    </row>
    <row r="4437" spans="1:3" x14ac:dyDescent="0.25">
      <c r="A4437" s="222">
        <v>330066</v>
      </c>
      <c r="B4437" s="223" t="s">
        <v>7754</v>
      </c>
      <c r="C4437" s="221" t="s">
        <v>7755</v>
      </c>
    </row>
    <row r="4438" spans="1:3" x14ac:dyDescent="0.25">
      <c r="A4438" s="222">
        <v>330066</v>
      </c>
      <c r="B4438" s="223" t="s">
        <v>7754</v>
      </c>
      <c r="C4438" s="221" t="s">
        <v>7753</v>
      </c>
    </row>
    <row r="4439" spans="1:3" x14ac:dyDescent="0.25">
      <c r="A4439" s="222">
        <v>330067</v>
      </c>
      <c r="B4439" s="223" t="s">
        <v>7757</v>
      </c>
      <c r="C4439" s="221" t="s">
        <v>7758</v>
      </c>
    </row>
    <row r="4440" spans="1:3" x14ac:dyDescent="0.25">
      <c r="A4440" s="222">
        <v>330067</v>
      </c>
      <c r="B4440" s="223" t="s">
        <v>7757</v>
      </c>
      <c r="C4440" s="221" t="s">
        <v>7756</v>
      </c>
    </row>
    <row r="4441" spans="1:3" x14ac:dyDescent="0.25">
      <c r="A4441" s="222">
        <v>330068</v>
      </c>
      <c r="B4441" s="223" t="s">
        <v>7760</v>
      </c>
      <c r="C4441" s="221" t="s">
        <v>7761</v>
      </c>
    </row>
    <row r="4442" spans="1:3" x14ac:dyDescent="0.25">
      <c r="A4442" s="222">
        <v>330068</v>
      </c>
      <c r="B4442" s="223" t="s">
        <v>7760</v>
      </c>
      <c r="C4442" s="221" t="s">
        <v>7759</v>
      </c>
    </row>
    <row r="4443" spans="1:3" x14ac:dyDescent="0.25">
      <c r="A4443" s="222">
        <v>330069</v>
      </c>
      <c r="B4443" s="223" t="s">
        <v>7763</v>
      </c>
      <c r="C4443" s="221" t="s">
        <v>7764</v>
      </c>
    </row>
    <row r="4444" spans="1:3" x14ac:dyDescent="0.25">
      <c r="A4444" s="222">
        <v>330069</v>
      </c>
      <c r="B4444" s="223" t="s">
        <v>7763</v>
      </c>
      <c r="C4444" s="221" t="s">
        <v>7762</v>
      </c>
    </row>
    <row r="4445" spans="1:3" x14ac:dyDescent="0.25">
      <c r="A4445" s="222">
        <v>330070</v>
      </c>
      <c r="B4445" s="223" t="s">
        <v>7766</v>
      </c>
      <c r="C4445" s="221" t="s">
        <v>7767</v>
      </c>
    </row>
    <row r="4446" spans="1:3" x14ac:dyDescent="0.25">
      <c r="A4446" s="222">
        <v>330070</v>
      </c>
      <c r="B4446" s="223" t="s">
        <v>7766</v>
      </c>
      <c r="C4446" s="221" t="s">
        <v>7765</v>
      </c>
    </row>
    <row r="4447" spans="1:3" x14ac:dyDescent="0.25">
      <c r="A4447" s="222">
        <v>330071</v>
      </c>
      <c r="B4447" s="223" t="s">
        <v>7769</v>
      </c>
      <c r="C4447" s="221" t="s">
        <v>7770</v>
      </c>
    </row>
    <row r="4448" spans="1:3" x14ac:dyDescent="0.25">
      <c r="A4448" s="222">
        <v>330071</v>
      </c>
      <c r="B4448" s="223" t="s">
        <v>7769</v>
      </c>
      <c r="C4448" s="221" t="s">
        <v>7768</v>
      </c>
    </row>
    <row r="4449" spans="1:3" x14ac:dyDescent="0.25">
      <c r="A4449" s="222">
        <v>330072</v>
      </c>
      <c r="B4449" s="223" t="s">
        <v>7772</v>
      </c>
      <c r="C4449" s="221" t="s">
        <v>7773</v>
      </c>
    </row>
    <row r="4450" spans="1:3" x14ac:dyDescent="0.25">
      <c r="A4450" s="222">
        <v>330072</v>
      </c>
      <c r="B4450" s="223" t="s">
        <v>7772</v>
      </c>
      <c r="C4450" s="221" t="s">
        <v>7771</v>
      </c>
    </row>
    <row r="4451" spans="1:3" x14ac:dyDescent="0.25">
      <c r="A4451" s="222">
        <v>330073</v>
      </c>
      <c r="B4451" s="223" t="s">
        <v>7775</v>
      </c>
      <c r="C4451" s="221" t="s">
        <v>7776</v>
      </c>
    </row>
    <row r="4452" spans="1:3" x14ac:dyDescent="0.25">
      <c r="A4452" s="222">
        <v>330073</v>
      </c>
      <c r="B4452" s="223" t="s">
        <v>7775</v>
      </c>
      <c r="C4452" s="221" t="s">
        <v>7774</v>
      </c>
    </row>
    <row r="4453" spans="1:3" x14ac:dyDescent="0.25">
      <c r="A4453" s="222">
        <v>330074</v>
      </c>
      <c r="B4453" s="223" t="s">
        <v>7778</v>
      </c>
      <c r="C4453" s="221" t="s">
        <v>7779</v>
      </c>
    </row>
    <row r="4454" spans="1:3" x14ac:dyDescent="0.25">
      <c r="A4454" s="222">
        <v>330074</v>
      </c>
      <c r="B4454" s="223" t="s">
        <v>7778</v>
      </c>
      <c r="C4454" s="221" t="s">
        <v>7777</v>
      </c>
    </row>
    <row r="4455" spans="1:3" x14ac:dyDescent="0.25">
      <c r="A4455" s="222">
        <v>330075</v>
      </c>
      <c r="B4455" s="223" t="s">
        <v>7781</v>
      </c>
      <c r="C4455" s="221" t="s">
        <v>7782</v>
      </c>
    </row>
    <row r="4456" spans="1:3" x14ac:dyDescent="0.25">
      <c r="A4456" s="222">
        <v>330075</v>
      </c>
      <c r="B4456" s="223" t="s">
        <v>7781</v>
      </c>
      <c r="C4456" s="221" t="s">
        <v>7780</v>
      </c>
    </row>
    <row r="4457" spans="1:3" x14ac:dyDescent="0.25">
      <c r="A4457" s="222">
        <v>330076</v>
      </c>
      <c r="B4457" s="223" t="s">
        <v>7784</v>
      </c>
      <c r="C4457" s="221" t="s">
        <v>7785</v>
      </c>
    </row>
    <row r="4458" spans="1:3" x14ac:dyDescent="0.25">
      <c r="A4458" s="222">
        <v>330076</v>
      </c>
      <c r="B4458" s="223" t="s">
        <v>7784</v>
      </c>
      <c r="C4458" s="221" t="s">
        <v>7783</v>
      </c>
    </row>
    <row r="4459" spans="1:3" x14ac:dyDescent="0.25">
      <c r="A4459" s="222">
        <v>330077</v>
      </c>
      <c r="B4459" s="223" t="s">
        <v>7787</v>
      </c>
      <c r="C4459" s="221" t="s">
        <v>7788</v>
      </c>
    </row>
    <row r="4460" spans="1:3" x14ac:dyDescent="0.25">
      <c r="A4460" s="222">
        <v>330077</v>
      </c>
      <c r="B4460" s="223" t="s">
        <v>7787</v>
      </c>
      <c r="C4460" s="221" t="s">
        <v>7786</v>
      </c>
    </row>
    <row r="4461" spans="1:3" x14ac:dyDescent="0.25">
      <c r="A4461" s="222">
        <v>330078</v>
      </c>
      <c r="B4461" s="223" t="s">
        <v>7790</v>
      </c>
      <c r="C4461" s="221" t="s">
        <v>7791</v>
      </c>
    </row>
    <row r="4462" spans="1:3" x14ac:dyDescent="0.25">
      <c r="A4462" s="222">
        <v>330078</v>
      </c>
      <c r="B4462" s="223" t="s">
        <v>7790</v>
      </c>
      <c r="C4462" s="221" t="s">
        <v>7789</v>
      </c>
    </row>
    <row r="4463" spans="1:3" x14ac:dyDescent="0.25">
      <c r="A4463" s="222">
        <v>330079</v>
      </c>
      <c r="B4463" s="223" t="s">
        <v>7793</v>
      </c>
      <c r="C4463" s="221" t="s">
        <v>7794</v>
      </c>
    </row>
    <row r="4464" spans="1:3" x14ac:dyDescent="0.25">
      <c r="A4464" s="222">
        <v>330079</v>
      </c>
      <c r="B4464" s="223" t="s">
        <v>7793</v>
      </c>
      <c r="C4464" s="221" t="s">
        <v>7792</v>
      </c>
    </row>
    <row r="4465" spans="1:3" x14ac:dyDescent="0.25">
      <c r="A4465" s="222">
        <v>330080</v>
      </c>
      <c r="B4465" s="223" t="s">
        <v>7796</v>
      </c>
      <c r="C4465" s="221" t="s">
        <v>7797</v>
      </c>
    </row>
    <row r="4466" spans="1:3" x14ac:dyDescent="0.25">
      <c r="A4466" s="222">
        <v>330080</v>
      </c>
      <c r="B4466" s="223" t="s">
        <v>7796</v>
      </c>
      <c r="C4466" s="221" t="s">
        <v>7795</v>
      </c>
    </row>
    <row r="4467" spans="1:3" x14ac:dyDescent="0.25">
      <c r="A4467" s="222">
        <v>330081</v>
      </c>
      <c r="B4467" s="223" t="s">
        <v>7799</v>
      </c>
      <c r="C4467" s="221" t="s">
        <v>7800</v>
      </c>
    </row>
    <row r="4468" spans="1:3" x14ac:dyDescent="0.25">
      <c r="A4468" s="222">
        <v>330081</v>
      </c>
      <c r="B4468" s="223" t="s">
        <v>7799</v>
      </c>
      <c r="C4468" s="221" t="s">
        <v>7798</v>
      </c>
    </row>
    <row r="4469" spans="1:3" x14ac:dyDescent="0.25">
      <c r="A4469" s="222">
        <v>330082</v>
      </c>
      <c r="B4469" s="223" t="s">
        <v>7802</v>
      </c>
      <c r="C4469" s="221" t="s">
        <v>7803</v>
      </c>
    </row>
    <row r="4470" spans="1:3" x14ac:dyDescent="0.25">
      <c r="A4470" s="222">
        <v>330082</v>
      </c>
      <c r="B4470" s="223" t="s">
        <v>7802</v>
      </c>
      <c r="C4470" s="221" t="s">
        <v>7801</v>
      </c>
    </row>
    <row r="4471" spans="1:3" x14ac:dyDescent="0.25">
      <c r="A4471" s="222">
        <v>330083</v>
      </c>
      <c r="B4471" s="223" t="s">
        <v>7805</v>
      </c>
      <c r="C4471" s="221" t="s">
        <v>7806</v>
      </c>
    </row>
    <row r="4472" spans="1:3" x14ac:dyDescent="0.25">
      <c r="A4472" s="222">
        <v>330083</v>
      </c>
      <c r="B4472" s="223" t="s">
        <v>7805</v>
      </c>
      <c r="C4472" s="221" t="s">
        <v>7804</v>
      </c>
    </row>
    <row r="4473" spans="1:3" x14ac:dyDescent="0.25">
      <c r="A4473" s="222">
        <v>330084</v>
      </c>
      <c r="B4473" s="223" t="s">
        <v>7808</v>
      </c>
      <c r="C4473" s="221" t="s">
        <v>7809</v>
      </c>
    </row>
    <row r="4474" spans="1:3" x14ac:dyDescent="0.25">
      <c r="A4474" s="222">
        <v>330084</v>
      </c>
      <c r="B4474" s="223" t="s">
        <v>7808</v>
      </c>
      <c r="C4474" s="221" t="s">
        <v>7807</v>
      </c>
    </row>
    <row r="4475" spans="1:3" x14ac:dyDescent="0.25">
      <c r="A4475" s="222">
        <v>330085</v>
      </c>
      <c r="B4475" s="223" t="s">
        <v>7811</v>
      </c>
      <c r="C4475" s="221" t="s">
        <v>7797</v>
      </c>
    </row>
    <row r="4476" spans="1:3" x14ac:dyDescent="0.25">
      <c r="A4476" s="222">
        <v>330085</v>
      </c>
      <c r="B4476" s="223" t="s">
        <v>7811</v>
      </c>
      <c r="C4476" s="221" t="s">
        <v>7810</v>
      </c>
    </row>
    <row r="4477" spans="1:3" x14ac:dyDescent="0.25">
      <c r="A4477" s="222">
        <v>330086</v>
      </c>
      <c r="B4477" s="223" t="s">
        <v>7813</v>
      </c>
      <c r="C4477" s="221" t="s">
        <v>7814</v>
      </c>
    </row>
    <row r="4478" spans="1:3" x14ac:dyDescent="0.25">
      <c r="A4478" s="222">
        <v>330086</v>
      </c>
      <c r="B4478" s="223" t="s">
        <v>7813</v>
      </c>
      <c r="C4478" s="221" t="s">
        <v>7812</v>
      </c>
    </row>
    <row r="4479" spans="1:3" x14ac:dyDescent="0.25">
      <c r="A4479" s="222">
        <v>330087</v>
      </c>
      <c r="B4479" s="223" t="s">
        <v>7816</v>
      </c>
      <c r="C4479" s="221" t="s">
        <v>7815</v>
      </c>
    </row>
    <row r="4480" spans="1:3" x14ac:dyDescent="0.25">
      <c r="A4480" s="222">
        <v>330088</v>
      </c>
      <c r="B4480" s="223" t="s">
        <v>7818</v>
      </c>
      <c r="C4480" s="221" t="s">
        <v>7819</v>
      </c>
    </row>
    <row r="4481" spans="1:3" x14ac:dyDescent="0.25">
      <c r="A4481" s="222">
        <v>330088</v>
      </c>
      <c r="B4481" s="223" t="s">
        <v>7818</v>
      </c>
      <c r="C4481" s="221" t="s">
        <v>7817</v>
      </c>
    </row>
    <row r="4482" spans="1:3" x14ac:dyDescent="0.25">
      <c r="A4482" s="222">
        <v>330089</v>
      </c>
      <c r="B4482" s="223" t="s">
        <v>7821</v>
      </c>
      <c r="C4482" s="221" t="s">
        <v>7822</v>
      </c>
    </row>
    <row r="4483" spans="1:3" x14ac:dyDescent="0.25">
      <c r="A4483" s="222">
        <v>330089</v>
      </c>
      <c r="B4483" s="223" t="s">
        <v>7821</v>
      </c>
      <c r="C4483" s="221" t="s">
        <v>7820</v>
      </c>
    </row>
    <row r="4484" spans="1:3" x14ac:dyDescent="0.25">
      <c r="A4484" s="222">
        <v>330090</v>
      </c>
      <c r="B4484" s="223" t="s">
        <v>7824</v>
      </c>
      <c r="C4484" s="221" t="s">
        <v>7825</v>
      </c>
    </row>
    <row r="4485" spans="1:3" x14ac:dyDescent="0.25">
      <c r="A4485" s="222">
        <v>330090</v>
      </c>
      <c r="B4485" s="223" t="s">
        <v>7824</v>
      </c>
      <c r="C4485" s="221" t="s">
        <v>7823</v>
      </c>
    </row>
    <row r="4486" spans="1:3" x14ac:dyDescent="0.25">
      <c r="A4486" s="222">
        <v>330091</v>
      </c>
      <c r="B4486" s="223" t="s">
        <v>7826</v>
      </c>
      <c r="C4486" s="221" t="s">
        <v>7827</v>
      </c>
    </row>
    <row r="4487" spans="1:3" x14ac:dyDescent="0.25">
      <c r="A4487" s="222">
        <v>330092</v>
      </c>
      <c r="B4487" s="223" t="s">
        <v>7828</v>
      </c>
      <c r="C4487" s="221" t="s">
        <v>7829</v>
      </c>
    </row>
    <row r="4488" spans="1:3" x14ac:dyDescent="0.25">
      <c r="A4488" s="222">
        <v>330093</v>
      </c>
      <c r="B4488" s="223" t="s">
        <v>7830</v>
      </c>
      <c r="C4488" s="221" t="s">
        <v>7831</v>
      </c>
    </row>
    <row r="4489" spans="1:3" x14ac:dyDescent="0.25">
      <c r="A4489" s="222">
        <v>330094</v>
      </c>
      <c r="B4489" s="223" t="s">
        <v>7832</v>
      </c>
      <c r="C4489" s="221" t="s">
        <v>7833</v>
      </c>
    </row>
    <row r="4490" spans="1:3" x14ac:dyDescent="0.25">
      <c r="A4490" s="222">
        <v>330095</v>
      </c>
      <c r="B4490" s="223" t="s">
        <v>7834</v>
      </c>
      <c r="C4490" s="221" t="s">
        <v>7835</v>
      </c>
    </row>
    <row r="4491" spans="1:3" x14ac:dyDescent="0.25">
      <c r="A4491" s="222">
        <v>330096</v>
      </c>
      <c r="B4491" s="223" t="s">
        <v>7836</v>
      </c>
      <c r="C4491" s="221" t="s">
        <v>7837</v>
      </c>
    </row>
    <row r="4492" spans="1:3" x14ac:dyDescent="0.25">
      <c r="A4492" s="222">
        <v>330097</v>
      </c>
      <c r="B4492" s="223" t="s">
        <v>7838</v>
      </c>
      <c r="C4492" s="221" t="s">
        <v>7839</v>
      </c>
    </row>
    <row r="4493" spans="1:3" x14ac:dyDescent="0.25">
      <c r="A4493" s="222">
        <v>330098</v>
      </c>
      <c r="B4493" s="223" t="s">
        <v>7840</v>
      </c>
      <c r="C4493" s="221" t="s">
        <v>7841</v>
      </c>
    </row>
    <row r="4494" spans="1:3" x14ac:dyDescent="0.25">
      <c r="A4494" s="222">
        <v>330099</v>
      </c>
      <c r="B4494" s="223" t="s">
        <v>7842</v>
      </c>
      <c r="C4494" s="221" t="s">
        <v>7843</v>
      </c>
    </row>
    <row r="4495" spans="1:3" x14ac:dyDescent="0.25">
      <c r="A4495" s="222">
        <v>330100</v>
      </c>
      <c r="B4495" s="223" t="s">
        <v>7844</v>
      </c>
      <c r="C4495" s="221" t="s">
        <v>7845</v>
      </c>
    </row>
    <row r="4496" spans="1:3" x14ac:dyDescent="0.25">
      <c r="A4496" s="222">
        <v>330101</v>
      </c>
      <c r="B4496" s="223" t="s">
        <v>7846</v>
      </c>
      <c r="C4496" s="221" t="s">
        <v>7847</v>
      </c>
    </row>
    <row r="4497" spans="1:3" x14ac:dyDescent="0.25">
      <c r="A4497" s="222">
        <v>330102</v>
      </c>
      <c r="B4497" s="223" t="s">
        <v>7848</v>
      </c>
      <c r="C4497" s="221" t="s">
        <v>7849</v>
      </c>
    </row>
    <row r="4498" spans="1:3" x14ac:dyDescent="0.25">
      <c r="A4498" s="222">
        <v>330103</v>
      </c>
      <c r="B4498" s="223" t="s">
        <v>7850</v>
      </c>
      <c r="C4498" s="221" t="s">
        <v>7851</v>
      </c>
    </row>
    <row r="4499" spans="1:3" x14ac:dyDescent="0.25">
      <c r="A4499" s="222">
        <v>330104</v>
      </c>
      <c r="B4499" s="223" t="s">
        <v>7852</v>
      </c>
      <c r="C4499" s="221" t="s">
        <v>7853</v>
      </c>
    </row>
    <row r="4500" spans="1:3" x14ac:dyDescent="0.25">
      <c r="A4500" s="222">
        <v>330105</v>
      </c>
      <c r="B4500" s="223" t="s">
        <v>7854</v>
      </c>
      <c r="C4500" s="221" t="s">
        <v>7855</v>
      </c>
    </row>
    <row r="4501" spans="1:3" x14ac:dyDescent="0.25">
      <c r="A4501" s="222">
        <v>330106</v>
      </c>
      <c r="B4501" s="223" t="s">
        <v>7856</v>
      </c>
      <c r="C4501" s="221" t="s">
        <v>7857</v>
      </c>
    </row>
    <row r="4502" spans="1:3" x14ac:dyDescent="0.25">
      <c r="A4502" s="222">
        <v>330107</v>
      </c>
      <c r="B4502" s="223" t="s">
        <v>7858</v>
      </c>
      <c r="C4502" s="221" t="s">
        <v>7859</v>
      </c>
    </row>
    <row r="4503" spans="1:3" x14ac:dyDescent="0.25">
      <c r="A4503" s="222">
        <v>330108</v>
      </c>
      <c r="B4503" s="223" t="s">
        <v>7860</v>
      </c>
      <c r="C4503" s="221" t="s">
        <v>7861</v>
      </c>
    </row>
    <row r="4504" spans="1:3" x14ac:dyDescent="0.25">
      <c r="A4504" s="222">
        <v>330109</v>
      </c>
      <c r="B4504" s="223" t="s">
        <v>7862</v>
      </c>
      <c r="C4504" s="221" t="s">
        <v>7863</v>
      </c>
    </row>
    <row r="4505" spans="1:3" x14ac:dyDescent="0.25">
      <c r="A4505" s="222">
        <v>330110</v>
      </c>
      <c r="B4505" s="223" t="s">
        <v>7864</v>
      </c>
      <c r="C4505" s="221" t="s">
        <v>7865</v>
      </c>
    </row>
    <row r="4506" spans="1:3" x14ac:dyDescent="0.25">
      <c r="A4506" s="222">
        <v>330111</v>
      </c>
      <c r="B4506" s="223" t="s">
        <v>7866</v>
      </c>
      <c r="C4506" s="221" t="s">
        <v>7867</v>
      </c>
    </row>
    <row r="4507" spans="1:3" x14ac:dyDescent="0.25">
      <c r="A4507" s="222">
        <v>330112</v>
      </c>
      <c r="B4507" s="223" t="s">
        <v>7868</v>
      </c>
      <c r="C4507" s="221" t="s">
        <v>7869</v>
      </c>
    </row>
    <row r="4508" spans="1:3" x14ac:dyDescent="0.25">
      <c r="A4508" s="222">
        <v>330113</v>
      </c>
      <c r="B4508" s="223" t="s">
        <v>7870</v>
      </c>
      <c r="C4508" s="221" t="s">
        <v>7871</v>
      </c>
    </row>
    <row r="4509" spans="1:3" x14ac:dyDescent="0.25">
      <c r="A4509" s="222">
        <v>330114</v>
      </c>
      <c r="B4509" s="223" t="s">
        <v>7872</v>
      </c>
      <c r="C4509" s="221" t="s">
        <v>7873</v>
      </c>
    </row>
    <row r="4510" spans="1:3" x14ac:dyDescent="0.25">
      <c r="A4510" s="222">
        <v>330115</v>
      </c>
      <c r="B4510" s="223" t="s">
        <v>7874</v>
      </c>
      <c r="C4510" s="221" t="s">
        <v>7875</v>
      </c>
    </row>
    <row r="4511" spans="1:3" x14ac:dyDescent="0.25">
      <c r="A4511" s="222">
        <v>330116</v>
      </c>
      <c r="B4511" s="223" t="s">
        <v>7876</v>
      </c>
      <c r="C4511" s="221" t="s">
        <v>7877</v>
      </c>
    </row>
    <row r="4512" spans="1:3" x14ac:dyDescent="0.25">
      <c r="A4512" s="222">
        <v>330117</v>
      </c>
      <c r="B4512" s="223" t="s">
        <v>7878</v>
      </c>
      <c r="C4512" s="221" t="s">
        <v>7879</v>
      </c>
    </row>
    <row r="4513" spans="1:3" x14ac:dyDescent="0.25">
      <c r="A4513" s="222">
        <v>330118</v>
      </c>
      <c r="B4513" s="223" t="s">
        <v>7880</v>
      </c>
      <c r="C4513" s="221" t="s">
        <v>7881</v>
      </c>
    </row>
    <row r="4514" spans="1:3" x14ac:dyDescent="0.25">
      <c r="A4514" s="222">
        <v>330119</v>
      </c>
      <c r="B4514" s="223" t="s">
        <v>7882</v>
      </c>
      <c r="C4514" s="221" t="s">
        <v>7883</v>
      </c>
    </row>
    <row r="4515" spans="1:3" x14ac:dyDescent="0.25">
      <c r="A4515" s="222">
        <v>330120</v>
      </c>
      <c r="B4515" s="223" t="s">
        <v>7884</v>
      </c>
      <c r="C4515" s="221" t="s">
        <v>7885</v>
      </c>
    </row>
    <row r="4516" spans="1:3" x14ac:dyDescent="0.25">
      <c r="A4516" s="222">
        <v>330121</v>
      </c>
      <c r="B4516" s="223" t="s">
        <v>7886</v>
      </c>
      <c r="C4516" s="221" t="s">
        <v>7887</v>
      </c>
    </row>
    <row r="4517" spans="1:3" x14ac:dyDescent="0.25">
      <c r="A4517" s="222">
        <v>330122</v>
      </c>
      <c r="B4517" s="223" t="s">
        <v>7888</v>
      </c>
      <c r="C4517" s="221" t="s">
        <v>7889</v>
      </c>
    </row>
    <row r="4518" spans="1:3" x14ac:dyDescent="0.25">
      <c r="A4518" s="222">
        <v>330123</v>
      </c>
      <c r="B4518" s="223" t="s">
        <v>7890</v>
      </c>
      <c r="C4518" s="221" t="s">
        <v>7891</v>
      </c>
    </row>
    <row r="4519" spans="1:3" x14ac:dyDescent="0.25">
      <c r="A4519" s="222">
        <v>330124</v>
      </c>
      <c r="B4519" s="223" t="s">
        <v>7892</v>
      </c>
      <c r="C4519" s="221" t="s">
        <v>7893</v>
      </c>
    </row>
    <row r="4520" spans="1:3" x14ac:dyDescent="0.25">
      <c r="A4520" s="222">
        <v>330125</v>
      </c>
      <c r="B4520" s="223" t="s">
        <v>7894</v>
      </c>
      <c r="C4520" s="221" t="s">
        <v>7895</v>
      </c>
    </row>
    <row r="4521" spans="1:3" x14ac:dyDescent="0.25">
      <c r="A4521" s="222">
        <v>330126</v>
      </c>
      <c r="B4521" s="223" t="s">
        <v>7896</v>
      </c>
      <c r="C4521" s="221" t="s">
        <v>7897</v>
      </c>
    </row>
    <row r="4522" spans="1:3" x14ac:dyDescent="0.25">
      <c r="A4522" s="222">
        <v>330127</v>
      </c>
      <c r="B4522" s="223" t="s">
        <v>7898</v>
      </c>
      <c r="C4522" s="221" t="s">
        <v>7899</v>
      </c>
    </row>
    <row r="4523" spans="1:3" x14ac:dyDescent="0.25">
      <c r="A4523" s="222">
        <v>330128</v>
      </c>
      <c r="B4523" s="223" t="s">
        <v>7900</v>
      </c>
      <c r="C4523" s="221" t="s">
        <v>7901</v>
      </c>
    </row>
    <row r="4524" spans="1:3" x14ac:dyDescent="0.25">
      <c r="A4524" s="222">
        <v>330129</v>
      </c>
      <c r="B4524" s="223" t="s">
        <v>7902</v>
      </c>
      <c r="C4524" s="221" t="s">
        <v>7903</v>
      </c>
    </row>
    <row r="4525" spans="1:3" x14ac:dyDescent="0.25">
      <c r="A4525" s="222">
        <v>330130</v>
      </c>
      <c r="B4525" s="223" t="s">
        <v>7904</v>
      </c>
      <c r="C4525" s="221" t="s">
        <v>7905</v>
      </c>
    </row>
    <row r="4526" spans="1:3" x14ac:dyDescent="0.25">
      <c r="A4526" s="222">
        <v>330131</v>
      </c>
      <c r="B4526" s="223" t="s">
        <v>7906</v>
      </c>
      <c r="C4526" s="221" t="s">
        <v>7907</v>
      </c>
    </row>
    <row r="4527" spans="1:3" x14ac:dyDescent="0.25">
      <c r="A4527" s="222">
        <v>330132</v>
      </c>
      <c r="B4527" s="223" t="s">
        <v>7908</v>
      </c>
      <c r="C4527" s="221" t="s">
        <v>7909</v>
      </c>
    </row>
    <row r="4528" spans="1:3" x14ac:dyDescent="0.25">
      <c r="A4528" s="222">
        <v>330133</v>
      </c>
      <c r="B4528" s="223" t="s">
        <v>7910</v>
      </c>
      <c r="C4528" s="221" t="s">
        <v>7911</v>
      </c>
    </row>
    <row r="4529" spans="1:3" x14ac:dyDescent="0.25">
      <c r="A4529" s="222">
        <v>330134</v>
      </c>
      <c r="B4529" s="223" t="s">
        <v>7912</v>
      </c>
      <c r="C4529" s="221" t="s">
        <v>7913</v>
      </c>
    </row>
    <row r="4530" spans="1:3" x14ac:dyDescent="0.25">
      <c r="A4530" s="222">
        <v>330135</v>
      </c>
      <c r="B4530" s="223" t="s">
        <v>7914</v>
      </c>
      <c r="C4530" s="221" t="s">
        <v>7915</v>
      </c>
    </row>
    <row r="4531" spans="1:3" x14ac:dyDescent="0.25">
      <c r="A4531" s="222">
        <v>330136</v>
      </c>
      <c r="B4531" s="223" t="s">
        <v>7916</v>
      </c>
      <c r="C4531" s="221" t="s">
        <v>7917</v>
      </c>
    </row>
    <row r="4532" spans="1:3" x14ac:dyDescent="0.25">
      <c r="A4532" s="222">
        <v>330137</v>
      </c>
      <c r="B4532" s="223" t="s">
        <v>7918</v>
      </c>
      <c r="C4532" s="221" t="s">
        <v>7919</v>
      </c>
    </row>
    <row r="4533" spans="1:3" x14ac:dyDescent="0.25">
      <c r="A4533" s="222">
        <v>330138</v>
      </c>
      <c r="B4533" s="223" t="s">
        <v>7920</v>
      </c>
      <c r="C4533" s="221" t="s">
        <v>7921</v>
      </c>
    </row>
    <row r="4534" spans="1:3" x14ac:dyDescent="0.25">
      <c r="A4534" s="222">
        <v>330139</v>
      </c>
      <c r="B4534" s="223" t="s">
        <v>7922</v>
      </c>
      <c r="C4534" s="221" t="s">
        <v>7923</v>
      </c>
    </row>
    <row r="4535" spans="1:3" x14ac:dyDescent="0.25">
      <c r="A4535" s="222">
        <v>330140</v>
      </c>
      <c r="B4535" s="223" t="s">
        <v>7924</v>
      </c>
      <c r="C4535" s="221" t="s">
        <v>7925</v>
      </c>
    </row>
    <row r="4536" spans="1:3" x14ac:dyDescent="0.25">
      <c r="A4536" s="222">
        <v>330141</v>
      </c>
      <c r="B4536" s="223" t="s">
        <v>7573</v>
      </c>
      <c r="C4536" s="221" t="s">
        <v>7926</v>
      </c>
    </row>
    <row r="4537" spans="1:3" x14ac:dyDescent="0.25">
      <c r="A4537" s="222">
        <v>330142</v>
      </c>
      <c r="B4537" s="223" t="s">
        <v>7927</v>
      </c>
      <c r="C4537" s="221" t="s">
        <v>7928</v>
      </c>
    </row>
    <row r="4538" spans="1:3" x14ac:dyDescent="0.25">
      <c r="A4538" s="222">
        <v>330143</v>
      </c>
      <c r="B4538" s="223" t="s">
        <v>7929</v>
      </c>
      <c r="C4538" s="221" t="s">
        <v>7930</v>
      </c>
    </row>
    <row r="4539" spans="1:3" x14ac:dyDescent="0.25">
      <c r="A4539" s="222">
        <v>330144</v>
      </c>
      <c r="B4539" s="223" t="s">
        <v>7931</v>
      </c>
      <c r="C4539" s="221" t="s">
        <v>7932</v>
      </c>
    </row>
    <row r="4540" spans="1:3" x14ac:dyDescent="0.25">
      <c r="A4540" s="222">
        <v>330145</v>
      </c>
      <c r="B4540" s="223" t="s">
        <v>7933</v>
      </c>
      <c r="C4540" s="221" t="s">
        <v>7934</v>
      </c>
    </row>
    <row r="4541" spans="1:3" x14ac:dyDescent="0.25">
      <c r="A4541" s="222">
        <v>330146</v>
      </c>
      <c r="B4541" s="223" t="s">
        <v>7935</v>
      </c>
      <c r="C4541" s="221" t="s">
        <v>7936</v>
      </c>
    </row>
    <row r="4542" spans="1:3" x14ac:dyDescent="0.25">
      <c r="A4542" s="222">
        <v>330147</v>
      </c>
      <c r="B4542" s="223" t="s">
        <v>7937</v>
      </c>
      <c r="C4542" s="221" t="s">
        <v>7938</v>
      </c>
    </row>
    <row r="4543" spans="1:3" x14ac:dyDescent="0.25">
      <c r="A4543" s="222">
        <v>330148</v>
      </c>
      <c r="B4543" s="223" t="s">
        <v>7939</v>
      </c>
      <c r="C4543" s="221" t="s">
        <v>7905</v>
      </c>
    </row>
    <row r="4544" spans="1:3" x14ac:dyDescent="0.25">
      <c r="A4544" s="222">
        <v>330161</v>
      </c>
      <c r="B4544" s="223" t="s">
        <v>7940</v>
      </c>
      <c r="C4544" s="221" t="s">
        <v>7941</v>
      </c>
    </row>
    <row r="4545" spans="1:3" x14ac:dyDescent="0.25">
      <c r="A4545" s="222">
        <v>330162</v>
      </c>
      <c r="B4545" s="223" t="s">
        <v>7942</v>
      </c>
      <c r="C4545" s="221" t="s">
        <v>7943</v>
      </c>
    </row>
    <row r="4546" spans="1:3" x14ac:dyDescent="0.25">
      <c r="A4546" s="222">
        <v>330163</v>
      </c>
      <c r="B4546" s="223" t="s">
        <v>7944</v>
      </c>
      <c r="C4546" s="221" t="s">
        <v>7945</v>
      </c>
    </row>
    <row r="4547" spans="1:3" x14ac:dyDescent="0.25">
      <c r="A4547" s="222">
        <v>330164</v>
      </c>
      <c r="B4547" s="223" t="s">
        <v>7946</v>
      </c>
      <c r="C4547" s="221" t="s">
        <v>7947</v>
      </c>
    </row>
    <row r="4548" spans="1:3" x14ac:dyDescent="0.25">
      <c r="A4548" s="222">
        <v>330164</v>
      </c>
      <c r="B4548" s="223" t="s">
        <v>7946</v>
      </c>
      <c r="C4548" s="221" t="s">
        <v>7948</v>
      </c>
    </row>
    <row r="4549" spans="1:3" x14ac:dyDescent="0.25">
      <c r="A4549" s="222">
        <v>330165</v>
      </c>
      <c r="B4549" s="223" t="s">
        <v>7949</v>
      </c>
      <c r="C4549" s="221" t="s">
        <v>7950</v>
      </c>
    </row>
    <row r="4550" spans="1:3" x14ac:dyDescent="0.25">
      <c r="A4550" s="222">
        <v>330166</v>
      </c>
      <c r="B4550" s="223" t="s">
        <v>7951</v>
      </c>
      <c r="C4550" s="221" t="s">
        <v>7952</v>
      </c>
    </row>
    <row r="4551" spans="1:3" x14ac:dyDescent="0.25">
      <c r="A4551" s="222">
        <v>330167</v>
      </c>
      <c r="B4551" s="223" t="s">
        <v>7953</v>
      </c>
      <c r="C4551" s="221" t="s">
        <v>7954</v>
      </c>
    </row>
    <row r="4552" spans="1:3" x14ac:dyDescent="0.25">
      <c r="A4552" s="222">
        <v>330168</v>
      </c>
      <c r="B4552" s="223" t="s">
        <v>7955</v>
      </c>
      <c r="C4552" s="221" t="s">
        <v>7956</v>
      </c>
    </row>
    <row r="4553" spans="1:3" x14ac:dyDescent="0.25">
      <c r="A4553" s="222">
        <v>340001</v>
      </c>
      <c r="B4553" s="223" t="s">
        <v>7958</v>
      </c>
      <c r="C4553" s="221" t="s">
        <v>7957</v>
      </c>
    </row>
    <row r="4554" spans="1:3" x14ac:dyDescent="0.25">
      <c r="A4554" s="222">
        <v>340002</v>
      </c>
      <c r="B4554" s="223" t="s">
        <v>7960</v>
      </c>
      <c r="C4554" s="221" t="s">
        <v>7959</v>
      </c>
    </row>
    <row r="4555" spans="1:3" x14ac:dyDescent="0.25">
      <c r="A4555" s="222">
        <v>340003</v>
      </c>
      <c r="B4555" s="223" t="s">
        <v>7962</v>
      </c>
      <c r="C4555" s="221" t="s">
        <v>7961</v>
      </c>
    </row>
    <row r="4556" spans="1:3" x14ac:dyDescent="0.25">
      <c r="A4556" s="222">
        <v>340004</v>
      </c>
      <c r="B4556" s="223" t="s">
        <v>7964</v>
      </c>
      <c r="C4556" s="221" t="s">
        <v>7963</v>
      </c>
    </row>
    <row r="4557" spans="1:3" x14ac:dyDescent="0.25">
      <c r="A4557" s="222">
        <v>340005</v>
      </c>
      <c r="B4557" s="223" t="s">
        <v>7966</v>
      </c>
      <c r="C4557" s="221" t="s">
        <v>7965</v>
      </c>
    </row>
    <row r="4558" spans="1:3" x14ac:dyDescent="0.25">
      <c r="A4558" s="222">
        <v>340006</v>
      </c>
      <c r="B4558" s="223" t="s">
        <v>7968</v>
      </c>
      <c r="C4558" s="221" t="s">
        <v>7967</v>
      </c>
    </row>
    <row r="4559" spans="1:3" x14ac:dyDescent="0.25">
      <c r="A4559" s="222">
        <v>340007</v>
      </c>
      <c r="B4559" s="223" t="s">
        <v>7970</v>
      </c>
      <c r="C4559" s="221" t="s">
        <v>7969</v>
      </c>
    </row>
    <row r="4560" spans="1:3" x14ac:dyDescent="0.25">
      <c r="A4560" s="222">
        <v>340008</v>
      </c>
      <c r="B4560" s="223" t="s">
        <v>7972</v>
      </c>
      <c r="C4560" s="221" t="s">
        <v>7971</v>
      </c>
    </row>
    <row r="4561" spans="1:3" x14ac:dyDescent="0.25">
      <c r="A4561" s="222">
        <v>340009</v>
      </c>
      <c r="B4561" s="223" t="s">
        <v>7974</v>
      </c>
      <c r="C4561" s="221" t="s">
        <v>7973</v>
      </c>
    </row>
    <row r="4562" spans="1:3" x14ac:dyDescent="0.25">
      <c r="A4562" s="222">
        <v>340010</v>
      </c>
      <c r="B4562" s="223" t="s">
        <v>7976</v>
      </c>
      <c r="C4562" s="221" t="s">
        <v>7975</v>
      </c>
    </row>
    <row r="4563" spans="1:3" x14ac:dyDescent="0.25">
      <c r="A4563" s="222">
        <v>340011</v>
      </c>
      <c r="B4563" s="223" t="s">
        <v>7978</v>
      </c>
      <c r="C4563" s="221" t="s">
        <v>7977</v>
      </c>
    </row>
    <row r="4564" spans="1:3" x14ac:dyDescent="0.25">
      <c r="A4564" s="222">
        <v>340015</v>
      </c>
      <c r="B4564" s="223" t="s">
        <v>7980</v>
      </c>
      <c r="C4564" s="221" t="s">
        <v>7979</v>
      </c>
    </row>
    <row r="4565" spans="1:3" x14ac:dyDescent="0.25">
      <c r="A4565" s="222">
        <v>340016</v>
      </c>
      <c r="B4565" s="223" t="s">
        <v>7982</v>
      </c>
      <c r="C4565" s="221" t="s">
        <v>7981</v>
      </c>
    </row>
    <row r="4566" spans="1:3" x14ac:dyDescent="0.25">
      <c r="A4566" s="222">
        <v>340017</v>
      </c>
      <c r="B4566" s="223" t="s">
        <v>7984</v>
      </c>
      <c r="C4566" s="221" t="s">
        <v>7983</v>
      </c>
    </row>
    <row r="4567" spans="1:3" x14ac:dyDescent="0.25">
      <c r="A4567" s="222">
        <v>340018</v>
      </c>
      <c r="B4567" s="223" t="s">
        <v>7986</v>
      </c>
      <c r="C4567" s="221" t="s">
        <v>7985</v>
      </c>
    </row>
    <row r="4568" spans="1:3" x14ac:dyDescent="0.25">
      <c r="A4568" s="222">
        <v>340019</v>
      </c>
      <c r="B4568" s="223" t="s">
        <v>7988</v>
      </c>
      <c r="C4568" s="221" t="s">
        <v>7987</v>
      </c>
    </row>
    <row r="4569" spans="1:3" x14ac:dyDescent="0.25">
      <c r="A4569" s="222">
        <v>340020</v>
      </c>
      <c r="B4569" s="223" t="s">
        <v>7990</v>
      </c>
      <c r="C4569" s="221" t="s">
        <v>7989</v>
      </c>
    </row>
    <row r="4570" spans="1:3" x14ac:dyDescent="0.25">
      <c r="A4570" s="222">
        <v>340021</v>
      </c>
      <c r="B4570" s="223" t="s">
        <v>7992</v>
      </c>
      <c r="C4570" s="221" t="s">
        <v>7991</v>
      </c>
    </row>
    <row r="4571" spans="1:3" x14ac:dyDescent="0.25">
      <c r="A4571" s="222">
        <v>340022</v>
      </c>
      <c r="B4571" s="223" t="s">
        <v>7994</v>
      </c>
      <c r="C4571" s="221" t="s">
        <v>7993</v>
      </c>
    </row>
    <row r="4572" spans="1:3" x14ac:dyDescent="0.25">
      <c r="A4572" s="222">
        <v>340023</v>
      </c>
      <c r="B4572" s="223" t="s">
        <v>7996</v>
      </c>
      <c r="C4572" s="221" t="s">
        <v>7995</v>
      </c>
    </row>
    <row r="4573" spans="1:3" x14ac:dyDescent="0.25">
      <c r="A4573" s="222">
        <v>340024</v>
      </c>
      <c r="B4573" s="223" t="s">
        <v>7998</v>
      </c>
      <c r="C4573" s="221" t="s">
        <v>7997</v>
      </c>
    </row>
    <row r="4574" spans="1:3" x14ac:dyDescent="0.25">
      <c r="A4574" s="222">
        <v>340025</v>
      </c>
      <c r="B4574" s="223" t="s">
        <v>8000</v>
      </c>
      <c r="C4574" s="221" t="s">
        <v>7999</v>
      </c>
    </row>
    <row r="4575" spans="1:3" x14ac:dyDescent="0.25">
      <c r="A4575" s="222">
        <v>340026</v>
      </c>
      <c r="B4575" s="223" t="s">
        <v>8002</v>
      </c>
      <c r="C4575" s="221" t="s">
        <v>8001</v>
      </c>
    </row>
    <row r="4576" spans="1:3" x14ac:dyDescent="0.25">
      <c r="A4576" s="222">
        <v>340027</v>
      </c>
      <c r="B4576" s="223" t="s">
        <v>8004</v>
      </c>
      <c r="C4576" s="221" t="s">
        <v>8003</v>
      </c>
    </row>
    <row r="4577" spans="1:3" x14ac:dyDescent="0.25">
      <c r="A4577" s="222">
        <v>340028</v>
      </c>
      <c r="B4577" s="223" t="s">
        <v>8006</v>
      </c>
      <c r="C4577" s="221" t="s">
        <v>8005</v>
      </c>
    </row>
    <row r="4578" spans="1:3" x14ac:dyDescent="0.25">
      <c r="A4578" s="222">
        <v>340029</v>
      </c>
      <c r="B4578" s="223" t="s">
        <v>8008</v>
      </c>
      <c r="C4578" s="221" t="s">
        <v>8007</v>
      </c>
    </row>
    <row r="4579" spans="1:3" x14ac:dyDescent="0.25">
      <c r="A4579" s="222">
        <v>340030</v>
      </c>
      <c r="B4579" s="223" t="s">
        <v>8010</v>
      </c>
      <c r="C4579" s="221" t="s">
        <v>8009</v>
      </c>
    </row>
    <row r="4580" spans="1:3" x14ac:dyDescent="0.25">
      <c r="A4580" s="222">
        <v>340031</v>
      </c>
      <c r="B4580" s="223" t="s">
        <v>8012</v>
      </c>
      <c r="C4580" s="221" t="s">
        <v>8011</v>
      </c>
    </row>
    <row r="4581" spans="1:3" x14ac:dyDescent="0.25">
      <c r="A4581" s="222">
        <v>340032</v>
      </c>
      <c r="B4581" s="223" t="s">
        <v>8014</v>
      </c>
      <c r="C4581" s="221" t="s">
        <v>8013</v>
      </c>
    </row>
    <row r="4582" spans="1:3" x14ac:dyDescent="0.25">
      <c r="A4582" s="222">
        <v>340033</v>
      </c>
      <c r="B4582" s="223" t="s">
        <v>8016</v>
      </c>
      <c r="C4582" s="221" t="s">
        <v>8015</v>
      </c>
    </row>
    <row r="4583" spans="1:3" x14ac:dyDescent="0.25">
      <c r="A4583" s="222">
        <v>340034</v>
      </c>
      <c r="B4583" s="223" t="s">
        <v>8018</v>
      </c>
      <c r="C4583" s="221" t="s">
        <v>8017</v>
      </c>
    </row>
    <row r="4584" spans="1:3" x14ac:dyDescent="0.25">
      <c r="A4584" s="222">
        <v>340035</v>
      </c>
      <c r="B4584" s="223" t="s">
        <v>8020</v>
      </c>
      <c r="C4584" s="221" t="s">
        <v>8019</v>
      </c>
    </row>
    <row r="4585" spans="1:3" x14ac:dyDescent="0.25">
      <c r="A4585" s="222">
        <v>340036</v>
      </c>
      <c r="B4585" s="223" t="s">
        <v>8022</v>
      </c>
      <c r="C4585" s="221" t="s">
        <v>8021</v>
      </c>
    </row>
    <row r="4586" spans="1:3" x14ac:dyDescent="0.25">
      <c r="A4586" s="222">
        <v>340037</v>
      </c>
      <c r="B4586" s="223" t="s">
        <v>8024</v>
      </c>
      <c r="C4586" s="221" t="s">
        <v>8023</v>
      </c>
    </row>
    <row r="4587" spans="1:3" x14ac:dyDescent="0.25">
      <c r="A4587" s="222">
        <v>340038</v>
      </c>
      <c r="B4587" s="223" t="s">
        <v>8026</v>
      </c>
      <c r="C4587" s="221" t="s">
        <v>8025</v>
      </c>
    </row>
    <row r="4588" spans="1:3" x14ac:dyDescent="0.25">
      <c r="A4588" s="222">
        <v>340039</v>
      </c>
      <c r="B4588" s="223" t="s">
        <v>8028</v>
      </c>
      <c r="C4588" s="221" t="s">
        <v>8027</v>
      </c>
    </row>
    <row r="4589" spans="1:3" x14ac:dyDescent="0.25">
      <c r="A4589" s="222">
        <v>340040</v>
      </c>
      <c r="B4589" s="223" t="s">
        <v>8030</v>
      </c>
      <c r="C4589" s="221" t="s">
        <v>8029</v>
      </c>
    </row>
    <row r="4590" spans="1:3" x14ac:dyDescent="0.25">
      <c r="A4590" s="222">
        <v>340041</v>
      </c>
      <c r="B4590" s="223" t="s">
        <v>8032</v>
      </c>
      <c r="C4590" s="221" t="s">
        <v>8031</v>
      </c>
    </row>
    <row r="4591" spans="1:3" x14ac:dyDescent="0.25">
      <c r="A4591" s="222">
        <v>340042</v>
      </c>
      <c r="B4591" s="223" t="s">
        <v>8034</v>
      </c>
      <c r="C4591" s="221" t="s">
        <v>8033</v>
      </c>
    </row>
    <row r="4592" spans="1:3" x14ac:dyDescent="0.25">
      <c r="A4592" s="222">
        <v>340043</v>
      </c>
      <c r="B4592" s="223" t="s">
        <v>8036</v>
      </c>
      <c r="C4592" s="221" t="s">
        <v>8035</v>
      </c>
    </row>
    <row r="4593" spans="1:3" x14ac:dyDescent="0.25">
      <c r="A4593" s="222">
        <v>340044</v>
      </c>
      <c r="B4593" s="223" t="s">
        <v>8038</v>
      </c>
      <c r="C4593" s="221" t="s">
        <v>8037</v>
      </c>
    </row>
    <row r="4594" spans="1:3" x14ac:dyDescent="0.25">
      <c r="A4594" s="222">
        <v>340045</v>
      </c>
      <c r="B4594" s="223" t="s">
        <v>8040</v>
      </c>
      <c r="C4594" s="221" t="s">
        <v>8039</v>
      </c>
    </row>
    <row r="4595" spans="1:3" x14ac:dyDescent="0.25">
      <c r="A4595" s="222">
        <v>340046</v>
      </c>
      <c r="B4595" s="223" t="s">
        <v>8042</v>
      </c>
      <c r="C4595" s="221" t="s">
        <v>8041</v>
      </c>
    </row>
    <row r="4596" spans="1:3" x14ac:dyDescent="0.25">
      <c r="A4596" s="222">
        <v>340047</v>
      </c>
      <c r="B4596" s="223" t="s">
        <v>8044</v>
      </c>
      <c r="C4596" s="221" t="s">
        <v>8043</v>
      </c>
    </row>
    <row r="4597" spans="1:3" x14ac:dyDescent="0.25">
      <c r="A4597" s="222">
        <v>340048</v>
      </c>
      <c r="B4597" s="223" t="s">
        <v>8046</v>
      </c>
      <c r="C4597" s="221" t="s">
        <v>8045</v>
      </c>
    </row>
    <row r="4598" spans="1:3" x14ac:dyDescent="0.25">
      <c r="A4598" s="222">
        <v>340049</v>
      </c>
      <c r="B4598" s="223" t="s">
        <v>8048</v>
      </c>
      <c r="C4598" s="221" t="s">
        <v>8047</v>
      </c>
    </row>
    <row r="4599" spans="1:3" x14ac:dyDescent="0.25">
      <c r="A4599" s="222">
        <v>340050</v>
      </c>
      <c r="B4599" s="223" t="s">
        <v>8050</v>
      </c>
      <c r="C4599" s="221" t="s">
        <v>8049</v>
      </c>
    </row>
    <row r="4600" spans="1:3" x14ac:dyDescent="0.25">
      <c r="A4600" s="222">
        <v>390004</v>
      </c>
      <c r="B4600" s="223" t="s">
        <v>8051</v>
      </c>
      <c r="C4600" s="221" t="s">
        <v>8052</v>
      </c>
    </row>
    <row r="4601" spans="1:3" x14ac:dyDescent="0.25">
      <c r="A4601" s="222">
        <v>390005</v>
      </c>
      <c r="B4601" s="223" t="s">
        <v>8053</v>
      </c>
      <c r="C4601" s="221" t="s">
        <v>8054</v>
      </c>
    </row>
    <row r="4602" spans="1:3" x14ac:dyDescent="0.25">
      <c r="A4602" s="222">
        <v>390006</v>
      </c>
      <c r="B4602" s="223" t="s">
        <v>8055</v>
      </c>
      <c r="C4602" s="221" t="s">
        <v>8056</v>
      </c>
    </row>
    <row r="4603" spans="1:3" x14ac:dyDescent="0.25">
      <c r="A4603" s="222">
        <v>390007</v>
      </c>
      <c r="B4603" s="223" t="s">
        <v>8057</v>
      </c>
      <c r="C4603" s="221" t="s">
        <v>8058</v>
      </c>
    </row>
    <row r="4604" spans="1:3" x14ac:dyDescent="0.25">
      <c r="A4604" s="222">
        <v>390007</v>
      </c>
      <c r="B4604" s="223" t="s">
        <v>8057</v>
      </c>
      <c r="C4604" s="221" t="s">
        <v>8059</v>
      </c>
    </row>
    <row r="4605" spans="1:3" x14ac:dyDescent="0.25">
      <c r="A4605" s="222">
        <v>390008</v>
      </c>
      <c r="B4605" s="223" t="s">
        <v>8060</v>
      </c>
      <c r="C4605" s="221" t="s">
        <v>8061</v>
      </c>
    </row>
    <row r="4606" spans="1:3" x14ac:dyDescent="0.25">
      <c r="A4606" s="222">
        <v>390009</v>
      </c>
      <c r="B4606" s="223" t="s">
        <v>8062</v>
      </c>
      <c r="C4606" s="221" t="s">
        <v>8063</v>
      </c>
    </row>
    <row r="4607" spans="1:3" x14ac:dyDescent="0.25">
      <c r="A4607" s="222">
        <v>390009</v>
      </c>
      <c r="B4607" s="223" t="s">
        <v>8062</v>
      </c>
      <c r="C4607" s="221" t="s">
        <v>8064</v>
      </c>
    </row>
    <row r="4608" spans="1:3" x14ac:dyDescent="0.25">
      <c r="A4608" s="222">
        <v>390010</v>
      </c>
      <c r="B4608" s="223" t="s">
        <v>8065</v>
      </c>
      <c r="C4608" s="221" t="s">
        <v>8066</v>
      </c>
    </row>
    <row r="4609" spans="1:3" x14ac:dyDescent="0.25">
      <c r="A4609" s="222">
        <v>390011</v>
      </c>
      <c r="B4609" s="223" t="s">
        <v>8068</v>
      </c>
      <c r="C4609" s="221" t="s">
        <v>8067</v>
      </c>
    </row>
    <row r="4610" spans="1:3" x14ac:dyDescent="0.25">
      <c r="A4610" s="222">
        <v>390011</v>
      </c>
      <c r="B4610" s="223" t="s">
        <v>8068</v>
      </c>
      <c r="C4610" s="221" t="s">
        <v>8069</v>
      </c>
    </row>
    <row r="4611" spans="1:3" x14ac:dyDescent="0.25">
      <c r="A4611" s="222">
        <v>390012</v>
      </c>
      <c r="B4611" s="223" t="s">
        <v>8070</v>
      </c>
      <c r="C4611" s="221" t="s">
        <v>8071</v>
      </c>
    </row>
    <row r="4612" spans="1:3" x14ac:dyDescent="0.25">
      <c r="A4612" s="222">
        <v>390013</v>
      </c>
      <c r="B4612" s="223" t="s">
        <v>8072</v>
      </c>
      <c r="C4612" s="221" t="s">
        <v>8073</v>
      </c>
    </row>
    <row r="4613" spans="1:3" x14ac:dyDescent="0.25">
      <c r="A4613" s="222">
        <v>390013</v>
      </c>
      <c r="B4613" s="223" t="s">
        <v>8072</v>
      </c>
      <c r="C4613" s="221" t="s">
        <v>8074</v>
      </c>
    </row>
    <row r="4614" spans="1:3" x14ac:dyDescent="0.25">
      <c r="A4614" s="222">
        <v>390014</v>
      </c>
      <c r="B4614" s="223" t="s">
        <v>8075</v>
      </c>
      <c r="C4614" s="221" t="s">
        <v>8076</v>
      </c>
    </row>
    <row r="4615" spans="1:3" x14ac:dyDescent="0.25">
      <c r="A4615" s="222">
        <v>390015</v>
      </c>
      <c r="B4615" s="223" t="s">
        <v>8077</v>
      </c>
      <c r="C4615" s="221" t="s">
        <v>8078</v>
      </c>
    </row>
    <row r="4616" spans="1:3" x14ac:dyDescent="0.25">
      <c r="A4616" s="222">
        <v>390016</v>
      </c>
      <c r="B4616" s="223" t="s">
        <v>8079</v>
      </c>
      <c r="C4616" s="221" t="s">
        <v>8080</v>
      </c>
    </row>
    <row r="4617" spans="1:3" x14ac:dyDescent="0.25">
      <c r="A4617" s="222">
        <v>390017</v>
      </c>
      <c r="B4617" s="223" t="s">
        <v>8081</v>
      </c>
      <c r="C4617" s="221" t="s">
        <v>8082</v>
      </c>
    </row>
    <row r="4618" spans="1:3" x14ac:dyDescent="0.25">
      <c r="A4618" s="222">
        <v>390018</v>
      </c>
      <c r="B4618" s="223" t="s">
        <v>8083</v>
      </c>
      <c r="C4618" s="221" t="s">
        <v>8084</v>
      </c>
    </row>
    <row r="4619" spans="1:3" x14ac:dyDescent="0.25">
      <c r="A4619" s="222">
        <v>390019</v>
      </c>
      <c r="B4619" s="223" t="s">
        <v>8085</v>
      </c>
      <c r="C4619" s="221" t="s">
        <v>8086</v>
      </c>
    </row>
    <row r="4620" spans="1:3" x14ac:dyDescent="0.25">
      <c r="A4620" s="222">
        <v>390022</v>
      </c>
      <c r="B4620" s="223" t="s">
        <v>8087</v>
      </c>
      <c r="C4620" s="221" t="s">
        <v>8088</v>
      </c>
    </row>
    <row r="4621" spans="1:3" x14ac:dyDescent="0.25">
      <c r="A4621" s="222">
        <v>390023</v>
      </c>
      <c r="B4621" s="223" t="s">
        <v>8089</v>
      </c>
      <c r="C4621" s="221" t="s">
        <v>8090</v>
      </c>
    </row>
    <row r="4622" spans="1:3" x14ac:dyDescent="0.25">
      <c r="A4622" s="222">
        <v>390026</v>
      </c>
      <c r="B4622" s="223" t="s">
        <v>8091</v>
      </c>
      <c r="C4622" s="221" t="s">
        <v>8092</v>
      </c>
    </row>
    <row r="4623" spans="1:3" x14ac:dyDescent="0.25">
      <c r="A4623" s="222">
        <v>390027</v>
      </c>
      <c r="B4623" s="223" t="s">
        <v>8093</v>
      </c>
      <c r="C4623" s="221" t="s">
        <v>8094</v>
      </c>
    </row>
    <row r="4624" spans="1:3" x14ac:dyDescent="0.25">
      <c r="A4624" s="222">
        <v>390028</v>
      </c>
      <c r="B4624" s="223" t="s">
        <v>8095</v>
      </c>
      <c r="C4624" s="221" t="s">
        <v>8096</v>
      </c>
    </row>
    <row r="4625" spans="1:3" x14ac:dyDescent="0.25">
      <c r="A4625" s="222">
        <v>390029</v>
      </c>
      <c r="B4625" s="223" t="s">
        <v>8097</v>
      </c>
      <c r="C4625" s="221" t="s">
        <v>8098</v>
      </c>
    </row>
    <row r="4626" spans="1:3" x14ac:dyDescent="0.25">
      <c r="A4626" s="222">
        <v>390035</v>
      </c>
      <c r="B4626" s="223" t="s">
        <v>8099</v>
      </c>
      <c r="C4626" s="221" t="s">
        <v>8100</v>
      </c>
    </row>
    <row r="4627" spans="1:3" x14ac:dyDescent="0.25">
      <c r="A4627" s="222">
        <v>390035</v>
      </c>
      <c r="B4627" s="223" t="s">
        <v>8099</v>
      </c>
      <c r="C4627" s="221" t="s">
        <v>8101</v>
      </c>
    </row>
    <row r="4628" spans="1:3" x14ac:dyDescent="0.25">
      <c r="A4628" s="222">
        <v>390036</v>
      </c>
      <c r="B4628" s="223" t="s">
        <v>8102</v>
      </c>
      <c r="C4628" s="221" t="s">
        <v>8103</v>
      </c>
    </row>
    <row r="4629" spans="1:3" x14ac:dyDescent="0.25">
      <c r="A4629" s="222">
        <v>390037</v>
      </c>
      <c r="B4629" s="223" t="s">
        <v>8104</v>
      </c>
      <c r="C4629" s="221" t="s">
        <v>8105</v>
      </c>
    </row>
    <row r="4630" spans="1:3" x14ac:dyDescent="0.25">
      <c r="A4630" s="222">
        <v>390038</v>
      </c>
      <c r="B4630" s="223" t="s">
        <v>8106</v>
      </c>
      <c r="C4630" s="221" t="s">
        <v>8107</v>
      </c>
    </row>
    <row r="4631" spans="1:3" x14ac:dyDescent="0.25">
      <c r="A4631" s="222">
        <v>390038</v>
      </c>
      <c r="B4631" s="223" t="s">
        <v>8106</v>
      </c>
      <c r="C4631" s="221" t="s">
        <v>8108</v>
      </c>
    </row>
    <row r="4632" spans="1:3" x14ac:dyDescent="0.25">
      <c r="A4632" s="222">
        <v>390039</v>
      </c>
      <c r="B4632" s="223" t="s">
        <v>8109</v>
      </c>
      <c r="C4632" s="221" t="s">
        <v>8110</v>
      </c>
    </row>
    <row r="4633" spans="1:3" x14ac:dyDescent="0.25">
      <c r="A4633" s="222">
        <v>390040</v>
      </c>
      <c r="B4633" s="223" t="s">
        <v>8111</v>
      </c>
      <c r="C4633" s="221" t="s">
        <v>8112</v>
      </c>
    </row>
    <row r="4634" spans="1:3" x14ac:dyDescent="0.25">
      <c r="A4634" s="222">
        <v>390041</v>
      </c>
      <c r="B4634" s="223" t="s">
        <v>8113</v>
      </c>
      <c r="C4634" s="221" t="s">
        <v>8114</v>
      </c>
    </row>
    <row r="4635" spans="1:3" x14ac:dyDescent="0.25">
      <c r="A4635" s="222">
        <v>390042</v>
      </c>
      <c r="B4635" s="223" t="s">
        <v>8115</v>
      </c>
      <c r="C4635" s="221" t="s">
        <v>8116</v>
      </c>
    </row>
    <row r="4636" spans="1:3" x14ac:dyDescent="0.25">
      <c r="A4636" s="222">
        <v>390043</v>
      </c>
      <c r="B4636" s="223" t="s">
        <v>8117</v>
      </c>
      <c r="C4636" s="221" t="s">
        <v>8118</v>
      </c>
    </row>
    <row r="4637" spans="1:3" x14ac:dyDescent="0.25">
      <c r="A4637" s="222">
        <v>390046</v>
      </c>
      <c r="B4637" s="223" t="s">
        <v>8120</v>
      </c>
      <c r="C4637" s="221" t="s">
        <v>8119</v>
      </c>
    </row>
    <row r="4638" spans="1:3" x14ac:dyDescent="0.25">
      <c r="A4638" s="222">
        <v>390046</v>
      </c>
      <c r="B4638" s="223" t="s">
        <v>8120</v>
      </c>
      <c r="C4638" s="221" t="s">
        <v>8121</v>
      </c>
    </row>
    <row r="4639" spans="1:3" x14ac:dyDescent="0.25">
      <c r="A4639" s="222">
        <v>500001</v>
      </c>
      <c r="B4639" s="223" t="s">
        <v>8122</v>
      </c>
      <c r="C4639" s="221" t="s">
        <v>8123</v>
      </c>
    </row>
    <row r="4640" spans="1:3" x14ac:dyDescent="0.25">
      <c r="A4640" s="222">
        <v>500001</v>
      </c>
      <c r="B4640" s="223" t="s">
        <v>8122</v>
      </c>
      <c r="C4640" s="221" t="s">
        <v>8124</v>
      </c>
    </row>
    <row r="4641" spans="1:3" x14ac:dyDescent="0.25">
      <c r="A4641" s="222">
        <v>500002</v>
      </c>
      <c r="B4641" s="223" t="s">
        <v>8125</v>
      </c>
      <c r="C4641" s="221" t="s">
        <v>8126</v>
      </c>
    </row>
    <row r="4642" spans="1:3" x14ac:dyDescent="0.25">
      <c r="A4642" s="222">
        <v>500002</v>
      </c>
      <c r="B4642" s="223" t="s">
        <v>8125</v>
      </c>
      <c r="C4642" s="221" t="s">
        <v>8127</v>
      </c>
    </row>
    <row r="4643" spans="1:3" x14ac:dyDescent="0.25">
      <c r="A4643" s="222">
        <v>500003</v>
      </c>
      <c r="B4643" s="223" t="s">
        <v>8128</v>
      </c>
      <c r="C4643" s="221" t="s">
        <v>8129</v>
      </c>
    </row>
    <row r="4644" spans="1:3" x14ac:dyDescent="0.25">
      <c r="A4644" s="222">
        <v>500003</v>
      </c>
      <c r="B4644" s="223" t="s">
        <v>8128</v>
      </c>
      <c r="C4644" s="221" t="s">
        <v>8130</v>
      </c>
    </row>
    <row r="4645" spans="1:3" x14ac:dyDescent="0.25">
      <c r="A4645" s="222">
        <v>500004</v>
      </c>
      <c r="B4645" s="223" t="s">
        <v>8131</v>
      </c>
      <c r="C4645" s="221" t="s">
        <v>8132</v>
      </c>
    </row>
    <row r="4646" spans="1:3" x14ac:dyDescent="0.25">
      <c r="A4646" s="222">
        <v>500004</v>
      </c>
      <c r="B4646" s="223" t="s">
        <v>8131</v>
      </c>
      <c r="C4646" s="221" t="s">
        <v>8133</v>
      </c>
    </row>
    <row r="4647" spans="1:3" x14ac:dyDescent="0.25">
      <c r="A4647" s="222">
        <v>500005</v>
      </c>
      <c r="B4647" s="223" t="s">
        <v>8134</v>
      </c>
      <c r="C4647" s="221" t="s">
        <v>8135</v>
      </c>
    </row>
    <row r="4648" spans="1:3" x14ac:dyDescent="0.25">
      <c r="A4648" s="222">
        <v>500005</v>
      </c>
      <c r="B4648" s="223" t="s">
        <v>8134</v>
      </c>
      <c r="C4648" s="221" t="s">
        <v>8136</v>
      </c>
    </row>
    <row r="4649" spans="1:3" x14ac:dyDescent="0.25">
      <c r="A4649" s="222">
        <v>500006</v>
      </c>
      <c r="B4649" s="223" t="s">
        <v>8137</v>
      </c>
      <c r="C4649" s="221" t="s">
        <v>8138</v>
      </c>
    </row>
    <row r="4650" spans="1:3" x14ac:dyDescent="0.25">
      <c r="A4650" s="222">
        <v>500007</v>
      </c>
      <c r="B4650" s="223" t="s">
        <v>8139</v>
      </c>
      <c r="C4650" s="221" t="s">
        <v>8140</v>
      </c>
    </row>
    <row r="4651" spans="1:3" x14ac:dyDescent="0.25">
      <c r="A4651" s="222">
        <v>500008</v>
      </c>
      <c r="B4651" s="223" t="s">
        <v>8141</v>
      </c>
      <c r="C4651" s="221" t="s">
        <v>8142</v>
      </c>
    </row>
    <row r="4652" spans="1:3" x14ac:dyDescent="0.25">
      <c r="A4652" s="222">
        <v>500009</v>
      </c>
      <c r="B4652" s="223" t="s">
        <v>8143</v>
      </c>
      <c r="C4652" s="221" t="s">
        <v>8144</v>
      </c>
    </row>
    <row r="4653" spans="1:3" x14ac:dyDescent="0.25">
      <c r="A4653" s="222">
        <v>500010</v>
      </c>
      <c r="B4653" s="223" t="s">
        <v>8145</v>
      </c>
      <c r="C4653" s="221" t="s">
        <v>8146</v>
      </c>
    </row>
    <row r="4654" spans="1:3" x14ac:dyDescent="0.25">
      <c r="A4654" s="222">
        <v>500010</v>
      </c>
      <c r="B4654" s="223" t="s">
        <v>8145</v>
      </c>
      <c r="C4654" s="221" t="s">
        <v>8147</v>
      </c>
    </row>
    <row r="4655" spans="1:3" x14ac:dyDescent="0.25">
      <c r="A4655" s="222">
        <v>500011</v>
      </c>
      <c r="B4655" s="223" t="s">
        <v>8148</v>
      </c>
      <c r="C4655" s="221" t="s">
        <v>8149</v>
      </c>
    </row>
    <row r="4656" spans="1:3" x14ac:dyDescent="0.25">
      <c r="A4656" s="222">
        <v>500011</v>
      </c>
      <c r="B4656" s="223" t="s">
        <v>8148</v>
      </c>
      <c r="C4656" s="221" t="s">
        <v>8150</v>
      </c>
    </row>
    <row r="4657" spans="1:3" x14ac:dyDescent="0.25">
      <c r="A4657" s="222">
        <v>500012</v>
      </c>
      <c r="B4657" s="223" t="s">
        <v>8151</v>
      </c>
      <c r="C4657" s="221" t="s">
        <v>8152</v>
      </c>
    </row>
    <row r="4658" spans="1:3" x14ac:dyDescent="0.25">
      <c r="A4658" s="222">
        <v>500012</v>
      </c>
      <c r="B4658" s="223" t="s">
        <v>8151</v>
      </c>
      <c r="C4658" s="221" t="s">
        <v>8153</v>
      </c>
    </row>
    <row r="4659" spans="1:3" x14ac:dyDescent="0.25">
      <c r="A4659" s="222">
        <v>500013</v>
      </c>
      <c r="B4659" s="223" t="s">
        <v>8154</v>
      </c>
      <c r="C4659" s="221" t="s">
        <v>8155</v>
      </c>
    </row>
    <row r="4660" spans="1:3" x14ac:dyDescent="0.25">
      <c r="A4660" s="222">
        <v>500013</v>
      </c>
      <c r="B4660" s="223" t="s">
        <v>8154</v>
      </c>
      <c r="C4660" s="221" t="s">
        <v>8156</v>
      </c>
    </row>
    <row r="4661" spans="1:3" x14ac:dyDescent="0.25">
      <c r="A4661" s="222">
        <v>500014</v>
      </c>
      <c r="B4661" s="223" t="s">
        <v>8157</v>
      </c>
      <c r="C4661" s="221" t="s">
        <v>8158</v>
      </c>
    </row>
    <row r="4662" spans="1:3" x14ac:dyDescent="0.25">
      <c r="A4662" s="222">
        <v>500014</v>
      </c>
      <c r="B4662" s="223" t="s">
        <v>8157</v>
      </c>
      <c r="C4662" s="221" t="s">
        <v>8159</v>
      </c>
    </row>
    <row r="4663" spans="1:3" x14ac:dyDescent="0.25">
      <c r="A4663" s="222">
        <v>500015</v>
      </c>
      <c r="B4663" s="223" t="s">
        <v>8160</v>
      </c>
      <c r="C4663" s="221" t="s">
        <v>8161</v>
      </c>
    </row>
    <row r="4664" spans="1:3" x14ac:dyDescent="0.25">
      <c r="A4664" s="222">
        <v>500015</v>
      </c>
      <c r="B4664" s="223" t="s">
        <v>8160</v>
      </c>
      <c r="C4664" s="221" t="s">
        <v>8162</v>
      </c>
    </row>
    <row r="4665" spans="1:3" x14ac:dyDescent="0.25">
      <c r="A4665" s="222">
        <v>500016</v>
      </c>
      <c r="B4665" s="223" t="s">
        <v>8163</v>
      </c>
      <c r="C4665" s="221" t="s">
        <v>8164</v>
      </c>
    </row>
    <row r="4666" spans="1:3" x14ac:dyDescent="0.25">
      <c r="A4666" s="222">
        <v>500016</v>
      </c>
      <c r="B4666" s="223" t="s">
        <v>8163</v>
      </c>
      <c r="C4666" s="221" t="s">
        <v>8165</v>
      </c>
    </row>
    <row r="4667" spans="1:3" x14ac:dyDescent="0.25">
      <c r="A4667" s="222">
        <v>500017</v>
      </c>
      <c r="B4667" s="223" t="s">
        <v>8166</v>
      </c>
      <c r="C4667" s="221" t="s">
        <v>8167</v>
      </c>
    </row>
    <row r="4668" spans="1:3" x14ac:dyDescent="0.25">
      <c r="A4668" s="222">
        <v>500017</v>
      </c>
      <c r="B4668" s="223" t="s">
        <v>8166</v>
      </c>
      <c r="C4668" s="221" t="s">
        <v>8168</v>
      </c>
    </row>
    <row r="4669" spans="1:3" x14ac:dyDescent="0.25">
      <c r="A4669" s="222">
        <v>500018</v>
      </c>
      <c r="B4669" s="223" t="s">
        <v>8169</v>
      </c>
      <c r="C4669" s="221" t="s">
        <v>8170</v>
      </c>
    </row>
    <row r="4670" spans="1:3" x14ac:dyDescent="0.25">
      <c r="A4670" s="222">
        <v>500018</v>
      </c>
      <c r="B4670" s="223" t="s">
        <v>8169</v>
      </c>
      <c r="C4670" s="221" t="s">
        <v>8171</v>
      </c>
    </row>
    <row r="4671" spans="1:3" x14ac:dyDescent="0.25">
      <c r="A4671" s="222">
        <v>500019</v>
      </c>
      <c r="B4671" s="223" t="s">
        <v>8172</v>
      </c>
      <c r="C4671" s="221" t="s">
        <v>8173</v>
      </c>
    </row>
    <row r="4672" spans="1:3" x14ac:dyDescent="0.25">
      <c r="A4672" s="222">
        <v>500019</v>
      </c>
      <c r="B4672" s="223" t="s">
        <v>8172</v>
      </c>
      <c r="C4672" s="221" t="s">
        <v>8174</v>
      </c>
    </row>
    <row r="4673" spans="1:3" x14ac:dyDescent="0.25">
      <c r="A4673" s="222">
        <v>500020</v>
      </c>
      <c r="B4673" s="223" t="s">
        <v>8175</v>
      </c>
      <c r="C4673" s="221" t="s">
        <v>8176</v>
      </c>
    </row>
    <row r="4674" spans="1:3" x14ac:dyDescent="0.25">
      <c r="A4674" s="222">
        <v>500020</v>
      </c>
      <c r="B4674" s="223" t="s">
        <v>8175</v>
      </c>
      <c r="C4674" s="221" t="s">
        <v>8177</v>
      </c>
    </row>
    <row r="4675" spans="1:3" x14ac:dyDescent="0.25">
      <c r="A4675" s="222">
        <v>500021</v>
      </c>
      <c r="B4675" s="223" t="s">
        <v>8178</v>
      </c>
      <c r="C4675" s="221" t="s">
        <v>8179</v>
      </c>
    </row>
    <row r="4676" spans="1:3" x14ac:dyDescent="0.25">
      <c r="A4676" s="222">
        <v>500021</v>
      </c>
      <c r="B4676" s="223" t="s">
        <v>8178</v>
      </c>
      <c r="C4676" s="221" t="s">
        <v>8180</v>
      </c>
    </row>
    <row r="4677" spans="1:3" x14ac:dyDescent="0.25">
      <c r="A4677" s="222">
        <v>500022</v>
      </c>
      <c r="B4677" s="223" t="s">
        <v>8181</v>
      </c>
      <c r="C4677" s="221" t="s">
        <v>8182</v>
      </c>
    </row>
    <row r="4678" spans="1:3" x14ac:dyDescent="0.25">
      <c r="A4678" s="222">
        <v>500022</v>
      </c>
      <c r="B4678" s="223" t="s">
        <v>8181</v>
      </c>
      <c r="C4678" s="221" t="s">
        <v>8183</v>
      </c>
    </row>
    <row r="4679" spans="1:3" x14ac:dyDescent="0.25">
      <c r="A4679" s="222">
        <v>500023</v>
      </c>
      <c r="B4679" s="223" t="s">
        <v>8184</v>
      </c>
      <c r="C4679" s="221" t="s">
        <v>8185</v>
      </c>
    </row>
    <row r="4680" spans="1:3" x14ac:dyDescent="0.25">
      <c r="A4680" s="222">
        <v>500023</v>
      </c>
      <c r="B4680" s="223" t="s">
        <v>8184</v>
      </c>
      <c r="C4680" s="221" t="s">
        <v>8186</v>
      </c>
    </row>
    <row r="4681" spans="1:3" x14ac:dyDescent="0.25">
      <c r="A4681" s="222">
        <v>500024</v>
      </c>
      <c r="B4681" s="223" t="s">
        <v>8187</v>
      </c>
      <c r="C4681" s="221" t="s">
        <v>8188</v>
      </c>
    </row>
    <row r="4682" spans="1:3" x14ac:dyDescent="0.25">
      <c r="A4682" s="222">
        <v>500024</v>
      </c>
      <c r="B4682" s="223" t="s">
        <v>8187</v>
      </c>
      <c r="C4682" s="221" t="s">
        <v>8189</v>
      </c>
    </row>
    <row r="4683" spans="1:3" x14ac:dyDescent="0.25">
      <c r="A4683" s="222">
        <v>500025</v>
      </c>
      <c r="B4683" s="223" t="s">
        <v>8190</v>
      </c>
      <c r="C4683" s="221" t="s">
        <v>8191</v>
      </c>
    </row>
    <row r="4684" spans="1:3" x14ac:dyDescent="0.25">
      <c r="A4684" s="222">
        <v>500025</v>
      </c>
      <c r="B4684" s="223" t="s">
        <v>8190</v>
      </c>
      <c r="C4684" s="221" t="s">
        <v>8192</v>
      </c>
    </row>
    <row r="4685" spans="1:3" x14ac:dyDescent="0.25">
      <c r="A4685" s="222">
        <v>500026</v>
      </c>
      <c r="B4685" s="223" t="s">
        <v>8193</v>
      </c>
      <c r="C4685" s="221" t="s">
        <v>8194</v>
      </c>
    </row>
    <row r="4686" spans="1:3" x14ac:dyDescent="0.25">
      <c r="A4686" s="222">
        <v>500026</v>
      </c>
      <c r="B4686" s="223" t="s">
        <v>8193</v>
      </c>
      <c r="C4686" s="221" t="s">
        <v>8195</v>
      </c>
    </row>
    <row r="4687" spans="1:3" x14ac:dyDescent="0.25">
      <c r="A4687" s="222">
        <v>500027</v>
      </c>
      <c r="B4687" s="223" t="s">
        <v>8196</v>
      </c>
      <c r="C4687" s="221" t="s">
        <v>8197</v>
      </c>
    </row>
    <row r="4688" spans="1:3" x14ac:dyDescent="0.25">
      <c r="A4688" s="222">
        <v>500027</v>
      </c>
      <c r="B4688" s="223" t="s">
        <v>8196</v>
      </c>
      <c r="C4688" s="221" t="s">
        <v>8198</v>
      </c>
    </row>
    <row r="4689" spans="1:3" x14ac:dyDescent="0.25">
      <c r="A4689" s="222">
        <v>500028</v>
      </c>
      <c r="B4689" s="223" t="s">
        <v>8199</v>
      </c>
      <c r="C4689" s="221" t="s">
        <v>8200</v>
      </c>
    </row>
    <row r="4690" spans="1:3" x14ac:dyDescent="0.25">
      <c r="A4690" s="222">
        <v>500028</v>
      </c>
      <c r="B4690" s="223" t="s">
        <v>8199</v>
      </c>
      <c r="C4690" s="221" t="s">
        <v>8201</v>
      </c>
    </row>
    <row r="4691" spans="1:3" x14ac:dyDescent="0.25">
      <c r="A4691" s="222">
        <v>500029</v>
      </c>
      <c r="B4691" s="223" t="s">
        <v>8202</v>
      </c>
      <c r="C4691" s="221" t="s">
        <v>8203</v>
      </c>
    </row>
    <row r="4692" spans="1:3" x14ac:dyDescent="0.25">
      <c r="A4692" s="222">
        <v>500029</v>
      </c>
      <c r="B4692" s="223" t="s">
        <v>8202</v>
      </c>
      <c r="C4692" s="221" t="s">
        <v>8204</v>
      </c>
    </row>
    <row r="4693" spans="1:3" x14ac:dyDescent="0.25">
      <c r="A4693" s="222">
        <v>500030</v>
      </c>
      <c r="B4693" s="223" t="s">
        <v>8205</v>
      </c>
      <c r="C4693" s="221" t="s">
        <v>8206</v>
      </c>
    </row>
    <row r="4694" spans="1:3" x14ac:dyDescent="0.25">
      <c r="A4694" s="222">
        <v>500030</v>
      </c>
      <c r="B4694" s="223" t="s">
        <v>8205</v>
      </c>
      <c r="C4694" s="221" t="s">
        <v>8207</v>
      </c>
    </row>
    <row r="4695" spans="1:3" x14ac:dyDescent="0.25">
      <c r="A4695" s="222">
        <v>500031</v>
      </c>
      <c r="B4695" s="223" t="s">
        <v>8208</v>
      </c>
      <c r="C4695" s="221" t="s">
        <v>8209</v>
      </c>
    </row>
    <row r="4696" spans="1:3" x14ac:dyDescent="0.25">
      <c r="A4696" s="222">
        <v>500031</v>
      </c>
      <c r="B4696" s="223" t="s">
        <v>8208</v>
      </c>
      <c r="C4696" s="221" t="s">
        <v>8210</v>
      </c>
    </row>
    <row r="4697" spans="1:3" x14ac:dyDescent="0.25">
      <c r="A4697" s="222">
        <v>500032</v>
      </c>
      <c r="B4697" s="223" t="s">
        <v>8211</v>
      </c>
      <c r="C4697" s="221" t="s">
        <v>8212</v>
      </c>
    </row>
    <row r="4698" spans="1:3" x14ac:dyDescent="0.25">
      <c r="A4698" s="222">
        <v>500032</v>
      </c>
      <c r="B4698" s="223" t="s">
        <v>8211</v>
      </c>
      <c r="C4698" s="221" t="s">
        <v>8213</v>
      </c>
    </row>
    <row r="4699" spans="1:3" x14ac:dyDescent="0.25">
      <c r="A4699" s="222">
        <v>500033</v>
      </c>
      <c r="B4699" s="223" t="s">
        <v>8214</v>
      </c>
      <c r="C4699" s="221" t="s">
        <v>8215</v>
      </c>
    </row>
    <row r="4700" spans="1:3" x14ac:dyDescent="0.25">
      <c r="A4700" s="222">
        <v>500033</v>
      </c>
      <c r="B4700" s="223" t="s">
        <v>8214</v>
      </c>
      <c r="C4700" s="221" t="s">
        <v>8216</v>
      </c>
    </row>
    <row r="4701" spans="1:3" x14ac:dyDescent="0.25">
      <c r="A4701" s="222">
        <v>500034</v>
      </c>
      <c r="B4701" s="223" t="s">
        <v>8217</v>
      </c>
      <c r="C4701" s="221" t="s">
        <v>8218</v>
      </c>
    </row>
    <row r="4702" spans="1:3" x14ac:dyDescent="0.25">
      <c r="A4702" s="222">
        <v>500034</v>
      </c>
      <c r="B4702" s="223" t="s">
        <v>8217</v>
      </c>
      <c r="C4702" s="221" t="s">
        <v>8219</v>
      </c>
    </row>
    <row r="4703" spans="1:3" x14ac:dyDescent="0.25">
      <c r="A4703" s="222">
        <v>500035</v>
      </c>
      <c r="B4703" s="223" t="s">
        <v>8220</v>
      </c>
      <c r="C4703" s="221" t="s">
        <v>8221</v>
      </c>
    </row>
    <row r="4704" spans="1:3" x14ac:dyDescent="0.25">
      <c r="A4704" s="222">
        <v>500035</v>
      </c>
      <c r="B4704" s="223" t="s">
        <v>8220</v>
      </c>
      <c r="C4704" s="221" t="s">
        <v>8222</v>
      </c>
    </row>
    <row r="4705" spans="1:3" x14ac:dyDescent="0.25">
      <c r="A4705" s="222">
        <v>500036</v>
      </c>
      <c r="B4705" s="223" t="s">
        <v>8223</v>
      </c>
      <c r="C4705" s="221" t="s">
        <v>8224</v>
      </c>
    </row>
    <row r="4706" spans="1:3" x14ac:dyDescent="0.25">
      <c r="A4706" s="222">
        <v>500036</v>
      </c>
      <c r="B4706" s="223" t="s">
        <v>8223</v>
      </c>
      <c r="C4706" s="221" t="s">
        <v>8225</v>
      </c>
    </row>
    <row r="4707" spans="1:3" x14ac:dyDescent="0.25">
      <c r="A4707" s="222">
        <v>500037</v>
      </c>
      <c r="B4707" s="223" t="s">
        <v>8226</v>
      </c>
      <c r="C4707" s="221" t="s">
        <v>8227</v>
      </c>
    </row>
    <row r="4708" spans="1:3" x14ac:dyDescent="0.25">
      <c r="A4708" s="222">
        <v>500037</v>
      </c>
      <c r="B4708" s="223" t="s">
        <v>8226</v>
      </c>
      <c r="C4708" s="221" t="s">
        <v>8228</v>
      </c>
    </row>
    <row r="4709" spans="1:3" x14ac:dyDescent="0.25">
      <c r="A4709" s="222">
        <v>500038</v>
      </c>
      <c r="B4709" s="223" t="s">
        <v>8229</v>
      </c>
      <c r="C4709" s="221" t="s">
        <v>8230</v>
      </c>
    </row>
    <row r="4710" spans="1:3" x14ac:dyDescent="0.25">
      <c r="A4710" s="222">
        <v>500038</v>
      </c>
      <c r="B4710" s="223" t="s">
        <v>8229</v>
      </c>
      <c r="C4710" s="221" t="s">
        <v>8231</v>
      </c>
    </row>
    <row r="4711" spans="1:3" x14ac:dyDescent="0.25">
      <c r="A4711" s="222">
        <v>500039</v>
      </c>
      <c r="B4711" s="223" t="s">
        <v>8232</v>
      </c>
      <c r="C4711" s="221" t="s">
        <v>8233</v>
      </c>
    </row>
    <row r="4712" spans="1:3" x14ac:dyDescent="0.25">
      <c r="A4712" s="222">
        <v>500039</v>
      </c>
      <c r="B4712" s="223" t="s">
        <v>8232</v>
      </c>
      <c r="C4712" s="221" t="s">
        <v>8234</v>
      </c>
    </row>
    <row r="4713" spans="1:3" x14ac:dyDescent="0.25">
      <c r="A4713" s="222">
        <v>500040</v>
      </c>
      <c r="B4713" s="223" t="s">
        <v>8235</v>
      </c>
      <c r="C4713" s="221" t="s">
        <v>8236</v>
      </c>
    </row>
    <row r="4714" spans="1:3" x14ac:dyDescent="0.25">
      <c r="A4714" s="222">
        <v>500040</v>
      </c>
      <c r="B4714" s="223" t="s">
        <v>8235</v>
      </c>
      <c r="C4714" s="221" t="s">
        <v>8237</v>
      </c>
    </row>
    <row r="4715" spans="1:3" x14ac:dyDescent="0.25">
      <c r="A4715" s="222">
        <v>500041</v>
      </c>
      <c r="B4715" s="223" t="s">
        <v>8238</v>
      </c>
      <c r="C4715" s="221" t="s">
        <v>8239</v>
      </c>
    </row>
    <row r="4716" spans="1:3" x14ac:dyDescent="0.25">
      <c r="A4716" s="222">
        <v>500041</v>
      </c>
      <c r="B4716" s="223" t="s">
        <v>8238</v>
      </c>
      <c r="C4716" s="221" t="s">
        <v>8240</v>
      </c>
    </row>
    <row r="4717" spans="1:3" x14ac:dyDescent="0.25">
      <c r="A4717" s="222">
        <v>500042</v>
      </c>
      <c r="B4717" s="223" t="s">
        <v>8241</v>
      </c>
      <c r="C4717" s="221" t="s">
        <v>8242</v>
      </c>
    </row>
    <row r="4718" spans="1:3" x14ac:dyDescent="0.25">
      <c r="A4718" s="222">
        <v>500042</v>
      </c>
      <c r="B4718" s="223" t="s">
        <v>8241</v>
      </c>
      <c r="C4718" s="221" t="s">
        <v>8243</v>
      </c>
    </row>
    <row r="4719" spans="1:3" x14ac:dyDescent="0.25">
      <c r="A4719" s="222">
        <v>500043</v>
      </c>
      <c r="B4719" s="223" t="s">
        <v>8244</v>
      </c>
      <c r="C4719" s="221" t="s">
        <v>8245</v>
      </c>
    </row>
    <row r="4720" spans="1:3" x14ac:dyDescent="0.25">
      <c r="A4720" s="222">
        <v>500043</v>
      </c>
      <c r="B4720" s="223" t="s">
        <v>8244</v>
      </c>
      <c r="C4720" s="221" t="s">
        <v>8246</v>
      </c>
    </row>
    <row r="4721" spans="1:3" x14ac:dyDescent="0.25">
      <c r="A4721" s="222">
        <v>500044</v>
      </c>
      <c r="B4721" s="223" t="s">
        <v>8247</v>
      </c>
      <c r="C4721" s="221" t="s">
        <v>8248</v>
      </c>
    </row>
    <row r="4722" spans="1:3" x14ac:dyDescent="0.25">
      <c r="A4722" s="222">
        <v>500044</v>
      </c>
      <c r="B4722" s="223" t="s">
        <v>8247</v>
      </c>
      <c r="C4722" s="221" t="s">
        <v>8249</v>
      </c>
    </row>
    <row r="4723" spans="1:3" x14ac:dyDescent="0.25">
      <c r="A4723" s="222">
        <v>500045</v>
      </c>
      <c r="B4723" s="223" t="s">
        <v>8250</v>
      </c>
      <c r="C4723" s="221" t="s">
        <v>8251</v>
      </c>
    </row>
    <row r="4724" spans="1:3" x14ac:dyDescent="0.25">
      <c r="A4724" s="222">
        <v>500045</v>
      </c>
      <c r="B4724" s="223" t="s">
        <v>8250</v>
      </c>
      <c r="C4724" s="221" t="s">
        <v>8252</v>
      </c>
    </row>
    <row r="4725" spans="1:3" x14ac:dyDescent="0.25">
      <c r="A4725" s="222">
        <v>500046</v>
      </c>
      <c r="B4725" s="223" t="s">
        <v>8253</v>
      </c>
      <c r="C4725" s="221" t="s">
        <v>8254</v>
      </c>
    </row>
    <row r="4726" spans="1:3" x14ac:dyDescent="0.25">
      <c r="A4726" s="222">
        <v>500046</v>
      </c>
      <c r="B4726" s="223" t="s">
        <v>8253</v>
      </c>
      <c r="C4726" s="221" t="s">
        <v>8255</v>
      </c>
    </row>
    <row r="4727" spans="1:3" x14ac:dyDescent="0.25">
      <c r="A4727" s="222">
        <v>500047</v>
      </c>
      <c r="B4727" s="223" t="s">
        <v>8256</v>
      </c>
      <c r="C4727" s="221" t="s">
        <v>8257</v>
      </c>
    </row>
    <row r="4728" spans="1:3" x14ac:dyDescent="0.25">
      <c r="A4728" s="222">
        <v>500047</v>
      </c>
      <c r="B4728" s="223" t="s">
        <v>8256</v>
      </c>
      <c r="C4728" s="221" t="s">
        <v>8258</v>
      </c>
    </row>
    <row r="4729" spans="1:3" x14ac:dyDescent="0.25">
      <c r="A4729" s="222">
        <v>500048</v>
      </c>
      <c r="B4729" s="223" t="s">
        <v>8259</v>
      </c>
      <c r="C4729" s="221" t="s">
        <v>8260</v>
      </c>
    </row>
    <row r="4730" spans="1:3" x14ac:dyDescent="0.25">
      <c r="A4730" s="222">
        <v>500048</v>
      </c>
      <c r="B4730" s="223" t="s">
        <v>8259</v>
      </c>
      <c r="C4730" s="221" t="s">
        <v>8261</v>
      </c>
    </row>
    <row r="4731" spans="1:3" x14ac:dyDescent="0.25">
      <c r="A4731" s="222">
        <v>500049</v>
      </c>
      <c r="B4731" s="223" t="s">
        <v>8262</v>
      </c>
      <c r="C4731" s="221" t="s">
        <v>8263</v>
      </c>
    </row>
    <row r="4732" spans="1:3" x14ac:dyDescent="0.25">
      <c r="A4732" s="222">
        <v>500049</v>
      </c>
      <c r="B4732" s="223" t="s">
        <v>8262</v>
      </c>
      <c r="C4732" s="221" t="s">
        <v>8264</v>
      </c>
    </row>
    <row r="4733" spans="1:3" x14ac:dyDescent="0.25">
      <c r="A4733" s="222">
        <v>500050</v>
      </c>
      <c r="B4733" s="223" t="s">
        <v>8265</v>
      </c>
      <c r="C4733" s="221" t="s">
        <v>8266</v>
      </c>
    </row>
    <row r="4734" spans="1:3" x14ac:dyDescent="0.25">
      <c r="A4734" s="222">
        <v>500050</v>
      </c>
      <c r="B4734" s="223" t="s">
        <v>8265</v>
      </c>
      <c r="C4734" s="221" t="s">
        <v>8267</v>
      </c>
    </row>
    <row r="4735" spans="1:3" x14ac:dyDescent="0.25">
      <c r="A4735" s="222">
        <v>500051</v>
      </c>
      <c r="B4735" s="223" t="s">
        <v>8268</v>
      </c>
      <c r="C4735" s="221" t="s">
        <v>8269</v>
      </c>
    </row>
    <row r="4736" spans="1:3" x14ac:dyDescent="0.25">
      <c r="A4736" s="222">
        <v>500051</v>
      </c>
      <c r="B4736" s="223" t="s">
        <v>8268</v>
      </c>
      <c r="C4736" s="221" t="s">
        <v>8270</v>
      </c>
    </row>
    <row r="4737" spans="1:3" x14ac:dyDescent="0.25">
      <c r="A4737" s="222">
        <v>500052</v>
      </c>
      <c r="B4737" s="223" t="s">
        <v>8271</v>
      </c>
      <c r="C4737" s="221" t="s">
        <v>8272</v>
      </c>
    </row>
    <row r="4738" spans="1:3" x14ac:dyDescent="0.25">
      <c r="A4738" s="222">
        <v>500052</v>
      </c>
      <c r="B4738" s="223" t="s">
        <v>8271</v>
      </c>
      <c r="C4738" s="221" t="s">
        <v>8273</v>
      </c>
    </row>
    <row r="4739" spans="1:3" x14ac:dyDescent="0.25">
      <c r="A4739" s="222">
        <v>500053</v>
      </c>
      <c r="B4739" s="223" t="s">
        <v>8274</v>
      </c>
      <c r="C4739" s="221" t="s">
        <v>8275</v>
      </c>
    </row>
    <row r="4740" spans="1:3" x14ac:dyDescent="0.25">
      <c r="A4740" s="222">
        <v>500053</v>
      </c>
      <c r="B4740" s="223" t="s">
        <v>8274</v>
      </c>
      <c r="C4740" s="221" t="s">
        <v>8276</v>
      </c>
    </row>
    <row r="4741" spans="1:3" x14ac:dyDescent="0.25">
      <c r="A4741" s="222">
        <v>500054</v>
      </c>
      <c r="B4741" s="223" t="s">
        <v>8277</v>
      </c>
      <c r="C4741" s="221" t="s">
        <v>8278</v>
      </c>
    </row>
    <row r="4742" spans="1:3" x14ac:dyDescent="0.25">
      <c r="A4742" s="222">
        <v>500054</v>
      </c>
      <c r="B4742" s="223" t="s">
        <v>8277</v>
      </c>
      <c r="C4742" s="221" t="s">
        <v>8279</v>
      </c>
    </row>
    <row r="4743" spans="1:3" x14ac:dyDescent="0.25">
      <c r="A4743" s="222">
        <v>500055</v>
      </c>
      <c r="B4743" s="223" t="s">
        <v>8280</v>
      </c>
      <c r="C4743" s="221" t="s">
        <v>8281</v>
      </c>
    </row>
    <row r="4744" spans="1:3" x14ac:dyDescent="0.25">
      <c r="A4744" s="222">
        <v>500055</v>
      </c>
      <c r="B4744" s="223" t="s">
        <v>8280</v>
      </c>
      <c r="C4744" s="221" t="s">
        <v>8282</v>
      </c>
    </row>
    <row r="4745" spans="1:3" x14ac:dyDescent="0.25">
      <c r="A4745" s="222">
        <v>500056</v>
      </c>
      <c r="B4745" s="223" t="s">
        <v>8283</v>
      </c>
      <c r="C4745" s="221" t="s">
        <v>8284</v>
      </c>
    </row>
    <row r="4746" spans="1:3" x14ac:dyDescent="0.25">
      <c r="A4746" s="222">
        <v>500056</v>
      </c>
      <c r="B4746" s="223" t="s">
        <v>8283</v>
      </c>
      <c r="C4746" s="221" t="s">
        <v>8285</v>
      </c>
    </row>
    <row r="4747" spans="1:3" x14ac:dyDescent="0.25">
      <c r="A4747" s="222">
        <v>500057</v>
      </c>
      <c r="B4747" s="223" t="s">
        <v>8286</v>
      </c>
      <c r="C4747" s="221" t="s">
        <v>8287</v>
      </c>
    </row>
    <row r="4748" spans="1:3" x14ac:dyDescent="0.25">
      <c r="A4748" s="222">
        <v>500057</v>
      </c>
      <c r="B4748" s="223" t="s">
        <v>8286</v>
      </c>
      <c r="C4748" s="221" t="s">
        <v>8288</v>
      </c>
    </row>
    <row r="4749" spans="1:3" x14ac:dyDescent="0.25">
      <c r="A4749" s="222">
        <v>500058</v>
      </c>
      <c r="B4749" s="223" t="s">
        <v>8289</v>
      </c>
      <c r="C4749" s="221" t="s">
        <v>8290</v>
      </c>
    </row>
    <row r="4750" spans="1:3" x14ac:dyDescent="0.25">
      <c r="A4750" s="222">
        <v>500058</v>
      </c>
      <c r="B4750" s="223" t="s">
        <v>8289</v>
      </c>
      <c r="C4750" s="221" t="s">
        <v>8291</v>
      </c>
    </row>
    <row r="4751" spans="1:3" x14ac:dyDescent="0.25">
      <c r="A4751" s="222">
        <v>500059</v>
      </c>
      <c r="B4751" s="223" t="s">
        <v>8292</v>
      </c>
      <c r="C4751" s="221" t="s">
        <v>8293</v>
      </c>
    </row>
    <row r="4752" spans="1:3" x14ac:dyDescent="0.25">
      <c r="A4752" s="222">
        <v>500059</v>
      </c>
      <c r="B4752" s="223" t="s">
        <v>8292</v>
      </c>
      <c r="C4752" s="221" t="s">
        <v>8294</v>
      </c>
    </row>
    <row r="4753" spans="1:3" x14ac:dyDescent="0.25">
      <c r="A4753" s="222">
        <v>500060</v>
      </c>
      <c r="B4753" s="223" t="s">
        <v>8295</v>
      </c>
      <c r="C4753" s="221" t="s">
        <v>8296</v>
      </c>
    </row>
    <row r="4754" spans="1:3" x14ac:dyDescent="0.25">
      <c r="A4754" s="222">
        <v>500060</v>
      </c>
      <c r="B4754" s="223" t="s">
        <v>8295</v>
      </c>
      <c r="C4754" s="221" t="s">
        <v>8297</v>
      </c>
    </row>
    <row r="4755" spans="1:3" x14ac:dyDescent="0.25">
      <c r="A4755" s="222">
        <v>500061</v>
      </c>
      <c r="B4755" s="223" t="s">
        <v>8298</v>
      </c>
      <c r="C4755" s="221" t="s">
        <v>8299</v>
      </c>
    </row>
    <row r="4756" spans="1:3" x14ac:dyDescent="0.25">
      <c r="A4756" s="222">
        <v>500061</v>
      </c>
      <c r="B4756" s="223" t="s">
        <v>8298</v>
      </c>
      <c r="C4756" s="221" t="s">
        <v>8300</v>
      </c>
    </row>
    <row r="4757" spans="1:3" x14ac:dyDescent="0.25">
      <c r="A4757" s="222">
        <v>500062</v>
      </c>
      <c r="B4757" s="223" t="s">
        <v>8301</v>
      </c>
      <c r="C4757" s="221" t="s">
        <v>8302</v>
      </c>
    </row>
    <row r="4758" spans="1:3" x14ac:dyDescent="0.25">
      <c r="A4758" s="222">
        <v>500062</v>
      </c>
      <c r="B4758" s="223" t="s">
        <v>8301</v>
      </c>
      <c r="C4758" s="221" t="s">
        <v>8303</v>
      </c>
    </row>
    <row r="4759" spans="1:3" x14ac:dyDescent="0.25">
      <c r="A4759" s="222">
        <v>500063</v>
      </c>
      <c r="B4759" s="223" t="s">
        <v>8304</v>
      </c>
      <c r="C4759" s="221" t="s">
        <v>8305</v>
      </c>
    </row>
    <row r="4760" spans="1:3" x14ac:dyDescent="0.25">
      <c r="A4760" s="222">
        <v>500063</v>
      </c>
      <c r="B4760" s="223" t="s">
        <v>8304</v>
      </c>
      <c r="C4760" s="221" t="s">
        <v>8306</v>
      </c>
    </row>
    <row r="4761" spans="1:3" x14ac:dyDescent="0.25">
      <c r="A4761" s="222">
        <v>500064</v>
      </c>
      <c r="B4761" s="223" t="s">
        <v>8307</v>
      </c>
      <c r="C4761" s="221" t="s">
        <v>8308</v>
      </c>
    </row>
    <row r="4762" spans="1:3" x14ac:dyDescent="0.25">
      <c r="A4762" s="222">
        <v>500064</v>
      </c>
      <c r="B4762" s="223" t="s">
        <v>8307</v>
      </c>
      <c r="C4762" s="221" t="s">
        <v>8309</v>
      </c>
    </row>
    <row r="4763" spans="1:3" x14ac:dyDescent="0.25">
      <c r="A4763" s="222">
        <v>500065</v>
      </c>
      <c r="B4763" s="223" t="s">
        <v>8310</v>
      </c>
      <c r="C4763" s="221" t="s">
        <v>8311</v>
      </c>
    </row>
    <row r="4764" spans="1:3" x14ac:dyDescent="0.25">
      <c r="A4764" s="222">
        <v>500065</v>
      </c>
      <c r="B4764" s="223" t="s">
        <v>8310</v>
      </c>
      <c r="C4764" s="221" t="s">
        <v>8312</v>
      </c>
    </row>
    <row r="4765" spans="1:3" x14ac:dyDescent="0.25">
      <c r="A4765" s="222">
        <v>500066</v>
      </c>
      <c r="B4765" s="223" t="s">
        <v>8313</v>
      </c>
      <c r="C4765" s="221" t="s">
        <v>8314</v>
      </c>
    </row>
    <row r="4766" spans="1:3" x14ac:dyDescent="0.25">
      <c r="A4766" s="222">
        <v>500066</v>
      </c>
      <c r="B4766" s="223" t="s">
        <v>8313</v>
      </c>
      <c r="C4766" s="221" t="s">
        <v>8315</v>
      </c>
    </row>
    <row r="4767" spans="1:3" x14ac:dyDescent="0.25">
      <c r="A4767" s="222">
        <v>500067</v>
      </c>
      <c r="B4767" s="223" t="s">
        <v>8316</v>
      </c>
      <c r="C4767" s="221" t="s">
        <v>8317</v>
      </c>
    </row>
    <row r="4768" spans="1:3" x14ac:dyDescent="0.25">
      <c r="A4768" s="222">
        <v>500067</v>
      </c>
      <c r="B4768" s="223" t="s">
        <v>8316</v>
      </c>
      <c r="C4768" s="221" t="s">
        <v>8318</v>
      </c>
    </row>
    <row r="4769" spans="1:3" x14ac:dyDescent="0.25">
      <c r="A4769" s="222">
        <v>500068</v>
      </c>
      <c r="B4769" s="223" t="s">
        <v>8319</v>
      </c>
      <c r="C4769" s="221" t="s">
        <v>8320</v>
      </c>
    </row>
    <row r="4770" spans="1:3" x14ac:dyDescent="0.25">
      <c r="A4770" s="222">
        <v>500068</v>
      </c>
      <c r="B4770" s="223" t="s">
        <v>8319</v>
      </c>
      <c r="C4770" s="221" t="s">
        <v>8321</v>
      </c>
    </row>
    <row r="4771" spans="1:3" x14ac:dyDescent="0.25">
      <c r="A4771" s="222">
        <v>500069</v>
      </c>
      <c r="B4771" s="223" t="s">
        <v>8322</v>
      </c>
      <c r="C4771" s="221" t="s">
        <v>8323</v>
      </c>
    </row>
    <row r="4772" spans="1:3" x14ac:dyDescent="0.25">
      <c r="A4772" s="222">
        <v>500069</v>
      </c>
      <c r="B4772" s="223" t="s">
        <v>8322</v>
      </c>
      <c r="C4772" s="221" t="s">
        <v>8324</v>
      </c>
    </row>
    <row r="4773" spans="1:3" x14ac:dyDescent="0.25">
      <c r="A4773" s="222">
        <v>500070</v>
      </c>
      <c r="B4773" s="223" t="s">
        <v>8325</v>
      </c>
      <c r="C4773" s="221" t="s">
        <v>8326</v>
      </c>
    </row>
    <row r="4774" spans="1:3" x14ac:dyDescent="0.25">
      <c r="A4774" s="222">
        <v>500070</v>
      </c>
      <c r="B4774" s="223" t="s">
        <v>8325</v>
      </c>
      <c r="C4774" s="221" t="s">
        <v>8327</v>
      </c>
    </row>
    <row r="4775" spans="1:3" x14ac:dyDescent="0.25">
      <c r="A4775" s="222">
        <v>500071</v>
      </c>
      <c r="B4775" s="223" t="s">
        <v>8328</v>
      </c>
      <c r="C4775" s="221" t="s">
        <v>8329</v>
      </c>
    </row>
    <row r="4776" spans="1:3" x14ac:dyDescent="0.25">
      <c r="A4776" s="222">
        <v>500071</v>
      </c>
      <c r="B4776" s="223" t="s">
        <v>8328</v>
      </c>
      <c r="C4776" s="221" t="s">
        <v>8330</v>
      </c>
    </row>
    <row r="4777" spans="1:3" x14ac:dyDescent="0.25">
      <c r="A4777" s="222">
        <v>500072</v>
      </c>
      <c r="B4777" s="223" t="s">
        <v>8331</v>
      </c>
      <c r="C4777" s="221" t="s">
        <v>8332</v>
      </c>
    </row>
    <row r="4778" spans="1:3" x14ac:dyDescent="0.25">
      <c r="A4778" s="222">
        <v>500072</v>
      </c>
      <c r="B4778" s="223" t="s">
        <v>8331</v>
      </c>
      <c r="C4778" s="221" t="s">
        <v>8333</v>
      </c>
    </row>
    <row r="4779" spans="1:3" x14ac:dyDescent="0.25">
      <c r="A4779" s="222">
        <v>500073</v>
      </c>
      <c r="B4779" s="223" t="s">
        <v>8334</v>
      </c>
      <c r="C4779" s="221" t="s">
        <v>8335</v>
      </c>
    </row>
    <row r="4780" spans="1:3" x14ac:dyDescent="0.25">
      <c r="A4780" s="222">
        <v>500073</v>
      </c>
      <c r="B4780" s="223" t="s">
        <v>8334</v>
      </c>
      <c r="C4780" s="221" t="s">
        <v>8336</v>
      </c>
    </row>
    <row r="4781" spans="1:3" x14ac:dyDescent="0.25">
      <c r="A4781" s="222">
        <v>500074</v>
      </c>
      <c r="B4781" s="223" t="s">
        <v>8337</v>
      </c>
      <c r="C4781" s="221" t="s">
        <v>8338</v>
      </c>
    </row>
    <row r="4782" spans="1:3" x14ac:dyDescent="0.25">
      <c r="A4782" s="222">
        <v>500074</v>
      </c>
      <c r="B4782" s="223" t="s">
        <v>8337</v>
      </c>
      <c r="C4782" s="221" t="s">
        <v>8339</v>
      </c>
    </row>
    <row r="4783" spans="1:3" x14ac:dyDescent="0.25">
      <c r="A4783" s="222">
        <v>500075</v>
      </c>
      <c r="B4783" s="223" t="s">
        <v>8340</v>
      </c>
      <c r="C4783" s="221" t="s">
        <v>8341</v>
      </c>
    </row>
    <row r="4784" spans="1:3" x14ac:dyDescent="0.25">
      <c r="A4784" s="222">
        <v>500075</v>
      </c>
      <c r="B4784" s="223" t="s">
        <v>8340</v>
      </c>
      <c r="C4784" s="221" t="s">
        <v>8342</v>
      </c>
    </row>
    <row r="4785" spans="1:3" x14ac:dyDescent="0.25">
      <c r="A4785" s="222">
        <v>500076</v>
      </c>
      <c r="B4785" s="223" t="s">
        <v>8343</v>
      </c>
      <c r="C4785" s="221" t="s">
        <v>8344</v>
      </c>
    </row>
    <row r="4786" spans="1:3" x14ac:dyDescent="0.25">
      <c r="A4786" s="222">
        <v>500076</v>
      </c>
      <c r="B4786" s="223" t="s">
        <v>8343</v>
      </c>
      <c r="C4786" s="221" t="s">
        <v>8345</v>
      </c>
    </row>
    <row r="4787" spans="1:3" x14ac:dyDescent="0.25">
      <c r="A4787" s="222">
        <v>500077</v>
      </c>
      <c r="B4787" s="223" t="s">
        <v>8346</v>
      </c>
      <c r="C4787" s="221" t="s">
        <v>8347</v>
      </c>
    </row>
    <row r="4788" spans="1:3" x14ac:dyDescent="0.25">
      <c r="A4788" s="222">
        <v>500077</v>
      </c>
      <c r="B4788" s="223" t="s">
        <v>8346</v>
      </c>
      <c r="C4788" s="221" t="s">
        <v>8348</v>
      </c>
    </row>
    <row r="4789" spans="1:3" x14ac:dyDescent="0.25">
      <c r="A4789" s="222">
        <v>500078</v>
      </c>
      <c r="B4789" s="223" t="s">
        <v>8349</v>
      </c>
      <c r="C4789" s="221" t="s">
        <v>8350</v>
      </c>
    </row>
    <row r="4790" spans="1:3" x14ac:dyDescent="0.25">
      <c r="A4790" s="222">
        <v>500078</v>
      </c>
      <c r="B4790" s="223" t="s">
        <v>8349</v>
      </c>
      <c r="C4790" s="221" t="s">
        <v>8351</v>
      </c>
    </row>
    <row r="4791" spans="1:3" x14ac:dyDescent="0.25">
      <c r="A4791" s="222">
        <v>500079</v>
      </c>
      <c r="B4791" s="223" t="s">
        <v>8352</v>
      </c>
      <c r="C4791" s="221" t="s">
        <v>8353</v>
      </c>
    </row>
    <row r="4792" spans="1:3" x14ac:dyDescent="0.25">
      <c r="A4792" s="222">
        <v>500079</v>
      </c>
      <c r="B4792" s="223" t="s">
        <v>8352</v>
      </c>
      <c r="C4792" s="221" t="s">
        <v>8354</v>
      </c>
    </row>
    <row r="4793" spans="1:3" x14ac:dyDescent="0.25">
      <c r="A4793" s="222">
        <v>500080</v>
      </c>
      <c r="B4793" s="223" t="s">
        <v>8355</v>
      </c>
      <c r="C4793" s="221" t="s">
        <v>8356</v>
      </c>
    </row>
    <row r="4794" spans="1:3" x14ac:dyDescent="0.25">
      <c r="A4794" s="222">
        <v>500080</v>
      </c>
      <c r="B4794" s="223" t="s">
        <v>8355</v>
      </c>
      <c r="C4794" s="221" t="s">
        <v>8357</v>
      </c>
    </row>
    <row r="4795" spans="1:3" x14ac:dyDescent="0.25">
      <c r="A4795" s="222">
        <v>500081</v>
      </c>
      <c r="B4795" s="223" t="s">
        <v>8358</v>
      </c>
      <c r="C4795" s="221" t="s">
        <v>8359</v>
      </c>
    </row>
    <row r="4796" spans="1:3" x14ac:dyDescent="0.25">
      <c r="A4796" s="222">
        <v>500081</v>
      </c>
      <c r="B4796" s="223" t="s">
        <v>8358</v>
      </c>
      <c r="C4796" s="221" t="s">
        <v>8360</v>
      </c>
    </row>
    <row r="4797" spans="1:3" x14ac:dyDescent="0.25">
      <c r="A4797" s="222">
        <v>500082</v>
      </c>
      <c r="B4797" s="223" t="s">
        <v>8361</v>
      </c>
      <c r="C4797" s="221" t="s">
        <v>8362</v>
      </c>
    </row>
    <row r="4798" spans="1:3" x14ac:dyDescent="0.25">
      <c r="A4798" s="222">
        <v>500082</v>
      </c>
      <c r="B4798" s="223" t="s">
        <v>8361</v>
      </c>
      <c r="C4798" s="221" t="s">
        <v>8363</v>
      </c>
    </row>
    <row r="4799" spans="1:3" x14ac:dyDescent="0.25">
      <c r="A4799" s="222">
        <v>500083</v>
      </c>
      <c r="B4799" s="223" t="s">
        <v>8364</v>
      </c>
      <c r="C4799" s="221" t="s">
        <v>8365</v>
      </c>
    </row>
    <row r="4800" spans="1:3" x14ac:dyDescent="0.25">
      <c r="A4800" s="222">
        <v>500083</v>
      </c>
      <c r="B4800" s="223" t="s">
        <v>8364</v>
      </c>
      <c r="C4800" s="221" t="s">
        <v>8366</v>
      </c>
    </row>
    <row r="4801" spans="1:3" x14ac:dyDescent="0.25">
      <c r="A4801" s="222">
        <v>500084</v>
      </c>
      <c r="B4801" s="223" t="s">
        <v>8367</v>
      </c>
      <c r="C4801" s="221" t="s">
        <v>8368</v>
      </c>
    </row>
    <row r="4802" spans="1:3" x14ac:dyDescent="0.25">
      <c r="A4802" s="222">
        <v>500084</v>
      </c>
      <c r="B4802" s="223" t="s">
        <v>8367</v>
      </c>
      <c r="C4802" s="221" t="s">
        <v>8369</v>
      </c>
    </row>
    <row r="4803" spans="1:3" x14ac:dyDescent="0.25">
      <c r="A4803" s="222">
        <v>500085</v>
      </c>
      <c r="B4803" s="223" t="s">
        <v>8370</v>
      </c>
      <c r="C4803" s="221" t="s">
        <v>8371</v>
      </c>
    </row>
    <row r="4804" spans="1:3" x14ac:dyDescent="0.25">
      <c r="A4804" s="222">
        <v>500085</v>
      </c>
      <c r="B4804" s="223" t="s">
        <v>8370</v>
      </c>
      <c r="C4804" s="221" t="s">
        <v>8372</v>
      </c>
    </row>
    <row r="4805" spans="1:3" x14ac:dyDescent="0.25">
      <c r="A4805" s="222">
        <v>500086</v>
      </c>
      <c r="B4805" s="223" t="s">
        <v>8373</v>
      </c>
      <c r="C4805" s="221" t="s">
        <v>8374</v>
      </c>
    </row>
    <row r="4806" spans="1:3" x14ac:dyDescent="0.25">
      <c r="A4806" s="222">
        <v>500086</v>
      </c>
      <c r="B4806" s="223" t="s">
        <v>8373</v>
      </c>
      <c r="C4806" s="221" t="s">
        <v>8375</v>
      </c>
    </row>
    <row r="4807" spans="1:3" x14ac:dyDescent="0.25">
      <c r="A4807" s="222">
        <v>500087</v>
      </c>
      <c r="B4807" s="223" t="s">
        <v>8376</v>
      </c>
      <c r="C4807" s="221" t="s">
        <v>8377</v>
      </c>
    </row>
    <row r="4808" spans="1:3" x14ac:dyDescent="0.25">
      <c r="A4808" s="222">
        <v>500087</v>
      </c>
      <c r="B4808" s="223" t="s">
        <v>8376</v>
      </c>
      <c r="C4808" s="221" t="s">
        <v>8378</v>
      </c>
    </row>
    <row r="4809" spans="1:3" x14ac:dyDescent="0.25">
      <c r="A4809" s="222">
        <v>500088</v>
      </c>
      <c r="B4809" s="223" t="s">
        <v>8379</v>
      </c>
      <c r="C4809" s="221" t="s">
        <v>8380</v>
      </c>
    </row>
    <row r="4810" spans="1:3" x14ac:dyDescent="0.25">
      <c r="A4810" s="222">
        <v>500088</v>
      </c>
      <c r="B4810" s="223" t="s">
        <v>8379</v>
      </c>
      <c r="C4810" s="221" t="s">
        <v>8381</v>
      </c>
    </row>
    <row r="4811" spans="1:3" x14ac:dyDescent="0.25">
      <c r="A4811" s="222">
        <v>500089</v>
      </c>
      <c r="B4811" s="223" t="s">
        <v>8382</v>
      </c>
      <c r="C4811" s="221" t="s">
        <v>8383</v>
      </c>
    </row>
    <row r="4812" spans="1:3" x14ac:dyDescent="0.25">
      <c r="A4812" s="222">
        <v>500089</v>
      </c>
      <c r="B4812" s="223" t="s">
        <v>8382</v>
      </c>
      <c r="C4812" s="221" t="s">
        <v>8384</v>
      </c>
    </row>
    <row r="4813" spans="1:3" x14ac:dyDescent="0.25">
      <c r="A4813" s="222">
        <v>500090</v>
      </c>
      <c r="B4813" s="223" t="s">
        <v>8385</v>
      </c>
      <c r="C4813" s="221" t="s">
        <v>8386</v>
      </c>
    </row>
    <row r="4814" spans="1:3" x14ac:dyDescent="0.25">
      <c r="A4814" s="222">
        <v>500090</v>
      </c>
      <c r="B4814" s="223" t="s">
        <v>8385</v>
      </c>
      <c r="C4814" s="221" t="s">
        <v>8387</v>
      </c>
    </row>
    <row r="4815" spans="1:3" x14ac:dyDescent="0.25">
      <c r="A4815" s="222">
        <v>500091</v>
      </c>
      <c r="B4815" s="223" t="s">
        <v>8388</v>
      </c>
      <c r="C4815" s="221" t="s">
        <v>8389</v>
      </c>
    </row>
    <row r="4816" spans="1:3" x14ac:dyDescent="0.25">
      <c r="A4816" s="222">
        <v>500091</v>
      </c>
      <c r="B4816" s="223" t="s">
        <v>8388</v>
      </c>
      <c r="C4816" s="221" t="s">
        <v>8390</v>
      </c>
    </row>
    <row r="4817" spans="1:3" x14ac:dyDescent="0.25">
      <c r="A4817" s="222">
        <v>500092</v>
      </c>
      <c r="B4817" s="223" t="s">
        <v>8391</v>
      </c>
      <c r="C4817" s="221" t="s">
        <v>8392</v>
      </c>
    </row>
    <row r="4818" spans="1:3" x14ac:dyDescent="0.25">
      <c r="A4818" s="222">
        <v>500092</v>
      </c>
      <c r="B4818" s="223" t="s">
        <v>8391</v>
      </c>
      <c r="C4818" s="221" t="s">
        <v>8393</v>
      </c>
    </row>
    <row r="4819" spans="1:3" x14ac:dyDescent="0.25">
      <c r="A4819" s="222">
        <v>500093</v>
      </c>
      <c r="B4819" s="223" t="s">
        <v>8394</v>
      </c>
      <c r="C4819" s="221" t="s">
        <v>8395</v>
      </c>
    </row>
    <row r="4820" spans="1:3" x14ac:dyDescent="0.25">
      <c r="A4820" s="222">
        <v>500093</v>
      </c>
      <c r="B4820" s="223" t="s">
        <v>8394</v>
      </c>
      <c r="C4820" s="221" t="s">
        <v>8396</v>
      </c>
    </row>
    <row r="4821" spans="1:3" x14ac:dyDescent="0.25">
      <c r="A4821" s="222">
        <v>500094</v>
      </c>
      <c r="B4821" s="223" t="s">
        <v>8397</v>
      </c>
      <c r="C4821" s="221" t="s">
        <v>8398</v>
      </c>
    </row>
    <row r="4822" spans="1:3" x14ac:dyDescent="0.25">
      <c r="A4822" s="222">
        <v>500094</v>
      </c>
      <c r="B4822" s="223" t="s">
        <v>8397</v>
      </c>
      <c r="C4822" s="221" t="s">
        <v>8399</v>
      </c>
    </row>
    <row r="4823" spans="1:3" x14ac:dyDescent="0.25">
      <c r="A4823" s="222">
        <v>500095</v>
      </c>
      <c r="B4823" s="223" t="s">
        <v>8400</v>
      </c>
      <c r="C4823" s="221" t="s">
        <v>8401</v>
      </c>
    </row>
    <row r="4824" spans="1:3" x14ac:dyDescent="0.25">
      <c r="A4824" s="222">
        <v>500095</v>
      </c>
      <c r="B4824" s="223" t="s">
        <v>8400</v>
      </c>
      <c r="C4824" s="221" t="s">
        <v>8402</v>
      </c>
    </row>
    <row r="4825" spans="1:3" x14ac:dyDescent="0.25">
      <c r="A4825" s="222">
        <v>500096</v>
      </c>
      <c r="B4825" s="223" t="s">
        <v>8403</v>
      </c>
      <c r="C4825" s="221" t="s">
        <v>8404</v>
      </c>
    </row>
    <row r="4826" spans="1:3" x14ac:dyDescent="0.25">
      <c r="A4826" s="222">
        <v>500096</v>
      </c>
      <c r="B4826" s="223" t="s">
        <v>8403</v>
      </c>
      <c r="C4826" s="221" t="s">
        <v>8405</v>
      </c>
    </row>
    <row r="4827" spans="1:3" x14ac:dyDescent="0.25">
      <c r="A4827" s="222">
        <v>500097</v>
      </c>
      <c r="B4827" s="223" t="s">
        <v>8406</v>
      </c>
      <c r="C4827" s="221" t="s">
        <v>8407</v>
      </c>
    </row>
    <row r="4828" spans="1:3" x14ac:dyDescent="0.25">
      <c r="A4828" s="222">
        <v>500097</v>
      </c>
      <c r="B4828" s="223" t="s">
        <v>8406</v>
      </c>
      <c r="C4828" s="221" t="s">
        <v>8408</v>
      </c>
    </row>
    <row r="4829" spans="1:3" x14ac:dyDescent="0.25">
      <c r="A4829" s="222">
        <v>500098</v>
      </c>
      <c r="B4829" s="223" t="s">
        <v>8409</v>
      </c>
      <c r="C4829" s="221" t="s">
        <v>8410</v>
      </c>
    </row>
    <row r="4830" spans="1:3" x14ac:dyDescent="0.25">
      <c r="A4830" s="222">
        <v>500098</v>
      </c>
      <c r="B4830" s="223" t="s">
        <v>8409</v>
      </c>
      <c r="C4830" s="221" t="s">
        <v>8411</v>
      </c>
    </row>
    <row r="4831" spans="1:3" x14ac:dyDescent="0.25">
      <c r="A4831" s="222">
        <v>500099</v>
      </c>
      <c r="B4831" s="223" t="s">
        <v>8412</v>
      </c>
      <c r="C4831" s="221" t="s">
        <v>8413</v>
      </c>
    </row>
    <row r="4832" spans="1:3" x14ac:dyDescent="0.25">
      <c r="A4832" s="222">
        <v>500099</v>
      </c>
      <c r="B4832" s="223" t="s">
        <v>8412</v>
      </c>
      <c r="C4832" s="221" t="s">
        <v>8414</v>
      </c>
    </row>
    <row r="4833" spans="1:3" x14ac:dyDescent="0.25">
      <c r="A4833" s="222">
        <v>500100</v>
      </c>
      <c r="B4833" s="223" t="s">
        <v>8415</v>
      </c>
      <c r="C4833" s="221" t="s">
        <v>8416</v>
      </c>
    </row>
    <row r="4834" spans="1:3" x14ac:dyDescent="0.25">
      <c r="A4834" s="222">
        <v>500100</v>
      </c>
      <c r="B4834" s="223" t="s">
        <v>8415</v>
      </c>
      <c r="C4834" s="221" t="s">
        <v>8417</v>
      </c>
    </row>
    <row r="4835" spans="1:3" x14ac:dyDescent="0.25">
      <c r="A4835" s="222">
        <v>500101</v>
      </c>
      <c r="B4835" s="223" t="s">
        <v>8418</v>
      </c>
      <c r="C4835" s="221" t="s">
        <v>8419</v>
      </c>
    </row>
    <row r="4836" spans="1:3" x14ac:dyDescent="0.25">
      <c r="A4836" s="222">
        <v>500101</v>
      </c>
      <c r="B4836" s="223" t="s">
        <v>8418</v>
      </c>
      <c r="C4836" s="221" t="s">
        <v>8420</v>
      </c>
    </row>
    <row r="4837" spans="1:3" x14ac:dyDescent="0.25">
      <c r="A4837" s="222">
        <v>500102</v>
      </c>
      <c r="B4837" s="223" t="s">
        <v>8421</v>
      </c>
      <c r="C4837" s="221" t="s">
        <v>8422</v>
      </c>
    </row>
    <row r="4838" spans="1:3" x14ac:dyDescent="0.25">
      <c r="A4838" s="222">
        <v>500102</v>
      </c>
      <c r="B4838" s="223" t="s">
        <v>8421</v>
      </c>
      <c r="C4838" s="221" t="s">
        <v>8423</v>
      </c>
    </row>
    <row r="4839" spans="1:3" x14ac:dyDescent="0.25">
      <c r="A4839" s="222">
        <v>500103</v>
      </c>
      <c r="B4839" s="223" t="s">
        <v>8424</v>
      </c>
      <c r="C4839" s="221" t="s">
        <v>8425</v>
      </c>
    </row>
    <row r="4840" spans="1:3" x14ac:dyDescent="0.25">
      <c r="A4840" s="222">
        <v>500103</v>
      </c>
      <c r="B4840" s="223" t="s">
        <v>8424</v>
      </c>
      <c r="C4840" s="221" t="s">
        <v>8426</v>
      </c>
    </row>
    <row r="4841" spans="1:3" x14ac:dyDescent="0.25">
      <c r="A4841" s="222">
        <v>500104</v>
      </c>
      <c r="B4841" s="223" t="s">
        <v>8427</v>
      </c>
      <c r="C4841" s="221" t="s">
        <v>8428</v>
      </c>
    </row>
    <row r="4842" spans="1:3" x14ac:dyDescent="0.25">
      <c r="A4842" s="222">
        <v>500104</v>
      </c>
      <c r="B4842" s="223" t="s">
        <v>8427</v>
      </c>
      <c r="C4842" s="221" t="s">
        <v>8429</v>
      </c>
    </row>
    <row r="4843" spans="1:3" x14ac:dyDescent="0.25">
      <c r="A4843" s="222">
        <v>500105</v>
      </c>
      <c r="B4843" s="223" t="s">
        <v>8430</v>
      </c>
      <c r="C4843" s="221" t="s">
        <v>8431</v>
      </c>
    </row>
    <row r="4844" spans="1:3" x14ac:dyDescent="0.25">
      <c r="A4844" s="222">
        <v>500105</v>
      </c>
      <c r="B4844" s="223" t="s">
        <v>8430</v>
      </c>
      <c r="C4844" s="221" t="s">
        <v>8432</v>
      </c>
    </row>
    <row r="4845" spans="1:3" x14ac:dyDescent="0.25">
      <c r="A4845" s="222">
        <v>500106</v>
      </c>
      <c r="B4845" s="223" t="s">
        <v>8433</v>
      </c>
      <c r="C4845" s="221" t="s">
        <v>8434</v>
      </c>
    </row>
    <row r="4846" spans="1:3" x14ac:dyDescent="0.25">
      <c r="A4846" s="222">
        <v>500106</v>
      </c>
      <c r="B4846" s="223" t="s">
        <v>8433</v>
      </c>
      <c r="C4846" s="221" t="s">
        <v>8435</v>
      </c>
    </row>
    <row r="4847" spans="1:3" x14ac:dyDescent="0.25">
      <c r="A4847" s="222">
        <v>500107</v>
      </c>
      <c r="B4847" s="223" t="s">
        <v>8436</v>
      </c>
      <c r="C4847" s="221" t="s">
        <v>8437</v>
      </c>
    </row>
    <row r="4848" spans="1:3" x14ac:dyDescent="0.25">
      <c r="A4848" s="222">
        <v>500107</v>
      </c>
      <c r="B4848" s="223" t="s">
        <v>8436</v>
      </c>
      <c r="C4848" s="221" t="s">
        <v>8438</v>
      </c>
    </row>
    <row r="4849" spans="1:3" x14ac:dyDescent="0.25">
      <c r="A4849" s="222">
        <v>500108</v>
      </c>
      <c r="B4849" s="223" t="s">
        <v>8439</v>
      </c>
      <c r="C4849" s="221" t="s">
        <v>8440</v>
      </c>
    </row>
    <row r="4850" spans="1:3" x14ac:dyDescent="0.25">
      <c r="A4850" s="222">
        <v>500108</v>
      </c>
      <c r="B4850" s="223" t="s">
        <v>8439</v>
      </c>
      <c r="C4850" s="221" t="s">
        <v>8441</v>
      </c>
    </row>
    <row r="4851" spans="1:3" x14ac:dyDescent="0.25">
      <c r="A4851" s="222">
        <v>500109</v>
      </c>
      <c r="B4851" s="223" t="s">
        <v>8442</v>
      </c>
      <c r="C4851" s="221" t="s">
        <v>8443</v>
      </c>
    </row>
    <row r="4852" spans="1:3" x14ac:dyDescent="0.25">
      <c r="A4852" s="222">
        <v>500109</v>
      </c>
      <c r="B4852" s="223" t="s">
        <v>8442</v>
      </c>
      <c r="C4852" s="221" t="s">
        <v>8444</v>
      </c>
    </row>
    <row r="4853" spans="1:3" x14ac:dyDescent="0.25">
      <c r="A4853" s="222">
        <v>500110</v>
      </c>
      <c r="B4853" s="223" t="s">
        <v>8445</v>
      </c>
      <c r="C4853" s="221" t="s">
        <v>8446</v>
      </c>
    </row>
    <row r="4854" spans="1:3" x14ac:dyDescent="0.25">
      <c r="A4854" s="222">
        <v>500110</v>
      </c>
      <c r="B4854" s="223" t="s">
        <v>8445</v>
      </c>
      <c r="C4854" s="221" t="s">
        <v>8447</v>
      </c>
    </row>
    <row r="4855" spans="1:3" x14ac:dyDescent="0.25">
      <c r="A4855" s="222">
        <v>500111</v>
      </c>
      <c r="B4855" s="223" t="s">
        <v>8448</v>
      </c>
      <c r="C4855" s="221" t="s">
        <v>8449</v>
      </c>
    </row>
    <row r="4856" spans="1:3" x14ac:dyDescent="0.25">
      <c r="A4856" s="222">
        <v>500111</v>
      </c>
      <c r="B4856" s="223" t="s">
        <v>8448</v>
      </c>
      <c r="C4856" s="221" t="s">
        <v>8450</v>
      </c>
    </row>
    <row r="4857" spans="1:3" x14ac:dyDescent="0.25">
      <c r="A4857" s="222">
        <v>500112</v>
      </c>
      <c r="B4857" s="223" t="s">
        <v>8451</v>
      </c>
      <c r="C4857" s="221" t="s">
        <v>8452</v>
      </c>
    </row>
    <row r="4858" spans="1:3" x14ac:dyDescent="0.25">
      <c r="A4858" s="222">
        <v>500112</v>
      </c>
      <c r="B4858" s="223" t="s">
        <v>8451</v>
      </c>
      <c r="C4858" s="221" t="s">
        <v>8453</v>
      </c>
    </row>
    <row r="4859" spans="1:3" x14ac:dyDescent="0.25">
      <c r="A4859" s="222">
        <v>500113</v>
      </c>
      <c r="B4859" s="223" t="s">
        <v>8454</v>
      </c>
      <c r="C4859" s="221" t="s">
        <v>8455</v>
      </c>
    </row>
    <row r="4860" spans="1:3" x14ac:dyDescent="0.25">
      <c r="A4860" s="222">
        <v>500113</v>
      </c>
      <c r="B4860" s="223" t="s">
        <v>8454</v>
      </c>
      <c r="C4860" s="221" t="s">
        <v>8456</v>
      </c>
    </row>
    <row r="4861" spans="1:3" x14ac:dyDescent="0.25">
      <c r="A4861" s="222">
        <v>500114</v>
      </c>
      <c r="B4861" s="223" t="s">
        <v>8457</v>
      </c>
      <c r="C4861" s="221" t="s">
        <v>8458</v>
      </c>
    </row>
    <row r="4862" spans="1:3" x14ac:dyDescent="0.25">
      <c r="A4862" s="222">
        <v>500114</v>
      </c>
      <c r="B4862" s="223" t="s">
        <v>8457</v>
      </c>
      <c r="C4862" s="221" t="s">
        <v>8459</v>
      </c>
    </row>
    <row r="4863" spans="1:3" x14ac:dyDescent="0.25">
      <c r="A4863" s="222">
        <v>500115</v>
      </c>
      <c r="B4863" s="223" t="s">
        <v>8460</v>
      </c>
      <c r="C4863" s="221" t="s">
        <v>8461</v>
      </c>
    </row>
    <row r="4864" spans="1:3" x14ac:dyDescent="0.25">
      <c r="A4864" s="222">
        <v>500115</v>
      </c>
      <c r="B4864" s="223" t="s">
        <v>8460</v>
      </c>
      <c r="C4864" s="221" t="s">
        <v>8462</v>
      </c>
    </row>
    <row r="4865" spans="1:3" x14ac:dyDescent="0.25">
      <c r="A4865" s="222">
        <v>500116</v>
      </c>
      <c r="B4865" s="223" t="s">
        <v>8463</v>
      </c>
      <c r="C4865" s="221" t="s">
        <v>8464</v>
      </c>
    </row>
    <row r="4866" spans="1:3" x14ac:dyDescent="0.25">
      <c r="A4866" s="222">
        <v>500116</v>
      </c>
      <c r="B4866" s="223" t="s">
        <v>8463</v>
      </c>
      <c r="C4866" s="221" t="s">
        <v>8465</v>
      </c>
    </row>
    <row r="4867" spans="1:3" x14ac:dyDescent="0.25">
      <c r="A4867" s="222">
        <v>500117</v>
      </c>
      <c r="B4867" s="223" t="s">
        <v>8466</v>
      </c>
      <c r="C4867" s="221" t="s">
        <v>8467</v>
      </c>
    </row>
    <row r="4868" spans="1:3" x14ac:dyDescent="0.25">
      <c r="A4868" s="222">
        <v>500117</v>
      </c>
      <c r="B4868" s="223" t="s">
        <v>8466</v>
      </c>
      <c r="C4868" s="221" t="s">
        <v>8468</v>
      </c>
    </row>
    <row r="4869" spans="1:3" x14ac:dyDescent="0.25">
      <c r="A4869" s="222">
        <v>500118</v>
      </c>
      <c r="B4869" s="223" t="s">
        <v>8469</v>
      </c>
      <c r="C4869" s="221" t="s">
        <v>8470</v>
      </c>
    </row>
    <row r="4870" spans="1:3" x14ac:dyDescent="0.25">
      <c r="A4870" s="222">
        <v>500118</v>
      </c>
      <c r="B4870" s="223" t="s">
        <v>8469</v>
      </c>
      <c r="C4870" s="221" t="s">
        <v>8471</v>
      </c>
    </row>
    <row r="4871" spans="1:3" x14ac:dyDescent="0.25">
      <c r="A4871" s="222">
        <v>500119</v>
      </c>
      <c r="B4871" s="223" t="s">
        <v>8472</v>
      </c>
      <c r="C4871" s="221" t="s">
        <v>8473</v>
      </c>
    </row>
    <row r="4872" spans="1:3" x14ac:dyDescent="0.25">
      <c r="A4872" s="222">
        <v>500120</v>
      </c>
      <c r="B4872" s="223" t="s">
        <v>8474</v>
      </c>
      <c r="C4872" s="221" t="s">
        <v>8475</v>
      </c>
    </row>
    <row r="4873" spans="1:3" x14ac:dyDescent="0.25">
      <c r="A4873" s="222">
        <v>500121</v>
      </c>
      <c r="B4873" s="223" t="s">
        <v>8476</v>
      </c>
      <c r="C4873" s="221" t="s">
        <v>8477</v>
      </c>
    </row>
    <row r="4874" spans="1:3" x14ac:dyDescent="0.25">
      <c r="A4874" s="222">
        <v>500122</v>
      </c>
      <c r="B4874" s="223" t="s">
        <v>8478</v>
      </c>
      <c r="C4874" s="221" t="s">
        <v>8479</v>
      </c>
    </row>
    <row r="4875" spans="1:3" x14ac:dyDescent="0.25">
      <c r="A4875" s="222">
        <v>500123</v>
      </c>
      <c r="B4875" s="223" t="s">
        <v>8480</v>
      </c>
      <c r="C4875" s="221" t="s">
        <v>8481</v>
      </c>
    </row>
    <row r="4876" spans="1:3" x14ac:dyDescent="0.25">
      <c r="A4876" s="222">
        <v>500124</v>
      </c>
      <c r="B4876" s="223" t="s">
        <v>8482</v>
      </c>
      <c r="C4876" s="221" t="s">
        <v>8483</v>
      </c>
    </row>
    <row r="4877" spans="1:3" x14ac:dyDescent="0.25">
      <c r="A4877" s="222">
        <v>500125</v>
      </c>
      <c r="B4877" s="223" t="s">
        <v>8484</v>
      </c>
      <c r="C4877" s="221" t="s">
        <v>8485</v>
      </c>
    </row>
    <row r="4878" spans="1:3" x14ac:dyDescent="0.25">
      <c r="A4878" s="222">
        <v>500126</v>
      </c>
      <c r="B4878" s="223" t="s">
        <v>8486</v>
      </c>
      <c r="C4878" s="221" t="s">
        <v>8487</v>
      </c>
    </row>
    <row r="4879" spans="1:3" x14ac:dyDescent="0.25">
      <c r="A4879" s="222">
        <v>500127</v>
      </c>
      <c r="B4879" s="223" t="s">
        <v>8488</v>
      </c>
      <c r="C4879" s="221" t="s">
        <v>8489</v>
      </c>
    </row>
    <row r="4880" spans="1:3" x14ac:dyDescent="0.25">
      <c r="A4880" s="222">
        <v>500128</v>
      </c>
      <c r="B4880" s="223" t="s">
        <v>8490</v>
      </c>
      <c r="C4880" s="221" t="s">
        <v>8491</v>
      </c>
    </row>
    <row r="4881" spans="1:3" x14ac:dyDescent="0.25">
      <c r="A4881" s="222">
        <v>500129</v>
      </c>
      <c r="B4881" s="223" t="s">
        <v>8492</v>
      </c>
      <c r="C4881" s="221" t="s">
        <v>8493</v>
      </c>
    </row>
    <row r="4882" spans="1:3" x14ac:dyDescent="0.25">
      <c r="A4882" s="222">
        <v>500130</v>
      </c>
      <c r="B4882" s="223" t="s">
        <v>8494</v>
      </c>
      <c r="C4882" s="221" t="s">
        <v>8495</v>
      </c>
    </row>
    <row r="4883" spans="1:3" x14ac:dyDescent="0.25">
      <c r="A4883" s="222">
        <v>500131</v>
      </c>
      <c r="B4883" s="223" t="s">
        <v>8496</v>
      </c>
      <c r="C4883" s="221" t="s">
        <v>8497</v>
      </c>
    </row>
    <row r="4884" spans="1:3" x14ac:dyDescent="0.25">
      <c r="A4884" s="222">
        <v>500132</v>
      </c>
      <c r="B4884" s="223" t="s">
        <v>8498</v>
      </c>
      <c r="C4884" s="221" t="s">
        <v>8499</v>
      </c>
    </row>
    <row r="4885" spans="1:3" x14ac:dyDescent="0.25">
      <c r="A4885" s="222">
        <v>500133</v>
      </c>
      <c r="B4885" s="223" t="s">
        <v>8500</v>
      </c>
      <c r="C4885" s="221" t="s">
        <v>8501</v>
      </c>
    </row>
    <row r="4886" spans="1:3" x14ac:dyDescent="0.25">
      <c r="A4886" s="222">
        <v>500134</v>
      </c>
      <c r="B4886" s="223" t="s">
        <v>8502</v>
      </c>
      <c r="C4886" s="221" t="s">
        <v>8503</v>
      </c>
    </row>
    <row r="4887" spans="1:3" x14ac:dyDescent="0.25">
      <c r="A4887" s="222">
        <v>500135</v>
      </c>
      <c r="B4887" s="223" t="s">
        <v>8504</v>
      </c>
      <c r="C4887" s="221" t="s">
        <v>8505</v>
      </c>
    </row>
    <row r="4888" spans="1:3" x14ac:dyDescent="0.25">
      <c r="A4888" s="222">
        <v>500136</v>
      </c>
      <c r="B4888" s="223" t="s">
        <v>8506</v>
      </c>
      <c r="C4888" s="221" t="s">
        <v>8507</v>
      </c>
    </row>
    <row r="4889" spans="1:3" x14ac:dyDescent="0.25">
      <c r="A4889" s="222">
        <v>500137</v>
      </c>
      <c r="B4889" s="223" t="s">
        <v>8508</v>
      </c>
      <c r="C4889" s="221" t="s">
        <v>8509</v>
      </c>
    </row>
    <row r="4890" spans="1:3" x14ac:dyDescent="0.25">
      <c r="A4890" s="222">
        <v>500138</v>
      </c>
      <c r="B4890" s="223" t="s">
        <v>8510</v>
      </c>
      <c r="C4890" s="221" t="s">
        <v>8511</v>
      </c>
    </row>
    <row r="4891" spans="1:3" x14ac:dyDescent="0.25">
      <c r="A4891" s="222">
        <v>500139</v>
      </c>
      <c r="B4891" s="223" t="s">
        <v>8512</v>
      </c>
      <c r="C4891" s="221" t="s">
        <v>8513</v>
      </c>
    </row>
    <row r="4892" spans="1:3" x14ac:dyDescent="0.25">
      <c r="A4892" s="222">
        <v>500140</v>
      </c>
      <c r="B4892" s="223" t="s">
        <v>8514</v>
      </c>
      <c r="C4892" s="221" t="s">
        <v>8515</v>
      </c>
    </row>
    <row r="4893" spans="1:3" x14ac:dyDescent="0.25">
      <c r="A4893" s="222">
        <v>500141</v>
      </c>
      <c r="B4893" s="223" t="s">
        <v>8516</v>
      </c>
      <c r="C4893" s="221" t="s">
        <v>8517</v>
      </c>
    </row>
    <row r="4894" spans="1:3" x14ac:dyDescent="0.25">
      <c r="A4894" s="222">
        <v>500142</v>
      </c>
      <c r="B4894" s="223" t="s">
        <v>8518</v>
      </c>
      <c r="C4894" s="221" t="s">
        <v>8519</v>
      </c>
    </row>
    <row r="4895" spans="1:3" x14ac:dyDescent="0.25">
      <c r="A4895" s="222">
        <v>500143</v>
      </c>
      <c r="B4895" s="223" t="s">
        <v>8520</v>
      </c>
      <c r="C4895" s="221" t="s">
        <v>8521</v>
      </c>
    </row>
    <row r="4896" spans="1:3" x14ac:dyDescent="0.25">
      <c r="A4896" s="222">
        <v>500144</v>
      </c>
      <c r="B4896" s="223" t="s">
        <v>8522</v>
      </c>
      <c r="C4896" s="221" t="s">
        <v>8523</v>
      </c>
    </row>
    <row r="4897" spans="1:3" x14ac:dyDescent="0.25">
      <c r="A4897" s="222">
        <v>500145</v>
      </c>
      <c r="B4897" s="223" t="s">
        <v>8524</v>
      </c>
      <c r="C4897" s="221" t="s">
        <v>8525</v>
      </c>
    </row>
    <row r="4898" spans="1:3" x14ac:dyDescent="0.25">
      <c r="A4898" s="222">
        <v>500146</v>
      </c>
      <c r="B4898" s="223" t="s">
        <v>8526</v>
      </c>
      <c r="C4898" s="221" t="s">
        <v>8527</v>
      </c>
    </row>
    <row r="4899" spans="1:3" x14ac:dyDescent="0.25">
      <c r="A4899" s="222">
        <v>500147</v>
      </c>
      <c r="B4899" s="223" t="s">
        <v>8528</v>
      </c>
      <c r="C4899" s="221" t="s">
        <v>8529</v>
      </c>
    </row>
    <row r="4900" spans="1:3" x14ac:dyDescent="0.25">
      <c r="A4900" s="222">
        <v>500148</v>
      </c>
      <c r="B4900" s="223" t="s">
        <v>8530</v>
      </c>
      <c r="C4900" s="221" t="s">
        <v>8531</v>
      </c>
    </row>
    <row r="4901" spans="1:3" x14ac:dyDescent="0.25">
      <c r="A4901" s="222">
        <v>500149</v>
      </c>
      <c r="B4901" s="223" t="s">
        <v>8532</v>
      </c>
      <c r="C4901" s="221" t="s">
        <v>8533</v>
      </c>
    </row>
    <row r="4902" spans="1:3" x14ac:dyDescent="0.25">
      <c r="A4902" s="222">
        <v>500150</v>
      </c>
      <c r="B4902" s="223" t="s">
        <v>8534</v>
      </c>
      <c r="C4902" s="221" t="s">
        <v>8535</v>
      </c>
    </row>
    <row r="4903" spans="1:3" x14ac:dyDescent="0.25">
      <c r="A4903" s="222">
        <v>500151</v>
      </c>
      <c r="B4903" s="223" t="s">
        <v>8536</v>
      </c>
      <c r="C4903" s="221" t="s">
        <v>8537</v>
      </c>
    </row>
    <row r="4904" spans="1:3" x14ac:dyDescent="0.25">
      <c r="A4904" s="222">
        <v>500152</v>
      </c>
      <c r="B4904" s="223" t="s">
        <v>8538</v>
      </c>
      <c r="C4904" s="221" t="s">
        <v>8539</v>
      </c>
    </row>
    <row r="4905" spans="1:3" x14ac:dyDescent="0.25">
      <c r="A4905" s="222">
        <v>500153</v>
      </c>
      <c r="B4905" s="223" t="s">
        <v>8540</v>
      </c>
      <c r="C4905" s="221" t="s">
        <v>8541</v>
      </c>
    </row>
    <row r="4906" spans="1:3" x14ac:dyDescent="0.25">
      <c r="A4906" s="222">
        <v>500154</v>
      </c>
      <c r="B4906" s="223" t="s">
        <v>8542</v>
      </c>
      <c r="C4906" s="221" t="s">
        <v>8543</v>
      </c>
    </row>
    <row r="4907" spans="1:3" x14ac:dyDescent="0.25">
      <c r="A4907" s="222">
        <v>500155</v>
      </c>
      <c r="B4907" s="223" t="s">
        <v>8544</v>
      </c>
      <c r="C4907" s="221" t="s">
        <v>8545</v>
      </c>
    </row>
    <row r="4908" spans="1:3" x14ac:dyDescent="0.25">
      <c r="A4908" s="222">
        <v>500156</v>
      </c>
      <c r="B4908" s="223" t="s">
        <v>8546</v>
      </c>
      <c r="C4908" s="221" t="s">
        <v>8547</v>
      </c>
    </row>
    <row r="4909" spans="1:3" x14ac:dyDescent="0.25">
      <c r="A4909" s="222">
        <v>500157</v>
      </c>
      <c r="B4909" s="223" t="s">
        <v>8548</v>
      </c>
      <c r="C4909" s="221" t="s">
        <v>8549</v>
      </c>
    </row>
    <row r="4910" spans="1:3" x14ac:dyDescent="0.25">
      <c r="A4910" s="222">
        <v>500158</v>
      </c>
      <c r="B4910" s="223" t="s">
        <v>8550</v>
      </c>
      <c r="C4910" s="221" t="s">
        <v>8551</v>
      </c>
    </row>
    <row r="4911" spans="1:3" x14ac:dyDescent="0.25">
      <c r="A4911" s="222">
        <v>500159</v>
      </c>
      <c r="B4911" s="223" t="s">
        <v>8552</v>
      </c>
      <c r="C4911" s="221" t="s">
        <v>8553</v>
      </c>
    </row>
    <row r="4912" spans="1:3" x14ac:dyDescent="0.25">
      <c r="A4912" s="222">
        <v>500160</v>
      </c>
      <c r="B4912" s="223" t="s">
        <v>8554</v>
      </c>
      <c r="C4912" s="221" t="s">
        <v>8555</v>
      </c>
    </row>
    <row r="4913" spans="1:3" x14ac:dyDescent="0.25">
      <c r="A4913" s="222">
        <v>500161</v>
      </c>
      <c r="B4913" s="223" t="s">
        <v>8556</v>
      </c>
      <c r="C4913" s="221" t="s">
        <v>8557</v>
      </c>
    </row>
    <row r="4914" spans="1:3" x14ac:dyDescent="0.25">
      <c r="A4914" s="222">
        <v>500162</v>
      </c>
      <c r="B4914" s="223" t="s">
        <v>8558</v>
      </c>
      <c r="C4914" s="221" t="s">
        <v>8559</v>
      </c>
    </row>
    <row r="4915" spans="1:3" x14ac:dyDescent="0.25">
      <c r="A4915" s="222">
        <v>500163</v>
      </c>
      <c r="B4915" s="223" t="s">
        <v>8560</v>
      </c>
      <c r="C4915" s="221" t="s">
        <v>8561</v>
      </c>
    </row>
    <row r="4916" spans="1:3" x14ac:dyDescent="0.25">
      <c r="A4916" s="222">
        <v>500164</v>
      </c>
      <c r="B4916" s="223" t="s">
        <v>8562</v>
      </c>
      <c r="C4916" s="221" t="s">
        <v>8563</v>
      </c>
    </row>
    <row r="4917" spans="1:3" x14ac:dyDescent="0.25">
      <c r="A4917" s="222">
        <v>500165</v>
      </c>
      <c r="B4917" s="223" t="s">
        <v>8564</v>
      </c>
      <c r="C4917" s="221" t="s">
        <v>8565</v>
      </c>
    </row>
    <row r="4918" spans="1:3" x14ac:dyDescent="0.25">
      <c r="A4918" s="222">
        <v>500166</v>
      </c>
      <c r="B4918" s="223" t="s">
        <v>8566</v>
      </c>
      <c r="C4918" s="221" t="s">
        <v>8567</v>
      </c>
    </row>
    <row r="4919" spans="1:3" x14ac:dyDescent="0.25">
      <c r="A4919" s="222">
        <v>500167</v>
      </c>
      <c r="B4919" s="223" t="s">
        <v>8568</v>
      </c>
      <c r="C4919" s="221" t="s">
        <v>8569</v>
      </c>
    </row>
    <row r="4920" spans="1:3" x14ac:dyDescent="0.25">
      <c r="A4920" s="222">
        <v>500168</v>
      </c>
      <c r="B4920" s="223" t="s">
        <v>8570</v>
      </c>
      <c r="C4920" s="221" t="s">
        <v>8571</v>
      </c>
    </row>
    <row r="4921" spans="1:3" x14ac:dyDescent="0.25">
      <c r="A4921" s="222">
        <v>500169</v>
      </c>
      <c r="B4921" s="223" t="s">
        <v>8572</v>
      </c>
      <c r="C4921" s="221" t="s">
        <v>8573</v>
      </c>
    </row>
    <row r="4922" spans="1:3" x14ac:dyDescent="0.25">
      <c r="A4922" s="222">
        <v>500170</v>
      </c>
      <c r="B4922" s="223" t="s">
        <v>8574</v>
      </c>
      <c r="C4922" s="221" t="s">
        <v>8575</v>
      </c>
    </row>
    <row r="4923" spans="1:3" x14ac:dyDescent="0.25">
      <c r="A4923" s="222">
        <v>500171</v>
      </c>
      <c r="B4923" s="223" t="s">
        <v>8576</v>
      </c>
      <c r="C4923" s="221" t="s">
        <v>8577</v>
      </c>
    </row>
    <row r="4924" spans="1:3" x14ac:dyDescent="0.25">
      <c r="A4924" s="222">
        <v>500172</v>
      </c>
      <c r="B4924" s="223" t="s">
        <v>8578</v>
      </c>
      <c r="C4924" s="221" t="s">
        <v>8579</v>
      </c>
    </row>
    <row r="4925" spans="1:3" x14ac:dyDescent="0.25">
      <c r="A4925" s="222">
        <v>500173</v>
      </c>
      <c r="B4925" s="223" t="s">
        <v>8580</v>
      </c>
      <c r="C4925" s="221" t="s">
        <v>8581</v>
      </c>
    </row>
    <row r="4926" spans="1:3" x14ac:dyDescent="0.25">
      <c r="A4926" s="222">
        <v>500174</v>
      </c>
      <c r="B4926" s="223" t="s">
        <v>8582</v>
      </c>
      <c r="C4926" s="221" t="s">
        <v>8583</v>
      </c>
    </row>
    <row r="4927" spans="1:3" x14ac:dyDescent="0.25">
      <c r="A4927" s="222">
        <v>500175</v>
      </c>
      <c r="B4927" s="223" t="s">
        <v>8584</v>
      </c>
      <c r="C4927" s="221" t="s">
        <v>8585</v>
      </c>
    </row>
    <row r="4928" spans="1:3" x14ac:dyDescent="0.25">
      <c r="A4928" s="222">
        <v>500176</v>
      </c>
      <c r="B4928" s="223" t="s">
        <v>8586</v>
      </c>
      <c r="C4928" s="221" t="s">
        <v>8587</v>
      </c>
    </row>
    <row r="4929" spans="1:3" x14ac:dyDescent="0.25">
      <c r="A4929" s="222">
        <v>500177</v>
      </c>
      <c r="B4929" s="223" t="s">
        <v>8588</v>
      </c>
      <c r="C4929" s="221" t="s">
        <v>8589</v>
      </c>
    </row>
    <row r="4930" spans="1:3" x14ac:dyDescent="0.25">
      <c r="A4930" s="222">
        <v>500178</v>
      </c>
      <c r="B4930" s="223" t="s">
        <v>8590</v>
      </c>
      <c r="C4930" s="221" t="s">
        <v>8591</v>
      </c>
    </row>
    <row r="4931" spans="1:3" x14ac:dyDescent="0.25">
      <c r="A4931" s="222">
        <v>500179</v>
      </c>
      <c r="B4931" s="223" t="s">
        <v>8592</v>
      </c>
      <c r="C4931" s="221" t="s">
        <v>8593</v>
      </c>
    </row>
    <row r="4932" spans="1:3" x14ac:dyDescent="0.25">
      <c r="A4932" s="222">
        <v>500180</v>
      </c>
      <c r="B4932" s="223" t="s">
        <v>8594</v>
      </c>
      <c r="C4932" s="221" t="s">
        <v>8595</v>
      </c>
    </row>
    <row r="4933" spans="1:3" x14ac:dyDescent="0.25">
      <c r="A4933" s="222">
        <v>500181</v>
      </c>
      <c r="B4933" s="223" t="s">
        <v>8596</v>
      </c>
      <c r="C4933" s="221" t="s">
        <v>8597</v>
      </c>
    </row>
    <row r="4934" spans="1:3" x14ac:dyDescent="0.25">
      <c r="A4934" s="222">
        <v>500182</v>
      </c>
      <c r="B4934" s="223" t="s">
        <v>8598</v>
      </c>
      <c r="C4934" s="221" t="s">
        <v>8599</v>
      </c>
    </row>
    <row r="4935" spans="1:3" x14ac:dyDescent="0.25">
      <c r="A4935" s="222">
        <v>500183</v>
      </c>
      <c r="B4935" s="223" t="s">
        <v>8600</v>
      </c>
      <c r="C4935" s="221" t="s">
        <v>8601</v>
      </c>
    </row>
    <row r="4936" spans="1:3" x14ac:dyDescent="0.25">
      <c r="A4936" s="222">
        <v>500184</v>
      </c>
      <c r="B4936" s="223" t="s">
        <v>8602</v>
      </c>
      <c r="C4936" s="221" t="s">
        <v>8603</v>
      </c>
    </row>
    <row r="4937" spans="1:3" x14ac:dyDescent="0.25">
      <c r="A4937" s="222">
        <v>500185</v>
      </c>
      <c r="B4937" s="223" t="s">
        <v>8604</v>
      </c>
      <c r="C4937" s="221" t="s">
        <v>8605</v>
      </c>
    </row>
    <row r="4938" spans="1:3" x14ac:dyDescent="0.25">
      <c r="A4938" s="222">
        <v>500186</v>
      </c>
      <c r="B4938" s="223" t="s">
        <v>8606</v>
      </c>
      <c r="C4938" s="221" t="s">
        <v>8607</v>
      </c>
    </row>
    <row r="4939" spans="1:3" x14ac:dyDescent="0.25">
      <c r="A4939" s="222">
        <v>500187</v>
      </c>
      <c r="B4939" s="223" t="s">
        <v>8608</v>
      </c>
      <c r="C4939" s="221" t="s">
        <v>8609</v>
      </c>
    </row>
    <row r="4940" spans="1:3" x14ac:dyDescent="0.25">
      <c r="A4940" s="222">
        <v>500188</v>
      </c>
      <c r="B4940" s="223" t="s">
        <v>8610</v>
      </c>
      <c r="C4940" s="221" t="s">
        <v>8611</v>
      </c>
    </row>
    <row r="4941" spans="1:3" x14ac:dyDescent="0.25">
      <c r="A4941" s="222">
        <v>500189</v>
      </c>
      <c r="B4941" s="223" t="s">
        <v>8612</v>
      </c>
      <c r="C4941" s="221" t="s">
        <v>8613</v>
      </c>
    </row>
    <row r="4942" spans="1:3" x14ac:dyDescent="0.25">
      <c r="A4942" s="222">
        <v>500190</v>
      </c>
      <c r="B4942" s="223" t="s">
        <v>8614</v>
      </c>
      <c r="C4942" s="221" t="s">
        <v>8615</v>
      </c>
    </row>
    <row r="4943" spans="1:3" x14ac:dyDescent="0.25">
      <c r="A4943" s="222">
        <v>500191</v>
      </c>
      <c r="B4943" s="223" t="s">
        <v>8616</v>
      </c>
      <c r="C4943" s="221" t="s">
        <v>8617</v>
      </c>
    </row>
    <row r="4944" spans="1:3" x14ac:dyDescent="0.25">
      <c r="A4944" s="222">
        <v>500192</v>
      </c>
      <c r="B4944" s="223" t="s">
        <v>8618</v>
      </c>
      <c r="C4944" s="221" t="s">
        <v>8619</v>
      </c>
    </row>
    <row r="4945" spans="1:3" x14ac:dyDescent="0.25">
      <c r="A4945" s="222">
        <v>500193</v>
      </c>
      <c r="B4945" s="223" t="s">
        <v>8620</v>
      </c>
      <c r="C4945" s="221" t="s">
        <v>8621</v>
      </c>
    </row>
    <row r="4946" spans="1:3" x14ac:dyDescent="0.25">
      <c r="A4946" s="222">
        <v>500194</v>
      </c>
      <c r="B4946" s="223" t="s">
        <v>8622</v>
      </c>
      <c r="C4946" s="221" t="s">
        <v>8623</v>
      </c>
    </row>
    <row r="4947" spans="1:3" x14ac:dyDescent="0.25">
      <c r="A4947" s="222">
        <v>500195</v>
      </c>
      <c r="B4947" s="223" t="s">
        <v>8624</v>
      </c>
      <c r="C4947" s="221" t="s">
        <v>8625</v>
      </c>
    </row>
    <row r="4948" spans="1:3" x14ac:dyDescent="0.25">
      <c r="A4948" s="222">
        <v>500196</v>
      </c>
      <c r="B4948" s="223" t="s">
        <v>8626</v>
      </c>
      <c r="C4948" s="221" t="s">
        <v>8627</v>
      </c>
    </row>
    <row r="4949" spans="1:3" x14ac:dyDescent="0.25">
      <c r="A4949" s="222">
        <v>500197</v>
      </c>
      <c r="B4949" s="223" t="s">
        <v>8628</v>
      </c>
      <c r="C4949" s="221" t="s">
        <v>8629</v>
      </c>
    </row>
    <row r="4950" spans="1:3" x14ac:dyDescent="0.25">
      <c r="A4950" s="222">
        <v>500198</v>
      </c>
      <c r="B4950" s="223" t="s">
        <v>8630</v>
      </c>
      <c r="C4950" s="221" t="s">
        <v>8631</v>
      </c>
    </row>
    <row r="4951" spans="1:3" x14ac:dyDescent="0.25">
      <c r="A4951" s="222">
        <v>500199</v>
      </c>
      <c r="B4951" s="223" t="s">
        <v>8632</v>
      </c>
      <c r="C4951" s="221" t="s">
        <v>8633</v>
      </c>
    </row>
    <row r="4952" spans="1:3" x14ac:dyDescent="0.25">
      <c r="A4952" s="222">
        <v>500200</v>
      </c>
      <c r="B4952" s="223" t="s">
        <v>8634</v>
      </c>
      <c r="C4952" s="221" t="s">
        <v>8635</v>
      </c>
    </row>
    <row r="4953" spans="1:3" x14ac:dyDescent="0.25">
      <c r="A4953" s="222">
        <v>500201</v>
      </c>
      <c r="B4953" s="223" t="s">
        <v>8636</v>
      </c>
      <c r="C4953" s="221" t="s">
        <v>8637</v>
      </c>
    </row>
    <row r="4954" spans="1:3" x14ac:dyDescent="0.25">
      <c r="A4954" s="222">
        <v>500202</v>
      </c>
      <c r="B4954" s="223" t="s">
        <v>8638</v>
      </c>
      <c r="C4954" s="221" t="s">
        <v>8639</v>
      </c>
    </row>
    <row r="4955" spans="1:3" x14ac:dyDescent="0.25">
      <c r="A4955" s="222">
        <v>500203</v>
      </c>
      <c r="B4955" s="223" t="s">
        <v>8640</v>
      </c>
      <c r="C4955" s="221" t="s">
        <v>8641</v>
      </c>
    </row>
    <row r="4956" spans="1:3" x14ac:dyDescent="0.25">
      <c r="A4956" s="222">
        <v>500204</v>
      </c>
      <c r="B4956" s="223" t="s">
        <v>8642</v>
      </c>
      <c r="C4956" s="221" t="s">
        <v>8643</v>
      </c>
    </row>
    <row r="4957" spans="1:3" x14ac:dyDescent="0.25">
      <c r="A4957" s="222">
        <v>500205</v>
      </c>
      <c r="B4957" s="223" t="s">
        <v>8644</v>
      </c>
      <c r="C4957" s="221" t="s">
        <v>8645</v>
      </c>
    </row>
    <row r="4958" spans="1:3" x14ac:dyDescent="0.25">
      <c r="A4958" s="222">
        <v>500206</v>
      </c>
      <c r="B4958" s="223" t="s">
        <v>8646</v>
      </c>
      <c r="C4958" s="221" t="s">
        <v>8647</v>
      </c>
    </row>
    <row r="4959" spans="1:3" x14ac:dyDescent="0.25">
      <c r="A4959" s="222">
        <v>500207</v>
      </c>
      <c r="B4959" s="223" t="s">
        <v>8648</v>
      </c>
      <c r="C4959" s="221" t="s">
        <v>8649</v>
      </c>
    </row>
    <row r="4960" spans="1:3" x14ac:dyDescent="0.25">
      <c r="A4960" s="222">
        <v>500208</v>
      </c>
      <c r="B4960" s="223" t="s">
        <v>8650</v>
      </c>
      <c r="C4960" s="221" t="s">
        <v>8651</v>
      </c>
    </row>
    <row r="4961" spans="1:3" x14ac:dyDescent="0.25">
      <c r="A4961" s="222">
        <v>500209</v>
      </c>
      <c r="B4961" s="223" t="s">
        <v>8652</v>
      </c>
      <c r="C4961" s="221" t="s">
        <v>8653</v>
      </c>
    </row>
    <row r="4962" spans="1:3" x14ac:dyDescent="0.25">
      <c r="A4962" s="222">
        <v>500210</v>
      </c>
      <c r="B4962" s="223" t="s">
        <v>8654</v>
      </c>
      <c r="C4962" s="221" t="s">
        <v>8655</v>
      </c>
    </row>
    <row r="4963" spans="1:3" x14ac:dyDescent="0.25">
      <c r="A4963" s="222">
        <v>500211</v>
      </c>
      <c r="B4963" s="223" t="s">
        <v>8656</v>
      </c>
      <c r="C4963" s="221" t="s">
        <v>8657</v>
      </c>
    </row>
    <row r="4964" spans="1:3" x14ac:dyDescent="0.25">
      <c r="A4964" s="222">
        <v>500212</v>
      </c>
      <c r="B4964" s="223" t="s">
        <v>8658</v>
      </c>
      <c r="C4964" s="221" t="s">
        <v>8659</v>
      </c>
    </row>
    <row r="4965" spans="1:3" x14ac:dyDescent="0.25">
      <c r="A4965" s="222">
        <v>500213</v>
      </c>
      <c r="B4965" s="223" t="s">
        <v>8660</v>
      </c>
      <c r="C4965" s="221" t="s">
        <v>8661</v>
      </c>
    </row>
    <row r="4966" spans="1:3" x14ac:dyDescent="0.25">
      <c r="A4966" s="222">
        <v>500214</v>
      </c>
      <c r="B4966" s="223" t="s">
        <v>8662</v>
      </c>
      <c r="C4966" s="221" t="s">
        <v>8663</v>
      </c>
    </row>
    <row r="4967" spans="1:3" x14ac:dyDescent="0.25">
      <c r="A4967" s="222">
        <v>500215</v>
      </c>
      <c r="B4967" s="223" t="s">
        <v>8664</v>
      </c>
      <c r="C4967" s="221" t="s">
        <v>8665</v>
      </c>
    </row>
    <row r="4968" spans="1:3" x14ac:dyDescent="0.25">
      <c r="A4968" s="222">
        <v>500216</v>
      </c>
      <c r="B4968" s="223" t="s">
        <v>8666</v>
      </c>
      <c r="C4968" s="221" t="s">
        <v>8667</v>
      </c>
    </row>
    <row r="4969" spans="1:3" x14ac:dyDescent="0.25">
      <c r="A4969" s="222">
        <v>500217</v>
      </c>
      <c r="B4969" s="223" t="s">
        <v>8668</v>
      </c>
      <c r="C4969" s="221" t="s">
        <v>8669</v>
      </c>
    </row>
    <row r="4970" spans="1:3" x14ac:dyDescent="0.25">
      <c r="A4970" s="222">
        <v>500218</v>
      </c>
      <c r="B4970" s="223" t="s">
        <v>8670</v>
      </c>
      <c r="C4970" s="221" t="s">
        <v>8671</v>
      </c>
    </row>
    <row r="4971" spans="1:3" x14ac:dyDescent="0.25">
      <c r="A4971" s="222">
        <v>500219</v>
      </c>
      <c r="B4971" s="223" t="s">
        <v>8672</v>
      </c>
      <c r="C4971" s="221" t="s">
        <v>8673</v>
      </c>
    </row>
    <row r="4972" spans="1:3" x14ac:dyDescent="0.25">
      <c r="A4972" s="222">
        <v>500220</v>
      </c>
      <c r="B4972" s="223" t="s">
        <v>8674</v>
      </c>
      <c r="C4972" s="221" t="s">
        <v>8675</v>
      </c>
    </row>
    <row r="4973" spans="1:3" x14ac:dyDescent="0.25">
      <c r="A4973" s="222">
        <v>500221</v>
      </c>
      <c r="B4973" s="223" t="s">
        <v>8676</v>
      </c>
      <c r="C4973" s="221" t="s">
        <v>8677</v>
      </c>
    </row>
    <row r="4974" spans="1:3" x14ac:dyDescent="0.25">
      <c r="A4974" s="222">
        <v>500222</v>
      </c>
      <c r="B4974" s="223" t="s">
        <v>8678</v>
      </c>
      <c r="C4974" s="221" t="s">
        <v>8679</v>
      </c>
    </row>
    <row r="4975" spans="1:3" x14ac:dyDescent="0.25">
      <c r="A4975" s="222">
        <v>500223</v>
      </c>
      <c r="B4975" s="223" t="s">
        <v>8680</v>
      </c>
      <c r="C4975" s="221" t="s">
        <v>8681</v>
      </c>
    </row>
    <row r="4976" spans="1:3" x14ac:dyDescent="0.25">
      <c r="A4976" s="222">
        <v>500224</v>
      </c>
      <c r="B4976" s="223" t="s">
        <v>8682</v>
      </c>
      <c r="C4976" s="221" t="s">
        <v>8683</v>
      </c>
    </row>
    <row r="4977" spans="1:3" x14ac:dyDescent="0.25">
      <c r="A4977" s="222">
        <v>500225</v>
      </c>
      <c r="B4977" s="223" t="s">
        <v>8684</v>
      </c>
      <c r="C4977" s="221" t="s">
        <v>8685</v>
      </c>
    </row>
    <row r="4978" spans="1:3" x14ac:dyDescent="0.25">
      <c r="A4978" s="222">
        <v>500226</v>
      </c>
      <c r="B4978" s="223" t="s">
        <v>8686</v>
      </c>
      <c r="C4978" s="221" t="s">
        <v>8687</v>
      </c>
    </row>
    <row r="4979" spans="1:3" x14ac:dyDescent="0.25">
      <c r="A4979" s="222">
        <v>500227</v>
      </c>
      <c r="B4979" s="223" t="s">
        <v>8688</v>
      </c>
      <c r="C4979" s="221" t="s">
        <v>8689</v>
      </c>
    </row>
    <row r="4980" spans="1:3" x14ac:dyDescent="0.25">
      <c r="A4980" s="222">
        <v>500228</v>
      </c>
      <c r="B4980" s="223" t="s">
        <v>8690</v>
      </c>
      <c r="C4980" s="221" t="s">
        <v>8691</v>
      </c>
    </row>
    <row r="4981" spans="1:3" x14ac:dyDescent="0.25">
      <c r="A4981" s="222">
        <v>500228</v>
      </c>
      <c r="B4981" s="223" t="s">
        <v>8690</v>
      </c>
      <c r="C4981" s="221" t="s">
        <v>8692</v>
      </c>
    </row>
    <row r="4982" spans="1:3" x14ac:dyDescent="0.25">
      <c r="A4982" s="222">
        <v>500229</v>
      </c>
      <c r="B4982" s="223" t="s">
        <v>8693</v>
      </c>
      <c r="C4982" s="221" t="s">
        <v>8694</v>
      </c>
    </row>
    <row r="4983" spans="1:3" x14ac:dyDescent="0.25">
      <c r="A4983" s="222">
        <v>500229</v>
      </c>
      <c r="B4983" s="223" t="s">
        <v>8693</v>
      </c>
      <c r="C4983" s="221" t="s">
        <v>8695</v>
      </c>
    </row>
    <row r="4984" spans="1:3" x14ac:dyDescent="0.25">
      <c r="A4984" s="222">
        <v>500230</v>
      </c>
      <c r="B4984" s="223" t="s">
        <v>8696</v>
      </c>
      <c r="C4984" s="221" t="s">
        <v>8697</v>
      </c>
    </row>
    <row r="4985" spans="1:3" x14ac:dyDescent="0.25">
      <c r="A4985" s="222">
        <v>500230</v>
      </c>
      <c r="B4985" s="223" t="s">
        <v>8696</v>
      </c>
      <c r="C4985" s="221" t="s">
        <v>8698</v>
      </c>
    </row>
    <row r="4986" spans="1:3" x14ac:dyDescent="0.25">
      <c r="A4986" s="222">
        <v>500231</v>
      </c>
      <c r="B4986" s="223" t="s">
        <v>8699</v>
      </c>
      <c r="C4986" s="221" t="s">
        <v>8700</v>
      </c>
    </row>
    <row r="4987" spans="1:3" x14ac:dyDescent="0.25">
      <c r="A4987" s="222">
        <v>500231</v>
      </c>
      <c r="B4987" s="223" t="s">
        <v>8699</v>
      </c>
      <c r="C4987" s="221" t="s">
        <v>8701</v>
      </c>
    </row>
    <row r="4988" spans="1:3" x14ac:dyDescent="0.25">
      <c r="A4988" s="222">
        <v>500232</v>
      </c>
      <c r="B4988" s="223" t="s">
        <v>8702</v>
      </c>
      <c r="C4988" s="221" t="s">
        <v>8703</v>
      </c>
    </row>
    <row r="4989" spans="1:3" x14ac:dyDescent="0.25">
      <c r="A4989" s="222">
        <v>500232</v>
      </c>
      <c r="B4989" s="223" t="s">
        <v>8702</v>
      </c>
      <c r="C4989" s="221" t="s">
        <v>8704</v>
      </c>
    </row>
    <row r="4990" spans="1:3" x14ac:dyDescent="0.25">
      <c r="A4990" s="222">
        <v>500233</v>
      </c>
      <c r="B4990" s="223" t="s">
        <v>8705</v>
      </c>
      <c r="C4990" s="221" t="s">
        <v>8706</v>
      </c>
    </row>
    <row r="4991" spans="1:3" x14ac:dyDescent="0.25">
      <c r="A4991" s="222">
        <v>500233</v>
      </c>
      <c r="B4991" s="223" t="s">
        <v>8705</v>
      </c>
      <c r="C4991" s="221" t="s">
        <v>8707</v>
      </c>
    </row>
    <row r="4992" spans="1:3" x14ac:dyDescent="0.25">
      <c r="A4992" s="222">
        <v>500234</v>
      </c>
      <c r="B4992" s="223" t="s">
        <v>8708</v>
      </c>
      <c r="C4992" s="221" t="s">
        <v>8709</v>
      </c>
    </row>
    <row r="4993" spans="1:3" x14ac:dyDescent="0.25">
      <c r="A4993" s="222">
        <v>500234</v>
      </c>
      <c r="B4993" s="223" t="s">
        <v>8708</v>
      </c>
      <c r="C4993" s="221" t="s">
        <v>8710</v>
      </c>
    </row>
    <row r="4994" spans="1:3" x14ac:dyDescent="0.25">
      <c r="A4994" s="222">
        <v>500235</v>
      </c>
      <c r="B4994" s="223" t="s">
        <v>8711</v>
      </c>
      <c r="C4994" s="221" t="s">
        <v>8712</v>
      </c>
    </row>
    <row r="4995" spans="1:3" x14ac:dyDescent="0.25">
      <c r="A4995" s="222">
        <v>500235</v>
      </c>
      <c r="B4995" s="223" t="s">
        <v>8711</v>
      </c>
      <c r="C4995" s="221" t="s">
        <v>8713</v>
      </c>
    </row>
    <row r="4996" spans="1:3" x14ac:dyDescent="0.25">
      <c r="A4996" s="222">
        <v>500236</v>
      </c>
      <c r="B4996" s="223" t="s">
        <v>8714</v>
      </c>
      <c r="C4996" s="221" t="s">
        <v>8715</v>
      </c>
    </row>
    <row r="4997" spans="1:3" x14ac:dyDescent="0.25">
      <c r="A4997" s="222">
        <v>500236</v>
      </c>
      <c r="B4997" s="223" t="s">
        <v>8714</v>
      </c>
      <c r="C4997" s="221" t="s">
        <v>8716</v>
      </c>
    </row>
    <row r="4998" spans="1:3" x14ac:dyDescent="0.25">
      <c r="A4998" s="222">
        <v>500237</v>
      </c>
      <c r="B4998" s="223" t="s">
        <v>8717</v>
      </c>
      <c r="C4998" s="221" t="s">
        <v>8718</v>
      </c>
    </row>
    <row r="4999" spans="1:3" x14ac:dyDescent="0.25">
      <c r="A4999" s="222">
        <v>500237</v>
      </c>
      <c r="B4999" s="223" t="s">
        <v>8717</v>
      </c>
      <c r="C4999" s="221" t="s">
        <v>8719</v>
      </c>
    </row>
    <row r="5000" spans="1:3" x14ac:dyDescent="0.25">
      <c r="A5000" s="222">
        <v>500238</v>
      </c>
      <c r="B5000" s="223" t="s">
        <v>8720</v>
      </c>
      <c r="C5000" s="221" t="s">
        <v>8721</v>
      </c>
    </row>
    <row r="5001" spans="1:3" x14ac:dyDescent="0.25">
      <c r="A5001" s="222">
        <v>500238</v>
      </c>
      <c r="B5001" s="223" t="s">
        <v>8720</v>
      </c>
      <c r="C5001" s="221" t="s">
        <v>8722</v>
      </c>
    </row>
    <row r="5002" spans="1:3" x14ac:dyDescent="0.25">
      <c r="A5002" s="222">
        <v>500239</v>
      </c>
      <c r="B5002" s="223" t="s">
        <v>8723</v>
      </c>
      <c r="C5002" s="221" t="s">
        <v>8724</v>
      </c>
    </row>
    <row r="5003" spans="1:3" x14ac:dyDescent="0.25">
      <c r="A5003" s="222">
        <v>500239</v>
      </c>
      <c r="B5003" s="223" t="s">
        <v>8723</v>
      </c>
      <c r="C5003" s="221" t="s">
        <v>8725</v>
      </c>
    </row>
    <row r="5004" spans="1:3" x14ac:dyDescent="0.25">
      <c r="A5004" s="222">
        <v>500240</v>
      </c>
      <c r="B5004" s="223" t="s">
        <v>8726</v>
      </c>
      <c r="C5004" s="221" t="s">
        <v>8727</v>
      </c>
    </row>
    <row r="5005" spans="1:3" x14ac:dyDescent="0.25">
      <c r="A5005" s="222">
        <v>500240</v>
      </c>
      <c r="B5005" s="223" t="s">
        <v>8726</v>
      </c>
      <c r="C5005" s="221" t="s">
        <v>8728</v>
      </c>
    </row>
    <row r="5006" spans="1:3" x14ac:dyDescent="0.25">
      <c r="A5006" s="222">
        <v>500241</v>
      </c>
      <c r="B5006" s="223" t="s">
        <v>8729</v>
      </c>
      <c r="C5006" s="221" t="s">
        <v>8730</v>
      </c>
    </row>
    <row r="5007" spans="1:3" x14ac:dyDescent="0.25">
      <c r="A5007" s="222">
        <v>500241</v>
      </c>
      <c r="B5007" s="223" t="s">
        <v>8729</v>
      </c>
      <c r="C5007" s="221" t="s">
        <v>8731</v>
      </c>
    </row>
    <row r="5008" spans="1:3" x14ac:dyDescent="0.25">
      <c r="A5008" s="222">
        <v>500242</v>
      </c>
      <c r="B5008" s="223" t="s">
        <v>8732</v>
      </c>
      <c r="C5008" s="221" t="s">
        <v>8733</v>
      </c>
    </row>
    <row r="5009" spans="1:3" x14ac:dyDescent="0.25">
      <c r="A5009" s="222">
        <v>500242</v>
      </c>
      <c r="B5009" s="223" t="s">
        <v>8732</v>
      </c>
      <c r="C5009" s="221" t="s">
        <v>8734</v>
      </c>
    </row>
    <row r="5010" spans="1:3" x14ac:dyDescent="0.25">
      <c r="A5010" s="222">
        <v>500243</v>
      </c>
      <c r="B5010" s="223" t="s">
        <v>8735</v>
      </c>
      <c r="C5010" s="221" t="s">
        <v>8736</v>
      </c>
    </row>
    <row r="5011" spans="1:3" x14ac:dyDescent="0.25">
      <c r="A5011" s="222">
        <v>500243</v>
      </c>
      <c r="B5011" s="223" t="s">
        <v>8735</v>
      </c>
      <c r="C5011" s="221" t="s">
        <v>8737</v>
      </c>
    </row>
    <row r="5012" spans="1:3" x14ac:dyDescent="0.25">
      <c r="A5012" s="222">
        <v>500244</v>
      </c>
      <c r="B5012" s="223" t="s">
        <v>8738</v>
      </c>
      <c r="C5012" s="221" t="s">
        <v>8739</v>
      </c>
    </row>
    <row r="5013" spans="1:3" x14ac:dyDescent="0.25">
      <c r="A5013" s="222">
        <v>500244</v>
      </c>
      <c r="B5013" s="223" t="s">
        <v>8738</v>
      </c>
      <c r="C5013" s="221" t="s">
        <v>8740</v>
      </c>
    </row>
    <row r="5014" spans="1:3" x14ac:dyDescent="0.25">
      <c r="A5014" s="222">
        <v>500245</v>
      </c>
      <c r="B5014" s="223" t="s">
        <v>8741</v>
      </c>
      <c r="C5014" s="221" t="s">
        <v>8742</v>
      </c>
    </row>
    <row r="5015" spans="1:3" x14ac:dyDescent="0.25">
      <c r="A5015" s="222">
        <v>500245</v>
      </c>
      <c r="B5015" s="223" t="s">
        <v>8741</v>
      </c>
      <c r="C5015" s="221" t="s">
        <v>8743</v>
      </c>
    </row>
    <row r="5016" spans="1:3" x14ac:dyDescent="0.25">
      <c r="A5016" s="222">
        <v>500246</v>
      </c>
      <c r="B5016" s="223" t="s">
        <v>8744</v>
      </c>
      <c r="C5016" s="221" t="s">
        <v>8745</v>
      </c>
    </row>
    <row r="5017" spans="1:3" x14ac:dyDescent="0.25">
      <c r="A5017" s="222">
        <v>500246</v>
      </c>
      <c r="B5017" s="223" t="s">
        <v>8744</v>
      </c>
      <c r="C5017" s="221" t="s">
        <v>8746</v>
      </c>
    </row>
    <row r="5018" spans="1:3" x14ac:dyDescent="0.25">
      <c r="A5018" s="222">
        <v>500247</v>
      </c>
      <c r="B5018" s="223" t="s">
        <v>8747</v>
      </c>
      <c r="C5018" s="221" t="s">
        <v>8748</v>
      </c>
    </row>
    <row r="5019" spans="1:3" x14ac:dyDescent="0.25">
      <c r="A5019" s="222">
        <v>500247</v>
      </c>
      <c r="B5019" s="223" t="s">
        <v>8747</v>
      </c>
      <c r="C5019" s="221" t="s">
        <v>8749</v>
      </c>
    </row>
    <row r="5020" spans="1:3" x14ac:dyDescent="0.25">
      <c r="A5020" s="222">
        <v>500248</v>
      </c>
      <c r="B5020" s="223" t="s">
        <v>8750</v>
      </c>
      <c r="C5020" s="221" t="s">
        <v>8751</v>
      </c>
    </row>
    <row r="5021" spans="1:3" x14ac:dyDescent="0.25">
      <c r="A5021" s="222">
        <v>500248</v>
      </c>
      <c r="B5021" s="223" t="s">
        <v>8750</v>
      </c>
      <c r="C5021" s="221" t="s">
        <v>8752</v>
      </c>
    </row>
    <row r="5022" spans="1:3" x14ac:dyDescent="0.25">
      <c r="A5022" s="222">
        <v>500249</v>
      </c>
      <c r="B5022" s="223" t="s">
        <v>8753</v>
      </c>
      <c r="C5022" s="221" t="s">
        <v>8754</v>
      </c>
    </row>
    <row r="5023" spans="1:3" x14ac:dyDescent="0.25">
      <c r="A5023" s="222">
        <v>500249</v>
      </c>
      <c r="B5023" s="223" t="s">
        <v>8753</v>
      </c>
      <c r="C5023" s="221" t="s">
        <v>8755</v>
      </c>
    </row>
    <row r="5024" spans="1:3" x14ac:dyDescent="0.25">
      <c r="A5024" s="222">
        <v>500250</v>
      </c>
      <c r="B5024" s="223" t="s">
        <v>8756</v>
      </c>
      <c r="C5024" s="221" t="s">
        <v>8757</v>
      </c>
    </row>
    <row r="5025" spans="1:3" x14ac:dyDescent="0.25">
      <c r="A5025" s="222">
        <v>500250</v>
      </c>
      <c r="B5025" s="223" t="s">
        <v>8756</v>
      </c>
      <c r="C5025" s="221" t="s">
        <v>8758</v>
      </c>
    </row>
    <row r="5026" spans="1:3" x14ac:dyDescent="0.25">
      <c r="A5026" s="222">
        <v>500251</v>
      </c>
      <c r="B5026" s="223" t="s">
        <v>8759</v>
      </c>
      <c r="C5026" s="221" t="s">
        <v>8760</v>
      </c>
    </row>
    <row r="5027" spans="1:3" x14ac:dyDescent="0.25">
      <c r="A5027" s="222">
        <v>500251</v>
      </c>
      <c r="B5027" s="223" t="s">
        <v>8759</v>
      </c>
      <c r="C5027" s="221" t="s">
        <v>8761</v>
      </c>
    </row>
    <row r="5028" spans="1:3" x14ac:dyDescent="0.25">
      <c r="A5028" s="222">
        <v>500252</v>
      </c>
      <c r="B5028" s="223" t="s">
        <v>8762</v>
      </c>
      <c r="C5028" s="221" t="s">
        <v>8763</v>
      </c>
    </row>
    <row r="5029" spans="1:3" x14ac:dyDescent="0.25">
      <c r="A5029" s="222">
        <v>500252</v>
      </c>
      <c r="B5029" s="223" t="s">
        <v>8762</v>
      </c>
      <c r="C5029" s="221" t="s">
        <v>8764</v>
      </c>
    </row>
    <row r="5030" spans="1:3" x14ac:dyDescent="0.25">
      <c r="A5030" s="222">
        <v>500253</v>
      </c>
      <c r="B5030" s="223" t="s">
        <v>8765</v>
      </c>
      <c r="C5030" s="221" t="s">
        <v>8766</v>
      </c>
    </row>
    <row r="5031" spans="1:3" x14ac:dyDescent="0.25">
      <c r="A5031" s="222">
        <v>500253</v>
      </c>
      <c r="B5031" s="223" t="s">
        <v>8765</v>
      </c>
      <c r="C5031" s="221" t="s">
        <v>8767</v>
      </c>
    </row>
    <row r="5032" spans="1:3" x14ac:dyDescent="0.25">
      <c r="A5032" s="222">
        <v>500254</v>
      </c>
      <c r="B5032" s="223" t="s">
        <v>8768</v>
      </c>
      <c r="C5032" s="221" t="s">
        <v>8769</v>
      </c>
    </row>
    <row r="5033" spans="1:3" x14ac:dyDescent="0.25">
      <c r="A5033" s="222">
        <v>500254</v>
      </c>
      <c r="B5033" s="223" t="s">
        <v>8768</v>
      </c>
      <c r="C5033" s="221" t="s">
        <v>8770</v>
      </c>
    </row>
    <row r="5034" spans="1:3" x14ac:dyDescent="0.25">
      <c r="A5034" s="222">
        <v>500255</v>
      </c>
      <c r="B5034" s="223" t="s">
        <v>8771</v>
      </c>
      <c r="C5034" s="221" t="s">
        <v>8772</v>
      </c>
    </row>
    <row r="5035" spans="1:3" x14ac:dyDescent="0.25">
      <c r="A5035" s="222">
        <v>500255</v>
      </c>
      <c r="B5035" s="223" t="s">
        <v>8771</v>
      </c>
      <c r="C5035" s="221" t="s">
        <v>8773</v>
      </c>
    </row>
    <row r="5036" spans="1:3" x14ac:dyDescent="0.25">
      <c r="A5036" s="222">
        <v>500256</v>
      </c>
      <c r="B5036" s="223" t="s">
        <v>8774</v>
      </c>
      <c r="C5036" s="221" t="s">
        <v>8775</v>
      </c>
    </row>
    <row r="5037" spans="1:3" x14ac:dyDescent="0.25">
      <c r="A5037" s="222">
        <v>500256</v>
      </c>
      <c r="B5037" s="223" t="s">
        <v>8774</v>
      </c>
      <c r="C5037" s="221" t="s">
        <v>8776</v>
      </c>
    </row>
    <row r="5038" spans="1:3" x14ac:dyDescent="0.25">
      <c r="A5038" s="222">
        <v>500257</v>
      </c>
      <c r="B5038" s="223" t="s">
        <v>8777</v>
      </c>
      <c r="C5038" s="221" t="s">
        <v>8778</v>
      </c>
    </row>
    <row r="5039" spans="1:3" x14ac:dyDescent="0.25">
      <c r="A5039" s="222">
        <v>500257</v>
      </c>
      <c r="B5039" s="223" t="s">
        <v>8777</v>
      </c>
      <c r="C5039" s="221" t="s">
        <v>8779</v>
      </c>
    </row>
    <row r="5040" spans="1:3" x14ac:dyDescent="0.25">
      <c r="A5040" s="222">
        <v>500258</v>
      </c>
      <c r="B5040" s="223" t="s">
        <v>8780</v>
      </c>
      <c r="C5040" s="221" t="s">
        <v>8781</v>
      </c>
    </row>
    <row r="5041" spans="1:3" x14ac:dyDescent="0.25">
      <c r="A5041" s="222">
        <v>500258</v>
      </c>
      <c r="B5041" s="223" t="s">
        <v>8780</v>
      </c>
      <c r="C5041" s="221" t="s">
        <v>8782</v>
      </c>
    </row>
    <row r="5042" spans="1:3" x14ac:dyDescent="0.25">
      <c r="A5042" s="222">
        <v>500259</v>
      </c>
      <c r="B5042" s="223" t="s">
        <v>8783</v>
      </c>
      <c r="C5042" s="221" t="s">
        <v>8784</v>
      </c>
    </row>
    <row r="5043" spans="1:3" x14ac:dyDescent="0.25">
      <c r="A5043" s="222">
        <v>500259</v>
      </c>
      <c r="B5043" s="223" t="s">
        <v>8783</v>
      </c>
      <c r="C5043" s="221" t="s">
        <v>8785</v>
      </c>
    </row>
    <row r="5044" spans="1:3" x14ac:dyDescent="0.25">
      <c r="A5044" s="222">
        <v>500260</v>
      </c>
      <c r="B5044" s="223" t="s">
        <v>8786</v>
      </c>
      <c r="C5044" s="221" t="s">
        <v>8787</v>
      </c>
    </row>
    <row r="5045" spans="1:3" x14ac:dyDescent="0.25">
      <c r="A5045" s="222">
        <v>500260</v>
      </c>
      <c r="B5045" s="223" t="s">
        <v>8786</v>
      </c>
      <c r="C5045" s="221" t="s">
        <v>8788</v>
      </c>
    </row>
    <row r="5046" spans="1:3" x14ac:dyDescent="0.25">
      <c r="A5046" s="222">
        <v>500261</v>
      </c>
      <c r="B5046" s="223" t="s">
        <v>8789</v>
      </c>
      <c r="C5046" s="221" t="s">
        <v>8790</v>
      </c>
    </row>
    <row r="5047" spans="1:3" x14ac:dyDescent="0.25">
      <c r="A5047" s="222">
        <v>500261</v>
      </c>
      <c r="B5047" s="223" t="s">
        <v>8789</v>
      </c>
      <c r="C5047" s="221" t="s">
        <v>8791</v>
      </c>
    </row>
    <row r="5048" spans="1:3" x14ac:dyDescent="0.25">
      <c r="A5048" s="222">
        <v>500262</v>
      </c>
      <c r="B5048" s="223" t="s">
        <v>8792</v>
      </c>
      <c r="C5048" s="221" t="s">
        <v>8793</v>
      </c>
    </row>
    <row r="5049" spans="1:3" x14ac:dyDescent="0.25">
      <c r="A5049" s="222">
        <v>500262</v>
      </c>
      <c r="B5049" s="223" t="s">
        <v>8792</v>
      </c>
      <c r="C5049" s="221" t="s">
        <v>8794</v>
      </c>
    </row>
    <row r="5050" spans="1:3" x14ac:dyDescent="0.25">
      <c r="A5050" s="222">
        <v>500263</v>
      </c>
      <c r="B5050" s="223" t="s">
        <v>8795</v>
      </c>
      <c r="C5050" s="221" t="s">
        <v>8796</v>
      </c>
    </row>
    <row r="5051" spans="1:3" x14ac:dyDescent="0.25">
      <c r="A5051" s="222">
        <v>500263</v>
      </c>
      <c r="B5051" s="223" t="s">
        <v>8795</v>
      </c>
      <c r="C5051" s="221" t="s">
        <v>8797</v>
      </c>
    </row>
    <row r="5052" spans="1:3" x14ac:dyDescent="0.25">
      <c r="A5052" s="222">
        <v>500264</v>
      </c>
      <c r="B5052" s="223" t="s">
        <v>8798</v>
      </c>
      <c r="C5052" s="221" t="s">
        <v>8799</v>
      </c>
    </row>
    <row r="5053" spans="1:3" x14ac:dyDescent="0.25">
      <c r="A5053" s="222">
        <v>500264</v>
      </c>
      <c r="B5053" s="223" t="s">
        <v>8798</v>
      </c>
      <c r="C5053" s="221" t="s">
        <v>8800</v>
      </c>
    </row>
    <row r="5054" spans="1:3" x14ac:dyDescent="0.25">
      <c r="A5054" s="222">
        <v>500265</v>
      </c>
      <c r="B5054" s="223" t="s">
        <v>8801</v>
      </c>
      <c r="C5054" s="221" t="s">
        <v>8802</v>
      </c>
    </row>
    <row r="5055" spans="1:3" x14ac:dyDescent="0.25">
      <c r="A5055" s="222">
        <v>500265</v>
      </c>
      <c r="B5055" s="223" t="s">
        <v>8801</v>
      </c>
      <c r="C5055" s="221" t="s">
        <v>8803</v>
      </c>
    </row>
    <row r="5056" spans="1:3" x14ac:dyDescent="0.25">
      <c r="A5056" s="222">
        <v>500266</v>
      </c>
      <c r="B5056" s="223" t="s">
        <v>8804</v>
      </c>
      <c r="C5056" s="221" t="s">
        <v>8805</v>
      </c>
    </row>
    <row r="5057" spans="1:3" x14ac:dyDescent="0.25">
      <c r="A5057" s="222">
        <v>500266</v>
      </c>
      <c r="B5057" s="223" t="s">
        <v>8804</v>
      </c>
      <c r="C5057" s="221" t="s">
        <v>8806</v>
      </c>
    </row>
    <row r="5058" spans="1:3" x14ac:dyDescent="0.25">
      <c r="A5058" s="222">
        <v>500267</v>
      </c>
      <c r="B5058" s="223" t="s">
        <v>8807</v>
      </c>
      <c r="C5058" s="221" t="s">
        <v>8808</v>
      </c>
    </row>
    <row r="5059" spans="1:3" x14ac:dyDescent="0.25">
      <c r="A5059" s="222">
        <v>500267</v>
      </c>
      <c r="B5059" s="223" t="s">
        <v>8807</v>
      </c>
      <c r="C5059" s="221" t="s">
        <v>8809</v>
      </c>
    </row>
    <row r="5060" spans="1:3" x14ac:dyDescent="0.25">
      <c r="A5060" s="222">
        <v>500268</v>
      </c>
      <c r="B5060" s="223" t="s">
        <v>8810</v>
      </c>
      <c r="C5060" s="221" t="s">
        <v>8811</v>
      </c>
    </row>
    <row r="5061" spans="1:3" x14ac:dyDescent="0.25">
      <c r="A5061" s="222">
        <v>500268</v>
      </c>
      <c r="B5061" s="223" t="s">
        <v>8810</v>
      </c>
      <c r="C5061" s="221" t="s">
        <v>8812</v>
      </c>
    </row>
    <row r="5062" spans="1:3" x14ac:dyDescent="0.25">
      <c r="A5062" s="222">
        <v>500269</v>
      </c>
      <c r="B5062" s="223" t="s">
        <v>8813</v>
      </c>
      <c r="C5062" s="221" t="s">
        <v>8814</v>
      </c>
    </row>
    <row r="5063" spans="1:3" x14ac:dyDescent="0.25">
      <c r="A5063" s="222">
        <v>500269</v>
      </c>
      <c r="B5063" s="223" t="s">
        <v>8813</v>
      </c>
      <c r="C5063" s="221" t="s">
        <v>8815</v>
      </c>
    </row>
    <row r="5064" spans="1:3" x14ac:dyDescent="0.25">
      <c r="A5064" s="222">
        <v>500270</v>
      </c>
      <c r="B5064" s="223" t="s">
        <v>8816</v>
      </c>
      <c r="C5064" s="221" t="s">
        <v>8817</v>
      </c>
    </row>
    <row r="5065" spans="1:3" x14ac:dyDescent="0.25">
      <c r="A5065" s="222">
        <v>500270</v>
      </c>
      <c r="B5065" s="223" t="s">
        <v>8816</v>
      </c>
      <c r="C5065" s="221" t="s">
        <v>8818</v>
      </c>
    </row>
    <row r="5066" spans="1:3" x14ac:dyDescent="0.25">
      <c r="A5066" s="222">
        <v>500271</v>
      </c>
      <c r="B5066" s="223" t="s">
        <v>8819</v>
      </c>
      <c r="C5066" s="221" t="s">
        <v>8820</v>
      </c>
    </row>
    <row r="5067" spans="1:3" x14ac:dyDescent="0.25">
      <c r="A5067" s="222">
        <v>500271</v>
      </c>
      <c r="B5067" s="223" t="s">
        <v>8819</v>
      </c>
      <c r="C5067" s="221" t="s">
        <v>8821</v>
      </c>
    </row>
    <row r="5068" spans="1:3" x14ac:dyDescent="0.25">
      <c r="A5068" s="222">
        <v>500272</v>
      </c>
      <c r="B5068" s="223" t="s">
        <v>8822</v>
      </c>
      <c r="C5068" s="221" t="s">
        <v>8823</v>
      </c>
    </row>
    <row r="5069" spans="1:3" x14ac:dyDescent="0.25">
      <c r="A5069" s="222">
        <v>500272</v>
      </c>
      <c r="B5069" s="223" t="s">
        <v>8822</v>
      </c>
      <c r="C5069" s="221" t="s">
        <v>8824</v>
      </c>
    </row>
    <row r="5070" spans="1:3" x14ac:dyDescent="0.25">
      <c r="A5070" s="222">
        <v>500273</v>
      </c>
      <c r="B5070" s="223" t="s">
        <v>8825</v>
      </c>
      <c r="C5070" s="221" t="s">
        <v>8826</v>
      </c>
    </row>
    <row r="5071" spans="1:3" x14ac:dyDescent="0.25">
      <c r="A5071" s="222">
        <v>500273</v>
      </c>
      <c r="B5071" s="223" t="s">
        <v>8825</v>
      </c>
      <c r="C5071" s="221" t="s">
        <v>8827</v>
      </c>
    </row>
    <row r="5072" spans="1:3" x14ac:dyDescent="0.25">
      <c r="A5072" s="222">
        <v>500274</v>
      </c>
      <c r="B5072" s="223" t="s">
        <v>8828</v>
      </c>
      <c r="C5072" s="221" t="s">
        <v>8829</v>
      </c>
    </row>
    <row r="5073" spans="1:3" x14ac:dyDescent="0.25">
      <c r="A5073" s="222">
        <v>500274</v>
      </c>
      <c r="B5073" s="223" t="s">
        <v>8828</v>
      </c>
      <c r="C5073" s="221" t="s">
        <v>8830</v>
      </c>
    </row>
    <row r="5074" spans="1:3" x14ac:dyDescent="0.25">
      <c r="A5074" s="222">
        <v>500275</v>
      </c>
      <c r="B5074" s="223" t="s">
        <v>8831</v>
      </c>
      <c r="C5074" s="221" t="s">
        <v>8832</v>
      </c>
    </row>
    <row r="5075" spans="1:3" x14ac:dyDescent="0.25">
      <c r="A5075" s="222">
        <v>500275</v>
      </c>
      <c r="B5075" s="223" t="s">
        <v>8831</v>
      </c>
      <c r="C5075" s="221" t="s">
        <v>8833</v>
      </c>
    </row>
    <row r="5076" spans="1:3" x14ac:dyDescent="0.25">
      <c r="A5076" s="222">
        <v>500276</v>
      </c>
      <c r="B5076" s="223" t="s">
        <v>8834</v>
      </c>
      <c r="C5076" s="221" t="s">
        <v>8835</v>
      </c>
    </row>
    <row r="5077" spans="1:3" x14ac:dyDescent="0.25">
      <c r="A5077" s="222">
        <v>500276</v>
      </c>
      <c r="B5077" s="223" t="s">
        <v>8834</v>
      </c>
      <c r="C5077" s="221" t="s">
        <v>8836</v>
      </c>
    </row>
    <row r="5078" spans="1:3" x14ac:dyDescent="0.25">
      <c r="A5078" s="222">
        <v>500277</v>
      </c>
      <c r="B5078" s="223" t="s">
        <v>8837</v>
      </c>
      <c r="C5078" s="221" t="s">
        <v>8838</v>
      </c>
    </row>
    <row r="5079" spans="1:3" x14ac:dyDescent="0.25">
      <c r="A5079" s="222">
        <v>500277</v>
      </c>
      <c r="B5079" s="223" t="s">
        <v>8837</v>
      </c>
      <c r="C5079" s="221" t="s">
        <v>8839</v>
      </c>
    </row>
    <row r="5080" spans="1:3" x14ac:dyDescent="0.25">
      <c r="A5080" s="222">
        <v>500278</v>
      </c>
      <c r="B5080" s="223" t="s">
        <v>8840</v>
      </c>
      <c r="C5080" s="221" t="s">
        <v>8841</v>
      </c>
    </row>
    <row r="5081" spans="1:3" x14ac:dyDescent="0.25">
      <c r="A5081" s="222">
        <v>500278</v>
      </c>
      <c r="B5081" s="223" t="s">
        <v>8840</v>
      </c>
      <c r="C5081" s="221" t="s">
        <v>8842</v>
      </c>
    </row>
    <row r="5082" spans="1:3" x14ac:dyDescent="0.25">
      <c r="A5082" s="222">
        <v>500279</v>
      </c>
      <c r="B5082" s="223" t="s">
        <v>8843</v>
      </c>
      <c r="C5082" s="221" t="s">
        <v>8844</v>
      </c>
    </row>
    <row r="5083" spans="1:3" x14ac:dyDescent="0.25">
      <c r="A5083" s="222">
        <v>500279</v>
      </c>
      <c r="B5083" s="223" t="s">
        <v>8843</v>
      </c>
      <c r="C5083" s="221" t="s">
        <v>8845</v>
      </c>
    </row>
    <row r="5084" spans="1:3" x14ac:dyDescent="0.25">
      <c r="A5084" s="222">
        <v>500280</v>
      </c>
      <c r="B5084" s="223" t="s">
        <v>8846</v>
      </c>
      <c r="C5084" s="221" t="s">
        <v>8847</v>
      </c>
    </row>
    <row r="5085" spans="1:3" x14ac:dyDescent="0.25">
      <c r="A5085" s="222">
        <v>500280</v>
      </c>
      <c r="B5085" s="223" t="s">
        <v>8846</v>
      </c>
      <c r="C5085" s="221" t="s">
        <v>8848</v>
      </c>
    </row>
    <row r="5086" spans="1:3" x14ac:dyDescent="0.25">
      <c r="A5086" s="222">
        <v>500281</v>
      </c>
      <c r="B5086" s="223" t="s">
        <v>8849</v>
      </c>
      <c r="C5086" s="221" t="s">
        <v>8850</v>
      </c>
    </row>
    <row r="5087" spans="1:3" x14ac:dyDescent="0.25">
      <c r="A5087" s="222">
        <v>500281</v>
      </c>
      <c r="B5087" s="223" t="s">
        <v>8849</v>
      </c>
      <c r="C5087" s="221" t="s">
        <v>8851</v>
      </c>
    </row>
    <row r="5088" spans="1:3" x14ac:dyDescent="0.25">
      <c r="A5088" s="222">
        <v>500282</v>
      </c>
      <c r="B5088" s="223" t="s">
        <v>8852</v>
      </c>
      <c r="C5088" s="221" t="s">
        <v>8853</v>
      </c>
    </row>
    <row r="5089" spans="1:3" x14ac:dyDescent="0.25">
      <c r="A5089" s="222">
        <v>500282</v>
      </c>
      <c r="B5089" s="223" t="s">
        <v>8852</v>
      </c>
      <c r="C5089" s="221" t="s">
        <v>8854</v>
      </c>
    </row>
    <row r="5090" spans="1:3" x14ac:dyDescent="0.25">
      <c r="A5090" s="222">
        <v>500283</v>
      </c>
      <c r="B5090" s="223" t="s">
        <v>8855</v>
      </c>
      <c r="C5090" s="221" t="s">
        <v>8856</v>
      </c>
    </row>
    <row r="5091" spans="1:3" x14ac:dyDescent="0.25">
      <c r="A5091" s="222">
        <v>500283</v>
      </c>
      <c r="B5091" s="223" t="s">
        <v>8855</v>
      </c>
      <c r="C5091" s="221" t="s">
        <v>8857</v>
      </c>
    </row>
    <row r="5092" spans="1:3" x14ac:dyDescent="0.25">
      <c r="A5092" s="222">
        <v>500284</v>
      </c>
      <c r="B5092" s="223" t="s">
        <v>8858</v>
      </c>
      <c r="C5092" s="221" t="s">
        <v>8859</v>
      </c>
    </row>
    <row r="5093" spans="1:3" x14ac:dyDescent="0.25">
      <c r="A5093" s="222">
        <v>500284</v>
      </c>
      <c r="B5093" s="223" t="s">
        <v>8858</v>
      </c>
      <c r="C5093" s="221" t="s">
        <v>8860</v>
      </c>
    </row>
    <row r="5094" spans="1:3" x14ac:dyDescent="0.25">
      <c r="A5094" s="222">
        <v>500285</v>
      </c>
      <c r="B5094" s="223" t="s">
        <v>8861</v>
      </c>
      <c r="C5094" s="221" t="s">
        <v>8862</v>
      </c>
    </row>
    <row r="5095" spans="1:3" x14ac:dyDescent="0.25">
      <c r="A5095" s="222">
        <v>500285</v>
      </c>
      <c r="B5095" s="223" t="s">
        <v>8861</v>
      </c>
      <c r="C5095" s="221" t="s">
        <v>8863</v>
      </c>
    </row>
    <row r="5096" spans="1:3" x14ac:dyDescent="0.25">
      <c r="A5096" s="222">
        <v>500286</v>
      </c>
      <c r="B5096" s="223" t="s">
        <v>8864</v>
      </c>
      <c r="C5096" s="221" t="s">
        <v>8865</v>
      </c>
    </row>
    <row r="5097" spans="1:3" x14ac:dyDescent="0.25">
      <c r="A5097" s="222">
        <v>500286</v>
      </c>
      <c r="B5097" s="223" t="s">
        <v>8864</v>
      </c>
      <c r="C5097" s="221" t="s">
        <v>8866</v>
      </c>
    </row>
    <row r="5098" spans="1:3" x14ac:dyDescent="0.25">
      <c r="A5098" s="222">
        <v>500287</v>
      </c>
      <c r="B5098" s="223" t="s">
        <v>8867</v>
      </c>
      <c r="C5098" s="221" t="s">
        <v>8868</v>
      </c>
    </row>
    <row r="5099" spans="1:3" x14ac:dyDescent="0.25">
      <c r="A5099" s="222">
        <v>500287</v>
      </c>
      <c r="B5099" s="223" t="s">
        <v>8867</v>
      </c>
      <c r="C5099" s="221" t="s">
        <v>8869</v>
      </c>
    </row>
    <row r="5100" spans="1:3" x14ac:dyDescent="0.25">
      <c r="A5100" s="222">
        <v>500288</v>
      </c>
      <c r="B5100" s="223" t="s">
        <v>8870</v>
      </c>
      <c r="C5100" s="221" t="s">
        <v>8871</v>
      </c>
    </row>
    <row r="5101" spans="1:3" x14ac:dyDescent="0.25">
      <c r="A5101" s="222">
        <v>500288</v>
      </c>
      <c r="B5101" s="223" t="s">
        <v>8870</v>
      </c>
      <c r="C5101" s="221" t="s">
        <v>8872</v>
      </c>
    </row>
    <row r="5102" spans="1:3" x14ac:dyDescent="0.25">
      <c r="A5102" s="222">
        <v>500289</v>
      </c>
      <c r="B5102" s="223" t="s">
        <v>8873</v>
      </c>
      <c r="C5102" s="221" t="s">
        <v>8874</v>
      </c>
    </row>
    <row r="5103" spans="1:3" x14ac:dyDescent="0.25">
      <c r="A5103" s="222">
        <v>500289</v>
      </c>
      <c r="B5103" s="223" t="s">
        <v>8873</v>
      </c>
      <c r="C5103" s="221" t="s">
        <v>8875</v>
      </c>
    </row>
    <row r="5104" spans="1:3" x14ac:dyDescent="0.25">
      <c r="A5104" s="222">
        <v>500290</v>
      </c>
      <c r="B5104" s="223" t="s">
        <v>8876</v>
      </c>
      <c r="C5104" s="221" t="s">
        <v>8877</v>
      </c>
    </row>
    <row r="5105" spans="1:3" x14ac:dyDescent="0.25">
      <c r="A5105" s="222">
        <v>500290</v>
      </c>
      <c r="B5105" s="223" t="s">
        <v>8876</v>
      </c>
      <c r="C5105" s="221" t="s">
        <v>8878</v>
      </c>
    </row>
    <row r="5106" spans="1:3" x14ac:dyDescent="0.25">
      <c r="A5106" s="222">
        <v>500291</v>
      </c>
      <c r="B5106" s="223" t="s">
        <v>8879</v>
      </c>
      <c r="C5106" s="221" t="s">
        <v>8880</v>
      </c>
    </row>
    <row r="5107" spans="1:3" x14ac:dyDescent="0.25">
      <c r="A5107" s="222">
        <v>500291</v>
      </c>
      <c r="B5107" s="223" t="s">
        <v>8879</v>
      </c>
      <c r="C5107" s="221" t="s">
        <v>8881</v>
      </c>
    </row>
    <row r="5108" spans="1:3" x14ac:dyDescent="0.25">
      <c r="A5108" s="222">
        <v>500292</v>
      </c>
      <c r="B5108" s="223" t="s">
        <v>8882</v>
      </c>
      <c r="C5108" s="221" t="s">
        <v>8883</v>
      </c>
    </row>
    <row r="5109" spans="1:3" x14ac:dyDescent="0.25">
      <c r="A5109" s="222">
        <v>500292</v>
      </c>
      <c r="B5109" s="223" t="s">
        <v>8882</v>
      </c>
      <c r="C5109" s="221" t="s">
        <v>8884</v>
      </c>
    </row>
    <row r="5110" spans="1:3" x14ac:dyDescent="0.25">
      <c r="A5110" s="222">
        <v>500293</v>
      </c>
      <c r="B5110" s="223" t="s">
        <v>8885</v>
      </c>
      <c r="C5110" s="221" t="s">
        <v>8886</v>
      </c>
    </row>
    <row r="5111" spans="1:3" x14ac:dyDescent="0.25">
      <c r="A5111" s="222">
        <v>500293</v>
      </c>
      <c r="B5111" s="223" t="s">
        <v>8885</v>
      </c>
      <c r="C5111" s="221" t="s">
        <v>8887</v>
      </c>
    </row>
    <row r="5112" spans="1:3" x14ac:dyDescent="0.25">
      <c r="A5112" s="222">
        <v>500294</v>
      </c>
      <c r="B5112" s="223" t="s">
        <v>8888</v>
      </c>
      <c r="C5112" s="221" t="s">
        <v>8889</v>
      </c>
    </row>
    <row r="5113" spans="1:3" x14ac:dyDescent="0.25">
      <c r="A5113" s="222">
        <v>500294</v>
      </c>
      <c r="B5113" s="223" t="s">
        <v>8888</v>
      </c>
      <c r="C5113" s="221" t="s">
        <v>8890</v>
      </c>
    </row>
    <row r="5114" spans="1:3" x14ac:dyDescent="0.25">
      <c r="A5114" s="222">
        <v>500295</v>
      </c>
      <c r="B5114" s="223" t="s">
        <v>8891</v>
      </c>
      <c r="C5114" s="221" t="s">
        <v>8892</v>
      </c>
    </row>
    <row r="5115" spans="1:3" x14ac:dyDescent="0.25">
      <c r="A5115" s="222">
        <v>500295</v>
      </c>
      <c r="B5115" s="223" t="s">
        <v>8891</v>
      </c>
      <c r="C5115" s="221" t="s">
        <v>8893</v>
      </c>
    </row>
    <row r="5116" spans="1:3" x14ac:dyDescent="0.25">
      <c r="A5116" s="222">
        <v>500296</v>
      </c>
      <c r="B5116" s="223" t="s">
        <v>8894</v>
      </c>
      <c r="C5116" s="221" t="s">
        <v>8895</v>
      </c>
    </row>
    <row r="5117" spans="1:3" x14ac:dyDescent="0.25">
      <c r="A5117" s="222">
        <v>500296</v>
      </c>
      <c r="B5117" s="223" t="s">
        <v>8894</v>
      </c>
      <c r="C5117" s="221" t="s">
        <v>8896</v>
      </c>
    </row>
    <row r="5118" spans="1:3" x14ac:dyDescent="0.25">
      <c r="A5118" s="222">
        <v>500297</v>
      </c>
      <c r="B5118" s="223" t="s">
        <v>8897</v>
      </c>
      <c r="C5118" s="221" t="s">
        <v>8898</v>
      </c>
    </row>
    <row r="5119" spans="1:3" x14ac:dyDescent="0.25">
      <c r="A5119" s="222">
        <v>500297</v>
      </c>
      <c r="B5119" s="223" t="s">
        <v>8897</v>
      </c>
      <c r="C5119" s="221" t="s">
        <v>8899</v>
      </c>
    </row>
    <row r="5120" spans="1:3" x14ac:dyDescent="0.25">
      <c r="A5120" s="222">
        <v>500298</v>
      </c>
      <c r="B5120" s="223" t="s">
        <v>8900</v>
      </c>
      <c r="C5120" s="221" t="s">
        <v>8901</v>
      </c>
    </row>
    <row r="5121" spans="1:3" x14ac:dyDescent="0.25">
      <c r="A5121" s="222">
        <v>500298</v>
      </c>
      <c r="B5121" s="223" t="s">
        <v>8900</v>
      </c>
      <c r="C5121" s="221" t="s">
        <v>8902</v>
      </c>
    </row>
    <row r="5122" spans="1:3" x14ac:dyDescent="0.25">
      <c r="A5122" s="222">
        <v>500299</v>
      </c>
      <c r="B5122" s="223" t="s">
        <v>8903</v>
      </c>
      <c r="C5122" s="221" t="s">
        <v>8904</v>
      </c>
    </row>
    <row r="5123" spans="1:3" x14ac:dyDescent="0.25">
      <c r="A5123" s="222">
        <v>500299</v>
      </c>
      <c r="B5123" s="223" t="s">
        <v>8903</v>
      </c>
      <c r="C5123" s="221" t="s">
        <v>8905</v>
      </c>
    </row>
    <row r="5124" spans="1:3" x14ac:dyDescent="0.25">
      <c r="A5124" s="222">
        <v>500300</v>
      </c>
      <c r="B5124" s="223" t="s">
        <v>8906</v>
      </c>
      <c r="C5124" s="221" t="s">
        <v>8907</v>
      </c>
    </row>
    <row r="5125" spans="1:3" x14ac:dyDescent="0.25">
      <c r="A5125" s="222">
        <v>500300</v>
      </c>
      <c r="B5125" s="223" t="s">
        <v>8906</v>
      </c>
      <c r="C5125" s="221" t="s">
        <v>8908</v>
      </c>
    </row>
    <row r="5126" spans="1:3" x14ac:dyDescent="0.25">
      <c r="A5126" s="222">
        <v>500301</v>
      </c>
      <c r="B5126" s="223" t="s">
        <v>8909</v>
      </c>
      <c r="C5126" s="221" t="s">
        <v>8910</v>
      </c>
    </row>
    <row r="5127" spans="1:3" x14ac:dyDescent="0.25">
      <c r="A5127" s="222">
        <v>500301</v>
      </c>
      <c r="B5127" s="223" t="s">
        <v>8909</v>
      </c>
      <c r="C5127" s="221" t="s">
        <v>8911</v>
      </c>
    </row>
    <row r="5128" spans="1:3" x14ac:dyDescent="0.25">
      <c r="A5128" s="222">
        <v>500302</v>
      </c>
      <c r="B5128" s="223" t="s">
        <v>8912</v>
      </c>
      <c r="C5128" s="221" t="s">
        <v>8913</v>
      </c>
    </row>
    <row r="5129" spans="1:3" x14ac:dyDescent="0.25">
      <c r="A5129" s="222">
        <v>500302</v>
      </c>
      <c r="B5129" s="223" t="s">
        <v>8912</v>
      </c>
      <c r="C5129" s="221" t="s">
        <v>8914</v>
      </c>
    </row>
    <row r="5130" spans="1:3" x14ac:dyDescent="0.25">
      <c r="A5130" s="222">
        <v>500303</v>
      </c>
      <c r="B5130" s="223" t="s">
        <v>8915</v>
      </c>
      <c r="C5130" s="221" t="s">
        <v>8916</v>
      </c>
    </row>
    <row r="5131" spans="1:3" x14ac:dyDescent="0.25">
      <c r="A5131" s="222">
        <v>500303</v>
      </c>
      <c r="B5131" s="223" t="s">
        <v>8915</v>
      </c>
      <c r="C5131" s="221" t="s">
        <v>8917</v>
      </c>
    </row>
    <row r="5132" spans="1:3" x14ac:dyDescent="0.25">
      <c r="A5132" s="222">
        <v>500304</v>
      </c>
      <c r="B5132" s="223" t="s">
        <v>8918</v>
      </c>
      <c r="C5132" s="221" t="s">
        <v>8919</v>
      </c>
    </row>
    <row r="5133" spans="1:3" x14ac:dyDescent="0.25">
      <c r="A5133" s="222">
        <v>500304</v>
      </c>
      <c r="B5133" s="223" t="s">
        <v>8918</v>
      </c>
      <c r="C5133" s="221" t="s">
        <v>8920</v>
      </c>
    </row>
    <row r="5134" spans="1:3" x14ac:dyDescent="0.25">
      <c r="A5134" s="222">
        <v>500305</v>
      </c>
      <c r="B5134" s="223" t="s">
        <v>8921</v>
      </c>
      <c r="C5134" s="221" t="s">
        <v>8922</v>
      </c>
    </row>
    <row r="5135" spans="1:3" x14ac:dyDescent="0.25">
      <c r="A5135" s="222">
        <v>500305</v>
      </c>
      <c r="B5135" s="223" t="s">
        <v>8921</v>
      </c>
      <c r="C5135" s="221" t="s">
        <v>8923</v>
      </c>
    </row>
    <row r="5136" spans="1:3" x14ac:dyDescent="0.25">
      <c r="A5136" s="222">
        <v>500306</v>
      </c>
      <c r="B5136" s="223" t="s">
        <v>8924</v>
      </c>
      <c r="C5136" s="221" t="s">
        <v>8925</v>
      </c>
    </row>
    <row r="5137" spans="1:3" x14ac:dyDescent="0.25">
      <c r="A5137" s="222">
        <v>500306</v>
      </c>
      <c r="B5137" s="223" t="s">
        <v>8924</v>
      </c>
      <c r="C5137" s="221" t="s">
        <v>8926</v>
      </c>
    </row>
    <row r="5138" spans="1:3" x14ac:dyDescent="0.25">
      <c r="A5138" s="222">
        <v>500307</v>
      </c>
      <c r="B5138" s="223" t="s">
        <v>8927</v>
      </c>
      <c r="C5138" s="221" t="s">
        <v>8928</v>
      </c>
    </row>
    <row r="5139" spans="1:3" x14ac:dyDescent="0.25">
      <c r="A5139" s="222">
        <v>500307</v>
      </c>
      <c r="B5139" s="223" t="s">
        <v>8927</v>
      </c>
      <c r="C5139" s="221" t="s">
        <v>8929</v>
      </c>
    </row>
    <row r="5140" spans="1:3" x14ac:dyDescent="0.25">
      <c r="A5140" s="222">
        <v>500308</v>
      </c>
      <c r="B5140" s="223" t="s">
        <v>8930</v>
      </c>
      <c r="C5140" s="221" t="s">
        <v>8931</v>
      </c>
    </row>
    <row r="5141" spans="1:3" x14ac:dyDescent="0.25">
      <c r="A5141" s="222">
        <v>500308</v>
      </c>
      <c r="B5141" s="223" t="s">
        <v>8930</v>
      </c>
      <c r="C5141" s="221" t="s">
        <v>8932</v>
      </c>
    </row>
    <row r="5142" spans="1:3" x14ac:dyDescent="0.25">
      <c r="A5142" s="222">
        <v>500309</v>
      </c>
      <c r="B5142" s="223" t="s">
        <v>8933</v>
      </c>
      <c r="C5142" s="221" t="s">
        <v>8934</v>
      </c>
    </row>
    <row r="5143" spans="1:3" x14ac:dyDescent="0.25">
      <c r="A5143" s="222">
        <v>500309</v>
      </c>
      <c r="B5143" s="223" t="s">
        <v>8933</v>
      </c>
      <c r="C5143" s="221" t="s">
        <v>8935</v>
      </c>
    </row>
    <row r="5144" spans="1:3" x14ac:dyDescent="0.25">
      <c r="A5144" s="222">
        <v>500310</v>
      </c>
      <c r="B5144" s="223" t="s">
        <v>8936</v>
      </c>
      <c r="C5144" s="221" t="s">
        <v>8937</v>
      </c>
    </row>
    <row r="5145" spans="1:3" x14ac:dyDescent="0.25">
      <c r="A5145" s="222">
        <v>500310</v>
      </c>
      <c r="B5145" s="223" t="s">
        <v>8936</v>
      </c>
      <c r="C5145" s="221" t="s">
        <v>8938</v>
      </c>
    </row>
    <row r="5146" spans="1:3" x14ac:dyDescent="0.25">
      <c r="A5146" s="222">
        <v>500311</v>
      </c>
      <c r="B5146" s="223" t="s">
        <v>8939</v>
      </c>
      <c r="C5146" s="221" t="s">
        <v>8940</v>
      </c>
    </row>
    <row r="5147" spans="1:3" x14ac:dyDescent="0.25">
      <c r="A5147" s="222">
        <v>500311</v>
      </c>
      <c r="B5147" s="223" t="s">
        <v>8939</v>
      </c>
      <c r="C5147" s="221" t="s">
        <v>8941</v>
      </c>
    </row>
    <row r="5148" spans="1:3" x14ac:dyDescent="0.25">
      <c r="A5148" s="222">
        <v>500312</v>
      </c>
      <c r="B5148" s="223" t="s">
        <v>8942</v>
      </c>
      <c r="C5148" s="221" t="s">
        <v>8943</v>
      </c>
    </row>
    <row r="5149" spans="1:3" x14ac:dyDescent="0.25">
      <c r="A5149" s="222">
        <v>500312</v>
      </c>
      <c r="B5149" s="223" t="s">
        <v>8942</v>
      </c>
      <c r="C5149" s="221" t="s">
        <v>8944</v>
      </c>
    </row>
    <row r="5150" spans="1:3" x14ac:dyDescent="0.25">
      <c r="A5150" s="222">
        <v>500313</v>
      </c>
      <c r="B5150" s="223" t="s">
        <v>8945</v>
      </c>
      <c r="C5150" s="221" t="s">
        <v>8946</v>
      </c>
    </row>
    <row r="5151" spans="1:3" x14ac:dyDescent="0.25">
      <c r="A5151" s="222">
        <v>500313</v>
      </c>
      <c r="B5151" s="223" t="s">
        <v>8945</v>
      </c>
      <c r="C5151" s="221" t="s">
        <v>8947</v>
      </c>
    </row>
    <row r="5152" spans="1:3" x14ac:dyDescent="0.25">
      <c r="A5152" s="222">
        <v>500314</v>
      </c>
      <c r="B5152" s="223" t="s">
        <v>8948</v>
      </c>
      <c r="C5152" s="221" t="s">
        <v>8949</v>
      </c>
    </row>
    <row r="5153" spans="1:3" x14ac:dyDescent="0.25">
      <c r="A5153" s="222">
        <v>500314</v>
      </c>
      <c r="B5153" s="223" t="s">
        <v>8948</v>
      </c>
      <c r="C5153" s="221" t="s">
        <v>8950</v>
      </c>
    </row>
    <row r="5154" spans="1:3" x14ac:dyDescent="0.25">
      <c r="A5154" s="222">
        <v>500315</v>
      </c>
      <c r="B5154" s="223" t="s">
        <v>8951</v>
      </c>
      <c r="C5154" s="221" t="s">
        <v>8952</v>
      </c>
    </row>
    <row r="5155" spans="1:3" x14ac:dyDescent="0.25">
      <c r="A5155" s="222">
        <v>500315</v>
      </c>
      <c r="B5155" s="223" t="s">
        <v>8951</v>
      </c>
      <c r="C5155" s="221" t="s">
        <v>8953</v>
      </c>
    </row>
    <row r="5156" spans="1:3" x14ac:dyDescent="0.25">
      <c r="A5156" s="222">
        <v>500316</v>
      </c>
      <c r="B5156" s="223" t="s">
        <v>8954</v>
      </c>
      <c r="C5156" s="221" t="s">
        <v>8955</v>
      </c>
    </row>
    <row r="5157" spans="1:3" x14ac:dyDescent="0.25">
      <c r="A5157" s="222">
        <v>500316</v>
      </c>
      <c r="B5157" s="223" t="s">
        <v>8954</v>
      </c>
      <c r="C5157" s="221" t="s">
        <v>8956</v>
      </c>
    </row>
    <row r="5158" spans="1:3" x14ac:dyDescent="0.25">
      <c r="A5158" s="222">
        <v>500317</v>
      </c>
      <c r="B5158" s="223" t="s">
        <v>8957</v>
      </c>
      <c r="C5158" s="221" t="s">
        <v>8958</v>
      </c>
    </row>
    <row r="5159" spans="1:3" x14ac:dyDescent="0.25">
      <c r="A5159" s="222">
        <v>500317</v>
      </c>
      <c r="B5159" s="223" t="s">
        <v>8957</v>
      </c>
      <c r="C5159" s="221" t="s">
        <v>8959</v>
      </c>
    </row>
    <row r="5160" spans="1:3" x14ac:dyDescent="0.25">
      <c r="A5160" s="222">
        <v>500318</v>
      </c>
      <c r="B5160" s="223" t="s">
        <v>8960</v>
      </c>
      <c r="C5160" s="221" t="s">
        <v>8961</v>
      </c>
    </row>
    <row r="5161" spans="1:3" x14ac:dyDescent="0.25">
      <c r="A5161" s="222">
        <v>500318</v>
      </c>
      <c r="B5161" s="223" t="s">
        <v>8960</v>
      </c>
      <c r="C5161" s="221" t="s">
        <v>8962</v>
      </c>
    </row>
    <row r="5162" spans="1:3" x14ac:dyDescent="0.25">
      <c r="A5162" s="222">
        <v>500319</v>
      </c>
      <c r="B5162" s="223" t="s">
        <v>8963</v>
      </c>
      <c r="C5162" s="221" t="s">
        <v>8964</v>
      </c>
    </row>
    <row r="5163" spans="1:3" x14ac:dyDescent="0.25">
      <c r="A5163" s="222">
        <v>500319</v>
      </c>
      <c r="B5163" s="223" t="s">
        <v>8963</v>
      </c>
      <c r="C5163" s="221" t="s">
        <v>8965</v>
      </c>
    </row>
    <row r="5164" spans="1:3" x14ac:dyDescent="0.25">
      <c r="A5164" s="222">
        <v>500320</v>
      </c>
      <c r="B5164" s="223" t="s">
        <v>8966</v>
      </c>
      <c r="C5164" s="221" t="s">
        <v>8967</v>
      </c>
    </row>
    <row r="5165" spans="1:3" x14ac:dyDescent="0.25">
      <c r="A5165" s="222">
        <v>500320</v>
      </c>
      <c r="B5165" s="223" t="s">
        <v>8966</v>
      </c>
      <c r="C5165" s="221" t="s">
        <v>8968</v>
      </c>
    </row>
    <row r="5166" spans="1:3" x14ac:dyDescent="0.25">
      <c r="A5166" s="222">
        <v>500321</v>
      </c>
      <c r="B5166" s="223" t="s">
        <v>8969</v>
      </c>
      <c r="C5166" s="221" t="s">
        <v>8970</v>
      </c>
    </row>
    <row r="5167" spans="1:3" x14ac:dyDescent="0.25">
      <c r="A5167" s="222">
        <v>500321</v>
      </c>
      <c r="B5167" s="223" t="s">
        <v>8969</v>
      </c>
      <c r="C5167" s="221" t="s">
        <v>8971</v>
      </c>
    </row>
    <row r="5168" spans="1:3" x14ac:dyDescent="0.25">
      <c r="A5168" s="222">
        <v>500322</v>
      </c>
      <c r="B5168" s="223" t="s">
        <v>8972</v>
      </c>
      <c r="C5168" s="221" t="s">
        <v>8973</v>
      </c>
    </row>
    <row r="5169" spans="1:3" x14ac:dyDescent="0.25">
      <c r="A5169" s="222">
        <v>500322</v>
      </c>
      <c r="B5169" s="223" t="s">
        <v>8972</v>
      </c>
      <c r="C5169" s="221" t="s">
        <v>8974</v>
      </c>
    </row>
    <row r="5170" spans="1:3" x14ac:dyDescent="0.25">
      <c r="A5170" s="222">
        <v>500323</v>
      </c>
      <c r="B5170" s="223" t="s">
        <v>8975</v>
      </c>
      <c r="C5170" s="221" t="s">
        <v>8976</v>
      </c>
    </row>
    <row r="5171" spans="1:3" x14ac:dyDescent="0.25">
      <c r="A5171" s="222">
        <v>500323</v>
      </c>
      <c r="B5171" s="223" t="s">
        <v>8975</v>
      </c>
      <c r="C5171" s="221" t="s">
        <v>8977</v>
      </c>
    </row>
    <row r="5172" spans="1:3" x14ac:dyDescent="0.25">
      <c r="A5172" s="222">
        <v>500324</v>
      </c>
      <c r="B5172" s="223" t="s">
        <v>8978</v>
      </c>
      <c r="C5172" s="221" t="s">
        <v>8979</v>
      </c>
    </row>
    <row r="5173" spans="1:3" x14ac:dyDescent="0.25">
      <c r="A5173" s="222">
        <v>500324</v>
      </c>
      <c r="B5173" s="223" t="s">
        <v>8978</v>
      </c>
      <c r="C5173" s="221" t="s">
        <v>8980</v>
      </c>
    </row>
    <row r="5174" spans="1:3" x14ac:dyDescent="0.25">
      <c r="A5174" s="222">
        <v>500325</v>
      </c>
      <c r="B5174" s="223" t="s">
        <v>8981</v>
      </c>
      <c r="C5174" s="221" t="s">
        <v>8982</v>
      </c>
    </row>
    <row r="5175" spans="1:3" x14ac:dyDescent="0.25">
      <c r="A5175" s="222">
        <v>500325</v>
      </c>
      <c r="B5175" s="223" t="s">
        <v>8981</v>
      </c>
      <c r="C5175" s="221" t="s">
        <v>8983</v>
      </c>
    </row>
    <row r="5176" spans="1:3" x14ac:dyDescent="0.25">
      <c r="A5176" s="222">
        <v>500326</v>
      </c>
      <c r="B5176" s="223" t="s">
        <v>8984</v>
      </c>
      <c r="C5176" s="221" t="s">
        <v>8985</v>
      </c>
    </row>
    <row r="5177" spans="1:3" x14ac:dyDescent="0.25">
      <c r="A5177" s="222">
        <v>500326</v>
      </c>
      <c r="B5177" s="223" t="s">
        <v>8984</v>
      </c>
      <c r="C5177" s="221" t="s">
        <v>8986</v>
      </c>
    </row>
    <row r="5178" spans="1:3" x14ac:dyDescent="0.25">
      <c r="A5178" s="222">
        <v>500327</v>
      </c>
      <c r="B5178" s="223" t="s">
        <v>8987</v>
      </c>
      <c r="C5178" s="221" t="s">
        <v>8988</v>
      </c>
    </row>
    <row r="5179" spans="1:3" x14ac:dyDescent="0.25">
      <c r="A5179" s="222">
        <v>500327</v>
      </c>
      <c r="B5179" s="223" t="s">
        <v>8987</v>
      </c>
      <c r="C5179" s="221" t="s">
        <v>8989</v>
      </c>
    </row>
    <row r="5180" spans="1:3" x14ac:dyDescent="0.25">
      <c r="A5180" s="222">
        <v>500328</v>
      </c>
      <c r="B5180" s="223" t="s">
        <v>8990</v>
      </c>
      <c r="C5180" s="221" t="s">
        <v>8991</v>
      </c>
    </row>
    <row r="5181" spans="1:3" x14ac:dyDescent="0.25">
      <c r="A5181" s="222">
        <v>500328</v>
      </c>
      <c r="B5181" s="223" t="s">
        <v>8990</v>
      </c>
      <c r="C5181" s="221" t="s">
        <v>8992</v>
      </c>
    </row>
    <row r="5182" spans="1:3" x14ac:dyDescent="0.25">
      <c r="A5182" s="222">
        <v>500329</v>
      </c>
      <c r="B5182" s="223" t="s">
        <v>8993</v>
      </c>
      <c r="C5182" s="221" t="s">
        <v>8994</v>
      </c>
    </row>
    <row r="5183" spans="1:3" x14ac:dyDescent="0.25">
      <c r="A5183" s="222">
        <v>500329</v>
      </c>
      <c r="B5183" s="223" t="s">
        <v>8993</v>
      </c>
      <c r="C5183" s="221" t="s">
        <v>8995</v>
      </c>
    </row>
    <row r="5184" spans="1:3" x14ac:dyDescent="0.25">
      <c r="A5184" s="222">
        <v>500330</v>
      </c>
      <c r="B5184" s="223" t="s">
        <v>8996</v>
      </c>
      <c r="C5184" s="221" t="s">
        <v>8997</v>
      </c>
    </row>
    <row r="5185" spans="1:3" x14ac:dyDescent="0.25">
      <c r="A5185" s="222">
        <v>500330</v>
      </c>
      <c r="B5185" s="223" t="s">
        <v>8996</v>
      </c>
      <c r="C5185" s="221" t="s">
        <v>8998</v>
      </c>
    </row>
    <row r="5186" spans="1:3" x14ac:dyDescent="0.25">
      <c r="A5186" s="222">
        <v>500331</v>
      </c>
      <c r="B5186" s="223" t="s">
        <v>8999</v>
      </c>
      <c r="C5186" s="221" t="s">
        <v>9000</v>
      </c>
    </row>
    <row r="5187" spans="1:3" x14ac:dyDescent="0.25">
      <c r="A5187" s="222">
        <v>500331</v>
      </c>
      <c r="B5187" s="223" t="s">
        <v>8999</v>
      </c>
      <c r="C5187" s="221" t="s">
        <v>9001</v>
      </c>
    </row>
    <row r="5188" spans="1:3" x14ac:dyDescent="0.25">
      <c r="A5188" s="222">
        <v>500332</v>
      </c>
      <c r="B5188" s="223" t="s">
        <v>9002</v>
      </c>
      <c r="C5188" s="221" t="s">
        <v>9003</v>
      </c>
    </row>
    <row r="5189" spans="1:3" x14ac:dyDescent="0.25">
      <c r="A5189" s="222">
        <v>500332</v>
      </c>
      <c r="B5189" s="223" t="s">
        <v>9002</v>
      </c>
      <c r="C5189" s="221" t="s">
        <v>9004</v>
      </c>
    </row>
    <row r="5190" spans="1:3" x14ac:dyDescent="0.25">
      <c r="A5190" s="222">
        <v>500333</v>
      </c>
      <c r="B5190" s="223" t="s">
        <v>9005</v>
      </c>
      <c r="C5190" s="221" t="s">
        <v>9006</v>
      </c>
    </row>
    <row r="5191" spans="1:3" x14ac:dyDescent="0.25">
      <c r="A5191" s="222">
        <v>500333</v>
      </c>
      <c r="B5191" s="223" t="s">
        <v>9005</v>
      </c>
      <c r="C5191" s="221" t="s">
        <v>9007</v>
      </c>
    </row>
    <row r="5192" spans="1:3" x14ac:dyDescent="0.25">
      <c r="A5192" s="222">
        <v>500334</v>
      </c>
      <c r="B5192" s="223" t="s">
        <v>9008</v>
      </c>
      <c r="C5192" s="221" t="s">
        <v>9009</v>
      </c>
    </row>
    <row r="5193" spans="1:3" x14ac:dyDescent="0.25">
      <c r="A5193" s="222">
        <v>500334</v>
      </c>
      <c r="B5193" s="223" t="s">
        <v>9008</v>
      </c>
      <c r="C5193" s="221" t="s">
        <v>9010</v>
      </c>
    </row>
    <row r="5194" spans="1:3" x14ac:dyDescent="0.25">
      <c r="A5194" s="222">
        <v>500335</v>
      </c>
      <c r="B5194" s="223" t="s">
        <v>9011</v>
      </c>
      <c r="C5194" s="221" t="s">
        <v>9012</v>
      </c>
    </row>
    <row r="5195" spans="1:3" x14ac:dyDescent="0.25">
      <c r="A5195" s="222">
        <v>500335</v>
      </c>
      <c r="B5195" s="223" t="s">
        <v>9011</v>
      </c>
      <c r="C5195" s="221" t="s">
        <v>9013</v>
      </c>
    </row>
    <row r="5196" spans="1:3" x14ac:dyDescent="0.25">
      <c r="A5196" s="222">
        <v>500336</v>
      </c>
      <c r="B5196" s="223" t="s">
        <v>9014</v>
      </c>
      <c r="C5196" s="221" t="s">
        <v>9015</v>
      </c>
    </row>
    <row r="5197" spans="1:3" x14ac:dyDescent="0.25">
      <c r="A5197" s="222">
        <v>500336</v>
      </c>
      <c r="B5197" s="223" t="s">
        <v>9014</v>
      </c>
      <c r="C5197" s="221" t="s">
        <v>9016</v>
      </c>
    </row>
    <row r="5198" spans="1:3" x14ac:dyDescent="0.25">
      <c r="A5198" s="222">
        <v>500337</v>
      </c>
      <c r="B5198" s="223" t="s">
        <v>9017</v>
      </c>
      <c r="C5198" s="221" t="s">
        <v>9018</v>
      </c>
    </row>
    <row r="5199" spans="1:3" x14ac:dyDescent="0.25">
      <c r="A5199" s="222">
        <v>500337</v>
      </c>
      <c r="B5199" s="223" t="s">
        <v>9017</v>
      </c>
      <c r="C5199" s="221" t="s">
        <v>9019</v>
      </c>
    </row>
    <row r="5200" spans="1:3" x14ac:dyDescent="0.25">
      <c r="A5200" s="222">
        <v>500338</v>
      </c>
      <c r="B5200" s="223" t="s">
        <v>9020</v>
      </c>
      <c r="C5200" s="221" t="s">
        <v>9021</v>
      </c>
    </row>
    <row r="5201" spans="1:3" x14ac:dyDescent="0.25">
      <c r="A5201" s="222">
        <v>500338</v>
      </c>
      <c r="B5201" s="223" t="s">
        <v>9020</v>
      </c>
      <c r="C5201" s="221" t="s">
        <v>9022</v>
      </c>
    </row>
    <row r="5202" spans="1:3" x14ac:dyDescent="0.25">
      <c r="A5202" s="222">
        <v>500339</v>
      </c>
      <c r="B5202" s="223" t="s">
        <v>9023</v>
      </c>
      <c r="C5202" s="221" t="s">
        <v>9024</v>
      </c>
    </row>
    <row r="5203" spans="1:3" x14ac:dyDescent="0.25">
      <c r="A5203" s="222">
        <v>500339</v>
      </c>
      <c r="B5203" s="223" t="s">
        <v>9023</v>
      </c>
      <c r="C5203" s="221" t="s">
        <v>9025</v>
      </c>
    </row>
    <row r="5204" spans="1:3" x14ac:dyDescent="0.25">
      <c r="A5204" s="222">
        <v>500340</v>
      </c>
      <c r="B5204" s="223" t="s">
        <v>9026</v>
      </c>
      <c r="C5204" s="221" t="s">
        <v>9027</v>
      </c>
    </row>
    <row r="5205" spans="1:3" x14ac:dyDescent="0.25">
      <c r="A5205" s="222">
        <v>500340</v>
      </c>
      <c r="B5205" s="223" t="s">
        <v>9026</v>
      </c>
      <c r="C5205" s="221" t="s">
        <v>9028</v>
      </c>
    </row>
    <row r="5206" spans="1:3" x14ac:dyDescent="0.25">
      <c r="A5206" s="222">
        <v>500341</v>
      </c>
      <c r="B5206" s="223" t="s">
        <v>9029</v>
      </c>
      <c r="C5206" s="221" t="s">
        <v>9030</v>
      </c>
    </row>
    <row r="5207" spans="1:3" x14ac:dyDescent="0.25">
      <c r="A5207" s="222">
        <v>500341</v>
      </c>
      <c r="B5207" s="223" t="s">
        <v>9029</v>
      </c>
      <c r="C5207" s="221" t="s">
        <v>9031</v>
      </c>
    </row>
    <row r="5208" spans="1:3" x14ac:dyDescent="0.25">
      <c r="A5208" s="222">
        <v>500342</v>
      </c>
      <c r="B5208" s="223" t="s">
        <v>9032</v>
      </c>
      <c r="C5208" s="221" t="s">
        <v>9033</v>
      </c>
    </row>
    <row r="5209" spans="1:3" x14ac:dyDescent="0.25">
      <c r="A5209" s="222">
        <v>500342</v>
      </c>
      <c r="B5209" s="223" t="s">
        <v>9032</v>
      </c>
      <c r="C5209" s="221" t="s">
        <v>9034</v>
      </c>
    </row>
    <row r="5210" spans="1:3" x14ac:dyDescent="0.25">
      <c r="A5210" s="222">
        <v>500343</v>
      </c>
      <c r="B5210" s="223" t="s">
        <v>9035</v>
      </c>
      <c r="C5210" s="221" t="s">
        <v>9036</v>
      </c>
    </row>
    <row r="5211" spans="1:3" x14ac:dyDescent="0.25">
      <c r="A5211" s="222">
        <v>500343</v>
      </c>
      <c r="B5211" s="223" t="s">
        <v>9035</v>
      </c>
      <c r="C5211" s="221" t="s">
        <v>9037</v>
      </c>
    </row>
    <row r="5212" spans="1:3" x14ac:dyDescent="0.25">
      <c r="A5212" s="222">
        <v>500344</v>
      </c>
      <c r="B5212" s="223" t="s">
        <v>9038</v>
      </c>
      <c r="C5212" s="221" t="s">
        <v>9039</v>
      </c>
    </row>
    <row r="5213" spans="1:3" x14ac:dyDescent="0.25">
      <c r="A5213" s="222">
        <v>500344</v>
      </c>
      <c r="B5213" s="223" t="s">
        <v>9038</v>
      </c>
      <c r="C5213" s="221" t="s">
        <v>9040</v>
      </c>
    </row>
    <row r="5214" spans="1:3" x14ac:dyDescent="0.25">
      <c r="A5214" s="222">
        <v>500345</v>
      </c>
      <c r="B5214" s="223" t="s">
        <v>9041</v>
      </c>
      <c r="C5214" s="221" t="s">
        <v>9042</v>
      </c>
    </row>
    <row r="5215" spans="1:3" x14ac:dyDescent="0.25">
      <c r="A5215" s="222">
        <v>500345</v>
      </c>
      <c r="B5215" s="223" t="s">
        <v>9041</v>
      </c>
      <c r="C5215" s="221" t="s">
        <v>9043</v>
      </c>
    </row>
    <row r="5216" spans="1:3" x14ac:dyDescent="0.25">
      <c r="A5216" s="222">
        <v>500346</v>
      </c>
      <c r="B5216" s="223" t="s">
        <v>9044</v>
      </c>
      <c r="C5216" s="221" t="s">
        <v>9045</v>
      </c>
    </row>
    <row r="5217" spans="1:3" x14ac:dyDescent="0.25">
      <c r="A5217" s="222">
        <v>500346</v>
      </c>
      <c r="B5217" s="223" t="s">
        <v>9044</v>
      </c>
      <c r="C5217" s="221" t="s">
        <v>9046</v>
      </c>
    </row>
    <row r="5218" spans="1:3" x14ac:dyDescent="0.25">
      <c r="A5218" s="222">
        <v>500347</v>
      </c>
      <c r="B5218" s="223" t="s">
        <v>9047</v>
      </c>
      <c r="C5218" s="221" t="s">
        <v>9048</v>
      </c>
    </row>
    <row r="5219" spans="1:3" x14ac:dyDescent="0.25">
      <c r="A5219" s="222">
        <v>500347</v>
      </c>
      <c r="B5219" s="223" t="s">
        <v>9047</v>
      </c>
      <c r="C5219" s="221" t="s">
        <v>9049</v>
      </c>
    </row>
    <row r="5220" spans="1:3" x14ac:dyDescent="0.25">
      <c r="A5220" s="222">
        <v>500348</v>
      </c>
      <c r="B5220" s="223" t="s">
        <v>9050</v>
      </c>
      <c r="C5220" s="221" t="s">
        <v>9051</v>
      </c>
    </row>
    <row r="5221" spans="1:3" x14ac:dyDescent="0.25">
      <c r="A5221" s="222">
        <v>500348</v>
      </c>
      <c r="B5221" s="223" t="s">
        <v>9050</v>
      </c>
      <c r="C5221" s="221" t="s">
        <v>9052</v>
      </c>
    </row>
    <row r="5222" spans="1:3" x14ac:dyDescent="0.25">
      <c r="A5222" s="222">
        <v>500349</v>
      </c>
      <c r="B5222" s="223" t="s">
        <v>9053</v>
      </c>
      <c r="C5222" s="221" t="s">
        <v>9054</v>
      </c>
    </row>
    <row r="5223" spans="1:3" x14ac:dyDescent="0.25">
      <c r="A5223" s="222">
        <v>500349</v>
      </c>
      <c r="B5223" s="223" t="s">
        <v>9053</v>
      </c>
      <c r="C5223" s="221" t="s">
        <v>9055</v>
      </c>
    </row>
    <row r="5224" spans="1:3" x14ac:dyDescent="0.25">
      <c r="A5224" s="222">
        <v>500350</v>
      </c>
      <c r="B5224" s="223" t="s">
        <v>9056</v>
      </c>
      <c r="C5224" s="221" t="s">
        <v>9057</v>
      </c>
    </row>
    <row r="5225" spans="1:3" x14ac:dyDescent="0.25">
      <c r="A5225" s="222">
        <v>500350</v>
      </c>
      <c r="B5225" s="223" t="s">
        <v>9056</v>
      </c>
      <c r="C5225" s="221" t="s">
        <v>9058</v>
      </c>
    </row>
    <row r="5226" spans="1:3" x14ac:dyDescent="0.25">
      <c r="A5226" s="222">
        <v>500351</v>
      </c>
      <c r="B5226" s="223" t="s">
        <v>9059</v>
      </c>
      <c r="C5226" s="221" t="s">
        <v>9060</v>
      </c>
    </row>
    <row r="5227" spans="1:3" x14ac:dyDescent="0.25">
      <c r="A5227" s="222">
        <v>500351</v>
      </c>
      <c r="B5227" s="223" t="s">
        <v>9059</v>
      </c>
      <c r="C5227" s="221" t="s">
        <v>9061</v>
      </c>
    </row>
    <row r="5228" spans="1:3" x14ac:dyDescent="0.25">
      <c r="A5228" s="222">
        <v>500352</v>
      </c>
      <c r="B5228" s="223" t="s">
        <v>9062</v>
      </c>
      <c r="C5228" s="221" t="s">
        <v>9063</v>
      </c>
    </row>
    <row r="5229" spans="1:3" x14ac:dyDescent="0.25">
      <c r="A5229" s="222">
        <v>500352</v>
      </c>
      <c r="B5229" s="223" t="s">
        <v>9062</v>
      </c>
      <c r="C5229" s="221" t="s">
        <v>9064</v>
      </c>
    </row>
    <row r="5230" spans="1:3" x14ac:dyDescent="0.25">
      <c r="A5230" s="222">
        <v>500353</v>
      </c>
      <c r="B5230" s="223" t="s">
        <v>9065</v>
      </c>
      <c r="C5230" s="221" t="s">
        <v>9066</v>
      </c>
    </row>
    <row r="5231" spans="1:3" x14ac:dyDescent="0.25">
      <c r="A5231" s="222">
        <v>500353</v>
      </c>
      <c r="B5231" s="223" t="s">
        <v>9065</v>
      </c>
      <c r="C5231" s="221" t="s">
        <v>9067</v>
      </c>
    </row>
    <row r="5232" spans="1:3" x14ac:dyDescent="0.25">
      <c r="A5232" s="222">
        <v>500354</v>
      </c>
      <c r="B5232" s="223" t="s">
        <v>9068</v>
      </c>
      <c r="C5232" s="221" t="s">
        <v>9069</v>
      </c>
    </row>
    <row r="5233" spans="1:3" x14ac:dyDescent="0.25">
      <c r="A5233" s="222">
        <v>500354</v>
      </c>
      <c r="B5233" s="223" t="s">
        <v>9068</v>
      </c>
      <c r="C5233" s="221" t="s">
        <v>9070</v>
      </c>
    </row>
    <row r="5234" spans="1:3" x14ac:dyDescent="0.25">
      <c r="A5234" s="222">
        <v>500355</v>
      </c>
      <c r="B5234" s="223" t="s">
        <v>9071</v>
      </c>
      <c r="C5234" s="221" t="s">
        <v>9072</v>
      </c>
    </row>
    <row r="5235" spans="1:3" x14ac:dyDescent="0.25">
      <c r="A5235" s="222">
        <v>500355</v>
      </c>
      <c r="B5235" s="223" t="s">
        <v>9071</v>
      </c>
      <c r="C5235" s="221" t="s">
        <v>9073</v>
      </c>
    </row>
    <row r="5236" spans="1:3" x14ac:dyDescent="0.25">
      <c r="A5236" s="222">
        <v>500356</v>
      </c>
      <c r="B5236" s="223" t="s">
        <v>9071</v>
      </c>
      <c r="C5236" s="221" t="s">
        <v>9074</v>
      </c>
    </row>
    <row r="5237" spans="1:3" x14ac:dyDescent="0.25">
      <c r="A5237" s="222">
        <v>500356</v>
      </c>
      <c r="B5237" s="223" t="s">
        <v>9071</v>
      </c>
      <c r="C5237" s="221" t="s">
        <v>9075</v>
      </c>
    </row>
    <row r="5238" spans="1:3" x14ac:dyDescent="0.25">
      <c r="A5238" s="222">
        <v>500357</v>
      </c>
      <c r="B5238" s="223" t="s">
        <v>9071</v>
      </c>
      <c r="C5238" s="221" t="s">
        <v>9076</v>
      </c>
    </row>
    <row r="5239" spans="1:3" x14ac:dyDescent="0.25">
      <c r="A5239" s="222">
        <v>500357</v>
      </c>
      <c r="B5239" s="223" t="s">
        <v>9071</v>
      </c>
      <c r="C5239" s="221" t="s">
        <v>9077</v>
      </c>
    </row>
    <row r="5240" spans="1:3" x14ac:dyDescent="0.25">
      <c r="A5240" s="222">
        <v>500358</v>
      </c>
      <c r="B5240" s="223" t="s">
        <v>9071</v>
      </c>
      <c r="C5240" s="221" t="s">
        <v>9078</v>
      </c>
    </row>
    <row r="5241" spans="1:3" x14ac:dyDescent="0.25">
      <c r="A5241" s="222">
        <v>500358</v>
      </c>
      <c r="B5241" s="223" t="s">
        <v>9071</v>
      </c>
      <c r="C5241" s="221" t="s">
        <v>9079</v>
      </c>
    </row>
    <row r="5242" spans="1:3" x14ac:dyDescent="0.25">
      <c r="A5242" s="222">
        <v>500359</v>
      </c>
      <c r="B5242" s="223" t="s">
        <v>9080</v>
      </c>
      <c r="C5242" s="221" t="s">
        <v>9081</v>
      </c>
    </row>
    <row r="5243" spans="1:3" x14ac:dyDescent="0.25">
      <c r="A5243" s="222">
        <v>500359</v>
      </c>
      <c r="B5243" s="223" t="s">
        <v>9080</v>
      </c>
      <c r="C5243" s="221" t="s">
        <v>9082</v>
      </c>
    </row>
    <row r="5244" spans="1:3" x14ac:dyDescent="0.25">
      <c r="A5244" s="222">
        <v>500360</v>
      </c>
      <c r="B5244" s="223" t="s">
        <v>9083</v>
      </c>
      <c r="C5244" s="221" t="s">
        <v>9084</v>
      </c>
    </row>
    <row r="5245" spans="1:3" x14ac:dyDescent="0.25">
      <c r="A5245" s="222">
        <v>500360</v>
      </c>
      <c r="B5245" s="223" t="s">
        <v>9083</v>
      </c>
      <c r="C5245" s="221" t="s">
        <v>9084</v>
      </c>
    </row>
    <row r="5246" spans="1:3" x14ac:dyDescent="0.25">
      <c r="A5246" s="222">
        <v>500360</v>
      </c>
      <c r="B5246" s="223" t="s">
        <v>9083</v>
      </c>
      <c r="C5246" s="221" t="s">
        <v>9085</v>
      </c>
    </row>
    <row r="5247" spans="1:3" x14ac:dyDescent="0.25">
      <c r="A5247" s="222">
        <v>500361</v>
      </c>
      <c r="B5247" s="223" t="s">
        <v>9086</v>
      </c>
      <c r="C5247" s="221" t="s">
        <v>9087</v>
      </c>
    </row>
    <row r="5248" spans="1:3" x14ac:dyDescent="0.25">
      <c r="A5248" s="222">
        <v>500361</v>
      </c>
      <c r="B5248" s="223" t="s">
        <v>9086</v>
      </c>
      <c r="C5248" s="221" t="s">
        <v>9088</v>
      </c>
    </row>
    <row r="5249" spans="1:3" x14ac:dyDescent="0.25">
      <c r="A5249" s="222">
        <v>500362</v>
      </c>
      <c r="B5249" s="223" t="s">
        <v>9089</v>
      </c>
      <c r="C5249" s="221" t="s">
        <v>9090</v>
      </c>
    </row>
    <row r="5250" spans="1:3" x14ac:dyDescent="0.25">
      <c r="A5250" s="222">
        <v>500362</v>
      </c>
      <c r="B5250" s="223" t="s">
        <v>9089</v>
      </c>
      <c r="C5250" s="221" t="s">
        <v>9090</v>
      </c>
    </row>
    <row r="5251" spans="1:3" x14ac:dyDescent="0.25">
      <c r="A5251" s="222">
        <v>500362</v>
      </c>
      <c r="B5251" s="223" t="s">
        <v>9089</v>
      </c>
      <c r="C5251" s="221" t="s">
        <v>9091</v>
      </c>
    </row>
    <row r="5252" spans="1:3" x14ac:dyDescent="0.25">
      <c r="A5252" s="222">
        <v>500363</v>
      </c>
      <c r="B5252" s="223" t="s">
        <v>9092</v>
      </c>
      <c r="C5252" s="221" t="s">
        <v>9093</v>
      </c>
    </row>
    <row r="5253" spans="1:3" x14ac:dyDescent="0.25">
      <c r="A5253" s="222">
        <v>500363</v>
      </c>
      <c r="B5253" s="223" t="s">
        <v>9092</v>
      </c>
      <c r="C5253" s="221" t="s">
        <v>9093</v>
      </c>
    </row>
    <row r="5254" spans="1:3" x14ac:dyDescent="0.25">
      <c r="A5254" s="222">
        <v>500363</v>
      </c>
      <c r="B5254" s="223" t="s">
        <v>9092</v>
      </c>
      <c r="C5254" s="221" t="s">
        <v>9094</v>
      </c>
    </row>
    <row r="5255" spans="1:3" x14ac:dyDescent="0.25">
      <c r="A5255" s="222">
        <v>500364</v>
      </c>
      <c r="B5255" s="223" t="s">
        <v>9095</v>
      </c>
      <c r="C5255" s="221" t="s">
        <v>9096</v>
      </c>
    </row>
    <row r="5256" spans="1:3" x14ac:dyDescent="0.25">
      <c r="A5256" s="222">
        <v>500364</v>
      </c>
      <c r="B5256" s="223" t="s">
        <v>9095</v>
      </c>
      <c r="C5256" s="221" t="s">
        <v>9096</v>
      </c>
    </row>
    <row r="5257" spans="1:3" x14ac:dyDescent="0.25">
      <c r="A5257" s="222">
        <v>500364</v>
      </c>
      <c r="B5257" s="223" t="s">
        <v>9095</v>
      </c>
      <c r="C5257" s="221" t="s">
        <v>9097</v>
      </c>
    </row>
    <row r="5258" spans="1:3" x14ac:dyDescent="0.25">
      <c r="A5258" s="222">
        <v>500365</v>
      </c>
      <c r="B5258" s="223" t="s">
        <v>9098</v>
      </c>
      <c r="C5258" s="221" t="s">
        <v>9099</v>
      </c>
    </row>
    <row r="5259" spans="1:3" x14ac:dyDescent="0.25">
      <c r="A5259" s="222">
        <v>500365</v>
      </c>
      <c r="B5259" s="223" t="s">
        <v>9098</v>
      </c>
      <c r="C5259" s="221" t="s">
        <v>9099</v>
      </c>
    </row>
    <row r="5260" spans="1:3" x14ac:dyDescent="0.25">
      <c r="A5260" s="222">
        <v>500365</v>
      </c>
      <c r="B5260" s="223" t="s">
        <v>9098</v>
      </c>
      <c r="C5260" s="221" t="s">
        <v>9100</v>
      </c>
    </row>
    <row r="5261" spans="1:3" x14ac:dyDescent="0.25">
      <c r="A5261" s="222">
        <v>500366</v>
      </c>
      <c r="B5261" s="223" t="s">
        <v>9101</v>
      </c>
      <c r="C5261" s="221" t="s">
        <v>9102</v>
      </c>
    </row>
    <row r="5262" spans="1:3" x14ac:dyDescent="0.25">
      <c r="A5262" s="222">
        <v>500366</v>
      </c>
      <c r="B5262" s="223" t="s">
        <v>9101</v>
      </c>
      <c r="C5262" s="221" t="s">
        <v>9102</v>
      </c>
    </row>
    <row r="5263" spans="1:3" x14ac:dyDescent="0.25">
      <c r="A5263" s="222">
        <v>500366</v>
      </c>
      <c r="B5263" s="223" t="s">
        <v>9101</v>
      </c>
      <c r="C5263" s="221" t="s">
        <v>9103</v>
      </c>
    </row>
    <row r="5264" spans="1:3" x14ac:dyDescent="0.25">
      <c r="A5264" s="222">
        <v>500367</v>
      </c>
      <c r="B5264" s="223" t="s">
        <v>9104</v>
      </c>
      <c r="C5264" s="221" t="s">
        <v>9105</v>
      </c>
    </row>
    <row r="5265" spans="1:3" x14ac:dyDescent="0.25">
      <c r="A5265" s="222">
        <v>500367</v>
      </c>
      <c r="B5265" s="223" t="s">
        <v>9104</v>
      </c>
      <c r="C5265" s="221" t="s">
        <v>9105</v>
      </c>
    </row>
    <row r="5266" spans="1:3" x14ac:dyDescent="0.25">
      <c r="A5266" s="222">
        <v>500367</v>
      </c>
      <c r="B5266" s="223" t="s">
        <v>9104</v>
      </c>
      <c r="C5266" s="221" t="s">
        <v>9106</v>
      </c>
    </row>
    <row r="5267" spans="1:3" x14ac:dyDescent="0.25">
      <c r="A5267" s="222">
        <v>500368</v>
      </c>
      <c r="B5267" s="223" t="s">
        <v>9107</v>
      </c>
      <c r="C5267" s="221" t="s">
        <v>9108</v>
      </c>
    </row>
    <row r="5268" spans="1:3" x14ac:dyDescent="0.25">
      <c r="A5268" s="222">
        <v>500368</v>
      </c>
      <c r="B5268" s="223" t="s">
        <v>9107</v>
      </c>
      <c r="C5268" s="221" t="s">
        <v>9108</v>
      </c>
    </row>
    <row r="5269" spans="1:3" x14ac:dyDescent="0.25">
      <c r="A5269" s="222">
        <v>500368</v>
      </c>
      <c r="B5269" s="223" t="s">
        <v>9107</v>
      </c>
      <c r="C5269" s="221" t="s">
        <v>9109</v>
      </c>
    </row>
    <row r="5270" spans="1:3" x14ac:dyDescent="0.25">
      <c r="A5270" s="222">
        <v>500369</v>
      </c>
      <c r="B5270" s="223" t="s">
        <v>9110</v>
      </c>
      <c r="C5270" s="221" t="s">
        <v>9111</v>
      </c>
    </row>
    <row r="5271" spans="1:3" x14ac:dyDescent="0.25">
      <c r="A5271" s="222">
        <v>500369</v>
      </c>
      <c r="B5271" s="223" t="s">
        <v>9110</v>
      </c>
      <c r="C5271" s="221" t="s">
        <v>9111</v>
      </c>
    </row>
    <row r="5272" spans="1:3" x14ac:dyDescent="0.25">
      <c r="A5272" s="222">
        <v>500369</v>
      </c>
      <c r="B5272" s="223" t="s">
        <v>9110</v>
      </c>
      <c r="C5272" s="221" t="s">
        <v>9112</v>
      </c>
    </row>
    <row r="5273" spans="1:3" x14ac:dyDescent="0.25">
      <c r="A5273" s="222">
        <v>500370</v>
      </c>
      <c r="B5273" s="223" t="s">
        <v>9113</v>
      </c>
      <c r="C5273" s="221" t="s">
        <v>9114</v>
      </c>
    </row>
    <row r="5274" spans="1:3" x14ac:dyDescent="0.25">
      <c r="A5274" s="222">
        <v>500370</v>
      </c>
      <c r="B5274" s="223" t="s">
        <v>9113</v>
      </c>
      <c r="C5274" s="221" t="s">
        <v>9114</v>
      </c>
    </row>
    <row r="5275" spans="1:3" x14ac:dyDescent="0.25">
      <c r="A5275" s="222">
        <v>500370</v>
      </c>
      <c r="B5275" s="223" t="s">
        <v>9113</v>
      </c>
      <c r="C5275" s="221" t="s">
        <v>9115</v>
      </c>
    </row>
    <row r="5276" spans="1:3" x14ac:dyDescent="0.25">
      <c r="A5276" s="222">
        <v>500371</v>
      </c>
      <c r="B5276" s="223" t="s">
        <v>9116</v>
      </c>
      <c r="C5276" s="221" t="s">
        <v>9117</v>
      </c>
    </row>
    <row r="5277" spans="1:3" x14ac:dyDescent="0.25">
      <c r="A5277" s="222">
        <v>500371</v>
      </c>
      <c r="B5277" s="223" t="s">
        <v>9116</v>
      </c>
      <c r="C5277" s="221" t="s">
        <v>9117</v>
      </c>
    </row>
    <row r="5278" spans="1:3" x14ac:dyDescent="0.25">
      <c r="A5278" s="222">
        <v>500371</v>
      </c>
      <c r="B5278" s="223" t="s">
        <v>9116</v>
      </c>
      <c r="C5278" s="221" t="s">
        <v>9118</v>
      </c>
    </row>
    <row r="5279" spans="1:3" x14ac:dyDescent="0.25">
      <c r="A5279" s="222">
        <v>500372</v>
      </c>
      <c r="B5279" s="223" t="s">
        <v>9119</v>
      </c>
      <c r="C5279" s="221" t="s">
        <v>9120</v>
      </c>
    </row>
    <row r="5280" spans="1:3" x14ac:dyDescent="0.25">
      <c r="A5280" s="222">
        <v>500372</v>
      </c>
      <c r="B5280" s="223" t="s">
        <v>9119</v>
      </c>
      <c r="C5280" s="221" t="s">
        <v>9120</v>
      </c>
    </row>
    <row r="5281" spans="1:3" x14ac:dyDescent="0.25">
      <c r="A5281" s="222">
        <v>500372</v>
      </c>
      <c r="B5281" s="223" t="s">
        <v>9119</v>
      </c>
      <c r="C5281" s="221" t="s">
        <v>9121</v>
      </c>
    </row>
    <row r="5282" spans="1:3" x14ac:dyDescent="0.25">
      <c r="A5282" s="222">
        <v>500373</v>
      </c>
      <c r="B5282" s="223" t="s">
        <v>9122</v>
      </c>
      <c r="C5282" s="221" t="s">
        <v>9123</v>
      </c>
    </row>
    <row r="5283" spans="1:3" x14ac:dyDescent="0.25">
      <c r="A5283" s="222">
        <v>500373</v>
      </c>
      <c r="B5283" s="223" t="s">
        <v>9122</v>
      </c>
      <c r="C5283" s="221" t="s">
        <v>9124</v>
      </c>
    </row>
    <row r="5284" spans="1:3" x14ac:dyDescent="0.25">
      <c r="A5284" s="222">
        <v>500374</v>
      </c>
      <c r="B5284" s="223" t="s">
        <v>9125</v>
      </c>
      <c r="C5284" s="221" t="s">
        <v>9126</v>
      </c>
    </row>
    <row r="5285" spans="1:3" x14ac:dyDescent="0.25">
      <c r="A5285" s="222">
        <v>500374</v>
      </c>
      <c r="B5285" s="223" t="s">
        <v>9125</v>
      </c>
      <c r="C5285" s="221" t="s">
        <v>9127</v>
      </c>
    </row>
    <row r="5286" spans="1:3" x14ac:dyDescent="0.25">
      <c r="A5286" s="222">
        <v>500375</v>
      </c>
      <c r="B5286" s="223" t="s">
        <v>9128</v>
      </c>
      <c r="C5286" s="221" t="s">
        <v>9129</v>
      </c>
    </row>
    <row r="5287" spans="1:3" x14ac:dyDescent="0.25">
      <c r="A5287" s="222">
        <v>500375</v>
      </c>
      <c r="B5287" s="223" t="s">
        <v>9128</v>
      </c>
      <c r="C5287" s="221" t="s">
        <v>9130</v>
      </c>
    </row>
    <row r="5288" spans="1:3" x14ac:dyDescent="0.25">
      <c r="A5288" s="222">
        <v>500376</v>
      </c>
      <c r="B5288" s="223" t="s">
        <v>9131</v>
      </c>
      <c r="C5288" s="221" t="s">
        <v>9132</v>
      </c>
    </row>
    <row r="5289" spans="1:3" x14ac:dyDescent="0.25">
      <c r="A5289" s="222">
        <v>500376</v>
      </c>
      <c r="B5289" s="223" t="s">
        <v>9131</v>
      </c>
      <c r="C5289" s="221" t="s">
        <v>9133</v>
      </c>
    </row>
    <row r="5290" spans="1:3" x14ac:dyDescent="0.25">
      <c r="A5290" s="222">
        <v>500377</v>
      </c>
      <c r="B5290" s="223" t="s">
        <v>9134</v>
      </c>
      <c r="C5290" s="221" t="s">
        <v>9135</v>
      </c>
    </row>
    <row r="5291" spans="1:3" x14ac:dyDescent="0.25">
      <c r="A5291" s="222">
        <v>500377</v>
      </c>
      <c r="B5291" s="223" t="s">
        <v>9134</v>
      </c>
      <c r="C5291" s="221" t="s">
        <v>9135</v>
      </c>
    </row>
    <row r="5292" spans="1:3" x14ac:dyDescent="0.25">
      <c r="A5292" s="222">
        <v>500377</v>
      </c>
      <c r="B5292" s="223" t="s">
        <v>9134</v>
      </c>
      <c r="C5292" s="221" t="s">
        <v>9136</v>
      </c>
    </row>
    <row r="5293" spans="1:3" x14ac:dyDescent="0.25">
      <c r="A5293" s="222">
        <v>500378</v>
      </c>
      <c r="B5293" s="223" t="s">
        <v>9137</v>
      </c>
      <c r="C5293" s="221" t="s">
        <v>9138</v>
      </c>
    </row>
    <row r="5294" spans="1:3" x14ac:dyDescent="0.25">
      <c r="A5294" s="222">
        <v>500378</v>
      </c>
      <c r="B5294" s="223" t="s">
        <v>9137</v>
      </c>
      <c r="C5294" s="221" t="s">
        <v>9138</v>
      </c>
    </row>
    <row r="5295" spans="1:3" x14ac:dyDescent="0.25">
      <c r="A5295" s="222">
        <v>500378</v>
      </c>
      <c r="B5295" s="223" t="s">
        <v>9137</v>
      </c>
      <c r="C5295" s="221" t="s">
        <v>9139</v>
      </c>
    </row>
    <row r="5296" spans="1:3" x14ac:dyDescent="0.25">
      <c r="A5296" s="222">
        <v>500379</v>
      </c>
      <c r="B5296" s="223" t="s">
        <v>9140</v>
      </c>
      <c r="C5296" s="221" t="s">
        <v>9141</v>
      </c>
    </row>
    <row r="5297" spans="1:3" x14ac:dyDescent="0.25">
      <c r="A5297" s="222">
        <v>500379</v>
      </c>
      <c r="B5297" s="223" t="s">
        <v>9140</v>
      </c>
      <c r="C5297" s="221" t="s">
        <v>9141</v>
      </c>
    </row>
    <row r="5298" spans="1:3" x14ac:dyDescent="0.25">
      <c r="A5298" s="222">
        <v>500379</v>
      </c>
      <c r="B5298" s="223" t="s">
        <v>9140</v>
      </c>
      <c r="C5298" s="221" t="s">
        <v>9142</v>
      </c>
    </row>
    <row r="5299" spans="1:3" x14ac:dyDescent="0.25">
      <c r="A5299" s="222">
        <v>500380</v>
      </c>
      <c r="B5299" s="223" t="s">
        <v>9143</v>
      </c>
      <c r="C5299" s="221" t="s">
        <v>9144</v>
      </c>
    </row>
    <row r="5300" spans="1:3" x14ac:dyDescent="0.25">
      <c r="A5300" s="222">
        <v>500380</v>
      </c>
      <c r="B5300" s="223" t="s">
        <v>9143</v>
      </c>
      <c r="C5300" s="221" t="s">
        <v>9145</v>
      </c>
    </row>
    <row r="5301" spans="1:3" x14ac:dyDescent="0.25">
      <c r="A5301" s="222">
        <v>500381</v>
      </c>
      <c r="B5301" s="223" t="s">
        <v>9146</v>
      </c>
      <c r="C5301" s="221" t="s">
        <v>9147</v>
      </c>
    </row>
    <row r="5302" spans="1:3" x14ac:dyDescent="0.25">
      <c r="A5302" s="222">
        <v>500381</v>
      </c>
      <c r="B5302" s="223" t="s">
        <v>9146</v>
      </c>
      <c r="C5302" s="221" t="s">
        <v>9148</v>
      </c>
    </row>
    <row r="5303" spans="1:3" x14ac:dyDescent="0.25">
      <c r="A5303" s="222">
        <v>500382</v>
      </c>
      <c r="B5303" s="223" t="s">
        <v>9149</v>
      </c>
      <c r="C5303" s="221" t="s">
        <v>9150</v>
      </c>
    </row>
    <row r="5304" spans="1:3" x14ac:dyDescent="0.25">
      <c r="A5304" s="222">
        <v>500382</v>
      </c>
      <c r="B5304" s="223" t="s">
        <v>9149</v>
      </c>
      <c r="C5304" s="221" t="s">
        <v>9151</v>
      </c>
    </row>
    <row r="5305" spans="1:3" x14ac:dyDescent="0.25">
      <c r="A5305" s="222">
        <v>500383</v>
      </c>
      <c r="B5305" s="223" t="s">
        <v>9152</v>
      </c>
      <c r="C5305" s="221" t="s">
        <v>9153</v>
      </c>
    </row>
    <row r="5306" spans="1:3" x14ac:dyDescent="0.25">
      <c r="A5306" s="222">
        <v>500383</v>
      </c>
      <c r="B5306" s="223" t="s">
        <v>9152</v>
      </c>
      <c r="C5306" s="221" t="s">
        <v>9154</v>
      </c>
    </row>
    <row r="5307" spans="1:3" x14ac:dyDescent="0.25">
      <c r="A5307" s="222">
        <v>500384</v>
      </c>
      <c r="B5307" s="223" t="s">
        <v>9155</v>
      </c>
      <c r="C5307" s="221" t="s">
        <v>9156</v>
      </c>
    </row>
    <row r="5308" spans="1:3" x14ac:dyDescent="0.25">
      <c r="A5308" s="222">
        <v>500384</v>
      </c>
      <c r="B5308" s="223" t="s">
        <v>9155</v>
      </c>
      <c r="C5308" s="221" t="s">
        <v>9157</v>
      </c>
    </row>
    <row r="5309" spans="1:3" x14ac:dyDescent="0.25">
      <c r="A5309" s="222">
        <v>500385</v>
      </c>
      <c r="B5309" s="223" t="s">
        <v>9158</v>
      </c>
      <c r="C5309" s="221" t="s">
        <v>9159</v>
      </c>
    </row>
    <row r="5310" spans="1:3" x14ac:dyDescent="0.25">
      <c r="A5310" s="222">
        <v>500385</v>
      </c>
      <c r="B5310" s="223" t="s">
        <v>9158</v>
      </c>
      <c r="C5310" s="221" t="s">
        <v>9160</v>
      </c>
    </row>
    <row r="5311" spans="1:3" x14ac:dyDescent="0.25">
      <c r="A5311" s="222">
        <v>500386</v>
      </c>
      <c r="B5311" s="223" t="s">
        <v>9161</v>
      </c>
      <c r="C5311" s="221" t="s">
        <v>9162</v>
      </c>
    </row>
    <row r="5312" spans="1:3" x14ac:dyDescent="0.25">
      <c r="A5312" s="222">
        <v>500386</v>
      </c>
      <c r="B5312" s="223" t="s">
        <v>9161</v>
      </c>
      <c r="C5312" s="221" t="s">
        <v>9163</v>
      </c>
    </row>
    <row r="5313" spans="1:3" x14ac:dyDescent="0.25">
      <c r="A5313" s="222">
        <v>500387</v>
      </c>
      <c r="B5313" s="223" t="s">
        <v>9164</v>
      </c>
      <c r="C5313" s="221" t="s">
        <v>9165</v>
      </c>
    </row>
    <row r="5314" spans="1:3" x14ac:dyDescent="0.25">
      <c r="A5314" s="222">
        <v>500387</v>
      </c>
      <c r="B5314" s="223" t="s">
        <v>9164</v>
      </c>
      <c r="C5314" s="221" t="s">
        <v>9166</v>
      </c>
    </row>
    <row r="5315" spans="1:3" x14ac:dyDescent="0.25">
      <c r="A5315" s="222">
        <v>500388</v>
      </c>
      <c r="B5315" s="223" t="s">
        <v>9167</v>
      </c>
      <c r="C5315" s="221" t="s">
        <v>9168</v>
      </c>
    </row>
    <row r="5316" spans="1:3" x14ac:dyDescent="0.25">
      <c r="A5316" s="222">
        <v>500388</v>
      </c>
      <c r="B5316" s="223" t="s">
        <v>9167</v>
      </c>
      <c r="C5316" s="221" t="s">
        <v>9169</v>
      </c>
    </row>
    <row r="5317" spans="1:3" x14ac:dyDescent="0.25">
      <c r="A5317" s="222">
        <v>500389</v>
      </c>
      <c r="B5317" s="223" t="s">
        <v>9170</v>
      </c>
      <c r="C5317" s="221" t="s">
        <v>9171</v>
      </c>
    </row>
    <row r="5318" spans="1:3" x14ac:dyDescent="0.25">
      <c r="A5318" s="222">
        <v>500389</v>
      </c>
      <c r="B5318" s="223" t="s">
        <v>9170</v>
      </c>
      <c r="C5318" s="221" t="s">
        <v>9172</v>
      </c>
    </row>
    <row r="5319" spans="1:3" x14ac:dyDescent="0.25">
      <c r="A5319" s="222">
        <v>500390</v>
      </c>
      <c r="B5319" s="223" t="s">
        <v>9173</v>
      </c>
      <c r="C5319" s="221" t="s">
        <v>9174</v>
      </c>
    </row>
    <row r="5320" spans="1:3" x14ac:dyDescent="0.25">
      <c r="A5320" s="222">
        <v>500390</v>
      </c>
      <c r="B5320" s="223" t="s">
        <v>9173</v>
      </c>
      <c r="C5320" s="221" t="s">
        <v>9175</v>
      </c>
    </row>
    <row r="5321" spans="1:3" x14ac:dyDescent="0.25">
      <c r="A5321" s="222">
        <v>500391</v>
      </c>
      <c r="B5321" s="223" t="s">
        <v>9176</v>
      </c>
      <c r="C5321" s="221" t="s">
        <v>9177</v>
      </c>
    </row>
    <row r="5322" spans="1:3" x14ac:dyDescent="0.25">
      <c r="A5322" s="222">
        <v>500391</v>
      </c>
      <c r="B5322" s="223" t="s">
        <v>9176</v>
      </c>
      <c r="C5322" s="221" t="s">
        <v>9178</v>
      </c>
    </row>
    <row r="5323" spans="1:3" x14ac:dyDescent="0.25">
      <c r="A5323" s="222">
        <v>500392</v>
      </c>
      <c r="B5323" s="223" t="s">
        <v>9179</v>
      </c>
      <c r="C5323" s="221" t="s">
        <v>9180</v>
      </c>
    </row>
    <row r="5324" spans="1:3" x14ac:dyDescent="0.25">
      <c r="A5324" s="222">
        <v>500392</v>
      </c>
      <c r="B5324" s="223" t="s">
        <v>9179</v>
      </c>
      <c r="C5324" s="221" t="s">
        <v>9181</v>
      </c>
    </row>
    <row r="5325" spans="1:3" x14ac:dyDescent="0.25">
      <c r="A5325" s="222">
        <v>500393</v>
      </c>
      <c r="B5325" s="223" t="s">
        <v>9182</v>
      </c>
      <c r="C5325" s="221" t="s">
        <v>9183</v>
      </c>
    </row>
    <row r="5326" spans="1:3" x14ac:dyDescent="0.25">
      <c r="A5326" s="222">
        <v>500393</v>
      </c>
      <c r="B5326" s="223" t="s">
        <v>9182</v>
      </c>
      <c r="C5326" s="221" t="s">
        <v>9184</v>
      </c>
    </row>
    <row r="5327" spans="1:3" x14ac:dyDescent="0.25">
      <c r="A5327" s="222">
        <v>500394</v>
      </c>
      <c r="B5327" s="223" t="s">
        <v>9185</v>
      </c>
      <c r="C5327" s="221" t="s">
        <v>9186</v>
      </c>
    </row>
    <row r="5328" spans="1:3" x14ac:dyDescent="0.25">
      <c r="A5328" s="222">
        <v>500394</v>
      </c>
      <c r="B5328" s="223" t="s">
        <v>9185</v>
      </c>
      <c r="C5328" s="221" t="s">
        <v>9187</v>
      </c>
    </row>
    <row r="5329" spans="1:3" x14ac:dyDescent="0.25">
      <c r="A5329" s="222">
        <v>500395</v>
      </c>
      <c r="B5329" s="223" t="s">
        <v>9188</v>
      </c>
      <c r="C5329" s="221" t="s">
        <v>9189</v>
      </c>
    </row>
    <row r="5330" spans="1:3" x14ac:dyDescent="0.25">
      <c r="A5330" s="222">
        <v>500395</v>
      </c>
      <c r="B5330" s="223" t="s">
        <v>9188</v>
      </c>
      <c r="C5330" s="221" t="s">
        <v>9190</v>
      </c>
    </row>
    <row r="5331" spans="1:3" x14ac:dyDescent="0.25">
      <c r="A5331" s="222">
        <v>500396</v>
      </c>
      <c r="B5331" s="223" t="s">
        <v>9191</v>
      </c>
      <c r="C5331" s="221" t="s">
        <v>9192</v>
      </c>
    </row>
    <row r="5332" spans="1:3" x14ac:dyDescent="0.25">
      <c r="A5332" s="222">
        <v>500396</v>
      </c>
      <c r="B5332" s="223" t="s">
        <v>9191</v>
      </c>
      <c r="C5332" s="221" t="s">
        <v>9193</v>
      </c>
    </row>
    <row r="5333" spans="1:3" x14ac:dyDescent="0.25">
      <c r="A5333" s="222">
        <v>500397</v>
      </c>
      <c r="B5333" s="223" t="s">
        <v>9194</v>
      </c>
      <c r="C5333" s="221" t="s">
        <v>9195</v>
      </c>
    </row>
    <row r="5334" spans="1:3" x14ac:dyDescent="0.25">
      <c r="A5334" s="222">
        <v>500397</v>
      </c>
      <c r="B5334" s="223" t="s">
        <v>9194</v>
      </c>
      <c r="C5334" s="221" t="s">
        <v>9196</v>
      </c>
    </row>
    <row r="5335" spans="1:3" x14ac:dyDescent="0.25">
      <c r="A5335" s="222">
        <v>500398</v>
      </c>
      <c r="B5335" s="223" t="s">
        <v>9197</v>
      </c>
      <c r="C5335" s="221" t="s">
        <v>9198</v>
      </c>
    </row>
    <row r="5336" spans="1:3" x14ac:dyDescent="0.25">
      <c r="A5336" s="222">
        <v>500398</v>
      </c>
      <c r="B5336" s="223" t="s">
        <v>9197</v>
      </c>
      <c r="C5336" s="221" t="s">
        <v>9199</v>
      </c>
    </row>
    <row r="5337" spans="1:3" x14ac:dyDescent="0.25">
      <c r="A5337" s="222">
        <v>500399</v>
      </c>
      <c r="B5337" s="223" t="s">
        <v>9200</v>
      </c>
      <c r="C5337" s="221" t="s">
        <v>9201</v>
      </c>
    </row>
    <row r="5338" spans="1:3" x14ac:dyDescent="0.25">
      <c r="A5338" s="222">
        <v>500399</v>
      </c>
      <c r="B5338" s="223" t="s">
        <v>9200</v>
      </c>
      <c r="C5338" s="221" t="s">
        <v>9202</v>
      </c>
    </row>
    <row r="5339" spans="1:3" x14ac:dyDescent="0.25">
      <c r="A5339" s="222">
        <v>500400</v>
      </c>
      <c r="B5339" s="223" t="s">
        <v>9203</v>
      </c>
      <c r="C5339" s="221" t="s">
        <v>9204</v>
      </c>
    </row>
    <row r="5340" spans="1:3" x14ac:dyDescent="0.25">
      <c r="A5340" s="222">
        <v>500400</v>
      </c>
      <c r="B5340" s="223" t="s">
        <v>9203</v>
      </c>
      <c r="C5340" s="221" t="s">
        <v>9205</v>
      </c>
    </row>
    <row r="5341" spans="1:3" x14ac:dyDescent="0.25">
      <c r="A5341" s="222">
        <v>500401</v>
      </c>
      <c r="B5341" s="223" t="s">
        <v>9206</v>
      </c>
      <c r="C5341" s="221" t="s">
        <v>9207</v>
      </c>
    </row>
    <row r="5342" spans="1:3" x14ac:dyDescent="0.25">
      <c r="A5342" s="222">
        <v>500401</v>
      </c>
      <c r="B5342" s="223" t="s">
        <v>9206</v>
      </c>
      <c r="C5342" s="221" t="s">
        <v>9208</v>
      </c>
    </row>
    <row r="5343" spans="1:3" x14ac:dyDescent="0.25">
      <c r="A5343" s="222">
        <v>500402</v>
      </c>
      <c r="B5343" s="223" t="s">
        <v>9209</v>
      </c>
      <c r="C5343" s="221" t="s">
        <v>9210</v>
      </c>
    </row>
    <row r="5344" spans="1:3" x14ac:dyDescent="0.25">
      <c r="A5344" s="222">
        <v>500402</v>
      </c>
      <c r="B5344" s="223" t="s">
        <v>9209</v>
      </c>
      <c r="C5344" s="221" t="s">
        <v>9211</v>
      </c>
    </row>
    <row r="5345" spans="1:3" x14ac:dyDescent="0.25">
      <c r="A5345" s="222">
        <v>500403</v>
      </c>
      <c r="B5345" s="223" t="s">
        <v>9212</v>
      </c>
      <c r="C5345" s="221" t="s">
        <v>9213</v>
      </c>
    </row>
    <row r="5346" spans="1:3" x14ac:dyDescent="0.25">
      <c r="A5346" s="222">
        <v>500403</v>
      </c>
      <c r="B5346" s="223" t="s">
        <v>9212</v>
      </c>
      <c r="C5346" s="221" t="s">
        <v>9214</v>
      </c>
    </row>
    <row r="5347" spans="1:3" x14ac:dyDescent="0.25">
      <c r="A5347" s="222">
        <v>500404</v>
      </c>
      <c r="B5347" s="223" t="s">
        <v>9215</v>
      </c>
      <c r="C5347" s="221" t="s">
        <v>9216</v>
      </c>
    </row>
    <row r="5348" spans="1:3" x14ac:dyDescent="0.25">
      <c r="A5348" s="222">
        <v>500404</v>
      </c>
      <c r="B5348" s="223" t="s">
        <v>9215</v>
      </c>
      <c r="C5348" s="221" t="s">
        <v>9217</v>
      </c>
    </row>
    <row r="5349" spans="1:3" x14ac:dyDescent="0.25">
      <c r="A5349" s="222">
        <v>500405</v>
      </c>
      <c r="B5349" s="223" t="s">
        <v>9218</v>
      </c>
      <c r="C5349" s="221" t="s">
        <v>9219</v>
      </c>
    </row>
    <row r="5350" spans="1:3" x14ac:dyDescent="0.25">
      <c r="A5350" s="222">
        <v>500405</v>
      </c>
      <c r="B5350" s="223" t="s">
        <v>9218</v>
      </c>
      <c r="C5350" s="221" t="s">
        <v>9220</v>
      </c>
    </row>
    <row r="5351" spans="1:3" x14ac:dyDescent="0.25">
      <c r="A5351" s="222">
        <v>500406</v>
      </c>
      <c r="B5351" s="223" t="s">
        <v>9221</v>
      </c>
      <c r="C5351" s="221" t="s">
        <v>9222</v>
      </c>
    </row>
    <row r="5352" spans="1:3" x14ac:dyDescent="0.25">
      <c r="A5352" s="222">
        <v>500406</v>
      </c>
      <c r="B5352" s="223" t="s">
        <v>9221</v>
      </c>
      <c r="C5352" s="221" t="s">
        <v>9223</v>
      </c>
    </row>
    <row r="5353" spans="1:3" x14ac:dyDescent="0.25">
      <c r="A5353" s="222">
        <v>500407</v>
      </c>
      <c r="B5353" s="223" t="s">
        <v>9224</v>
      </c>
      <c r="C5353" s="221" t="s">
        <v>9225</v>
      </c>
    </row>
    <row r="5354" spans="1:3" x14ac:dyDescent="0.25">
      <c r="A5354" s="222">
        <v>500407</v>
      </c>
      <c r="B5354" s="223" t="s">
        <v>9224</v>
      </c>
      <c r="C5354" s="221" t="s">
        <v>9226</v>
      </c>
    </row>
    <row r="5355" spans="1:3" x14ac:dyDescent="0.25">
      <c r="A5355" s="222">
        <v>500408</v>
      </c>
      <c r="B5355" s="223" t="s">
        <v>9227</v>
      </c>
      <c r="C5355" s="221" t="s">
        <v>9228</v>
      </c>
    </row>
    <row r="5356" spans="1:3" x14ac:dyDescent="0.25">
      <c r="A5356" s="222">
        <v>500408</v>
      </c>
      <c r="B5356" s="223" t="s">
        <v>9227</v>
      </c>
      <c r="C5356" s="221" t="s">
        <v>9229</v>
      </c>
    </row>
    <row r="5357" spans="1:3" x14ac:dyDescent="0.25">
      <c r="A5357" s="222">
        <v>500409</v>
      </c>
      <c r="B5357" s="223" t="s">
        <v>9230</v>
      </c>
      <c r="C5357" s="221" t="s">
        <v>9231</v>
      </c>
    </row>
    <row r="5358" spans="1:3" x14ac:dyDescent="0.25">
      <c r="A5358" s="222">
        <v>500409</v>
      </c>
      <c r="B5358" s="223" t="s">
        <v>9230</v>
      </c>
      <c r="C5358" s="221" t="s">
        <v>9232</v>
      </c>
    </row>
    <row r="5359" spans="1:3" x14ac:dyDescent="0.25">
      <c r="A5359" s="222">
        <v>500410</v>
      </c>
      <c r="B5359" s="223" t="s">
        <v>9233</v>
      </c>
      <c r="C5359" s="221" t="s">
        <v>9234</v>
      </c>
    </row>
    <row r="5360" spans="1:3" x14ac:dyDescent="0.25">
      <c r="A5360" s="222">
        <v>500410</v>
      </c>
      <c r="B5360" s="223" t="s">
        <v>9233</v>
      </c>
      <c r="C5360" s="221" t="s">
        <v>9235</v>
      </c>
    </row>
    <row r="5361" spans="1:3" x14ac:dyDescent="0.25">
      <c r="A5361" s="222">
        <v>500411</v>
      </c>
      <c r="B5361" s="223" t="s">
        <v>9236</v>
      </c>
      <c r="C5361" s="221" t="s">
        <v>9237</v>
      </c>
    </row>
    <row r="5362" spans="1:3" x14ac:dyDescent="0.25">
      <c r="A5362" s="222">
        <v>500411</v>
      </c>
      <c r="B5362" s="223" t="s">
        <v>9236</v>
      </c>
      <c r="C5362" s="221" t="s">
        <v>9238</v>
      </c>
    </row>
    <row r="5363" spans="1:3" x14ac:dyDescent="0.25">
      <c r="A5363" s="222">
        <v>500412</v>
      </c>
      <c r="B5363" s="223" t="s">
        <v>9239</v>
      </c>
      <c r="C5363" s="221" t="s">
        <v>9240</v>
      </c>
    </row>
    <row r="5364" spans="1:3" x14ac:dyDescent="0.25">
      <c r="A5364" s="222">
        <v>500412</v>
      </c>
      <c r="B5364" s="223" t="s">
        <v>9239</v>
      </c>
      <c r="C5364" s="221" t="s">
        <v>9241</v>
      </c>
    </row>
    <row r="5365" spans="1:3" x14ac:dyDescent="0.25">
      <c r="A5365" s="222">
        <v>500413</v>
      </c>
      <c r="B5365" s="223" t="s">
        <v>9242</v>
      </c>
      <c r="C5365" s="221" t="s">
        <v>9243</v>
      </c>
    </row>
    <row r="5366" spans="1:3" x14ac:dyDescent="0.25">
      <c r="A5366" s="222">
        <v>500413</v>
      </c>
      <c r="B5366" s="223" t="s">
        <v>9242</v>
      </c>
      <c r="C5366" s="221" t="s">
        <v>9244</v>
      </c>
    </row>
    <row r="5367" spans="1:3" x14ac:dyDescent="0.25">
      <c r="A5367" s="222">
        <v>500414</v>
      </c>
      <c r="B5367" s="223" t="s">
        <v>9245</v>
      </c>
      <c r="C5367" s="221" t="s">
        <v>9246</v>
      </c>
    </row>
    <row r="5368" spans="1:3" x14ac:dyDescent="0.25">
      <c r="A5368" s="222">
        <v>500414</v>
      </c>
      <c r="B5368" s="223" t="s">
        <v>9245</v>
      </c>
      <c r="C5368" s="221" t="s">
        <v>9247</v>
      </c>
    </row>
    <row r="5369" spans="1:3" x14ac:dyDescent="0.25">
      <c r="A5369" s="222">
        <v>500415</v>
      </c>
      <c r="B5369" s="223" t="s">
        <v>9248</v>
      </c>
      <c r="C5369" s="221" t="s">
        <v>9249</v>
      </c>
    </row>
    <row r="5370" spans="1:3" x14ac:dyDescent="0.25">
      <c r="A5370" s="222">
        <v>500415</v>
      </c>
      <c r="B5370" s="223" t="s">
        <v>9248</v>
      </c>
      <c r="C5370" s="221" t="s">
        <v>9250</v>
      </c>
    </row>
    <row r="5371" spans="1:3" x14ac:dyDescent="0.25">
      <c r="A5371" s="222">
        <v>500416</v>
      </c>
      <c r="B5371" s="223" t="s">
        <v>9251</v>
      </c>
      <c r="C5371" s="221" t="s">
        <v>9252</v>
      </c>
    </row>
    <row r="5372" spans="1:3" x14ac:dyDescent="0.25">
      <c r="A5372" s="222">
        <v>500416</v>
      </c>
      <c r="B5372" s="223" t="s">
        <v>9251</v>
      </c>
      <c r="C5372" s="221" t="s">
        <v>9253</v>
      </c>
    </row>
    <row r="5373" spans="1:3" x14ac:dyDescent="0.25">
      <c r="A5373" s="222">
        <v>500417</v>
      </c>
      <c r="B5373" s="223" t="s">
        <v>9254</v>
      </c>
      <c r="C5373" s="221" t="s">
        <v>9255</v>
      </c>
    </row>
    <row r="5374" spans="1:3" x14ac:dyDescent="0.25">
      <c r="A5374" s="222">
        <v>500417</v>
      </c>
      <c r="B5374" s="223" t="s">
        <v>9254</v>
      </c>
      <c r="C5374" s="221" t="s">
        <v>9256</v>
      </c>
    </row>
    <row r="5375" spans="1:3" x14ac:dyDescent="0.25">
      <c r="A5375" s="222">
        <v>500418</v>
      </c>
      <c r="B5375" s="223" t="s">
        <v>9257</v>
      </c>
      <c r="C5375" s="221" t="s">
        <v>9258</v>
      </c>
    </row>
    <row r="5376" spans="1:3" x14ac:dyDescent="0.25">
      <c r="A5376" s="222">
        <v>500418</v>
      </c>
      <c r="B5376" s="223" t="s">
        <v>9257</v>
      </c>
      <c r="C5376" s="221" t="s">
        <v>9259</v>
      </c>
    </row>
    <row r="5377" spans="1:3" x14ac:dyDescent="0.25">
      <c r="A5377" s="222">
        <v>500419</v>
      </c>
      <c r="B5377" s="223" t="s">
        <v>9260</v>
      </c>
      <c r="C5377" s="221" t="s">
        <v>9261</v>
      </c>
    </row>
    <row r="5378" spans="1:3" x14ac:dyDescent="0.25">
      <c r="A5378" s="222">
        <v>500419</v>
      </c>
      <c r="B5378" s="223" t="s">
        <v>9260</v>
      </c>
      <c r="C5378" s="221" t="s">
        <v>9262</v>
      </c>
    </row>
    <row r="5379" spans="1:3" x14ac:dyDescent="0.25">
      <c r="A5379" s="222">
        <v>500420</v>
      </c>
      <c r="B5379" s="223" t="s">
        <v>9263</v>
      </c>
      <c r="C5379" s="221" t="s">
        <v>9264</v>
      </c>
    </row>
    <row r="5380" spans="1:3" x14ac:dyDescent="0.25">
      <c r="A5380" s="222">
        <v>500420</v>
      </c>
      <c r="B5380" s="223" t="s">
        <v>9263</v>
      </c>
      <c r="C5380" s="221" t="s">
        <v>9265</v>
      </c>
    </row>
    <row r="5381" spans="1:3" x14ac:dyDescent="0.25">
      <c r="A5381" s="222">
        <v>500421</v>
      </c>
      <c r="B5381" s="223" t="s">
        <v>9266</v>
      </c>
      <c r="C5381" s="221" t="s">
        <v>9267</v>
      </c>
    </row>
    <row r="5382" spans="1:3" x14ac:dyDescent="0.25">
      <c r="A5382" s="222">
        <v>500421</v>
      </c>
      <c r="B5382" s="223" t="s">
        <v>9266</v>
      </c>
      <c r="C5382" s="221" t="s">
        <v>9268</v>
      </c>
    </row>
    <row r="5383" spans="1:3" x14ac:dyDescent="0.25">
      <c r="A5383" s="222">
        <v>500422</v>
      </c>
      <c r="B5383" s="223" t="s">
        <v>9269</v>
      </c>
      <c r="C5383" s="221" t="s">
        <v>9270</v>
      </c>
    </row>
    <row r="5384" spans="1:3" x14ac:dyDescent="0.25">
      <c r="A5384" s="222">
        <v>500422</v>
      </c>
      <c r="B5384" s="223" t="s">
        <v>9269</v>
      </c>
      <c r="C5384" s="221" t="s">
        <v>9271</v>
      </c>
    </row>
    <row r="5385" spans="1:3" x14ac:dyDescent="0.25">
      <c r="A5385" s="222">
        <v>500423</v>
      </c>
      <c r="B5385" s="223" t="s">
        <v>9272</v>
      </c>
      <c r="C5385" s="221" t="s">
        <v>9273</v>
      </c>
    </row>
    <row r="5386" spans="1:3" x14ac:dyDescent="0.25">
      <c r="A5386" s="222">
        <v>500423</v>
      </c>
      <c r="B5386" s="223" t="s">
        <v>9272</v>
      </c>
      <c r="C5386" s="221" t="s">
        <v>9274</v>
      </c>
    </row>
    <row r="5387" spans="1:3" x14ac:dyDescent="0.25">
      <c r="A5387" s="222">
        <v>500424</v>
      </c>
      <c r="B5387" s="223" t="s">
        <v>9275</v>
      </c>
      <c r="C5387" s="221" t="s">
        <v>9276</v>
      </c>
    </row>
    <row r="5388" spans="1:3" x14ac:dyDescent="0.25">
      <c r="A5388" s="222">
        <v>500424</v>
      </c>
      <c r="B5388" s="223" t="s">
        <v>9275</v>
      </c>
      <c r="C5388" s="221" t="s">
        <v>9277</v>
      </c>
    </row>
    <row r="5389" spans="1:3" x14ac:dyDescent="0.25">
      <c r="A5389" s="222">
        <v>500425</v>
      </c>
      <c r="B5389" s="223" t="s">
        <v>9278</v>
      </c>
      <c r="C5389" s="221" t="s">
        <v>9279</v>
      </c>
    </row>
    <row r="5390" spans="1:3" x14ac:dyDescent="0.25">
      <c r="A5390" s="222">
        <v>500425</v>
      </c>
      <c r="B5390" s="223" t="s">
        <v>9278</v>
      </c>
      <c r="C5390" s="221" t="s">
        <v>9280</v>
      </c>
    </row>
    <row r="5391" spans="1:3" x14ac:dyDescent="0.25">
      <c r="A5391" s="222">
        <v>500426</v>
      </c>
      <c r="B5391" s="223" t="s">
        <v>9281</v>
      </c>
      <c r="C5391" s="221" t="s">
        <v>9282</v>
      </c>
    </row>
    <row r="5392" spans="1:3" x14ac:dyDescent="0.25">
      <c r="A5392" s="222">
        <v>500426</v>
      </c>
      <c r="B5392" s="223" t="s">
        <v>9281</v>
      </c>
      <c r="C5392" s="221" t="s">
        <v>9283</v>
      </c>
    </row>
    <row r="5393" spans="1:3" x14ac:dyDescent="0.25">
      <c r="A5393" s="222">
        <v>500427</v>
      </c>
      <c r="B5393" s="223" t="s">
        <v>9284</v>
      </c>
      <c r="C5393" s="221" t="s">
        <v>9285</v>
      </c>
    </row>
    <row r="5394" spans="1:3" x14ac:dyDescent="0.25">
      <c r="A5394" s="222">
        <v>500427</v>
      </c>
      <c r="B5394" s="223" t="s">
        <v>9284</v>
      </c>
      <c r="C5394" s="221" t="s">
        <v>9286</v>
      </c>
    </row>
    <row r="5395" spans="1:3" x14ac:dyDescent="0.25">
      <c r="A5395" s="222">
        <v>500428</v>
      </c>
      <c r="B5395" s="223" t="s">
        <v>9287</v>
      </c>
      <c r="C5395" s="221" t="s">
        <v>9288</v>
      </c>
    </row>
    <row r="5396" spans="1:3" x14ac:dyDescent="0.25">
      <c r="A5396" s="222">
        <v>500428</v>
      </c>
      <c r="B5396" s="223" t="s">
        <v>9287</v>
      </c>
      <c r="C5396" s="221" t="s">
        <v>9289</v>
      </c>
    </row>
    <row r="5397" spans="1:3" x14ac:dyDescent="0.25">
      <c r="A5397" s="222">
        <v>500429</v>
      </c>
      <c r="B5397" s="223" t="s">
        <v>9290</v>
      </c>
      <c r="C5397" s="221" t="s">
        <v>9291</v>
      </c>
    </row>
    <row r="5398" spans="1:3" x14ac:dyDescent="0.25">
      <c r="A5398" s="222">
        <v>500429</v>
      </c>
      <c r="B5398" s="223" t="s">
        <v>9290</v>
      </c>
      <c r="C5398" s="221" t="s">
        <v>9292</v>
      </c>
    </row>
    <row r="5399" spans="1:3" x14ac:dyDescent="0.25">
      <c r="A5399" s="222">
        <v>500430</v>
      </c>
      <c r="B5399" s="223" t="s">
        <v>9293</v>
      </c>
      <c r="C5399" s="221" t="s">
        <v>9294</v>
      </c>
    </row>
    <row r="5400" spans="1:3" x14ac:dyDescent="0.25">
      <c r="A5400" s="222">
        <v>500430</v>
      </c>
      <c r="B5400" s="223" t="s">
        <v>9293</v>
      </c>
      <c r="C5400" s="221" t="s">
        <v>9295</v>
      </c>
    </row>
    <row r="5401" spans="1:3" x14ac:dyDescent="0.25">
      <c r="A5401" s="222">
        <v>500431</v>
      </c>
      <c r="B5401" s="223" t="s">
        <v>9296</v>
      </c>
      <c r="C5401" s="221" t="s">
        <v>9297</v>
      </c>
    </row>
    <row r="5402" spans="1:3" x14ac:dyDescent="0.25">
      <c r="A5402" s="222">
        <v>500431</v>
      </c>
      <c r="B5402" s="223" t="s">
        <v>9296</v>
      </c>
      <c r="C5402" s="221" t="s">
        <v>9298</v>
      </c>
    </row>
    <row r="5403" spans="1:3" x14ac:dyDescent="0.25">
      <c r="A5403" s="222">
        <v>500432</v>
      </c>
      <c r="B5403" s="223" t="s">
        <v>9299</v>
      </c>
      <c r="C5403" s="221" t="s">
        <v>9300</v>
      </c>
    </row>
    <row r="5404" spans="1:3" x14ac:dyDescent="0.25">
      <c r="A5404" s="222">
        <v>500432</v>
      </c>
      <c r="B5404" s="223" t="s">
        <v>9299</v>
      </c>
      <c r="C5404" s="221" t="s">
        <v>9301</v>
      </c>
    </row>
    <row r="5405" spans="1:3" x14ac:dyDescent="0.25">
      <c r="A5405" s="222">
        <v>500433</v>
      </c>
      <c r="B5405" s="223" t="s">
        <v>9302</v>
      </c>
      <c r="C5405" s="221" t="s">
        <v>9303</v>
      </c>
    </row>
    <row r="5406" spans="1:3" x14ac:dyDescent="0.25">
      <c r="A5406" s="222">
        <v>500433</v>
      </c>
      <c r="B5406" s="223" t="s">
        <v>9302</v>
      </c>
      <c r="C5406" s="221" t="s">
        <v>9304</v>
      </c>
    </row>
    <row r="5407" spans="1:3" x14ac:dyDescent="0.25">
      <c r="A5407" s="222">
        <v>500434</v>
      </c>
      <c r="B5407" s="223" t="s">
        <v>9305</v>
      </c>
      <c r="C5407" s="221" t="s">
        <v>9306</v>
      </c>
    </row>
    <row r="5408" spans="1:3" x14ac:dyDescent="0.25">
      <c r="A5408" s="222">
        <v>500434</v>
      </c>
      <c r="B5408" s="223" t="s">
        <v>9305</v>
      </c>
      <c r="C5408" s="221" t="s">
        <v>9307</v>
      </c>
    </row>
    <row r="5409" spans="1:3" x14ac:dyDescent="0.25">
      <c r="A5409" s="222">
        <v>500435</v>
      </c>
      <c r="B5409" s="223" t="s">
        <v>9308</v>
      </c>
      <c r="C5409" s="221" t="s">
        <v>9309</v>
      </c>
    </row>
    <row r="5410" spans="1:3" x14ac:dyDescent="0.25">
      <c r="A5410" s="222">
        <v>500435</v>
      </c>
      <c r="B5410" s="223" t="s">
        <v>9308</v>
      </c>
      <c r="C5410" s="221" t="s">
        <v>9310</v>
      </c>
    </row>
    <row r="5411" spans="1:3" x14ac:dyDescent="0.25">
      <c r="A5411" s="222">
        <v>500436</v>
      </c>
      <c r="B5411" s="223" t="s">
        <v>9311</v>
      </c>
      <c r="C5411" s="221" t="s">
        <v>9312</v>
      </c>
    </row>
    <row r="5412" spans="1:3" x14ac:dyDescent="0.25">
      <c r="A5412" s="222">
        <v>500436</v>
      </c>
      <c r="B5412" s="223" t="s">
        <v>9311</v>
      </c>
      <c r="C5412" s="221" t="s">
        <v>9313</v>
      </c>
    </row>
    <row r="5413" spans="1:3" x14ac:dyDescent="0.25">
      <c r="A5413" s="222">
        <v>500437</v>
      </c>
      <c r="B5413" s="223" t="s">
        <v>9314</v>
      </c>
      <c r="C5413" s="221" t="s">
        <v>9315</v>
      </c>
    </row>
    <row r="5414" spans="1:3" x14ac:dyDescent="0.25">
      <c r="A5414" s="222">
        <v>500437</v>
      </c>
      <c r="B5414" s="223" t="s">
        <v>9314</v>
      </c>
      <c r="C5414" s="221" t="s">
        <v>9316</v>
      </c>
    </row>
    <row r="5415" spans="1:3" x14ac:dyDescent="0.25">
      <c r="A5415" s="222">
        <v>500438</v>
      </c>
      <c r="B5415" s="223" t="s">
        <v>9317</v>
      </c>
      <c r="C5415" s="221" t="s">
        <v>9318</v>
      </c>
    </row>
    <row r="5416" spans="1:3" x14ac:dyDescent="0.25">
      <c r="A5416" s="222">
        <v>500438</v>
      </c>
      <c r="B5416" s="223" t="s">
        <v>9317</v>
      </c>
      <c r="C5416" s="221" t="s">
        <v>9319</v>
      </c>
    </row>
    <row r="5417" spans="1:3" x14ac:dyDescent="0.25">
      <c r="A5417" s="222">
        <v>500439</v>
      </c>
      <c r="B5417" s="223" t="s">
        <v>9320</v>
      </c>
      <c r="C5417" s="221" t="s">
        <v>9321</v>
      </c>
    </row>
    <row r="5418" spans="1:3" x14ac:dyDescent="0.25">
      <c r="A5418" s="222">
        <v>500439</v>
      </c>
      <c r="B5418" s="223" t="s">
        <v>9320</v>
      </c>
      <c r="C5418" s="221" t="s">
        <v>9322</v>
      </c>
    </row>
    <row r="5419" spans="1:3" x14ac:dyDescent="0.25">
      <c r="A5419" s="222">
        <v>500440</v>
      </c>
      <c r="B5419" s="223" t="s">
        <v>9323</v>
      </c>
      <c r="C5419" s="221" t="s">
        <v>9324</v>
      </c>
    </row>
    <row r="5420" spans="1:3" x14ac:dyDescent="0.25">
      <c r="A5420" s="222">
        <v>500440</v>
      </c>
      <c r="B5420" s="223" t="s">
        <v>9323</v>
      </c>
      <c r="C5420" s="221" t="s">
        <v>9325</v>
      </c>
    </row>
    <row r="5421" spans="1:3" x14ac:dyDescent="0.25">
      <c r="A5421" s="222">
        <v>500441</v>
      </c>
      <c r="B5421" s="223" t="s">
        <v>9326</v>
      </c>
      <c r="C5421" s="221" t="s">
        <v>9327</v>
      </c>
    </row>
    <row r="5422" spans="1:3" x14ac:dyDescent="0.25">
      <c r="A5422" s="222">
        <v>500441</v>
      </c>
      <c r="B5422" s="223" t="s">
        <v>9326</v>
      </c>
      <c r="C5422" s="221" t="s">
        <v>9328</v>
      </c>
    </row>
    <row r="5423" spans="1:3" x14ac:dyDescent="0.25">
      <c r="A5423" s="222">
        <v>500442</v>
      </c>
      <c r="B5423" s="223" t="s">
        <v>9329</v>
      </c>
      <c r="C5423" s="221" t="s">
        <v>9330</v>
      </c>
    </row>
    <row r="5424" spans="1:3" x14ac:dyDescent="0.25">
      <c r="A5424" s="222">
        <v>500442</v>
      </c>
      <c r="B5424" s="223" t="s">
        <v>9329</v>
      </c>
      <c r="C5424" s="221" t="s">
        <v>9331</v>
      </c>
    </row>
    <row r="5425" spans="1:3" x14ac:dyDescent="0.25">
      <c r="A5425" s="222">
        <v>500443</v>
      </c>
      <c r="B5425" s="223" t="s">
        <v>9332</v>
      </c>
      <c r="C5425" s="221" t="s">
        <v>9333</v>
      </c>
    </row>
    <row r="5426" spans="1:3" x14ac:dyDescent="0.25">
      <c r="A5426" s="222">
        <v>500443</v>
      </c>
      <c r="B5426" s="223" t="s">
        <v>9332</v>
      </c>
      <c r="C5426" s="221" t="s">
        <v>9334</v>
      </c>
    </row>
    <row r="5427" spans="1:3" x14ac:dyDescent="0.25">
      <c r="A5427" s="222">
        <v>500444</v>
      </c>
      <c r="B5427" s="223" t="s">
        <v>9335</v>
      </c>
      <c r="C5427" s="221" t="s">
        <v>9336</v>
      </c>
    </row>
    <row r="5428" spans="1:3" x14ac:dyDescent="0.25">
      <c r="A5428" s="222">
        <v>500444</v>
      </c>
      <c r="B5428" s="223" t="s">
        <v>9335</v>
      </c>
      <c r="C5428" s="221" t="s">
        <v>9337</v>
      </c>
    </row>
    <row r="5429" spans="1:3" x14ac:dyDescent="0.25">
      <c r="A5429" s="222">
        <v>500445</v>
      </c>
      <c r="B5429" s="223" t="s">
        <v>9338</v>
      </c>
      <c r="C5429" s="221" t="s">
        <v>9339</v>
      </c>
    </row>
    <row r="5430" spans="1:3" x14ac:dyDescent="0.25">
      <c r="A5430" s="222">
        <v>500445</v>
      </c>
      <c r="B5430" s="223" t="s">
        <v>9338</v>
      </c>
      <c r="C5430" s="221" t="s">
        <v>9340</v>
      </c>
    </row>
    <row r="5431" spans="1:3" x14ac:dyDescent="0.25">
      <c r="A5431" s="222">
        <v>500446</v>
      </c>
      <c r="B5431" s="223" t="s">
        <v>9341</v>
      </c>
      <c r="C5431" s="221" t="s">
        <v>9342</v>
      </c>
    </row>
    <row r="5432" spans="1:3" x14ac:dyDescent="0.25">
      <c r="A5432" s="222">
        <v>500446</v>
      </c>
      <c r="B5432" s="223" t="s">
        <v>9341</v>
      </c>
      <c r="C5432" s="221" t="s">
        <v>9343</v>
      </c>
    </row>
    <row r="5433" spans="1:3" x14ac:dyDescent="0.25">
      <c r="A5433" s="222">
        <v>500447</v>
      </c>
      <c r="B5433" s="223" t="s">
        <v>9344</v>
      </c>
      <c r="C5433" s="221" t="s">
        <v>9345</v>
      </c>
    </row>
    <row r="5434" spans="1:3" x14ac:dyDescent="0.25">
      <c r="A5434" s="222">
        <v>500447</v>
      </c>
      <c r="B5434" s="223" t="s">
        <v>9344</v>
      </c>
      <c r="C5434" s="221" t="s">
        <v>9346</v>
      </c>
    </row>
    <row r="5435" spans="1:3" x14ac:dyDescent="0.25">
      <c r="A5435" s="222">
        <v>500448</v>
      </c>
      <c r="B5435" s="223" t="s">
        <v>9347</v>
      </c>
      <c r="C5435" s="221" t="s">
        <v>9348</v>
      </c>
    </row>
    <row r="5436" spans="1:3" x14ac:dyDescent="0.25">
      <c r="A5436" s="222">
        <v>500448</v>
      </c>
      <c r="B5436" s="223" t="s">
        <v>9347</v>
      </c>
      <c r="C5436" s="221" t="s">
        <v>9349</v>
      </c>
    </row>
    <row r="5437" spans="1:3" x14ac:dyDescent="0.25">
      <c r="A5437" s="222">
        <v>500449</v>
      </c>
      <c r="B5437" s="223" t="s">
        <v>9350</v>
      </c>
      <c r="C5437" s="221" t="s">
        <v>9351</v>
      </c>
    </row>
    <row r="5438" spans="1:3" x14ac:dyDescent="0.25">
      <c r="A5438" s="222">
        <v>500449</v>
      </c>
      <c r="B5438" s="223" t="s">
        <v>9350</v>
      </c>
      <c r="C5438" s="221" t="s">
        <v>9352</v>
      </c>
    </row>
    <row r="5439" spans="1:3" x14ac:dyDescent="0.25">
      <c r="A5439" s="222">
        <v>500450</v>
      </c>
      <c r="B5439" s="223" t="s">
        <v>9353</v>
      </c>
      <c r="C5439" s="221" t="s">
        <v>9354</v>
      </c>
    </row>
    <row r="5440" spans="1:3" x14ac:dyDescent="0.25">
      <c r="A5440" s="222">
        <v>500450</v>
      </c>
      <c r="B5440" s="223" t="s">
        <v>9353</v>
      </c>
      <c r="C5440" s="221" t="s">
        <v>9355</v>
      </c>
    </row>
    <row r="5441" spans="1:3" x14ac:dyDescent="0.25">
      <c r="A5441" s="222">
        <v>500451</v>
      </c>
      <c r="B5441" s="223" t="s">
        <v>9356</v>
      </c>
      <c r="C5441" s="221" t="s">
        <v>9357</v>
      </c>
    </row>
    <row r="5442" spans="1:3" x14ac:dyDescent="0.25">
      <c r="A5442" s="222">
        <v>500451</v>
      </c>
      <c r="B5442" s="223" t="s">
        <v>9356</v>
      </c>
      <c r="C5442" s="221" t="s">
        <v>9358</v>
      </c>
    </row>
    <row r="5443" spans="1:3" x14ac:dyDescent="0.25">
      <c r="A5443" s="222">
        <v>500452</v>
      </c>
      <c r="B5443" s="223" t="s">
        <v>9359</v>
      </c>
      <c r="C5443" s="221" t="s">
        <v>9360</v>
      </c>
    </row>
    <row r="5444" spans="1:3" x14ac:dyDescent="0.25">
      <c r="A5444" s="222">
        <v>500452</v>
      </c>
      <c r="B5444" s="223" t="s">
        <v>9359</v>
      </c>
      <c r="C5444" s="221" t="s">
        <v>9361</v>
      </c>
    </row>
    <row r="5445" spans="1:3" x14ac:dyDescent="0.25">
      <c r="A5445" s="222">
        <v>500453</v>
      </c>
      <c r="B5445" s="223" t="s">
        <v>9362</v>
      </c>
      <c r="C5445" s="221" t="s">
        <v>9363</v>
      </c>
    </row>
    <row r="5446" spans="1:3" x14ac:dyDescent="0.25">
      <c r="A5446" s="222">
        <v>500453</v>
      </c>
      <c r="B5446" s="223" t="s">
        <v>9362</v>
      </c>
      <c r="C5446" s="221" t="s">
        <v>9364</v>
      </c>
    </row>
    <row r="5447" spans="1:3" x14ac:dyDescent="0.25">
      <c r="A5447" s="222">
        <v>500454</v>
      </c>
      <c r="B5447" s="223" t="s">
        <v>9365</v>
      </c>
      <c r="C5447" s="221" t="s">
        <v>9366</v>
      </c>
    </row>
    <row r="5448" spans="1:3" x14ac:dyDescent="0.25">
      <c r="A5448" s="222">
        <v>500454</v>
      </c>
      <c r="B5448" s="223" t="s">
        <v>9365</v>
      </c>
      <c r="C5448" s="221" t="s">
        <v>9367</v>
      </c>
    </row>
    <row r="5449" spans="1:3" x14ac:dyDescent="0.25">
      <c r="A5449" s="222">
        <v>500455</v>
      </c>
      <c r="B5449" s="223" t="s">
        <v>9368</v>
      </c>
      <c r="C5449" s="221" t="s">
        <v>9369</v>
      </c>
    </row>
    <row r="5450" spans="1:3" x14ac:dyDescent="0.25">
      <c r="A5450" s="222">
        <v>500455</v>
      </c>
      <c r="B5450" s="223" t="s">
        <v>9368</v>
      </c>
      <c r="C5450" s="221" t="s">
        <v>9370</v>
      </c>
    </row>
    <row r="5451" spans="1:3" x14ac:dyDescent="0.25">
      <c r="A5451" s="222">
        <v>500456</v>
      </c>
      <c r="B5451" s="223" t="s">
        <v>9371</v>
      </c>
      <c r="C5451" s="221" t="s">
        <v>9372</v>
      </c>
    </row>
    <row r="5452" spans="1:3" x14ac:dyDescent="0.25">
      <c r="A5452" s="222">
        <v>500456</v>
      </c>
      <c r="B5452" s="223" t="s">
        <v>9371</v>
      </c>
      <c r="C5452" s="221" t="s">
        <v>9373</v>
      </c>
    </row>
    <row r="5453" spans="1:3" x14ac:dyDescent="0.25">
      <c r="A5453" s="222">
        <v>500457</v>
      </c>
      <c r="B5453" s="223" t="s">
        <v>9374</v>
      </c>
      <c r="C5453" s="221" t="s">
        <v>9375</v>
      </c>
    </row>
    <row r="5454" spans="1:3" x14ac:dyDescent="0.25">
      <c r="A5454" s="222">
        <v>500457</v>
      </c>
      <c r="B5454" s="223" t="s">
        <v>9374</v>
      </c>
      <c r="C5454" s="221" t="s">
        <v>9376</v>
      </c>
    </row>
    <row r="5455" spans="1:3" x14ac:dyDescent="0.25">
      <c r="A5455" s="222">
        <v>500458</v>
      </c>
      <c r="B5455" s="223" t="s">
        <v>9377</v>
      </c>
      <c r="C5455" s="221" t="s">
        <v>9378</v>
      </c>
    </row>
    <row r="5456" spans="1:3" x14ac:dyDescent="0.25">
      <c r="A5456" s="222">
        <v>500458</v>
      </c>
      <c r="B5456" s="223" t="s">
        <v>9377</v>
      </c>
      <c r="C5456" s="221" t="s">
        <v>9379</v>
      </c>
    </row>
    <row r="5457" spans="1:3" x14ac:dyDescent="0.25">
      <c r="A5457" s="222">
        <v>500459</v>
      </c>
      <c r="B5457" s="223" t="s">
        <v>9380</v>
      </c>
      <c r="C5457" s="221" t="s">
        <v>9381</v>
      </c>
    </row>
    <row r="5458" spans="1:3" x14ac:dyDescent="0.25">
      <c r="A5458" s="222">
        <v>500459</v>
      </c>
      <c r="B5458" s="223" t="s">
        <v>9380</v>
      </c>
      <c r="C5458" s="221" t="s">
        <v>9382</v>
      </c>
    </row>
    <row r="5459" spans="1:3" x14ac:dyDescent="0.25">
      <c r="A5459" s="222">
        <v>500460</v>
      </c>
      <c r="B5459" s="223" t="s">
        <v>9383</v>
      </c>
      <c r="C5459" s="221" t="s">
        <v>9384</v>
      </c>
    </row>
    <row r="5460" spans="1:3" x14ac:dyDescent="0.25">
      <c r="A5460" s="222">
        <v>500460</v>
      </c>
      <c r="B5460" s="223" t="s">
        <v>9383</v>
      </c>
      <c r="C5460" s="221" t="s">
        <v>9385</v>
      </c>
    </row>
    <row r="5461" spans="1:3" x14ac:dyDescent="0.25">
      <c r="A5461" s="222">
        <v>500461</v>
      </c>
      <c r="B5461" s="223" t="s">
        <v>9386</v>
      </c>
      <c r="C5461" s="221" t="s">
        <v>9387</v>
      </c>
    </row>
    <row r="5462" spans="1:3" x14ac:dyDescent="0.25">
      <c r="A5462" s="222">
        <v>500461</v>
      </c>
      <c r="B5462" s="223" t="s">
        <v>9386</v>
      </c>
      <c r="C5462" s="221" t="s">
        <v>9388</v>
      </c>
    </row>
    <row r="5463" spans="1:3" x14ac:dyDescent="0.25">
      <c r="A5463" s="222">
        <v>500462</v>
      </c>
      <c r="B5463" s="223" t="s">
        <v>9389</v>
      </c>
      <c r="C5463" s="221" t="s">
        <v>9390</v>
      </c>
    </row>
    <row r="5464" spans="1:3" x14ac:dyDescent="0.25">
      <c r="A5464" s="222">
        <v>500462</v>
      </c>
      <c r="B5464" s="223" t="s">
        <v>9389</v>
      </c>
      <c r="C5464" s="221" t="s">
        <v>9391</v>
      </c>
    </row>
    <row r="5465" spans="1:3" x14ac:dyDescent="0.25">
      <c r="A5465" s="222">
        <v>500463</v>
      </c>
      <c r="B5465" s="223" t="s">
        <v>9392</v>
      </c>
      <c r="C5465" s="221" t="s">
        <v>9393</v>
      </c>
    </row>
    <row r="5466" spans="1:3" x14ac:dyDescent="0.25">
      <c r="A5466" s="222">
        <v>500463</v>
      </c>
      <c r="B5466" s="223" t="s">
        <v>9392</v>
      </c>
      <c r="C5466" s="221" t="s">
        <v>9394</v>
      </c>
    </row>
    <row r="5467" spans="1:3" x14ac:dyDescent="0.25">
      <c r="A5467" s="222">
        <v>500464</v>
      </c>
      <c r="B5467" s="223" t="s">
        <v>9395</v>
      </c>
      <c r="C5467" s="221" t="s">
        <v>9396</v>
      </c>
    </row>
    <row r="5468" spans="1:3" x14ac:dyDescent="0.25">
      <c r="A5468" s="222">
        <v>500464</v>
      </c>
      <c r="B5468" s="223" t="s">
        <v>9395</v>
      </c>
      <c r="C5468" s="221" t="s">
        <v>9397</v>
      </c>
    </row>
    <row r="5469" spans="1:3" x14ac:dyDescent="0.25">
      <c r="A5469" s="222">
        <v>500465</v>
      </c>
      <c r="B5469" s="223" t="s">
        <v>9398</v>
      </c>
      <c r="C5469" s="221" t="s">
        <v>9399</v>
      </c>
    </row>
    <row r="5470" spans="1:3" x14ac:dyDescent="0.25">
      <c r="A5470" s="222">
        <v>500465</v>
      </c>
      <c r="B5470" s="223" t="s">
        <v>9398</v>
      </c>
      <c r="C5470" s="221" t="s">
        <v>9400</v>
      </c>
    </row>
    <row r="5471" spans="1:3" x14ac:dyDescent="0.25">
      <c r="A5471" s="222">
        <v>500466</v>
      </c>
      <c r="B5471" s="223" t="s">
        <v>9401</v>
      </c>
      <c r="C5471" s="221" t="s">
        <v>9402</v>
      </c>
    </row>
    <row r="5472" spans="1:3" x14ac:dyDescent="0.25">
      <c r="A5472" s="222">
        <v>500466</v>
      </c>
      <c r="B5472" s="223" t="s">
        <v>9401</v>
      </c>
      <c r="C5472" s="221" t="s">
        <v>9403</v>
      </c>
    </row>
    <row r="5473" spans="1:3" x14ac:dyDescent="0.25">
      <c r="A5473" s="222">
        <v>500467</v>
      </c>
      <c r="B5473" s="223" t="s">
        <v>9404</v>
      </c>
      <c r="C5473" s="221" t="s">
        <v>9405</v>
      </c>
    </row>
    <row r="5474" spans="1:3" x14ac:dyDescent="0.25">
      <c r="A5474" s="222">
        <v>500467</v>
      </c>
      <c r="B5474" s="223" t="s">
        <v>9404</v>
      </c>
      <c r="C5474" s="221" t="s">
        <v>9406</v>
      </c>
    </row>
    <row r="5475" spans="1:3" x14ac:dyDescent="0.25">
      <c r="A5475" s="222">
        <v>500468</v>
      </c>
      <c r="B5475" s="223" t="s">
        <v>9407</v>
      </c>
      <c r="C5475" s="221" t="s">
        <v>9408</v>
      </c>
    </row>
    <row r="5476" spans="1:3" x14ac:dyDescent="0.25">
      <c r="A5476" s="222">
        <v>500468</v>
      </c>
      <c r="B5476" s="223" t="s">
        <v>9407</v>
      </c>
      <c r="C5476" s="221" t="s">
        <v>9409</v>
      </c>
    </row>
    <row r="5477" spans="1:3" x14ac:dyDescent="0.25">
      <c r="A5477" s="222">
        <v>500469</v>
      </c>
      <c r="B5477" s="223" t="s">
        <v>9410</v>
      </c>
      <c r="C5477" s="221" t="s">
        <v>9411</v>
      </c>
    </row>
    <row r="5478" spans="1:3" x14ac:dyDescent="0.25">
      <c r="A5478" s="222">
        <v>500469</v>
      </c>
      <c r="B5478" s="223" t="s">
        <v>9410</v>
      </c>
      <c r="C5478" s="221" t="s">
        <v>9412</v>
      </c>
    </row>
    <row r="5479" spans="1:3" x14ac:dyDescent="0.25">
      <c r="A5479" s="222">
        <v>500470</v>
      </c>
      <c r="B5479" s="223" t="s">
        <v>9413</v>
      </c>
      <c r="C5479" s="221" t="s">
        <v>9414</v>
      </c>
    </row>
    <row r="5480" spans="1:3" x14ac:dyDescent="0.25">
      <c r="A5480" s="222">
        <v>500470</v>
      </c>
      <c r="B5480" s="223" t="s">
        <v>9413</v>
      </c>
      <c r="C5480" s="221" t="s">
        <v>9415</v>
      </c>
    </row>
    <row r="5481" spans="1:3" x14ac:dyDescent="0.25">
      <c r="A5481" s="222">
        <v>500471</v>
      </c>
      <c r="B5481" s="223" t="s">
        <v>9416</v>
      </c>
      <c r="C5481" s="221" t="s">
        <v>9417</v>
      </c>
    </row>
    <row r="5482" spans="1:3" x14ac:dyDescent="0.25">
      <c r="A5482" s="222">
        <v>500471</v>
      </c>
      <c r="B5482" s="223" t="s">
        <v>9416</v>
      </c>
      <c r="C5482" s="221" t="s">
        <v>9418</v>
      </c>
    </row>
    <row r="5483" spans="1:3" x14ac:dyDescent="0.25">
      <c r="A5483" s="222">
        <v>500472</v>
      </c>
      <c r="B5483" s="223" t="s">
        <v>9419</v>
      </c>
      <c r="C5483" s="221" t="s">
        <v>9420</v>
      </c>
    </row>
    <row r="5484" spans="1:3" x14ac:dyDescent="0.25">
      <c r="A5484" s="222">
        <v>500472</v>
      </c>
      <c r="B5484" s="223" t="s">
        <v>9419</v>
      </c>
      <c r="C5484" s="221" t="s">
        <v>9421</v>
      </c>
    </row>
    <row r="5485" spans="1:3" x14ac:dyDescent="0.25">
      <c r="A5485" s="222">
        <v>500473</v>
      </c>
      <c r="B5485" s="223" t="s">
        <v>9422</v>
      </c>
      <c r="C5485" s="221" t="s">
        <v>9423</v>
      </c>
    </row>
    <row r="5486" spans="1:3" x14ac:dyDescent="0.25">
      <c r="A5486" s="222">
        <v>500473</v>
      </c>
      <c r="B5486" s="223" t="s">
        <v>9422</v>
      </c>
      <c r="C5486" s="221" t="s">
        <v>9423</v>
      </c>
    </row>
    <row r="5487" spans="1:3" x14ac:dyDescent="0.25">
      <c r="A5487" s="222">
        <v>500473</v>
      </c>
      <c r="B5487" s="223" t="s">
        <v>9422</v>
      </c>
      <c r="C5487" s="221" t="s">
        <v>9424</v>
      </c>
    </row>
    <row r="5488" spans="1:3" x14ac:dyDescent="0.25">
      <c r="A5488" s="222">
        <v>500474</v>
      </c>
      <c r="B5488" s="223" t="s">
        <v>9425</v>
      </c>
      <c r="C5488" s="221" t="s">
        <v>9426</v>
      </c>
    </row>
    <row r="5489" spans="1:3" x14ac:dyDescent="0.25">
      <c r="A5489" s="222">
        <v>500474</v>
      </c>
      <c r="B5489" s="223" t="s">
        <v>9425</v>
      </c>
      <c r="C5489" s="221" t="s">
        <v>9427</v>
      </c>
    </row>
    <row r="5490" spans="1:3" x14ac:dyDescent="0.25">
      <c r="A5490" s="222">
        <v>500475</v>
      </c>
      <c r="B5490" s="223" t="s">
        <v>9428</v>
      </c>
      <c r="C5490" s="221" t="s">
        <v>9429</v>
      </c>
    </row>
    <row r="5491" spans="1:3" x14ac:dyDescent="0.25">
      <c r="A5491" s="222">
        <v>500475</v>
      </c>
      <c r="B5491" s="223" t="s">
        <v>9428</v>
      </c>
      <c r="C5491" s="221" t="s">
        <v>9430</v>
      </c>
    </row>
    <row r="5492" spans="1:3" x14ac:dyDescent="0.25">
      <c r="A5492" s="222">
        <v>500476</v>
      </c>
      <c r="B5492" s="223" t="s">
        <v>9431</v>
      </c>
      <c r="C5492" s="221" t="s">
        <v>9432</v>
      </c>
    </row>
    <row r="5493" spans="1:3" x14ac:dyDescent="0.25">
      <c r="A5493" s="222">
        <v>500476</v>
      </c>
      <c r="B5493" s="223" t="s">
        <v>9431</v>
      </c>
      <c r="C5493" s="221" t="s">
        <v>9433</v>
      </c>
    </row>
    <row r="5494" spans="1:3" x14ac:dyDescent="0.25">
      <c r="A5494" s="222">
        <v>500477</v>
      </c>
      <c r="B5494" s="223" t="s">
        <v>9434</v>
      </c>
      <c r="C5494" s="221" t="s">
        <v>9435</v>
      </c>
    </row>
    <row r="5495" spans="1:3" x14ac:dyDescent="0.25">
      <c r="A5495" s="222">
        <v>500477</v>
      </c>
      <c r="B5495" s="223" t="s">
        <v>9434</v>
      </c>
      <c r="C5495" s="221" t="s">
        <v>9436</v>
      </c>
    </row>
    <row r="5496" spans="1:3" x14ac:dyDescent="0.25">
      <c r="A5496" s="222">
        <v>500478</v>
      </c>
      <c r="B5496" s="223" t="s">
        <v>9437</v>
      </c>
      <c r="C5496" s="221" t="s">
        <v>9438</v>
      </c>
    </row>
    <row r="5497" spans="1:3" x14ac:dyDescent="0.25">
      <c r="A5497" s="222">
        <v>500478</v>
      </c>
      <c r="B5497" s="223" t="s">
        <v>9437</v>
      </c>
      <c r="C5497" s="221" t="s">
        <v>9439</v>
      </c>
    </row>
    <row r="5498" spans="1:3" x14ac:dyDescent="0.25">
      <c r="A5498" s="222">
        <v>500479</v>
      </c>
      <c r="B5498" s="223" t="s">
        <v>9440</v>
      </c>
      <c r="C5498" s="221" t="s">
        <v>9441</v>
      </c>
    </row>
    <row r="5499" spans="1:3" x14ac:dyDescent="0.25">
      <c r="A5499" s="222">
        <v>500479</v>
      </c>
      <c r="B5499" s="223" t="s">
        <v>9440</v>
      </c>
      <c r="C5499" s="221" t="s">
        <v>9442</v>
      </c>
    </row>
    <row r="5500" spans="1:3" x14ac:dyDescent="0.25">
      <c r="A5500" s="222">
        <v>500480</v>
      </c>
      <c r="B5500" s="223" t="s">
        <v>9443</v>
      </c>
      <c r="C5500" s="221" t="s">
        <v>9444</v>
      </c>
    </row>
    <row r="5501" spans="1:3" x14ac:dyDescent="0.25">
      <c r="A5501" s="222">
        <v>500480</v>
      </c>
      <c r="B5501" s="223" t="s">
        <v>9443</v>
      </c>
      <c r="C5501" s="221" t="s">
        <v>9445</v>
      </c>
    </row>
    <row r="5502" spans="1:3" x14ac:dyDescent="0.25">
      <c r="A5502" s="222">
        <v>500481</v>
      </c>
      <c r="B5502" s="223" t="s">
        <v>9446</v>
      </c>
      <c r="C5502" s="221" t="s">
        <v>9447</v>
      </c>
    </row>
    <row r="5503" spans="1:3" x14ac:dyDescent="0.25">
      <c r="A5503" s="222">
        <v>500481</v>
      </c>
      <c r="B5503" s="223" t="s">
        <v>9446</v>
      </c>
      <c r="C5503" s="221" t="s">
        <v>9448</v>
      </c>
    </row>
    <row r="5504" spans="1:3" x14ac:dyDescent="0.25">
      <c r="A5504" s="222">
        <v>500482</v>
      </c>
      <c r="B5504" s="223" t="s">
        <v>9449</v>
      </c>
      <c r="C5504" s="221" t="s">
        <v>9450</v>
      </c>
    </row>
    <row r="5505" spans="1:3" x14ac:dyDescent="0.25">
      <c r="A5505" s="222">
        <v>500482</v>
      </c>
      <c r="B5505" s="223" t="s">
        <v>9449</v>
      </c>
      <c r="C5505" s="221" t="s">
        <v>9451</v>
      </c>
    </row>
    <row r="5506" spans="1:3" x14ac:dyDescent="0.25">
      <c r="A5506" s="222">
        <v>500483</v>
      </c>
      <c r="B5506" s="223" t="s">
        <v>9452</v>
      </c>
      <c r="C5506" s="221" t="s">
        <v>9453</v>
      </c>
    </row>
    <row r="5507" spans="1:3" x14ac:dyDescent="0.25">
      <c r="A5507" s="222">
        <v>500483</v>
      </c>
      <c r="B5507" s="223" t="s">
        <v>9452</v>
      </c>
      <c r="C5507" s="221" t="s">
        <v>9454</v>
      </c>
    </row>
    <row r="5508" spans="1:3" x14ac:dyDescent="0.25">
      <c r="A5508" s="222">
        <v>500484</v>
      </c>
      <c r="B5508" s="223" t="s">
        <v>9455</v>
      </c>
      <c r="C5508" s="221" t="s">
        <v>9456</v>
      </c>
    </row>
    <row r="5509" spans="1:3" x14ac:dyDescent="0.25">
      <c r="A5509" s="222">
        <v>500484</v>
      </c>
      <c r="B5509" s="223" t="s">
        <v>9455</v>
      </c>
      <c r="C5509" s="221" t="s">
        <v>9457</v>
      </c>
    </row>
    <row r="5510" spans="1:3" x14ac:dyDescent="0.25">
      <c r="A5510" s="222">
        <v>500485</v>
      </c>
      <c r="B5510" s="223" t="s">
        <v>9458</v>
      </c>
      <c r="C5510" s="221" t="s">
        <v>9459</v>
      </c>
    </row>
    <row r="5511" spans="1:3" x14ac:dyDescent="0.25">
      <c r="A5511" s="222">
        <v>500485</v>
      </c>
      <c r="B5511" s="223" t="s">
        <v>9458</v>
      </c>
      <c r="C5511" s="221" t="s">
        <v>9460</v>
      </c>
    </row>
    <row r="5512" spans="1:3" x14ac:dyDescent="0.25">
      <c r="A5512" s="222">
        <v>500486</v>
      </c>
      <c r="B5512" s="223" t="s">
        <v>9461</v>
      </c>
      <c r="C5512" s="221" t="s">
        <v>9462</v>
      </c>
    </row>
    <row r="5513" spans="1:3" x14ac:dyDescent="0.25">
      <c r="A5513" s="222">
        <v>500486</v>
      </c>
      <c r="B5513" s="223" t="s">
        <v>9461</v>
      </c>
      <c r="C5513" s="221" t="s">
        <v>9463</v>
      </c>
    </row>
    <row r="5514" spans="1:3" x14ac:dyDescent="0.25">
      <c r="A5514" s="222">
        <v>500487</v>
      </c>
      <c r="B5514" s="223" t="s">
        <v>9464</v>
      </c>
      <c r="C5514" s="221" t="s">
        <v>9465</v>
      </c>
    </row>
    <row r="5515" spans="1:3" x14ac:dyDescent="0.25">
      <c r="A5515" s="222">
        <v>500487</v>
      </c>
      <c r="B5515" s="223" t="s">
        <v>9464</v>
      </c>
      <c r="C5515" s="221" t="s">
        <v>9466</v>
      </c>
    </row>
    <row r="5516" spans="1:3" x14ac:dyDescent="0.25">
      <c r="A5516" s="222">
        <v>500488</v>
      </c>
      <c r="B5516" s="223" t="s">
        <v>9467</v>
      </c>
      <c r="C5516" s="221" t="s">
        <v>9468</v>
      </c>
    </row>
    <row r="5517" spans="1:3" x14ac:dyDescent="0.25">
      <c r="A5517" s="222">
        <v>500488</v>
      </c>
      <c r="B5517" s="223" t="s">
        <v>9467</v>
      </c>
      <c r="C5517" s="221" t="s">
        <v>9469</v>
      </c>
    </row>
    <row r="5518" spans="1:3" x14ac:dyDescent="0.25">
      <c r="A5518" s="222">
        <v>500489</v>
      </c>
      <c r="B5518" s="223" t="s">
        <v>9470</v>
      </c>
      <c r="C5518" s="221" t="s">
        <v>9471</v>
      </c>
    </row>
    <row r="5519" spans="1:3" x14ac:dyDescent="0.25">
      <c r="A5519" s="222">
        <v>500489</v>
      </c>
      <c r="B5519" s="223" t="s">
        <v>9470</v>
      </c>
      <c r="C5519" s="221" t="s">
        <v>9472</v>
      </c>
    </row>
    <row r="5520" spans="1:3" x14ac:dyDescent="0.25">
      <c r="A5520" s="222">
        <v>500490</v>
      </c>
      <c r="B5520" s="223" t="s">
        <v>9473</v>
      </c>
      <c r="C5520" s="221" t="s">
        <v>9474</v>
      </c>
    </row>
    <row r="5521" spans="1:3" x14ac:dyDescent="0.25">
      <c r="A5521" s="222">
        <v>500490</v>
      </c>
      <c r="B5521" s="223" t="s">
        <v>9473</v>
      </c>
      <c r="C5521" s="221" t="s">
        <v>9475</v>
      </c>
    </row>
    <row r="5522" spans="1:3" x14ac:dyDescent="0.25">
      <c r="A5522" s="222">
        <v>500491</v>
      </c>
      <c r="B5522" s="223" t="s">
        <v>9476</v>
      </c>
      <c r="C5522" s="221" t="s">
        <v>9477</v>
      </c>
    </row>
    <row r="5523" spans="1:3" x14ac:dyDescent="0.25">
      <c r="A5523" s="222">
        <v>500491</v>
      </c>
      <c r="B5523" s="223" t="s">
        <v>9476</v>
      </c>
      <c r="C5523" s="221" t="s">
        <v>9478</v>
      </c>
    </row>
    <row r="5524" spans="1:3" x14ac:dyDescent="0.25">
      <c r="A5524" s="222">
        <v>500492</v>
      </c>
      <c r="B5524" s="223" t="s">
        <v>9479</v>
      </c>
      <c r="C5524" s="221" t="s">
        <v>9480</v>
      </c>
    </row>
    <row r="5525" spans="1:3" x14ac:dyDescent="0.25">
      <c r="A5525" s="222">
        <v>500492</v>
      </c>
      <c r="B5525" s="223" t="s">
        <v>9479</v>
      </c>
      <c r="C5525" s="221" t="s">
        <v>9481</v>
      </c>
    </row>
    <row r="5526" spans="1:3" x14ac:dyDescent="0.25">
      <c r="A5526" s="222">
        <v>500493</v>
      </c>
      <c r="B5526" s="223" t="s">
        <v>9482</v>
      </c>
      <c r="C5526" s="221" t="s">
        <v>9483</v>
      </c>
    </row>
    <row r="5527" spans="1:3" x14ac:dyDescent="0.25">
      <c r="A5527" s="222">
        <v>500493</v>
      </c>
      <c r="B5527" s="223" t="s">
        <v>9482</v>
      </c>
      <c r="C5527" s="221" t="s">
        <v>9484</v>
      </c>
    </row>
    <row r="5528" spans="1:3" x14ac:dyDescent="0.25">
      <c r="A5528" s="222">
        <v>500494</v>
      </c>
      <c r="B5528" s="223" t="s">
        <v>9485</v>
      </c>
      <c r="C5528" s="221" t="s">
        <v>9486</v>
      </c>
    </row>
    <row r="5529" spans="1:3" x14ac:dyDescent="0.25">
      <c r="A5529" s="222">
        <v>500494</v>
      </c>
      <c r="B5529" s="223" t="s">
        <v>9485</v>
      </c>
      <c r="C5529" s="221" t="s">
        <v>9487</v>
      </c>
    </row>
    <row r="5530" spans="1:3" x14ac:dyDescent="0.25">
      <c r="A5530" s="222">
        <v>500495</v>
      </c>
      <c r="B5530" s="223" t="s">
        <v>9488</v>
      </c>
      <c r="C5530" s="221" t="s">
        <v>9489</v>
      </c>
    </row>
    <row r="5531" spans="1:3" x14ac:dyDescent="0.25">
      <c r="A5531" s="222">
        <v>500495</v>
      </c>
      <c r="B5531" s="223" t="s">
        <v>9488</v>
      </c>
      <c r="C5531" s="221" t="s">
        <v>9490</v>
      </c>
    </row>
    <row r="5532" spans="1:3" x14ac:dyDescent="0.25">
      <c r="A5532" s="222">
        <v>500496</v>
      </c>
      <c r="B5532" s="223" t="s">
        <v>9491</v>
      </c>
      <c r="C5532" s="221" t="s">
        <v>9492</v>
      </c>
    </row>
    <row r="5533" spans="1:3" x14ac:dyDescent="0.25">
      <c r="A5533" s="222">
        <v>500496</v>
      </c>
      <c r="B5533" s="223" t="s">
        <v>9491</v>
      </c>
      <c r="C5533" s="221" t="s">
        <v>9493</v>
      </c>
    </row>
    <row r="5534" spans="1:3" x14ac:dyDescent="0.25">
      <c r="A5534" s="222">
        <v>500497</v>
      </c>
      <c r="B5534" s="223" t="s">
        <v>9494</v>
      </c>
      <c r="C5534" s="221" t="s">
        <v>9495</v>
      </c>
    </row>
    <row r="5535" spans="1:3" x14ac:dyDescent="0.25">
      <c r="A5535" s="222">
        <v>500497</v>
      </c>
      <c r="B5535" s="223" t="s">
        <v>9494</v>
      </c>
      <c r="C5535" s="221" t="s">
        <v>9496</v>
      </c>
    </row>
    <row r="5536" spans="1:3" x14ac:dyDescent="0.25">
      <c r="A5536" s="222">
        <v>500498</v>
      </c>
      <c r="B5536" s="223" t="s">
        <v>9497</v>
      </c>
      <c r="C5536" s="221" t="s">
        <v>9498</v>
      </c>
    </row>
    <row r="5537" spans="1:3" x14ac:dyDescent="0.25">
      <c r="A5537" s="222">
        <v>500498</v>
      </c>
      <c r="B5537" s="223" t="s">
        <v>9497</v>
      </c>
      <c r="C5537" s="221" t="s">
        <v>9499</v>
      </c>
    </row>
    <row r="5538" spans="1:3" x14ac:dyDescent="0.25">
      <c r="A5538" s="222">
        <v>500499</v>
      </c>
      <c r="B5538" s="223" t="s">
        <v>9500</v>
      </c>
      <c r="C5538" s="221" t="s">
        <v>9501</v>
      </c>
    </row>
    <row r="5539" spans="1:3" x14ac:dyDescent="0.25">
      <c r="A5539" s="222">
        <v>500499</v>
      </c>
      <c r="B5539" s="223" t="s">
        <v>9500</v>
      </c>
      <c r="C5539" s="221" t="s">
        <v>9502</v>
      </c>
    </row>
    <row r="5540" spans="1:3" x14ac:dyDescent="0.25">
      <c r="A5540" s="222">
        <v>500500</v>
      </c>
      <c r="B5540" s="223" t="s">
        <v>9503</v>
      </c>
      <c r="C5540" s="221" t="s">
        <v>9504</v>
      </c>
    </row>
    <row r="5541" spans="1:3" x14ac:dyDescent="0.25">
      <c r="A5541" s="222">
        <v>500500</v>
      </c>
      <c r="B5541" s="223" t="s">
        <v>9503</v>
      </c>
      <c r="C5541" s="221" t="s">
        <v>9505</v>
      </c>
    </row>
    <row r="5542" spans="1:3" x14ac:dyDescent="0.25">
      <c r="A5542" s="222">
        <v>500501</v>
      </c>
      <c r="B5542" s="223" t="s">
        <v>9506</v>
      </c>
      <c r="C5542" s="221" t="s">
        <v>9507</v>
      </c>
    </row>
    <row r="5543" spans="1:3" x14ac:dyDescent="0.25">
      <c r="A5543" s="222">
        <v>500501</v>
      </c>
      <c r="B5543" s="223" t="s">
        <v>9506</v>
      </c>
      <c r="C5543" s="221" t="s">
        <v>9508</v>
      </c>
    </row>
    <row r="5544" spans="1:3" x14ac:dyDescent="0.25">
      <c r="A5544" s="222">
        <v>500502</v>
      </c>
      <c r="B5544" s="223" t="s">
        <v>9509</v>
      </c>
      <c r="C5544" s="221" t="s">
        <v>9510</v>
      </c>
    </row>
    <row r="5545" spans="1:3" x14ac:dyDescent="0.25">
      <c r="A5545" s="222">
        <v>500502</v>
      </c>
      <c r="B5545" s="223" t="s">
        <v>9509</v>
      </c>
      <c r="C5545" s="221" t="s">
        <v>9511</v>
      </c>
    </row>
    <row r="5546" spans="1:3" x14ac:dyDescent="0.25">
      <c r="A5546" s="222">
        <v>500503</v>
      </c>
      <c r="B5546" s="223" t="s">
        <v>9512</v>
      </c>
      <c r="C5546" s="221" t="s">
        <v>9513</v>
      </c>
    </row>
    <row r="5547" spans="1:3" x14ac:dyDescent="0.25">
      <c r="A5547" s="222">
        <v>500503</v>
      </c>
      <c r="B5547" s="223" t="s">
        <v>9512</v>
      </c>
      <c r="C5547" s="221" t="s">
        <v>9514</v>
      </c>
    </row>
    <row r="5548" spans="1:3" x14ac:dyDescent="0.25">
      <c r="A5548" s="222">
        <v>500504</v>
      </c>
      <c r="B5548" s="223" t="s">
        <v>9515</v>
      </c>
      <c r="C5548" s="221" t="s">
        <v>9516</v>
      </c>
    </row>
    <row r="5549" spans="1:3" x14ac:dyDescent="0.25">
      <c r="A5549" s="222">
        <v>500504</v>
      </c>
      <c r="B5549" s="223" t="s">
        <v>9515</v>
      </c>
      <c r="C5549" s="221" t="s">
        <v>9517</v>
      </c>
    </row>
    <row r="5550" spans="1:3" x14ac:dyDescent="0.25">
      <c r="A5550" s="222">
        <v>500505</v>
      </c>
      <c r="B5550" s="223" t="s">
        <v>9518</v>
      </c>
      <c r="C5550" s="221" t="s">
        <v>9519</v>
      </c>
    </row>
    <row r="5551" spans="1:3" x14ac:dyDescent="0.25">
      <c r="A5551" s="222">
        <v>500505</v>
      </c>
      <c r="B5551" s="223" t="s">
        <v>9518</v>
      </c>
      <c r="C5551" s="221" t="s">
        <v>9520</v>
      </c>
    </row>
    <row r="5552" spans="1:3" x14ac:dyDescent="0.25">
      <c r="A5552" s="222">
        <v>500506</v>
      </c>
      <c r="B5552" s="223" t="s">
        <v>9521</v>
      </c>
      <c r="C5552" s="221" t="s">
        <v>9522</v>
      </c>
    </row>
    <row r="5553" spans="1:3" x14ac:dyDescent="0.25">
      <c r="A5553" s="222">
        <v>500506</v>
      </c>
      <c r="B5553" s="223" t="s">
        <v>9521</v>
      </c>
      <c r="C5553" s="221" t="s">
        <v>9523</v>
      </c>
    </row>
    <row r="5554" spans="1:3" x14ac:dyDescent="0.25">
      <c r="A5554" s="222">
        <v>500507</v>
      </c>
      <c r="B5554" s="223" t="s">
        <v>9524</v>
      </c>
      <c r="C5554" s="221" t="s">
        <v>9525</v>
      </c>
    </row>
    <row r="5555" spans="1:3" x14ac:dyDescent="0.25">
      <c r="A5555" s="222">
        <v>500507</v>
      </c>
      <c r="B5555" s="223" t="s">
        <v>9524</v>
      </c>
      <c r="C5555" s="221" t="s">
        <v>9526</v>
      </c>
    </row>
    <row r="5556" spans="1:3" x14ac:dyDescent="0.25">
      <c r="A5556" s="222">
        <v>500508</v>
      </c>
      <c r="B5556" s="223" t="s">
        <v>9527</v>
      </c>
      <c r="C5556" s="221" t="s">
        <v>9528</v>
      </c>
    </row>
    <row r="5557" spans="1:3" x14ac:dyDescent="0.25">
      <c r="A5557" s="222">
        <v>500509</v>
      </c>
      <c r="B5557" s="223" t="s">
        <v>9529</v>
      </c>
      <c r="C5557" s="221" t="s">
        <v>9530</v>
      </c>
    </row>
    <row r="5558" spans="1:3" x14ac:dyDescent="0.25">
      <c r="A5558" s="222">
        <v>500509</v>
      </c>
      <c r="B5558" s="223" t="s">
        <v>9529</v>
      </c>
      <c r="C5558" s="221" t="s">
        <v>9531</v>
      </c>
    </row>
    <row r="5559" spans="1:3" x14ac:dyDescent="0.25">
      <c r="A5559" s="222">
        <v>500510</v>
      </c>
      <c r="B5559" s="223" t="s">
        <v>9532</v>
      </c>
      <c r="C5559" s="221" t="s">
        <v>9533</v>
      </c>
    </row>
    <row r="5560" spans="1:3" x14ac:dyDescent="0.25">
      <c r="A5560" s="222">
        <v>500510</v>
      </c>
      <c r="B5560" s="223" t="s">
        <v>9532</v>
      </c>
      <c r="C5560" s="221" t="s">
        <v>9534</v>
      </c>
    </row>
    <row r="5561" spans="1:3" x14ac:dyDescent="0.25">
      <c r="A5561" s="222">
        <v>500511</v>
      </c>
      <c r="B5561" s="223" t="s">
        <v>9535</v>
      </c>
      <c r="C5561" s="221" t="s">
        <v>9536</v>
      </c>
    </row>
    <row r="5562" spans="1:3" x14ac:dyDescent="0.25">
      <c r="A5562" s="222">
        <v>500511</v>
      </c>
      <c r="B5562" s="223" t="s">
        <v>9535</v>
      </c>
      <c r="C5562" s="221" t="s">
        <v>9537</v>
      </c>
    </row>
    <row r="5563" spans="1:3" x14ac:dyDescent="0.25">
      <c r="A5563" s="222">
        <v>500512</v>
      </c>
      <c r="B5563" s="223" t="s">
        <v>9538</v>
      </c>
      <c r="C5563" s="221" t="s">
        <v>9539</v>
      </c>
    </row>
    <row r="5564" spans="1:3" x14ac:dyDescent="0.25">
      <c r="A5564" s="222">
        <v>500512</v>
      </c>
      <c r="B5564" s="223" t="s">
        <v>9538</v>
      </c>
      <c r="C5564" s="221" t="s">
        <v>9540</v>
      </c>
    </row>
    <row r="5565" spans="1:3" x14ac:dyDescent="0.25">
      <c r="A5565" s="222">
        <v>500513</v>
      </c>
      <c r="B5565" s="223" t="s">
        <v>9541</v>
      </c>
      <c r="C5565" s="221" t="s">
        <v>9542</v>
      </c>
    </row>
    <row r="5566" spans="1:3" x14ac:dyDescent="0.25">
      <c r="A5566" s="222">
        <v>500513</v>
      </c>
      <c r="B5566" s="223" t="s">
        <v>9541</v>
      </c>
      <c r="C5566" s="221" t="s">
        <v>9543</v>
      </c>
    </row>
    <row r="5567" spans="1:3" x14ac:dyDescent="0.25">
      <c r="A5567" s="222">
        <v>500514</v>
      </c>
      <c r="B5567" s="223" t="s">
        <v>9544</v>
      </c>
      <c r="C5567" s="221" t="s">
        <v>9545</v>
      </c>
    </row>
    <row r="5568" spans="1:3" x14ac:dyDescent="0.25">
      <c r="A5568" s="222">
        <v>500514</v>
      </c>
      <c r="B5568" s="223" t="s">
        <v>9544</v>
      </c>
      <c r="C5568" s="221" t="s">
        <v>9546</v>
      </c>
    </row>
    <row r="5569" spans="1:3" x14ac:dyDescent="0.25">
      <c r="A5569" s="222">
        <v>500515</v>
      </c>
      <c r="B5569" s="223" t="s">
        <v>9547</v>
      </c>
      <c r="C5569" s="221" t="s">
        <v>9548</v>
      </c>
    </row>
    <row r="5570" spans="1:3" x14ac:dyDescent="0.25">
      <c r="A5570" s="222">
        <v>500515</v>
      </c>
      <c r="B5570" s="223" t="s">
        <v>9547</v>
      </c>
      <c r="C5570" s="221" t="s">
        <v>9549</v>
      </c>
    </row>
    <row r="5571" spans="1:3" x14ac:dyDescent="0.25">
      <c r="A5571" s="222">
        <v>500516</v>
      </c>
      <c r="B5571" s="223" t="s">
        <v>9550</v>
      </c>
      <c r="C5571" s="221" t="s">
        <v>9551</v>
      </c>
    </row>
    <row r="5572" spans="1:3" x14ac:dyDescent="0.25">
      <c r="A5572" s="222">
        <v>500516</v>
      </c>
      <c r="B5572" s="223" t="s">
        <v>9550</v>
      </c>
      <c r="C5572" s="221" t="s">
        <v>9552</v>
      </c>
    </row>
    <row r="5573" spans="1:3" x14ac:dyDescent="0.25">
      <c r="A5573" s="222">
        <v>500517</v>
      </c>
      <c r="B5573" s="223" t="s">
        <v>9553</v>
      </c>
      <c r="C5573" s="221" t="s">
        <v>9554</v>
      </c>
    </row>
    <row r="5574" spans="1:3" x14ac:dyDescent="0.25">
      <c r="A5574" s="222">
        <v>500517</v>
      </c>
      <c r="B5574" s="223" t="s">
        <v>9553</v>
      </c>
      <c r="C5574" s="221" t="s">
        <v>9555</v>
      </c>
    </row>
    <row r="5575" spans="1:3" x14ac:dyDescent="0.25">
      <c r="A5575" s="222">
        <v>500518</v>
      </c>
      <c r="B5575" s="223" t="s">
        <v>9556</v>
      </c>
      <c r="C5575" s="221" t="s">
        <v>9557</v>
      </c>
    </row>
    <row r="5576" spans="1:3" x14ac:dyDescent="0.25">
      <c r="A5576" s="222">
        <v>500518</v>
      </c>
      <c r="B5576" s="223" t="s">
        <v>9556</v>
      </c>
      <c r="C5576" s="221" t="s">
        <v>9558</v>
      </c>
    </row>
    <row r="5577" spans="1:3" x14ac:dyDescent="0.25">
      <c r="A5577" s="222">
        <v>500519</v>
      </c>
      <c r="B5577" s="223" t="s">
        <v>9559</v>
      </c>
      <c r="C5577" s="221" t="s">
        <v>9560</v>
      </c>
    </row>
    <row r="5578" spans="1:3" x14ac:dyDescent="0.25">
      <c r="A5578" s="222">
        <v>500519</v>
      </c>
      <c r="B5578" s="223" t="s">
        <v>9559</v>
      </c>
      <c r="C5578" s="221" t="s">
        <v>9561</v>
      </c>
    </row>
    <row r="5579" spans="1:3" x14ac:dyDescent="0.25">
      <c r="A5579" s="222">
        <v>500520</v>
      </c>
      <c r="B5579" s="223" t="s">
        <v>9562</v>
      </c>
      <c r="C5579" s="221" t="s">
        <v>9563</v>
      </c>
    </row>
    <row r="5580" spans="1:3" x14ac:dyDescent="0.25">
      <c r="A5580" s="222">
        <v>500520</v>
      </c>
      <c r="B5580" s="223" t="s">
        <v>9562</v>
      </c>
      <c r="C5580" s="221" t="s">
        <v>9564</v>
      </c>
    </row>
    <row r="5581" spans="1:3" x14ac:dyDescent="0.25">
      <c r="A5581" s="222">
        <v>500521</v>
      </c>
      <c r="B5581" s="223" t="s">
        <v>9565</v>
      </c>
      <c r="C5581" s="221" t="s">
        <v>9566</v>
      </c>
    </row>
    <row r="5582" spans="1:3" x14ac:dyDescent="0.25">
      <c r="A5582" s="222">
        <v>500521</v>
      </c>
      <c r="B5582" s="223" t="s">
        <v>9565</v>
      </c>
      <c r="C5582" s="221" t="s">
        <v>9567</v>
      </c>
    </row>
    <row r="5583" spans="1:3" x14ac:dyDescent="0.25">
      <c r="A5583" s="222">
        <v>500522</v>
      </c>
      <c r="B5583" s="223" t="s">
        <v>9568</v>
      </c>
      <c r="C5583" s="221" t="s">
        <v>9569</v>
      </c>
    </row>
    <row r="5584" spans="1:3" x14ac:dyDescent="0.25">
      <c r="A5584" s="222">
        <v>500522</v>
      </c>
      <c r="B5584" s="223" t="s">
        <v>9568</v>
      </c>
      <c r="C5584" s="221" t="s">
        <v>9570</v>
      </c>
    </row>
    <row r="5585" spans="1:3" x14ac:dyDescent="0.25">
      <c r="A5585" s="222">
        <v>500523</v>
      </c>
      <c r="B5585" s="223" t="s">
        <v>9571</v>
      </c>
      <c r="C5585" s="221" t="s">
        <v>9572</v>
      </c>
    </row>
    <row r="5586" spans="1:3" x14ac:dyDescent="0.25">
      <c r="A5586" s="222">
        <v>500523</v>
      </c>
      <c r="B5586" s="223" t="s">
        <v>9571</v>
      </c>
      <c r="C5586" s="221" t="s">
        <v>9573</v>
      </c>
    </row>
    <row r="5587" spans="1:3" x14ac:dyDescent="0.25">
      <c r="A5587" s="222">
        <v>500524</v>
      </c>
      <c r="B5587" s="223" t="s">
        <v>9574</v>
      </c>
      <c r="C5587" s="221" t="s">
        <v>9575</v>
      </c>
    </row>
    <row r="5588" spans="1:3" x14ac:dyDescent="0.25">
      <c r="A5588" s="222">
        <v>500524</v>
      </c>
      <c r="B5588" s="223" t="s">
        <v>9574</v>
      </c>
      <c r="C5588" s="221" t="s">
        <v>9576</v>
      </c>
    </row>
    <row r="5589" spans="1:3" x14ac:dyDescent="0.25">
      <c r="A5589" s="222">
        <v>500525</v>
      </c>
      <c r="B5589" s="223" t="s">
        <v>9577</v>
      </c>
      <c r="C5589" s="221" t="s">
        <v>9578</v>
      </c>
    </row>
    <row r="5590" spans="1:3" x14ac:dyDescent="0.25">
      <c r="A5590" s="222">
        <v>500526</v>
      </c>
      <c r="B5590" s="223" t="s">
        <v>9579</v>
      </c>
      <c r="C5590" s="221" t="s">
        <v>9580</v>
      </c>
    </row>
    <row r="5591" spans="1:3" x14ac:dyDescent="0.25">
      <c r="A5591" s="222">
        <v>500526</v>
      </c>
      <c r="B5591" s="223" t="s">
        <v>9579</v>
      </c>
      <c r="C5591" s="221" t="s">
        <v>9581</v>
      </c>
    </row>
    <row r="5592" spans="1:3" x14ac:dyDescent="0.25">
      <c r="A5592" s="222">
        <v>500527</v>
      </c>
      <c r="B5592" s="223" t="s">
        <v>9582</v>
      </c>
      <c r="C5592" s="221" t="s">
        <v>9583</v>
      </c>
    </row>
    <row r="5593" spans="1:3" x14ac:dyDescent="0.25">
      <c r="A5593" s="222">
        <v>500527</v>
      </c>
      <c r="B5593" s="223" t="s">
        <v>9582</v>
      </c>
      <c r="C5593" s="221" t="s">
        <v>9584</v>
      </c>
    </row>
    <row r="5594" spans="1:3" x14ac:dyDescent="0.25">
      <c r="A5594" s="222">
        <v>500528</v>
      </c>
      <c r="B5594" s="223" t="s">
        <v>9585</v>
      </c>
      <c r="C5594" s="221" t="s">
        <v>9586</v>
      </c>
    </row>
    <row r="5595" spans="1:3" x14ac:dyDescent="0.25">
      <c r="A5595" s="222">
        <v>500528</v>
      </c>
      <c r="B5595" s="223" t="s">
        <v>9585</v>
      </c>
      <c r="C5595" s="221" t="s">
        <v>9587</v>
      </c>
    </row>
    <row r="5596" spans="1:3" x14ac:dyDescent="0.25">
      <c r="A5596" s="222">
        <v>500529</v>
      </c>
      <c r="B5596" s="223" t="s">
        <v>9588</v>
      </c>
      <c r="C5596" s="221" t="s">
        <v>9589</v>
      </c>
    </row>
    <row r="5597" spans="1:3" x14ac:dyDescent="0.25">
      <c r="A5597" s="222">
        <v>500529</v>
      </c>
      <c r="B5597" s="223" t="s">
        <v>9588</v>
      </c>
      <c r="C5597" s="221" t="s">
        <v>9590</v>
      </c>
    </row>
    <row r="5598" spans="1:3" x14ac:dyDescent="0.25">
      <c r="A5598" s="222">
        <v>500530</v>
      </c>
      <c r="B5598" s="223" t="s">
        <v>9591</v>
      </c>
      <c r="C5598" s="221" t="s">
        <v>9592</v>
      </c>
    </row>
    <row r="5599" spans="1:3" x14ac:dyDescent="0.25">
      <c r="A5599" s="222">
        <v>500530</v>
      </c>
      <c r="B5599" s="223" t="s">
        <v>9591</v>
      </c>
      <c r="C5599" s="221" t="s">
        <v>9593</v>
      </c>
    </row>
    <row r="5600" spans="1:3" x14ac:dyDescent="0.25">
      <c r="A5600" s="222">
        <v>500531</v>
      </c>
      <c r="B5600" s="223" t="s">
        <v>9594</v>
      </c>
      <c r="C5600" s="221" t="s">
        <v>9595</v>
      </c>
    </row>
    <row r="5601" spans="1:3" x14ac:dyDescent="0.25">
      <c r="A5601" s="222">
        <v>500531</v>
      </c>
      <c r="B5601" s="223" t="s">
        <v>9594</v>
      </c>
      <c r="C5601" s="221" t="s">
        <v>9596</v>
      </c>
    </row>
    <row r="5602" spans="1:3" x14ac:dyDescent="0.25">
      <c r="A5602" s="222">
        <v>500532</v>
      </c>
      <c r="B5602" s="223" t="s">
        <v>9597</v>
      </c>
      <c r="C5602" s="221" t="s">
        <v>9598</v>
      </c>
    </row>
    <row r="5603" spans="1:3" x14ac:dyDescent="0.25">
      <c r="A5603" s="222">
        <v>500532</v>
      </c>
      <c r="B5603" s="223" t="s">
        <v>9597</v>
      </c>
      <c r="C5603" s="221" t="s">
        <v>9599</v>
      </c>
    </row>
    <row r="5604" spans="1:3" x14ac:dyDescent="0.25">
      <c r="A5604" s="222">
        <v>500533</v>
      </c>
      <c r="B5604" s="223" t="s">
        <v>9600</v>
      </c>
      <c r="C5604" s="221" t="s">
        <v>9601</v>
      </c>
    </row>
    <row r="5605" spans="1:3" x14ac:dyDescent="0.25">
      <c r="A5605" s="222">
        <v>500533</v>
      </c>
      <c r="B5605" s="223" t="s">
        <v>9600</v>
      </c>
      <c r="C5605" s="221" t="s">
        <v>9602</v>
      </c>
    </row>
    <row r="5606" spans="1:3" x14ac:dyDescent="0.25">
      <c r="A5606" s="222">
        <v>500534</v>
      </c>
      <c r="B5606" s="223" t="s">
        <v>9603</v>
      </c>
      <c r="C5606" s="221" t="s">
        <v>9604</v>
      </c>
    </row>
    <row r="5607" spans="1:3" x14ac:dyDescent="0.25">
      <c r="A5607" s="222">
        <v>500534</v>
      </c>
      <c r="B5607" s="223" t="s">
        <v>9603</v>
      </c>
      <c r="C5607" s="221" t="s">
        <v>9605</v>
      </c>
    </row>
    <row r="5608" spans="1:3" x14ac:dyDescent="0.25">
      <c r="A5608" s="222">
        <v>500535</v>
      </c>
      <c r="B5608" s="223" t="s">
        <v>9606</v>
      </c>
      <c r="C5608" s="221" t="s">
        <v>9607</v>
      </c>
    </row>
    <row r="5609" spans="1:3" x14ac:dyDescent="0.25">
      <c r="A5609" s="222">
        <v>500535</v>
      </c>
      <c r="B5609" s="223" t="s">
        <v>9606</v>
      </c>
      <c r="C5609" s="221" t="s">
        <v>9608</v>
      </c>
    </row>
    <row r="5610" spans="1:3" x14ac:dyDescent="0.25">
      <c r="A5610" s="222">
        <v>500536</v>
      </c>
      <c r="B5610" s="223" t="s">
        <v>9609</v>
      </c>
      <c r="C5610" s="221" t="s">
        <v>9610</v>
      </c>
    </row>
    <row r="5611" spans="1:3" x14ac:dyDescent="0.25">
      <c r="A5611" s="222">
        <v>500536</v>
      </c>
      <c r="B5611" s="223" t="s">
        <v>9609</v>
      </c>
      <c r="C5611" s="221" t="s">
        <v>9611</v>
      </c>
    </row>
    <row r="5612" spans="1:3" x14ac:dyDescent="0.25">
      <c r="A5612" s="222">
        <v>500537</v>
      </c>
      <c r="B5612" s="223" t="s">
        <v>9612</v>
      </c>
      <c r="C5612" s="221" t="s">
        <v>9613</v>
      </c>
    </row>
    <row r="5613" spans="1:3" x14ac:dyDescent="0.25">
      <c r="A5613" s="222">
        <v>500537</v>
      </c>
      <c r="B5613" s="223" t="s">
        <v>9612</v>
      </c>
      <c r="C5613" s="221" t="s">
        <v>9614</v>
      </c>
    </row>
    <row r="5614" spans="1:3" x14ac:dyDescent="0.25">
      <c r="A5614" s="222">
        <v>500538</v>
      </c>
      <c r="B5614" s="223" t="s">
        <v>9615</v>
      </c>
      <c r="C5614" s="221" t="s">
        <v>9616</v>
      </c>
    </row>
    <row r="5615" spans="1:3" x14ac:dyDescent="0.25">
      <c r="A5615" s="222">
        <v>500538</v>
      </c>
      <c r="B5615" s="223" t="s">
        <v>9615</v>
      </c>
      <c r="C5615" s="221" t="s">
        <v>9617</v>
      </c>
    </row>
    <row r="5616" spans="1:3" x14ac:dyDescent="0.25">
      <c r="A5616" s="222">
        <v>500539</v>
      </c>
      <c r="B5616" s="223" t="s">
        <v>9618</v>
      </c>
      <c r="C5616" s="221" t="s">
        <v>9619</v>
      </c>
    </row>
    <row r="5617" spans="1:3" x14ac:dyDescent="0.25">
      <c r="A5617" s="222">
        <v>500539</v>
      </c>
      <c r="B5617" s="223" t="s">
        <v>9618</v>
      </c>
      <c r="C5617" s="221" t="s">
        <v>9620</v>
      </c>
    </row>
    <row r="5618" spans="1:3" x14ac:dyDescent="0.25">
      <c r="A5618" s="222">
        <v>500540</v>
      </c>
      <c r="B5618" s="223" t="s">
        <v>9621</v>
      </c>
      <c r="C5618" s="221" t="s">
        <v>9622</v>
      </c>
    </row>
    <row r="5619" spans="1:3" x14ac:dyDescent="0.25">
      <c r="A5619" s="222">
        <v>500540</v>
      </c>
      <c r="B5619" s="223" t="s">
        <v>9621</v>
      </c>
      <c r="C5619" s="221" t="s">
        <v>9623</v>
      </c>
    </row>
    <row r="5620" spans="1:3" x14ac:dyDescent="0.25">
      <c r="A5620" s="222">
        <v>500541</v>
      </c>
      <c r="B5620" s="223" t="s">
        <v>9624</v>
      </c>
      <c r="C5620" s="221" t="s">
        <v>9625</v>
      </c>
    </row>
    <row r="5621" spans="1:3" x14ac:dyDescent="0.25">
      <c r="A5621" s="222">
        <v>500541</v>
      </c>
      <c r="B5621" s="223" t="s">
        <v>9624</v>
      </c>
      <c r="C5621" s="221" t="s">
        <v>9626</v>
      </c>
    </row>
    <row r="5622" spans="1:3" x14ac:dyDescent="0.25">
      <c r="A5622" s="222">
        <v>500542</v>
      </c>
      <c r="B5622" s="223" t="s">
        <v>9627</v>
      </c>
      <c r="C5622" s="221" t="s">
        <v>9628</v>
      </c>
    </row>
    <row r="5623" spans="1:3" x14ac:dyDescent="0.25">
      <c r="A5623" s="222">
        <v>500542</v>
      </c>
      <c r="B5623" s="223" t="s">
        <v>9627</v>
      </c>
      <c r="C5623" s="221" t="s">
        <v>9629</v>
      </c>
    </row>
    <row r="5624" spans="1:3" x14ac:dyDescent="0.25">
      <c r="A5624" s="222">
        <v>500543</v>
      </c>
      <c r="B5624" s="223" t="s">
        <v>9630</v>
      </c>
      <c r="C5624" s="221" t="s">
        <v>9631</v>
      </c>
    </row>
    <row r="5625" spans="1:3" x14ac:dyDescent="0.25">
      <c r="A5625" s="222">
        <v>500543</v>
      </c>
      <c r="B5625" s="223" t="s">
        <v>9630</v>
      </c>
      <c r="C5625" s="221" t="s">
        <v>9632</v>
      </c>
    </row>
    <row r="5626" spans="1:3" x14ac:dyDescent="0.25">
      <c r="A5626" s="222">
        <v>500544</v>
      </c>
      <c r="B5626" s="223" t="s">
        <v>9633</v>
      </c>
      <c r="C5626" s="221" t="s">
        <v>9634</v>
      </c>
    </row>
    <row r="5627" spans="1:3" x14ac:dyDescent="0.25">
      <c r="A5627" s="222">
        <v>500544</v>
      </c>
      <c r="B5627" s="223" t="s">
        <v>9633</v>
      </c>
      <c r="C5627" s="221" t="s">
        <v>9635</v>
      </c>
    </row>
    <row r="5628" spans="1:3" x14ac:dyDescent="0.25">
      <c r="A5628" s="222">
        <v>500545</v>
      </c>
      <c r="B5628" s="223" t="s">
        <v>9636</v>
      </c>
      <c r="C5628" s="221" t="s">
        <v>9637</v>
      </c>
    </row>
    <row r="5629" spans="1:3" x14ac:dyDescent="0.25">
      <c r="A5629" s="222">
        <v>500545</v>
      </c>
      <c r="B5629" s="223" t="s">
        <v>9636</v>
      </c>
      <c r="C5629" s="221" t="s">
        <v>9638</v>
      </c>
    </row>
    <row r="5630" spans="1:3" x14ac:dyDescent="0.25">
      <c r="A5630" s="222">
        <v>500546</v>
      </c>
      <c r="B5630" s="223" t="s">
        <v>9639</v>
      </c>
      <c r="C5630" s="221" t="s">
        <v>9640</v>
      </c>
    </row>
    <row r="5631" spans="1:3" x14ac:dyDescent="0.25">
      <c r="A5631" s="222">
        <v>500546</v>
      </c>
      <c r="B5631" s="223" t="s">
        <v>9639</v>
      </c>
      <c r="C5631" s="221" t="s">
        <v>9641</v>
      </c>
    </row>
    <row r="5632" spans="1:3" x14ac:dyDescent="0.25">
      <c r="A5632" s="222">
        <v>500547</v>
      </c>
      <c r="B5632" s="223" t="s">
        <v>9642</v>
      </c>
      <c r="C5632" s="221" t="s">
        <v>9643</v>
      </c>
    </row>
    <row r="5633" spans="1:3" x14ac:dyDescent="0.25">
      <c r="A5633" s="222">
        <v>500547</v>
      </c>
      <c r="B5633" s="223" t="s">
        <v>9642</v>
      </c>
      <c r="C5633" s="221" t="s">
        <v>9644</v>
      </c>
    </row>
    <row r="5634" spans="1:3" x14ac:dyDescent="0.25">
      <c r="A5634" s="222">
        <v>500548</v>
      </c>
      <c r="B5634" s="223" t="s">
        <v>9645</v>
      </c>
      <c r="C5634" s="221" t="s">
        <v>9646</v>
      </c>
    </row>
    <row r="5635" spans="1:3" x14ac:dyDescent="0.25">
      <c r="A5635" s="222">
        <v>500548</v>
      </c>
      <c r="B5635" s="223" t="s">
        <v>9645</v>
      </c>
      <c r="C5635" s="221" t="s">
        <v>9647</v>
      </c>
    </row>
    <row r="5636" spans="1:3" x14ac:dyDescent="0.25">
      <c r="A5636" s="222">
        <v>500549</v>
      </c>
      <c r="B5636" s="223" t="s">
        <v>9648</v>
      </c>
      <c r="C5636" s="221" t="s">
        <v>9649</v>
      </c>
    </row>
    <row r="5637" spans="1:3" x14ac:dyDescent="0.25">
      <c r="A5637" s="222">
        <v>500549</v>
      </c>
      <c r="B5637" s="223" t="s">
        <v>9648</v>
      </c>
      <c r="C5637" s="221" t="s">
        <v>9650</v>
      </c>
    </row>
    <row r="5638" spans="1:3" x14ac:dyDescent="0.25">
      <c r="A5638" s="222">
        <v>500550</v>
      </c>
      <c r="B5638" s="223" t="s">
        <v>9651</v>
      </c>
      <c r="C5638" s="221" t="s">
        <v>9652</v>
      </c>
    </row>
    <row r="5639" spans="1:3" x14ac:dyDescent="0.25">
      <c r="A5639" s="222">
        <v>500550</v>
      </c>
      <c r="B5639" s="223" t="s">
        <v>9651</v>
      </c>
      <c r="C5639" s="221" t="s">
        <v>9653</v>
      </c>
    </row>
    <row r="5640" spans="1:3" x14ac:dyDescent="0.25">
      <c r="A5640" s="222">
        <v>500551</v>
      </c>
      <c r="B5640" s="223" t="s">
        <v>9654</v>
      </c>
      <c r="C5640" s="221" t="s">
        <v>9655</v>
      </c>
    </row>
    <row r="5641" spans="1:3" x14ac:dyDescent="0.25">
      <c r="A5641" s="222">
        <v>500551</v>
      </c>
      <c r="B5641" s="223" t="s">
        <v>9654</v>
      </c>
      <c r="C5641" s="221" t="s">
        <v>9656</v>
      </c>
    </row>
    <row r="5642" spans="1:3" x14ac:dyDescent="0.25">
      <c r="A5642" s="222">
        <v>500552</v>
      </c>
      <c r="B5642" s="223" t="s">
        <v>9657</v>
      </c>
      <c r="C5642" s="221" t="s">
        <v>9658</v>
      </c>
    </row>
    <row r="5643" spans="1:3" x14ac:dyDescent="0.25">
      <c r="A5643" s="222">
        <v>500552</v>
      </c>
      <c r="B5643" s="223" t="s">
        <v>9657</v>
      </c>
      <c r="C5643" s="221" t="s">
        <v>9659</v>
      </c>
    </row>
    <row r="5644" spans="1:3" x14ac:dyDescent="0.25">
      <c r="A5644" s="222">
        <v>500553</v>
      </c>
      <c r="B5644" s="223" t="s">
        <v>9660</v>
      </c>
      <c r="C5644" s="221" t="s">
        <v>9661</v>
      </c>
    </row>
    <row r="5645" spans="1:3" x14ac:dyDescent="0.25">
      <c r="A5645" s="222">
        <v>500553</v>
      </c>
      <c r="B5645" s="223" t="s">
        <v>9660</v>
      </c>
      <c r="C5645" s="221" t="s">
        <v>9662</v>
      </c>
    </row>
    <row r="5646" spans="1:3" x14ac:dyDescent="0.25">
      <c r="A5646" s="222">
        <v>500554</v>
      </c>
      <c r="B5646" s="223" t="s">
        <v>9663</v>
      </c>
      <c r="C5646" s="221" t="s">
        <v>9664</v>
      </c>
    </row>
    <row r="5647" spans="1:3" x14ac:dyDescent="0.25">
      <c r="A5647" s="222">
        <v>500554</v>
      </c>
      <c r="B5647" s="223" t="s">
        <v>9663</v>
      </c>
      <c r="C5647" s="221" t="s">
        <v>9665</v>
      </c>
    </row>
    <row r="5648" spans="1:3" x14ac:dyDescent="0.25">
      <c r="A5648" s="222">
        <v>500555</v>
      </c>
      <c r="B5648" s="223" t="s">
        <v>9666</v>
      </c>
      <c r="C5648" s="221" t="s">
        <v>9667</v>
      </c>
    </row>
    <row r="5649" spans="1:3" x14ac:dyDescent="0.25">
      <c r="A5649" s="222">
        <v>500555</v>
      </c>
      <c r="B5649" s="223" t="s">
        <v>9666</v>
      </c>
      <c r="C5649" s="221" t="s">
        <v>9668</v>
      </c>
    </row>
    <row r="5650" spans="1:3" x14ac:dyDescent="0.25">
      <c r="A5650" s="222">
        <v>500556</v>
      </c>
      <c r="B5650" s="223" t="s">
        <v>9669</v>
      </c>
      <c r="C5650" s="221" t="s">
        <v>9670</v>
      </c>
    </row>
    <row r="5651" spans="1:3" x14ac:dyDescent="0.25">
      <c r="A5651" s="222">
        <v>500556</v>
      </c>
      <c r="B5651" s="223" t="s">
        <v>9669</v>
      </c>
      <c r="C5651" s="221" t="s">
        <v>9671</v>
      </c>
    </row>
    <row r="5652" spans="1:3" x14ac:dyDescent="0.25">
      <c r="A5652" s="222">
        <v>500557</v>
      </c>
      <c r="B5652" s="223" t="s">
        <v>9672</v>
      </c>
      <c r="C5652" s="221" t="s">
        <v>9673</v>
      </c>
    </row>
    <row r="5653" spans="1:3" x14ac:dyDescent="0.25">
      <c r="A5653" s="222">
        <v>500557</v>
      </c>
      <c r="B5653" s="223" t="s">
        <v>9672</v>
      </c>
      <c r="C5653" s="221" t="s">
        <v>9674</v>
      </c>
    </row>
    <row r="5654" spans="1:3" x14ac:dyDescent="0.25">
      <c r="A5654" s="222">
        <v>500558</v>
      </c>
      <c r="B5654" s="223" t="s">
        <v>9675</v>
      </c>
      <c r="C5654" s="221" t="s">
        <v>9676</v>
      </c>
    </row>
    <row r="5655" spans="1:3" x14ac:dyDescent="0.25">
      <c r="A5655" s="222">
        <v>500558</v>
      </c>
      <c r="B5655" s="223" t="s">
        <v>9675</v>
      </c>
      <c r="C5655" s="221" t="s">
        <v>9677</v>
      </c>
    </row>
    <row r="5656" spans="1:3" x14ac:dyDescent="0.25">
      <c r="A5656" s="222">
        <v>500559</v>
      </c>
      <c r="B5656" s="223" t="s">
        <v>9678</v>
      </c>
      <c r="C5656" s="221" t="s">
        <v>9679</v>
      </c>
    </row>
    <row r="5657" spans="1:3" x14ac:dyDescent="0.25">
      <c r="A5657" s="222">
        <v>500559</v>
      </c>
      <c r="B5657" s="223" t="s">
        <v>9678</v>
      </c>
      <c r="C5657" s="221" t="s">
        <v>9680</v>
      </c>
    </row>
    <row r="5658" spans="1:3" x14ac:dyDescent="0.25">
      <c r="A5658" s="222">
        <v>500560</v>
      </c>
      <c r="B5658" s="223" t="s">
        <v>9681</v>
      </c>
      <c r="C5658" s="221" t="s">
        <v>9682</v>
      </c>
    </row>
    <row r="5659" spans="1:3" x14ac:dyDescent="0.25">
      <c r="A5659" s="222">
        <v>500560</v>
      </c>
      <c r="B5659" s="223" t="s">
        <v>9681</v>
      </c>
      <c r="C5659" s="221" t="s">
        <v>9683</v>
      </c>
    </row>
    <row r="5660" spans="1:3" x14ac:dyDescent="0.25">
      <c r="A5660" s="222">
        <v>500561</v>
      </c>
      <c r="B5660" s="223" t="s">
        <v>9684</v>
      </c>
      <c r="C5660" s="221" t="s">
        <v>9685</v>
      </c>
    </row>
    <row r="5661" spans="1:3" x14ac:dyDescent="0.25">
      <c r="A5661" s="222">
        <v>500561</v>
      </c>
      <c r="B5661" s="223" t="s">
        <v>9684</v>
      </c>
      <c r="C5661" s="221" t="s">
        <v>9686</v>
      </c>
    </row>
    <row r="5662" spans="1:3" x14ac:dyDescent="0.25">
      <c r="A5662" s="222">
        <v>500562</v>
      </c>
      <c r="B5662" s="223" t="s">
        <v>9687</v>
      </c>
      <c r="C5662" s="221" t="s">
        <v>9688</v>
      </c>
    </row>
    <row r="5663" spans="1:3" x14ac:dyDescent="0.25">
      <c r="A5663" s="222">
        <v>500562</v>
      </c>
      <c r="B5663" s="223" t="s">
        <v>9687</v>
      </c>
      <c r="C5663" s="221" t="s">
        <v>9689</v>
      </c>
    </row>
    <row r="5664" spans="1:3" x14ac:dyDescent="0.25">
      <c r="A5664" s="222">
        <v>500563</v>
      </c>
      <c r="B5664" s="223" t="s">
        <v>9690</v>
      </c>
      <c r="C5664" s="221" t="s">
        <v>9691</v>
      </c>
    </row>
    <row r="5665" spans="1:3" x14ac:dyDescent="0.25">
      <c r="A5665" s="222">
        <v>500563</v>
      </c>
      <c r="B5665" s="223" t="s">
        <v>9690</v>
      </c>
      <c r="C5665" s="221" t="s">
        <v>9692</v>
      </c>
    </row>
    <row r="5666" spans="1:3" x14ac:dyDescent="0.25">
      <c r="A5666" s="222">
        <v>500564</v>
      </c>
      <c r="B5666" s="223" t="s">
        <v>9693</v>
      </c>
      <c r="C5666" s="221" t="s">
        <v>9694</v>
      </c>
    </row>
    <row r="5667" spans="1:3" x14ac:dyDescent="0.25">
      <c r="A5667" s="222">
        <v>500564</v>
      </c>
      <c r="B5667" s="223" t="s">
        <v>9693</v>
      </c>
      <c r="C5667" s="221" t="s">
        <v>9695</v>
      </c>
    </row>
    <row r="5668" spans="1:3" x14ac:dyDescent="0.25">
      <c r="A5668" s="222">
        <v>500565</v>
      </c>
      <c r="B5668" s="223" t="s">
        <v>9696</v>
      </c>
      <c r="C5668" s="221" t="s">
        <v>9697</v>
      </c>
    </row>
    <row r="5669" spans="1:3" x14ac:dyDescent="0.25">
      <c r="A5669" s="222">
        <v>500565</v>
      </c>
      <c r="B5669" s="223" t="s">
        <v>9696</v>
      </c>
      <c r="C5669" s="221" t="s">
        <v>9698</v>
      </c>
    </row>
    <row r="5670" spans="1:3" x14ac:dyDescent="0.25">
      <c r="A5670" s="222">
        <v>500566</v>
      </c>
      <c r="B5670" s="223" t="s">
        <v>9699</v>
      </c>
      <c r="C5670" s="221" t="s">
        <v>9700</v>
      </c>
    </row>
    <row r="5671" spans="1:3" x14ac:dyDescent="0.25">
      <c r="A5671" s="222">
        <v>500566</v>
      </c>
      <c r="B5671" s="223" t="s">
        <v>9699</v>
      </c>
      <c r="C5671" s="221" t="s">
        <v>9701</v>
      </c>
    </row>
    <row r="5672" spans="1:3" x14ac:dyDescent="0.25">
      <c r="A5672" s="222">
        <v>500567</v>
      </c>
      <c r="B5672" s="223" t="s">
        <v>9702</v>
      </c>
      <c r="C5672" s="221" t="s">
        <v>9703</v>
      </c>
    </row>
    <row r="5673" spans="1:3" x14ac:dyDescent="0.25">
      <c r="A5673" s="222">
        <v>500567</v>
      </c>
      <c r="B5673" s="223" t="s">
        <v>9702</v>
      </c>
      <c r="C5673" s="221" t="s">
        <v>9704</v>
      </c>
    </row>
    <row r="5674" spans="1:3" x14ac:dyDescent="0.25">
      <c r="A5674" s="222">
        <v>500568</v>
      </c>
      <c r="B5674" s="223" t="s">
        <v>9705</v>
      </c>
      <c r="C5674" s="221" t="s">
        <v>9706</v>
      </c>
    </row>
    <row r="5675" spans="1:3" x14ac:dyDescent="0.25">
      <c r="A5675" s="222">
        <v>500568</v>
      </c>
      <c r="B5675" s="223" t="s">
        <v>9705</v>
      </c>
      <c r="C5675" s="221" t="s">
        <v>9707</v>
      </c>
    </row>
    <row r="5676" spans="1:3" x14ac:dyDescent="0.25">
      <c r="A5676" s="222">
        <v>500569</v>
      </c>
      <c r="B5676" s="223" t="s">
        <v>9708</v>
      </c>
      <c r="C5676" s="221" t="s">
        <v>9709</v>
      </c>
    </row>
    <row r="5677" spans="1:3" x14ac:dyDescent="0.25">
      <c r="A5677" s="222">
        <v>500569</v>
      </c>
      <c r="B5677" s="223" t="s">
        <v>9708</v>
      </c>
      <c r="C5677" s="221" t="s">
        <v>9710</v>
      </c>
    </row>
    <row r="5678" spans="1:3" x14ac:dyDescent="0.25">
      <c r="A5678" s="222">
        <v>500570</v>
      </c>
      <c r="B5678" s="223" t="s">
        <v>9711</v>
      </c>
      <c r="C5678" s="221" t="s">
        <v>9712</v>
      </c>
    </row>
    <row r="5679" spans="1:3" x14ac:dyDescent="0.25">
      <c r="A5679" s="222">
        <v>500570</v>
      </c>
      <c r="B5679" s="223" t="s">
        <v>9711</v>
      </c>
      <c r="C5679" s="221" t="s">
        <v>9713</v>
      </c>
    </row>
    <row r="5680" spans="1:3" x14ac:dyDescent="0.25">
      <c r="A5680" s="222">
        <v>500571</v>
      </c>
      <c r="B5680" s="223" t="s">
        <v>9714</v>
      </c>
      <c r="C5680" s="221" t="s">
        <v>9715</v>
      </c>
    </row>
    <row r="5681" spans="1:3" x14ac:dyDescent="0.25">
      <c r="A5681" s="222">
        <v>500571</v>
      </c>
      <c r="B5681" s="223" t="s">
        <v>9714</v>
      </c>
      <c r="C5681" s="221" t="s">
        <v>9716</v>
      </c>
    </row>
    <row r="5682" spans="1:3" x14ac:dyDescent="0.25">
      <c r="A5682" s="222">
        <v>500572</v>
      </c>
      <c r="B5682" s="223" t="s">
        <v>9717</v>
      </c>
      <c r="C5682" s="221" t="s">
        <v>9718</v>
      </c>
    </row>
    <row r="5683" spans="1:3" x14ac:dyDescent="0.25">
      <c r="A5683" s="222">
        <v>500572</v>
      </c>
      <c r="B5683" s="223" t="s">
        <v>9717</v>
      </c>
      <c r="C5683" s="221" t="s">
        <v>9719</v>
      </c>
    </row>
    <row r="5684" spans="1:3" x14ac:dyDescent="0.25">
      <c r="A5684" s="222">
        <v>500573</v>
      </c>
      <c r="B5684" s="223" t="s">
        <v>9720</v>
      </c>
      <c r="C5684" s="221" t="s">
        <v>9721</v>
      </c>
    </row>
    <row r="5685" spans="1:3" x14ac:dyDescent="0.25">
      <c r="A5685" s="222">
        <v>500573</v>
      </c>
      <c r="B5685" s="223" t="s">
        <v>9720</v>
      </c>
      <c r="C5685" s="221" t="s">
        <v>9722</v>
      </c>
    </row>
    <row r="5686" spans="1:3" x14ac:dyDescent="0.25">
      <c r="A5686" s="222">
        <v>500574</v>
      </c>
      <c r="B5686" s="223" t="s">
        <v>9723</v>
      </c>
      <c r="C5686" s="221" t="s">
        <v>9724</v>
      </c>
    </row>
    <row r="5687" spans="1:3" x14ac:dyDescent="0.25">
      <c r="A5687" s="222">
        <v>500574</v>
      </c>
      <c r="B5687" s="223" t="s">
        <v>9723</v>
      </c>
      <c r="C5687" s="221" t="s">
        <v>9725</v>
      </c>
    </row>
    <row r="5688" spans="1:3" x14ac:dyDescent="0.25">
      <c r="A5688" s="222">
        <v>500575</v>
      </c>
      <c r="B5688" s="223" t="s">
        <v>9726</v>
      </c>
      <c r="C5688" s="221" t="s">
        <v>9727</v>
      </c>
    </row>
    <row r="5689" spans="1:3" x14ac:dyDescent="0.25">
      <c r="A5689" s="222">
        <v>500575</v>
      </c>
      <c r="B5689" s="223" t="s">
        <v>9726</v>
      </c>
      <c r="C5689" s="221" t="s">
        <v>9728</v>
      </c>
    </row>
    <row r="5690" spans="1:3" x14ac:dyDescent="0.25">
      <c r="A5690" s="222">
        <v>500576</v>
      </c>
      <c r="B5690" s="223" t="s">
        <v>9729</v>
      </c>
      <c r="C5690" s="221" t="s">
        <v>9730</v>
      </c>
    </row>
    <row r="5691" spans="1:3" x14ac:dyDescent="0.25">
      <c r="A5691" s="222">
        <v>500576</v>
      </c>
      <c r="B5691" s="223" t="s">
        <v>9729</v>
      </c>
      <c r="C5691" s="221" t="s">
        <v>9731</v>
      </c>
    </row>
    <row r="5692" spans="1:3" x14ac:dyDescent="0.25">
      <c r="A5692" s="222">
        <v>500577</v>
      </c>
      <c r="B5692" s="223" t="s">
        <v>9732</v>
      </c>
      <c r="C5692" s="221" t="s">
        <v>9733</v>
      </c>
    </row>
    <row r="5693" spans="1:3" x14ac:dyDescent="0.25">
      <c r="A5693" s="222">
        <v>500577</v>
      </c>
      <c r="B5693" s="223" t="s">
        <v>9732</v>
      </c>
      <c r="C5693" s="221" t="s">
        <v>9734</v>
      </c>
    </row>
    <row r="5694" spans="1:3" x14ac:dyDescent="0.25">
      <c r="A5694" s="222">
        <v>500578</v>
      </c>
      <c r="B5694" s="223" t="s">
        <v>9735</v>
      </c>
      <c r="C5694" s="221" t="s">
        <v>9736</v>
      </c>
    </row>
    <row r="5695" spans="1:3" x14ac:dyDescent="0.25">
      <c r="A5695" s="222">
        <v>500578</v>
      </c>
      <c r="B5695" s="223" t="s">
        <v>9735</v>
      </c>
      <c r="C5695" s="221" t="s">
        <v>9737</v>
      </c>
    </row>
    <row r="5696" spans="1:3" x14ac:dyDescent="0.25">
      <c r="A5696" s="222">
        <v>500579</v>
      </c>
      <c r="B5696" s="223" t="s">
        <v>9738</v>
      </c>
      <c r="C5696" s="221" t="s">
        <v>9739</v>
      </c>
    </row>
    <row r="5697" spans="1:3" x14ac:dyDescent="0.25">
      <c r="A5697" s="222">
        <v>500579</v>
      </c>
      <c r="B5697" s="223" t="s">
        <v>9738</v>
      </c>
      <c r="C5697" s="221" t="s">
        <v>9740</v>
      </c>
    </row>
    <row r="5698" spans="1:3" x14ac:dyDescent="0.25">
      <c r="A5698" s="222">
        <v>500580</v>
      </c>
      <c r="B5698" s="223" t="s">
        <v>9741</v>
      </c>
      <c r="C5698" s="221" t="s">
        <v>9742</v>
      </c>
    </row>
    <row r="5699" spans="1:3" x14ac:dyDescent="0.25">
      <c r="A5699" s="222">
        <v>500580</v>
      </c>
      <c r="B5699" s="223" t="s">
        <v>9741</v>
      </c>
      <c r="C5699" s="221" t="s">
        <v>9743</v>
      </c>
    </row>
    <row r="5700" spans="1:3" x14ac:dyDescent="0.25">
      <c r="A5700" s="222">
        <v>500581</v>
      </c>
      <c r="B5700" s="223" t="s">
        <v>9744</v>
      </c>
      <c r="C5700" s="221" t="s">
        <v>9745</v>
      </c>
    </row>
    <row r="5701" spans="1:3" x14ac:dyDescent="0.25">
      <c r="A5701" s="222">
        <v>500581</v>
      </c>
      <c r="B5701" s="223" t="s">
        <v>9744</v>
      </c>
      <c r="C5701" s="221" t="s">
        <v>9746</v>
      </c>
    </row>
    <row r="5702" spans="1:3" x14ac:dyDescent="0.25">
      <c r="A5702" s="222">
        <v>500582</v>
      </c>
      <c r="B5702" s="223" t="s">
        <v>9747</v>
      </c>
      <c r="C5702" s="221" t="s">
        <v>9748</v>
      </c>
    </row>
    <row r="5703" spans="1:3" x14ac:dyDescent="0.25">
      <c r="A5703" s="222">
        <v>500582</v>
      </c>
      <c r="B5703" s="223" t="s">
        <v>9747</v>
      </c>
      <c r="C5703" s="221" t="s">
        <v>9749</v>
      </c>
    </row>
    <row r="5704" spans="1:3" x14ac:dyDescent="0.25">
      <c r="A5704" s="222">
        <v>500583</v>
      </c>
      <c r="B5704" s="223" t="s">
        <v>9750</v>
      </c>
      <c r="C5704" s="221" t="s">
        <v>9751</v>
      </c>
    </row>
    <row r="5705" spans="1:3" x14ac:dyDescent="0.25">
      <c r="A5705" s="222">
        <v>500583</v>
      </c>
      <c r="B5705" s="223" t="s">
        <v>9750</v>
      </c>
      <c r="C5705" s="221" t="s">
        <v>9752</v>
      </c>
    </row>
    <row r="5706" spans="1:3" x14ac:dyDescent="0.25">
      <c r="A5706" s="222">
        <v>500584</v>
      </c>
      <c r="B5706" s="223" t="s">
        <v>9753</v>
      </c>
      <c r="C5706" s="221" t="s">
        <v>9754</v>
      </c>
    </row>
    <row r="5707" spans="1:3" x14ac:dyDescent="0.25">
      <c r="A5707" s="222">
        <v>500584</v>
      </c>
      <c r="B5707" s="223" t="s">
        <v>9753</v>
      </c>
      <c r="C5707" s="221" t="s">
        <v>9755</v>
      </c>
    </row>
    <row r="5708" spans="1:3" x14ac:dyDescent="0.25">
      <c r="A5708" s="222">
        <v>500585</v>
      </c>
      <c r="B5708" s="223" t="s">
        <v>9756</v>
      </c>
      <c r="C5708" s="221" t="s">
        <v>9757</v>
      </c>
    </row>
    <row r="5709" spans="1:3" x14ac:dyDescent="0.25">
      <c r="A5709" s="222">
        <v>500585</v>
      </c>
      <c r="B5709" s="223" t="s">
        <v>9756</v>
      </c>
      <c r="C5709" s="221" t="s">
        <v>9758</v>
      </c>
    </row>
    <row r="5710" spans="1:3" x14ac:dyDescent="0.25">
      <c r="A5710" s="222">
        <v>500586</v>
      </c>
      <c r="B5710" s="223" t="s">
        <v>9759</v>
      </c>
      <c r="C5710" s="221" t="s">
        <v>9760</v>
      </c>
    </row>
    <row r="5711" spans="1:3" x14ac:dyDescent="0.25">
      <c r="A5711" s="222">
        <v>500586</v>
      </c>
      <c r="B5711" s="223" t="s">
        <v>9759</v>
      </c>
      <c r="C5711" s="221" t="s">
        <v>9761</v>
      </c>
    </row>
    <row r="5712" spans="1:3" x14ac:dyDescent="0.25">
      <c r="A5712" s="222">
        <v>500587</v>
      </c>
      <c r="B5712" s="223" t="s">
        <v>9762</v>
      </c>
      <c r="C5712" s="221" t="s">
        <v>9763</v>
      </c>
    </row>
    <row r="5713" spans="1:3" x14ac:dyDescent="0.25">
      <c r="A5713" s="222">
        <v>500587</v>
      </c>
      <c r="B5713" s="223" t="s">
        <v>9762</v>
      </c>
      <c r="C5713" s="221" t="s">
        <v>9764</v>
      </c>
    </row>
    <row r="5714" spans="1:3" x14ac:dyDescent="0.25">
      <c r="A5714" s="222">
        <v>500588</v>
      </c>
      <c r="B5714" s="223" t="s">
        <v>9765</v>
      </c>
      <c r="C5714" s="221" t="s">
        <v>9766</v>
      </c>
    </row>
    <row r="5715" spans="1:3" x14ac:dyDescent="0.25">
      <c r="A5715" s="222">
        <v>500588</v>
      </c>
      <c r="B5715" s="223" t="s">
        <v>9765</v>
      </c>
      <c r="C5715" s="221" t="s">
        <v>9767</v>
      </c>
    </row>
    <row r="5716" spans="1:3" x14ac:dyDescent="0.25">
      <c r="A5716" s="222">
        <v>500589</v>
      </c>
      <c r="B5716" s="223" t="s">
        <v>9768</v>
      </c>
      <c r="C5716" s="221" t="s">
        <v>9769</v>
      </c>
    </row>
    <row r="5717" spans="1:3" x14ac:dyDescent="0.25">
      <c r="A5717" s="222">
        <v>500589</v>
      </c>
      <c r="B5717" s="223" t="s">
        <v>9768</v>
      </c>
      <c r="C5717" s="221" t="s">
        <v>9770</v>
      </c>
    </row>
    <row r="5718" spans="1:3" x14ac:dyDescent="0.25">
      <c r="A5718" s="222">
        <v>500590</v>
      </c>
      <c r="B5718" s="223" t="s">
        <v>9771</v>
      </c>
      <c r="C5718" s="221" t="s">
        <v>9772</v>
      </c>
    </row>
    <row r="5719" spans="1:3" x14ac:dyDescent="0.25">
      <c r="A5719" s="222">
        <v>500590</v>
      </c>
      <c r="B5719" s="223" t="s">
        <v>9771</v>
      </c>
      <c r="C5719" s="221" t="s">
        <v>9773</v>
      </c>
    </row>
    <row r="5720" spans="1:3" x14ac:dyDescent="0.25">
      <c r="A5720" s="222">
        <v>500591</v>
      </c>
      <c r="B5720" s="223" t="s">
        <v>9774</v>
      </c>
      <c r="C5720" s="221" t="s">
        <v>9775</v>
      </c>
    </row>
    <row r="5721" spans="1:3" x14ac:dyDescent="0.25">
      <c r="A5721" s="222">
        <v>500591</v>
      </c>
      <c r="B5721" s="223" t="s">
        <v>9774</v>
      </c>
      <c r="C5721" s="221" t="s">
        <v>9776</v>
      </c>
    </row>
    <row r="5722" spans="1:3" x14ac:dyDescent="0.25">
      <c r="A5722" s="222">
        <v>500592</v>
      </c>
      <c r="B5722" s="223" t="s">
        <v>9777</v>
      </c>
      <c r="C5722" s="221" t="s">
        <v>9778</v>
      </c>
    </row>
    <row r="5723" spans="1:3" x14ac:dyDescent="0.25">
      <c r="A5723" s="222">
        <v>500592</v>
      </c>
      <c r="B5723" s="223" t="s">
        <v>9777</v>
      </c>
      <c r="C5723" s="221" t="s">
        <v>9779</v>
      </c>
    </row>
    <row r="5724" spans="1:3" x14ac:dyDescent="0.25">
      <c r="A5724" s="222">
        <v>500593</v>
      </c>
      <c r="B5724" s="223" t="s">
        <v>9780</v>
      </c>
      <c r="C5724" s="221" t="s">
        <v>9781</v>
      </c>
    </row>
    <row r="5725" spans="1:3" x14ac:dyDescent="0.25">
      <c r="A5725" s="222">
        <v>500593</v>
      </c>
      <c r="B5725" s="223" t="s">
        <v>9780</v>
      </c>
      <c r="C5725" s="221" t="s">
        <v>9782</v>
      </c>
    </row>
    <row r="5726" spans="1:3" x14ac:dyDescent="0.25">
      <c r="A5726" s="222">
        <v>500594</v>
      </c>
      <c r="B5726" s="223" t="s">
        <v>9783</v>
      </c>
      <c r="C5726" s="221" t="s">
        <v>9784</v>
      </c>
    </row>
    <row r="5727" spans="1:3" x14ac:dyDescent="0.25">
      <c r="A5727" s="222">
        <v>500594</v>
      </c>
      <c r="B5727" s="223" t="s">
        <v>9783</v>
      </c>
      <c r="C5727" s="221" t="s">
        <v>9785</v>
      </c>
    </row>
    <row r="5728" spans="1:3" x14ac:dyDescent="0.25">
      <c r="A5728" s="222">
        <v>500595</v>
      </c>
      <c r="B5728" s="223" t="s">
        <v>9786</v>
      </c>
      <c r="C5728" s="221" t="s">
        <v>9787</v>
      </c>
    </row>
    <row r="5729" spans="1:3" x14ac:dyDescent="0.25">
      <c r="A5729" s="222">
        <v>500595</v>
      </c>
      <c r="B5729" s="223" t="s">
        <v>9786</v>
      </c>
      <c r="C5729" s="221" t="s">
        <v>9788</v>
      </c>
    </row>
    <row r="5730" spans="1:3" x14ac:dyDescent="0.25">
      <c r="A5730" s="222">
        <v>500596</v>
      </c>
      <c r="B5730" s="223" t="s">
        <v>9789</v>
      </c>
      <c r="C5730" s="221" t="s">
        <v>9790</v>
      </c>
    </row>
    <row r="5731" spans="1:3" x14ac:dyDescent="0.25">
      <c r="A5731" s="222">
        <v>500596</v>
      </c>
      <c r="B5731" s="223" t="s">
        <v>9789</v>
      </c>
      <c r="C5731" s="221" t="s">
        <v>9791</v>
      </c>
    </row>
    <row r="5732" spans="1:3" x14ac:dyDescent="0.25">
      <c r="A5732" s="222">
        <v>500597</v>
      </c>
      <c r="B5732" s="223" t="s">
        <v>9792</v>
      </c>
      <c r="C5732" s="221" t="s">
        <v>9793</v>
      </c>
    </row>
    <row r="5733" spans="1:3" x14ac:dyDescent="0.25">
      <c r="A5733" s="222">
        <v>500597</v>
      </c>
      <c r="B5733" s="223" t="s">
        <v>9792</v>
      </c>
      <c r="C5733" s="221" t="s">
        <v>9794</v>
      </c>
    </row>
    <row r="5734" spans="1:3" x14ac:dyDescent="0.25">
      <c r="A5734" s="222">
        <v>500598</v>
      </c>
      <c r="B5734" s="223" t="s">
        <v>9795</v>
      </c>
      <c r="C5734" s="221" t="s">
        <v>9796</v>
      </c>
    </row>
    <row r="5735" spans="1:3" x14ac:dyDescent="0.25">
      <c r="A5735" s="222">
        <v>500598</v>
      </c>
      <c r="B5735" s="223" t="s">
        <v>9795</v>
      </c>
      <c r="C5735" s="221" t="s">
        <v>9797</v>
      </c>
    </row>
    <row r="5736" spans="1:3" x14ac:dyDescent="0.25">
      <c r="A5736" s="222">
        <v>500599</v>
      </c>
      <c r="B5736" s="223" t="s">
        <v>9798</v>
      </c>
      <c r="C5736" s="221" t="s">
        <v>9799</v>
      </c>
    </row>
    <row r="5737" spans="1:3" x14ac:dyDescent="0.25">
      <c r="A5737" s="222">
        <v>500600</v>
      </c>
      <c r="B5737" s="223" t="s">
        <v>9800</v>
      </c>
      <c r="C5737" s="221" t="s">
        <v>9801</v>
      </c>
    </row>
    <row r="5738" spans="1:3" x14ac:dyDescent="0.25">
      <c r="A5738" s="222">
        <v>500600</v>
      </c>
      <c r="B5738" s="223" t="s">
        <v>9800</v>
      </c>
      <c r="C5738" s="221" t="s">
        <v>9802</v>
      </c>
    </row>
    <row r="5739" spans="1:3" x14ac:dyDescent="0.25">
      <c r="A5739" s="222">
        <v>500601</v>
      </c>
      <c r="B5739" s="223" t="s">
        <v>9803</v>
      </c>
      <c r="C5739" s="221" t="s">
        <v>9804</v>
      </c>
    </row>
    <row r="5740" spans="1:3" x14ac:dyDescent="0.25">
      <c r="A5740" s="222">
        <v>500601</v>
      </c>
      <c r="B5740" s="223" t="s">
        <v>9803</v>
      </c>
      <c r="C5740" s="221" t="s">
        <v>9805</v>
      </c>
    </row>
    <row r="5741" spans="1:3" x14ac:dyDescent="0.25">
      <c r="A5741" s="222">
        <v>500602</v>
      </c>
      <c r="B5741" s="223" t="s">
        <v>9806</v>
      </c>
      <c r="C5741" s="221" t="s">
        <v>9807</v>
      </c>
    </row>
    <row r="5742" spans="1:3" x14ac:dyDescent="0.25">
      <c r="A5742" s="222">
        <v>500602</v>
      </c>
      <c r="B5742" s="223" t="s">
        <v>9806</v>
      </c>
      <c r="C5742" s="221" t="s">
        <v>9808</v>
      </c>
    </row>
    <row r="5743" spans="1:3" x14ac:dyDescent="0.25">
      <c r="A5743" s="222">
        <v>500603</v>
      </c>
      <c r="B5743" s="223" t="s">
        <v>9809</v>
      </c>
      <c r="C5743" s="221" t="s">
        <v>9810</v>
      </c>
    </row>
    <row r="5744" spans="1:3" x14ac:dyDescent="0.25">
      <c r="A5744" s="222">
        <v>500603</v>
      </c>
      <c r="B5744" s="223" t="s">
        <v>9809</v>
      </c>
      <c r="C5744" s="221" t="s">
        <v>9811</v>
      </c>
    </row>
    <row r="5745" spans="1:3" x14ac:dyDescent="0.25">
      <c r="A5745" s="222">
        <v>500604</v>
      </c>
      <c r="B5745" s="223" t="s">
        <v>9812</v>
      </c>
      <c r="C5745" s="221" t="s">
        <v>9813</v>
      </c>
    </row>
    <row r="5746" spans="1:3" x14ac:dyDescent="0.25">
      <c r="A5746" s="222">
        <v>500604</v>
      </c>
      <c r="B5746" s="223" t="s">
        <v>9812</v>
      </c>
      <c r="C5746" s="221" t="s">
        <v>9814</v>
      </c>
    </row>
    <row r="5747" spans="1:3" x14ac:dyDescent="0.25">
      <c r="A5747" s="222">
        <v>500605</v>
      </c>
      <c r="B5747" s="223" t="s">
        <v>9815</v>
      </c>
      <c r="C5747" s="221" t="s">
        <v>9816</v>
      </c>
    </row>
    <row r="5748" spans="1:3" x14ac:dyDescent="0.25">
      <c r="A5748" s="222">
        <v>500605</v>
      </c>
      <c r="B5748" s="223" t="s">
        <v>9815</v>
      </c>
      <c r="C5748" s="221" t="s">
        <v>9817</v>
      </c>
    </row>
    <row r="5749" spans="1:3" x14ac:dyDescent="0.25">
      <c r="A5749" s="222">
        <v>500606</v>
      </c>
      <c r="B5749" s="223" t="s">
        <v>9818</v>
      </c>
      <c r="C5749" s="221" t="s">
        <v>9819</v>
      </c>
    </row>
    <row r="5750" spans="1:3" x14ac:dyDescent="0.25">
      <c r="A5750" s="222">
        <v>500606</v>
      </c>
      <c r="B5750" s="223" t="s">
        <v>9818</v>
      </c>
      <c r="C5750" s="221" t="s">
        <v>9820</v>
      </c>
    </row>
    <row r="5751" spans="1:3" x14ac:dyDescent="0.25">
      <c r="A5751" s="222">
        <v>500607</v>
      </c>
      <c r="B5751" s="223" t="s">
        <v>9821</v>
      </c>
      <c r="C5751" s="221" t="s">
        <v>9822</v>
      </c>
    </row>
    <row r="5752" spans="1:3" x14ac:dyDescent="0.25">
      <c r="A5752" s="222">
        <v>500608</v>
      </c>
      <c r="B5752" s="223" t="s">
        <v>9823</v>
      </c>
      <c r="C5752" s="221" t="s">
        <v>9824</v>
      </c>
    </row>
    <row r="5753" spans="1:3" x14ac:dyDescent="0.25">
      <c r="A5753" s="222">
        <v>500609</v>
      </c>
      <c r="B5753" s="223" t="s">
        <v>9825</v>
      </c>
      <c r="C5753" s="221" t="s">
        <v>9826</v>
      </c>
    </row>
    <row r="5754" spans="1:3" x14ac:dyDescent="0.25">
      <c r="A5754" s="222">
        <v>500610</v>
      </c>
      <c r="B5754" s="223" t="s">
        <v>9828</v>
      </c>
      <c r="C5754" s="221" t="s">
        <v>9827</v>
      </c>
    </row>
    <row r="5755" spans="1:3" x14ac:dyDescent="0.25">
      <c r="A5755" s="222">
        <v>500611</v>
      </c>
      <c r="B5755" s="223" t="s">
        <v>9830</v>
      </c>
      <c r="C5755" s="221" t="s">
        <v>9829</v>
      </c>
    </row>
    <row r="5756" spans="1:3" x14ac:dyDescent="0.25">
      <c r="A5756" s="222">
        <v>500612</v>
      </c>
      <c r="B5756" s="223" t="s">
        <v>9832</v>
      </c>
      <c r="C5756" s="221" t="s">
        <v>9831</v>
      </c>
    </row>
    <row r="5757" spans="1:3" x14ac:dyDescent="0.25">
      <c r="A5757" s="222">
        <v>500614</v>
      </c>
      <c r="B5757" s="223" t="s">
        <v>9834</v>
      </c>
      <c r="C5757" s="221" t="s">
        <v>9833</v>
      </c>
    </row>
    <row r="5758" spans="1:3" x14ac:dyDescent="0.25">
      <c r="A5758" s="222">
        <v>500615</v>
      </c>
      <c r="B5758" s="223" t="s">
        <v>9836</v>
      </c>
      <c r="C5758" s="221" t="s">
        <v>9835</v>
      </c>
    </row>
    <row r="5759" spans="1:3" x14ac:dyDescent="0.25">
      <c r="A5759" s="222">
        <v>500617</v>
      </c>
      <c r="B5759" s="223" t="s">
        <v>9837</v>
      </c>
      <c r="C5759" s="221" t="s">
        <v>9838</v>
      </c>
    </row>
    <row r="5760" spans="1:3" x14ac:dyDescent="0.25">
      <c r="A5760" s="222">
        <v>500617</v>
      </c>
      <c r="B5760" s="223" t="s">
        <v>9837</v>
      </c>
      <c r="C5760" s="221" t="s">
        <v>9839</v>
      </c>
    </row>
    <row r="5761" spans="1:3" x14ac:dyDescent="0.25">
      <c r="A5761" s="222">
        <v>500618</v>
      </c>
      <c r="B5761" s="223" t="s">
        <v>9840</v>
      </c>
      <c r="C5761" s="221" t="s">
        <v>9841</v>
      </c>
    </row>
    <row r="5762" spans="1:3" x14ac:dyDescent="0.25">
      <c r="A5762" s="222">
        <v>500618</v>
      </c>
      <c r="B5762" s="223" t="s">
        <v>9840</v>
      </c>
      <c r="C5762" s="221" t="s">
        <v>9842</v>
      </c>
    </row>
    <row r="5763" spans="1:3" x14ac:dyDescent="0.25">
      <c r="A5763" s="222">
        <v>500619</v>
      </c>
      <c r="B5763" s="223" t="s">
        <v>9843</v>
      </c>
      <c r="C5763" s="221" t="s">
        <v>9844</v>
      </c>
    </row>
    <row r="5764" spans="1:3" x14ac:dyDescent="0.25">
      <c r="A5764" s="222">
        <v>500619</v>
      </c>
      <c r="B5764" s="223" t="s">
        <v>9843</v>
      </c>
      <c r="C5764" s="221" t="s">
        <v>9845</v>
      </c>
    </row>
    <row r="5765" spans="1:3" x14ac:dyDescent="0.25">
      <c r="A5765" s="222">
        <v>500620</v>
      </c>
      <c r="B5765" s="223" t="s">
        <v>9846</v>
      </c>
      <c r="C5765" s="221" t="s">
        <v>9847</v>
      </c>
    </row>
    <row r="5766" spans="1:3" x14ac:dyDescent="0.25">
      <c r="A5766" s="222">
        <v>500620</v>
      </c>
      <c r="B5766" s="223" t="s">
        <v>9846</v>
      </c>
      <c r="C5766" s="221" t="s">
        <v>9848</v>
      </c>
    </row>
    <row r="5767" spans="1:3" x14ac:dyDescent="0.25">
      <c r="A5767" s="222">
        <v>500621</v>
      </c>
      <c r="B5767" s="223" t="s">
        <v>9849</v>
      </c>
      <c r="C5767" s="221" t="s">
        <v>9850</v>
      </c>
    </row>
    <row r="5768" spans="1:3" x14ac:dyDescent="0.25">
      <c r="A5768" s="222">
        <v>500621</v>
      </c>
      <c r="B5768" s="223" t="s">
        <v>9849</v>
      </c>
      <c r="C5768" s="221" t="s">
        <v>9851</v>
      </c>
    </row>
    <row r="5769" spans="1:3" x14ac:dyDescent="0.25">
      <c r="A5769" s="222">
        <v>500622</v>
      </c>
      <c r="B5769" s="223" t="s">
        <v>9852</v>
      </c>
      <c r="C5769" s="221" t="s">
        <v>9853</v>
      </c>
    </row>
    <row r="5770" spans="1:3" x14ac:dyDescent="0.25">
      <c r="A5770" s="222">
        <v>500622</v>
      </c>
      <c r="B5770" s="223" t="s">
        <v>9852</v>
      </c>
      <c r="C5770" s="221" t="s">
        <v>9854</v>
      </c>
    </row>
    <row r="5771" spans="1:3" x14ac:dyDescent="0.25">
      <c r="A5771" s="222">
        <v>500623</v>
      </c>
      <c r="B5771" s="223" t="s">
        <v>9855</v>
      </c>
      <c r="C5771" s="221" t="s">
        <v>9856</v>
      </c>
    </row>
    <row r="5772" spans="1:3" x14ac:dyDescent="0.25">
      <c r="A5772" s="222">
        <v>500623</v>
      </c>
      <c r="B5772" s="223" t="s">
        <v>9855</v>
      </c>
      <c r="C5772" s="221" t="s">
        <v>9857</v>
      </c>
    </row>
    <row r="5773" spans="1:3" x14ac:dyDescent="0.25">
      <c r="A5773" s="222">
        <v>500624</v>
      </c>
      <c r="B5773" s="223" t="s">
        <v>9858</v>
      </c>
      <c r="C5773" s="221" t="s">
        <v>9859</v>
      </c>
    </row>
    <row r="5774" spans="1:3" x14ac:dyDescent="0.25">
      <c r="A5774" s="222">
        <v>500624</v>
      </c>
      <c r="B5774" s="223" t="s">
        <v>9858</v>
      </c>
      <c r="C5774" s="221" t="s">
        <v>9860</v>
      </c>
    </row>
    <row r="5775" spans="1:3" x14ac:dyDescent="0.25">
      <c r="A5775" s="222">
        <v>500625</v>
      </c>
      <c r="B5775" s="223" t="s">
        <v>9861</v>
      </c>
      <c r="C5775" s="221" t="s">
        <v>9862</v>
      </c>
    </row>
    <row r="5776" spans="1:3" x14ac:dyDescent="0.25">
      <c r="A5776" s="222">
        <v>500625</v>
      </c>
      <c r="B5776" s="223" t="s">
        <v>9861</v>
      </c>
      <c r="C5776" s="221" t="s">
        <v>9863</v>
      </c>
    </row>
    <row r="5777" spans="1:3" x14ac:dyDescent="0.25">
      <c r="A5777" s="222">
        <v>500626</v>
      </c>
      <c r="B5777" s="223" t="s">
        <v>9864</v>
      </c>
      <c r="C5777" s="221" t="s">
        <v>9865</v>
      </c>
    </row>
    <row r="5778" spans="1:3" x14ac:dyDescent="0.25">
      <c r="A5778" s="222">
        <v>500626</v>
      </c>
      <c r="B5778" s="223" t="s">
        <v>9864</v>
      </c>
      <c r="C5778" s="221" t="s">
        <v>9866</v>
      </c>
    </row>
    <row r="5779" spans="1:3" x14ac:dyDescent="0.25">
      <c r="A5779" s="222">
        <v>500627</v>
      </c>
      <c r="B5779" s="223" t="s">
        <v>9867</v>
      </c>
      <c r="C5779" s="221" t="s">
        <v>9868</v>
      </c>
    </row>
    <row r="5780" spans="1:3" x14ac:dyDescent="0.25">
      <c r="A5780" s="222">
        <v>500627</v>
      </c>
      <c r="B5780" s="223" t="s">
        <v>9867</v>
      </c>
      <c r="C5780" s="221" t="s">
        <v>9869</v>
      </c>
    </row>
    <row r="5781" spans="1:3" x14ac:dyDescent="0.25">
      <c r="A5781" s="222">
        <v>500628</v>
      </c>
      <c r="B5781" s="223" t="s">
        <v>9870</v>
      </c>
      <c r="C5781" s="221" t="s">
        <v>9871</v>
      </c>
    </row>
    <row r="5782" spans="1:3" x14ac:dyDescent="0.25">
      <c r="A5782" s="222">
        <v>500628</v>
      </c>
      <c r="B5782" s="223" t="s">
        <v>9870</v>
      </c>
      <c r="C5782" s="221" t="s">
        <v>9872</v>
      </c>
    </row>
    <row r="5783" spans="1:3" x14ac:dyDescent="0.25">
      <c r="A5783" s="222">
        <v>500629</v>
      </c>
      <c r="B5783" s="223" t="s">
        <v>9873</v>
      </c>
      <c r="C5783" s="221" t="s">
        <v>9874</v>
      </c>
    </row>
    <row r="5784" spans="1:3" x14ac:dyDescent="0.25">
      <c r="A5784" s="222">
        <v>500629</v>
      </c>
      <c r="B5784" s="223" t="s">
        <v>9873</v>
      </c>
      <c r="C5784" s="221" t="s">
        <v>9875</v>
      </c>
    </row>
    <row r="5785" spans="1:3" x14ac:dyDescent="0.25">
      <c r="A5785" s="222">
        <v>500630</v>
      </c>
      <c r="B5785" s="223" t="s">
        <v>9876</v>
      </c>
      <c r="C5785" s="221" t="s">
        <v>9877</v>
      </c>
    </row>
    <row r="5786" spans="1:3" x14ac:dyDescent="0.25">
      <c r="A5786" s="222">
        <v>500630</v>
      </c>
      <c r="B5786" s="223" t="s">
        <v>9876</v>
      </c>
      <c r="C5786" s="221" t="s">
        <v>9878</v>
      </c>
    </row>
    <row r="5787" spans="1:3" x14ac:dyDescent="0.25">
      <c r="A5787" s="222">
        <v>500631</v>
      </c>
      <c r="B5787" s="223" t="s">
        <v>9879</v>
      </c>
      <c r="C5787" s="221" t="s">
        <v>9880</v>
      </c>
    </row>
    <row r="5788" spans="1:3" x14ac:dyDescent="0.25">
      <c r="A5788" s="222">
        <v>500631</v>
      </c>
      <c r="B5788" s="223" t="s">
        <v>9879</v>
      </c>
      <c r="C5788" s="221" t="s">
        <v>9881</v>
      </c>
    </row>
    <row r="5789" spans="1:3" x14ac:dyDescent="0.25">
      <c r="A5789" s="222">
        <v>500632</v>
      </c>
      <c r="B5789" s="223" t="s">
        <v>9882</v>
      </c>
      <c r="C5789" s="221" t="s">
        <v>9883</v>
      </c>
    </row>
    <row r="5790" spans="1:3" x14ac:dyDescent="0.25">
      <c r="A5790" s="222">
        <v>500632</v>
      </c>
      <c r="B5790" s="223" t="s">
        <v>9882</v>
      </c>
      <c r="C5790" s="221" t="s">
        <v>9884</v>
      </c>
    </row>
    <row r="5791" spans="1:3" x14ac:dyDescent="0.25">
      <c r="A5791" s="222">
        <v>500633</v>
      </c>
      <c r="B5791" s="223" t="s">
        <v>9885</v>
      </c>
      <c r="C5791" s="221" t="s">
        <v>9886</v>
      </c>
    </row>
    <row r="5792" spans="1:3" x14ac:dyDescent="0.25">
      <c r="A5792" s="222">
        <v>500633</v>
      </c>
      <c r="B5792" s="223" t="s">
        <v>9885</v>
      </c>
      <c r="C5792" s="221" t="s">
        <v>9887</v>
      </c>
    </row>
    <row r="5793" spans="1:3" x14ac:dyDescent="0.25">
      <c r="A5793" s="222">
        <v>500634</v>
      </c>
      <c r="B5793" s="223" t="s">
        <v>9888</v>
      </c>
      <c r="C5793" s="221" t="s">
        <v>9889</v>
      </c>
    </row>
    <row r="5794" spans="1:3" x14ac:dyDescent="0.25">
      <c r="A5794" s="222">
        <v>500634</v>
      </c>
      <c r="B5794" s="223" t="s">
        <v>9888</v>
      </c>
      <c r="C5794" s="221" t="s">
        <v>9890</v>
      </c>
    </row>
    <row r="5795" spans="1:3" x14ac:dyDescent="0.25">
      <c r="A5795" s="222">
        <v>500635</v>
      </c>
      <c r="B5795" s="223" t="s">
        <v>9891</v>
      </c>
      <c r="C5795" s="221" t="s">
        <v>9892</v>
      </c>
    </row>
    <row r="5796" spans="1:3" x14ac:dyDescent="0.25">
      <c r="A5796" s="222">
        <v>500635</v>
      </c>
      <c r="B5796" s="223" t="s">
        <v>9891</v>
      </c>
      <c r="C5796" s="221" t="s">
        <v>9893</v>
      </c>
    </row>
    <row r="5797" spans="1:3" x14ac:dyDescent="0.25">
      <c r="A5797" s="222">
        <v>500636</v>
      </c>
      <c r="B5797" s="223" t="s">
        <v>9894</v>
      </c>
      <c r="C5797" s="221" t="s">
        <v>9895</v>
      </c>
    </row>
    <row r="5798" spans="1:3" x14ac:dyDescent="0.25">
      <c r="A5798" s="222">
        <v>500636</v>
      </c>
      <c r="B5798" s="223" t="s">
        <v>9894</v>
      </c>
      <c r="C5798" s="221" t="s">
        <v>9896</v>
      </c>
    </row>
    <row r="5799" spans="1:3" x14ac:dyDescent="0.25">
      <c r="A5799" s="222">
        <v>500637</v>
      </c>
      <c r="B5799" s="223" t="s">
        <v>9897</v>
      </c>
      <c r="C5799" s="221" t="s">
        <v>9898</v>
      </c>
    </row>
    <row r="5800" spans="1:3" x14ac:dyDescent="0.25">
      <c r="A5800" s="222">
        <v>500637</v>
      </c>
      <c r="B5800" s="223" t="s">
        <v>9897</v>
      </c>
      <c r="C5800" s="221" t="s">
        <v>9899</v>
      </c>
    </row>
    <row r="5801" spans="1:3" x14ac:dyDescent="0.25">
      <c r="A5801" s="222">
        <v>500638</v>
      </c>
      <c r="B5801" s="223" t="s">
        <v>9900</v>
      </c>
      <c r="C5801" s="221" t="s">
        <v>9901</v>
      </c>
    </row>
    <row r="5802" spans="1:3" x14ac:dyDescent="0.25">
      <c r="A5802" s="222">
        <v>500638</v>
      </c>
      <c r="B5802" s="223" t="s">
        <v>9900</v>
      </c>
      <c r="C5802" s="221" t="s">
        <v>9902</v>
      </c>
    </row>
    <row r="5803" spans="1:3" x14ac:dyDescent="0.25">
      <c r="A5803" s="222">
        <v>500639</v>
      </c>
      <c r="B5803" s="223" t="s">
        <v>9903</v>
      </c>
      <c r="C5803" s="221" t="s">
        <v>9904</v>
      </c>
    </row>
    <row r="5804" spans="1:3" x14ac:dyDescent="0.25">
      <c r="A5804" s="222">
        <v>500639</v>
      </c>
      <c r="B5804" s="223" t="s">
        <v>9903</v>
      </c>
      <c r="C5804" s="221" t="s">
        <v>9905</v>
      </c>
    </row>
    <row r="5805" spans="1:3" x14ac:dyDescent="0.25">
      <c r="A5805" s="222">
        <v>500640</v>
      </c>
      <c r="B5805" s="223" t="s">
        <v>9906</v>
      </c>
      <c r="C5805" s="221" t="s">
        <v>9907</v>
      </c>
    </row>
    <row r="5806" spans="1:3" x14ac:dyDescent="0.25">
      <c r="A5806" s="222">
        <v>500640</v>
      </c>
      <c r="B5806" s="223" t="s">
        <v>9906</v>
      </c>
      <c r="C5806" s="221" t="s">
        <v>9908</v>
      </c>
    </row>
    <row r="5807" spans="1:3" x14ac:dyDescent="0.25">
      <c r="A5807" s="222">
        <v>500641</v>
      </c>
      <c r="B5807" s="223" t="s">
        <v>9909</v>
      </c>
      <c r="C5807" s="221" t="s">
        <v>9910</v>
      </c>
    </row>
    <row r="5808" spans="1:3" x14ac:dyDescent="0.25">
      <c r="A5808" s="222">
        <v>500641</v>
      </c>
      <c r="B5808" s="223" t="s">
        <v>9909</v>
      </c>
      <c r="C5808" s="221" t="s">
        <v>9911</v>
      </c>
    </row>
    <row r="5809" spans="1:3" x14ac:dyDescent="0.25">
      <c r="A5809" s="222">
        <v>500642</v>
      </c>
      <c r="B5809" s="223" t="s">
        <v>9912</v>
      </c>
      <c r="C5809" s="221" t="s">
        <v>9913</v>
      </c>
    </row>
    <row r="5810" spans="1:3" x14ac:dyDescent="0.25">
      <c r="A5810" s="222">
        <v>500642</v>
      </c>
      <c r="B5810" s="223" t="s">
        <v>9912</v>
      </c>
      <c r="C5810" s="221" t="s">
        <v>9914</v>
      </c>
    </row>
    <row r="5811" spans="1:3" x14ac:dyDescent="0.25">
      <c r="A5811" s="222">
        <v>500643</v>
      </c>
      <c r="B5811" s="223" t="s">
        <v>9915</v>
      </c>
      <c r="C5811" s="221" t="s">
        <v>9916</v>
      </c>
    </row>
    <row r="5812" spans="1:3" x14ac:dyDescent="0.25">
      <c r="A5812" s="222">
        <v>500643</v>
      </c>
      <c r="B5812" s="223" t="s">
        <v>9915</v>
      </c>
      <c r="C5812" s="221" t="s">
        <v>9917</v>
      </c>
    </row>
    <row r="5813" spans="1:3" x14ac:dyDescent="0.25">
      <c r="A5813" s="222">
        <v>500644</v>
      </c>
      <c r="B5813" s="223" t="s">
        <v>9918</v>
      </c>
      <c r="C5813" s="221" t="s">
        <v>9919</v>
      </c>
    </row>
    <row r="5814" spans="1:3" x14ac:dyDescent="0.25">
      <c r="A5814" s="222">
        <v>500644</v>
      </c>
      <c r="B5814" s="223" t="s">
        <v>9918</v>
      </c>
      <c r="C5814" s="221" t="s">
        <v>9920</v>
      </c>
    </row>
    <row r="5815" spans="1:3" x14ac:dyDescent="0.25">
      <c r="A5815" s="222">
        <v>500645</v>
      </c>
      <c r="B5815" s="223" t="s">
        <v>9921</v>
      </c>
      <c r="C5815" s="221" t="s">
        <v>9922</v>
      </c>
    </row>
    <row r="5816" spans="1:3" x14ac:dyDescent="0.25">
      <c r="A5816" s="222">
        <v>500645</v>
      </c>
      <c r="B5816" s="223" t="s">
        <v>9921</v>
      </c>
      <c r="C5816" s="221" t="s">
        <v>9923</v>
      </c>
    </row>
    <row r="5817" spans="1:3" x14ac:dyDescent="0.25">
      <c r="A5817" s="222">
        <v>500646</v>
      </c>
      <c r="B5817" s="223" t="s">
        <v>9924</v>
      </c>
      <c r="C5817" s="221" t="s">
        <v>9925</v>
      </c>
    </row>
    <row r="5818" spans="1:3" x14ac:dyDescent="0.25">
      <c r="A5818" s="222">
        <v>500646</v>
      </c>
      <c r="B5818" s="223" t="s">
        <v>9924</v>
      </c>
      <c r="C5818" s="221" t="s">
        <v>9926</v>
      </c>
    </row>
    <row r="5819" spans="1:3" x14ac:dyDescent="0.25">
      <c r="A5819" s="222">
        <v>500647</v>
      </c>
      <c r="B5819" s="223" t="s">
        <v>9927</v>
      </c>
      <c r="C5819" s="221" t="s">
        <v>9928</v>
      </c>
    </row>
    <row r="5820" spans="1:3" x14ac:dyDescent="0.25">
      <c r="A5820" s="222">
        <v>500647</v>
      </c>
      <c r="B5820" s="223" t="s">
        <v>9927</v>
      </c>
      <c r="C5820" s="221" t="s">
        <v>9929</v>
      </c>
    </row>
    <row r="5821" spans="1:3" x14ac:dyDescent="0.25">
      <c r="A5821" s="222">
        <v>500648</v>
      </c>
      <c r="B5821" s="223" t="s">
        <v>9930</v>
      </c>
      <c r="C5821" s="221" t="s">
        <v>9931</v>
      </c>
    </row>
    <row r="5822" spans="1:3" x14ac:dyDescent="0.25">
      <c r="A5822" s="222">
        <v>500648</v>
      </c>
      <c r="B5822" s="223" t="s">
        <v>9930</v>
      </c>
      <c r="C5822" s="221" t="s">
        <v>9932</v>
      </c>
    </row>
    <row r="5823" spans="1:3" x14ac:dyDescent="0.25">
      <c r="A5823" s="222">
        <v>500649</v>
      </c>
      <c r="B5823" s="223" t="s">
        <v>9933</v>
      </c>
      <c r="C5823" s="221" t="s">
        <v>9934</v>
      </c>
    </row>
    <row r="5824" spans="1:3" x14ac:dyDescent="0.25">
      <c r="A5824" s="222">
        <v>500649</v>
      </c>
      <c r="B5824" s="223" t="s">
        <v>9933</v>
      </c>
      <c r="C5824" s="221" t="s">
        <v>9935</v>
      </c>
    </row>
    <row r="5825" spans="1:3" x14ac:dyDescent="0.25">
      <c r="A5825" s="222">
        <v>500650</v>
      </c>
      <c r="B5825" s="223" t="s">
        <v>9936</v>
      </c>
      <c r="C5825" s="221" t="s">
        <v>9937</v>
      </c>
    </row>
    <row r="5826" spans="1:3" x14ac:dyDescent="0.25">
      <c r="A5826" s="222">
        <v>500650</v>
      </c>
      <c r="B5826" s="223" t="s">
        <v>9936</v>
      </c>
      <c r="C5826" s="221" t="s">
        <v>9938</v>
      </c>
    </row>
    <row r="5827" spans="1:3" x14ac:dyDescent="0.25">
      <c r="A5827" s="222">
        <v>500651</v>
      </c>
      <c r="B5827" s="223" t="s">
        <v>9940</v>
      </c>
      <c r="C5827" s="221" t="s">
        <v>9939</v>
      </c>
    </row>
    <row r="5828" spans="1:3" x14ac:dyDescent="0.25">
      <c r="A5828" s="222">
        <v>500652</v>
      </c>
      <c r="B5828" s="223" t="s">
        <v>9942</v>
      </c>
      <c r="C5828" s="221" t="s">
        <v>9941</v>
      </c>
    </row>
    <row r="5829" spans="1:3" x14ac:dyDescent="0.25">
      <c r="A5829" s="222">
        <v>500653</v>
      </c>
      <c r="B5829" s="223" t="s">
        <v>9944</v>
      </c>
      <c r="C5829" s="221" t="s">
        <v>9943</v>
      </c>
    </row>
    <row r="5830" spans="1:3" x14ac:dyDescent="0.25">
      <c r="A5830" s="222">
        <v>500654</v>
      </c>
      <c r="B5830" s="223" t="s">
        <v>9946</v>
      </c>
      <c r="C5830" s="221" t="s">
        <v>9945</v>
      </c>
    </row>
    <row r="5831" spans="1:3" x14ac:dyDescent="0.25">
      <c r="A5831" s="222">
        <v>500655</v>
      </c>
      <c r="B5831" s="223" t="s">
        <v>9947</v>
      </c>
      <c r="C5831" s="221" t="s">
        <v>9948</v>
      </c>
    </row>
    <row r="5832" spans="1:3" x14ac:dyDescent="0.25">
      <c r="A5832" s="222">
        <v>500661</v>
      </c>
      <c r="B5832" s="223" t="s">
        <v>9949</v>
      </c>
      <c r="C5832" s="221" t="s">
        <v>9950</v>
      </c>
    </row>
    <row r="5833" spans="1:3" x14ac:dyDescent="0.25">
      <c r="A5833" s="222">
        <v>500666</v>
      </c>
      <c r="B5833" s="223" t="s">
        <v>9951</v>
      </c>
      <c r="C5833" s="221" t="s">
        <v>9952</v>
      </c>
    </row>
    <row r="5834" spans="1:3" x14ac:dyDescent="0.25">
      <c r="A5834" s="222">
        <v>500667</v>
      </c>
      <c r="B5834" s="223" t="s">
        <v>9953</v>
      </c>
      <c r="C5834" s="221" t="s">
        <v>9954</v>
      </c>
    </row>
    <row r="5835" spans="1:3" x14ac:dyDescent="0.25">
      <c r="A5835" s="222">
        <v>500668</v>
      </c>
      <c r="B5835" s="223" t="s">
        <v>9955</v>
      </c>
      <c r="C5835" s="221" t="s">
        <v>9956</v>
      </c>
    </row>
    <row r="5836" spans="1:3" x14ac:dyDescent="0.25">
      <c r="A5836" s="222">
        <v>500669</v>
      </c>
      <c r="B5836" s="223" t="s">
        <v>9957</v>
      </c>
      <c r="C5836" s="221" t="s">
        <v>9958</v>
      </c>
    </row>
    <row r="5837" spans="1:3" x14ac:dyDescent="0.25">
      <c r="A5837" s="222">
        <v>500670</v>
      </c>
      <c r="B5837" s="223" t="s">
        <v>9959</v>
      </c>
      <c r="C5837" s="221" t="s">
        <v>9960</v>
      </c>
    </row>
    <row r="5838" spans="1:3" x14ac:dyDescent="0.25">
      <c r="A5838" s="222">
        <v>500671</v>
      </c>
      <c r="B5838" s="223" t="s">
        <v>9961</v>
      </c>
      <c r="C5838" s="221" t="s">
        <v>9962</v>
      </c>
    </row>
    <row r="5839" spans="1:3" x14ac:dyDescent="0.25">
      <c r="A5839" s="222">
        <v>500672</v>
      </c>
      <c r="B5839" s="223" t="s">
        <v>9963</v>
      </c>
      <c r="C5839" s="221" t="s">
        <v>9964</v>
      </c>
    </row>
    <row r="5840" spans="1:3" x14ac:dyDescent="0.25">
      <c r="A5840" s="222">
        <v>500673</v>
      </c>
      <c r="B5840" s="223" t="s">
        <v>9965</v>
      </c>
      <c r="C5840" s="221" t="s">
        <v>9966</v>
      </c>
    </row>
    <row r="5841" spans="1:3" x14ac:dyDescent="0.25">
      <c r="A5841" s="222">
        <v>500674</v>
      </c>
      <c r="B5841" s="223" t="s">
        <v>9967</v>
      </c>
      <c r="C5841" s="221" t="s">
        <v>9968</v>
      </c>
    </row>
    <row r="5842" spans="1:3" x14ac:dyDescent="0.25">
      <c r="A5842" s="222">
        <v>500675</v>
      </c>
      <c r="B5842" s="223" t="s">
        <v>9969</v>
      </c>
      <c r="C5842" s="221" t="s">
        <v>9970</v>
      </c>
    </row>
    <row r="5843" spans="1:3" x14ac:dyDescent="0.25">
      <c r="A5843" s="222">
        <v>500676</v>
      </c>
      <c r="B5843" s="223" t="s">
        <v>9971</v>
      </c>
      <c r="C5843" s="221" t="s">
        <v>9972</v>
      </c>
    </row>
    <row r="5844" spans="1:3" x14ac:dyDescent="0.25">
      <c r="A5844" s="222">
        <v>500676</v>
      </c>
      <c r="B5844" s="223" t="s">
        <v>9971</v>
      </c>
      <c r="C5844" s="221" t="s">
        <v>9973</v>
      </c>
    </row>
    <row r="5845" spans="1:3" x14ac:dyDescent="0.25">
      <c r="A5845" s="222">
        <v>500677</v>
      </c>
      <c r="B5845" s="223" t="s">
        <v>9974</v>
      </c>
      <c r="C5845" s="221" t="s">
        <v>9975</v>
      </c>
    </row>
    <row r="5846" spans="1:3" x14ac:dyDescent="0.25">
      <c r="A5846" s="222">
        <v>500677</v>
      </c>
      <c r="B5846" s="223" t="s">
        <v>9974</v>
      </c>
      <c r="C5846" s="221" t="s">
        <v>9976</v>
      </c>
    </row>
    <row r="5847" spans="1:3" x14ac:dyDescent="0.25">
      <c r="A5847" s="222">
        <v>500678</v>
      </c>
      <c r="B5847" s="223" t="s">
        <v>9977</v>
      </c>
      <c r="C5847" s="221" t="s">
        <v>9978</v>
      </c>
    </row>
    <row r="5848" spans="1:3" x14ac:dyDescent="0.25">
      <c r="A5848" s="222">
        <v>500678</v>
      </c>
      <c r="B5848" s="223" t="s">
        <v>9977</v>
      </c>
      <c r="C5848" s="221" t="s">
        <v>9979</v>
      </c>
    </row>
    <row r="5849" spans="1:3" x14ac:dyDescent="0.25">
      <c r="A5849" s="222">
        <v>500679</v>
      </c>
      <c r="B5849" s="223" t="s">
        <v>9980</v>
      </c>
      <c r="C5849" s="221" t="s">
        <v>9981</v>
      </c>
    </row>
    <row r="5850" spans="1:3" x14ac:dyDescent="0.25">
      <c r="A5850" s="222">
        <v>500679</v>
      </c>
      <c r="B5850" s="223" t="s">
        <v>9980</v>
      </c>
      <c r="C5850" s="221" t="s">
        <v>9982</v>
      </c>
    </row>
    <row r="5851" spans="1:3" x14ac:dyDescent="0.25">
      <c r="A5851" s="222">
        <v>500680</v>
      </c>
      <c r="B5851" s="223" t="s">
        <v>9983</v>
      </c>
      <c r="C5851" s="221" t="s">
        <v>9984</v>
      </c>
    </row>
    <row r="5852" spans="1:3" x14ac:dyDescent="0.25">
      <c r="A5852" s="222">
        <v>500680</v>
      </c>
      <c r="B5852" s="223" t="s">
        <v>9983</v>
      </c>
      <c r="C5852" s="221" t="s">
        <v>9985</v>
      </c>
    </row>
    <row r="5853" spans="1:3" x14ac:dyDescent="0.25">
      <c r="A5853" s="222">
        <v>500681</v>
      </c>
      <c r="B5853" s="223" t="s">
        <v>9986</v>
      </c>
      <c r="C5853" s="221" t="s">
        <v>9987</v>
      </c>
    </row>
    <row r="5854" spans="1:3" x14ac:dyDescent="0.25">
      <c r="A5854" s="222">
        <v>500681</v>
      </c>
      <c r="B5854" s="223" t="s">
        <v>9986</v>
      </c>
      <c r="C5854" s="221" t="s">
        <v>9988</v>
      </c>
    </row>
    <row r="5855" spans="1:3" x14ac:dyDescent="0.25">
      <c r="A5855" s="222">
        <v>500682</v>
      </c>
      <c r="B5855" s="223" t="s">
        <v>9989</v>
      </c>
      <c r="C5855" s="221" t="s">
        <v>9990</v>
      </c>
    </row>
    <row r="5856" spans="1:3" x14ac:dyDescent="0.25">
      <c r="A5856" s="222">
        <v>500682</v>
      </c>
      <c r="B5856" s="223" t="s">
        <v>9989</v>
      </c>
      <c r="C5856" s="221" t="s">
        <v>9991</v>
      </c>
    </row>
    <row r="5857" spans="1:3" x14ac:dyDescent="0.25">
      <c r="A5857" s="222">
        <v>500683</v>
      </c>
      <c r="B5857" s="223" t="s">
        <v>9992</v>
      </c>
      <c r="C5857" s="221" t="s">
        <v>9993</v>
      </c>
    </row>
    <row r="5858" spans="1:3" x14ac:dyDescent="0.25">
      <c r="A5858" s="222">
        <v>500683</v>
      </c>
      <c r="B5858" s="223" t="s">
        <v>9992</v>
      </c>
      <c r="C5858" s="221" t="s">
        <v>9994</v>
      </c>
    </row>
    <row r="5859" spans="1:3" x14ac:dyDescent="0.25">
      <c r="A5859" s="222">
        <v>500684</v>
      </c>
      <c r="B5859" s="223" t="s">
        <v>9995</v>
      </c>
      <c r="C5859" s="221" t="s">
        <v>9996</v>
      </c>
    </row>
    <row r="5860" spans="1:3" x14ac:dyDescent="0.25">
      <c r="A5860" s="222">
        <v>500684</v>
      </c>
      <c r="B5860" s="223" t="s">
        <v>9995</v>
      </c>
      <c r="C5860" s="221" t="s">
        <v>9997</v>
      </c>
    </row>
    <row r="5861" spans="1:3" x14ac:dyDescent="0.25">
      <c r="A5861" s="222">
        <v>500685</v>
      </c>
      <c r="B5861" s="223" t="s">
        <v>9998</v>
      </c>
      <c r="C5861" s="221" t="s">
        <v>9999</v>
      </c>
    </row>
    <row r="5862" spans="1:3" x14ac:dyDescent="0.25">
      <c r="A5862" s="222">
        <v>500686</v>
      </c>
      <c r="B5862" s="223" t="s">
        <v>10000</v>
      </c>
      <c r="C5862" s="221" t="s">
        <v>10001</v>
      </c>
    </row>
    <row r="5863" spans="1:3" x14ac:dyDescent="0.25">
      <c r="A5863" s="222">
        <v>500687</v>
      </c>
      <c r="B5863" s="223" t="s">
        <v>10002</v>
      </c>
      <c r="C5863" s="221" t="s">
        <v>10003</v>
      </c>
    </row>
    <row r="5864" spans="1:3" x14ac:dyDescent="0.25">
      <c r="A5864" s="222">
        <v>500688</v>
      </c>
      <c r="B5864" s="223" t="s">
        <v>10004</v>
      </c>
      <c r="C5864" s="221" t="s">
        <v>10005</v>
      </c>
    </row>
    <row r="5865" spans="1:3" x14ac:dyDescent="0.25">
      <c r="A5865" s="222">
        <v>500689</v>
      </c>
      <c r="B5865" s="223" t="s">
        <v>10006</v>
      </c>
      <c r="C5865" s="221" t="s">
        <v>10007</v>
      </c>
    </row>
    <row r="5866" spans="1:3" x14ac:dyDescent="0.25">
      <c r="A5866" s="222">
        <v>500690</v>
      </c>
      <c r="B5866" s="223" t="s">
        <v>10008</v>
      </c>
      <c r="C5866" s="221" t="s">
        <v>10009</v>
      </c>
    </row>
    <row r="5867" spans="1:3" x14ac:dyDescent="0.25">
      <c r="A5867" s="222">
        <v>500692</v>
      </c>
      <c r="B5867" s="223" t="s">
        <v>10010</v>
      </c>
      <c r="C5867" s="221" t="s">
        <v>10011</v>
      </c>
    </row>
    <row r="5868" spans="1:3" x14ac:dyDescent="0.25">
      <c r="A5868" s="222">
        <v>500693</v>
      </c>
      <c r="B5868" s="223" t="s">
        <v>10012</v>
      </c>
      <c r="C5868" s="221" t="s">
        <v>10013</v>
      </c>
    </row>
    <row r="5869" spans="1:3" x14ac:dyDescent="0.25">
      <c r="A5869" s="222">
        <v>500694</v>
      </c>
      <c r="B5869" s="223" t="s">
        <v>10014</v>
      </c>
      <c r="C5869" s="221" t="s">
        <v>10015</v>
      </c>
    </row>
    <row r="5870" spans="1:3" x14ac:dyDescent="0.25">
      <c r="A5870" s="222">
        <v>500695</v>
      </c>
      <c r="B5870" s="223" t="s">
        <v>10016</v>
      </c>
      <c r="C5870" s="221" t="s">
        <v>10017</v>
      </c>
    </row>
    <row r="5871" spans="1:3" x14ac:dyDescent="0.25">
      <c r="A5871" s="222">
        <v>500715</v>
      </c>
      <c r="B5871" s="223" t="s">
        <v>10018</v>
      </c>
      <c r="C5871" s="221" t="s">
        <v>10019</v>
      </c>
    </row>
    <row r="5872" spans="1:3" x14ac:dyDescent="0.25">
      <c r="A5872" s="222">
        <v>500716</v>
      </c>
      <c r="B5872" s="223" t="s">
        <v>10020</v>
      </c>
      <c r="C5872" s="221" t="s">
        <v>10021</v>
      </c>
    </row>
    <row r="5873" spans="1:3" x14ac:dyDescent="0.25">
      <c r="A5873" s="222">
        <v>500717</v>
      </c>
      <c r="B5873" s="223" t="s">
        <v>10022</v>
      </c>
      <c r="C5873" s="221" t="s">
        <v>10023</v>
      </c>
    </row>
    <row r="5874" spans="1:3" x14ac:dyDescent="0.25">
      <c r="A5874" s="222">
        <v>500718</v>
      </c>
      <c r="B5874" s="223" t="s">
        <v>10024</v>
      </c>
      <c r="C5874" s="221" t="s">
        <v>10025</v>
      </c>
    </row>
    <row r="5875" spans="1:3" x14ac:dyDescent="0.25">
      <c r="A5875" s="222">
        <v>500719</v>
      </c>
      <c r="B5875" s="223" t="s">
        <v>10026</v>
      </c>
      <c r="C5875" s="221" t="s">
        <v>10027</v>
      </c>
    </row>
    <row r="5876" spans="1:3" x14ac:dyDescent="0.25">
      <c r="A5876" s="222">
        <v>500720</v>
      </c>
      <c r="B5876" s="223" t="s">
        <v>10028</v>
      </c>
      <c r="C5876" s="221" t="s">
        <v>10029</v>
      </c>
    </row>
    <row r="5877" spans="1:3" x14ac:dyDescent="0.25">
      <c r="A5877" s="222">
        <v>500721</v>
      </c>
      <c r="B5877" s="223" t="s">
        <v>10030</v>
      </c>
      <c r="C5877" s="221" t="s">
        <v>10031</v>
      </c>
    </row>
    <row r="5878" spans="1:3" x14ac:dyDescent="0.25">
      <c r="A5878" s="222">
        <v>500722</v>
      </c>
      <c r="B5878" s="223" t="s">
        <v>10032</v>
      </c>
      <c r="C5878" s="221" t="s">
        <v>10033</v>
      </c>
    </row>
    <row r="5879" spans="1:3" x14ac:dyDescent="0.25">
      <c r="A5879" s="222">
        <v>500726</v>
      </c>
      <c r="B5879" s="223" t="s">
        <v>10034</v>
      </c>
      <c r="C5879" s="221" t="s">
        <v>10035</v>
      </c>
    </row>
    <row r="5880" spans="1:3" x14ac:dyDescent="0.25">
      <c r="A5880" s="222">
        <v>500727</v>
      </c>
      <c r="B5880" s="223" t="s">
        <v>10036</v>
      </c>
      <c r="C5880" s="221" t="s">
        <v>10037</v>
      </c>
    </row>
    <row r="5881" spans="1:3" x14ac:dyDescent="0.25">
      <c r="A5881" s="222">
        <v>500728</v>
      </c>
      <c r="B5881" s="223" t="s">
        <v>10038</v>
      </c>
      <c r="C5881" s="221" t="s">
        <v>10039</v>
      </c>
    </row>
    <row r="5882" spans="1:3" x14ac:dyDescent="0.25">
      <c r="A5882" s="222">
        <v>500740</v>
      </c>
      <c r="B5882" s="223" t="s">
        <v>10040</v>
      </c>
      <c r="C5882" s="221" t="s">
        <v>10041</v>
      </c>
    </row>
    <row r="5883" spans="1:3" x14ac:dyDescent="0.25">
      <c r="A5883" s="222">
        <v>500741</v>
      </c>
      <c r="B5883" s="223" t="s">
        <v>10042</v>
      </c>
      <c r="C5883" s="221" t="s">
        <v>10043</v>
      </c>
    </row>
    <row r="5884" spans="1:3" x14ac:dyDescent="0.25">
      <c r="A5884" s="222">
        <v>500742</v>
      </c>
      <c r="B5884" s="223" t="s">
        <v>10044</v>
      </c>
      <c r="C5884" s="221" t="s">
        <v>10045</v>
      </c>
    </row>
    <row r="5885" spans="1:3" x14ac:dyDescent="0.25">
      <c r="A5885" s="222">
        <v>500743</v>
      </c>
      <c r="B5885" s="223" t="s">
        <v>10046</v>
      </c>
      <c r="C5885" s="221" t="s">
        <v>10047</v>
      </c>
    </row>
    <row r="5886" spans="1:3" x14ac:dyDescent="0.25">
      <c r="A5886" s="222">
        <v>500744</v>
      </c>
      <c r="B5886" s="223" t="s">
        <v>10048</v>
      </c>
      <c r="C5886" s="221" t="s">
        <v>10049</v>
      </c>
    </row>
    <row r="5887" spans="1:3" x14ac:dyDescent="0.25">
      <c r="A5887" s="222">
        <v>500745</v>
      </c>
      <c r="B5887" s="223" t="s">
        <v>10050</v>
      </c>
      <c r="C5887" s="221" t="s">
        <v>10051</v>
      </c>
    </row>
    <row r="5888" spans="1:3" x14ac:dyDescent="0.25">
      <c r="A5888" s="222">
        <v>500746</v>
      </c>
      <c r="B5888" s="223" t="s">
        <v>10052</v>
      </c>
      <c r="C5888" s="221" t="s">
        <v>10053</v>
      </c>
    </row>
    <row r="5889" spans="1:3" x14ac:dyDescent="0.25">
      <c r="A5889" s="222">
        <v>500747</v>
      </c>
      <c r="B5889" s="223" t="s">
        <v>10054</v>
      </c>
      <c r="C5889" s="221" t="s">
        <v>10055</v>
      </c>
    </row>
    <row r="5890" spans="1:3" x14ac:dyDescent="0.25">
      <c r="A5890" s="222">
        <v>500748</v>
      </c>
      <c r="B5890" s="223" t="s">
        <v>10056</v>
      </c>
      <c r="C5890" s="221" t="s">
        <v>10057</v>
      </c>
    </row>
    <row r="5891" spans="1:3" x14ac:dyDescent="0.25">
      <c r="A5891" s="222">
        <v>500749</v>
      </c>
      <c r="B5891" s="223" t="s">
        <v>10058</v>
      </c>
      <c r="C5891" s="221" t="s">
        <v>10059</v>
      </c>
    </row>
    <row r="5892" spans="1:3" x14ac:dyDescent="0.25">
      <c r="A5892" s="222">
        <v>500750</v>
      </c>
      <c r="B5892" s="223" t="s">
        <v>10060</v>
      </c>
      <c r="C5892" s="221" t="s">
        <v>10061</v>
      </c>
    </row>
    <row r="5893" spans="1:3" x14ac:dyDescent="0.25">
      <c r="A5893" s="222">
        <v>500751</v>
      </c>
      <c r="B5893" s="223" t="s">
        <v>10062</v>
      </c>
      <c r="C5893" s="221" t="s">
        <v>10063</v>
      </c>
    </row>
    <row r="5894" spans="1:3" x14ac:dyDescent="0.25">
      <c r="A5894" s="222">
        <v>500752</v>
      </c>
      <c r="B5894" s="223" t="s">
        <v>10064</v>
      </c>
      <c r="C5894" s="221" t="s">
        <v>10065</v>
      </c>
    </row>
    <row r="5895" spans="1:3" x14ac:dyDescent="0.25">
      <c r="A5895" s="222">
        <v>500753</v>
      </c>
      <c r="B5895" s="223" t="s">
        <v>10066</v>
      </c>
      <c r="C5895" s="221" t="s">
        <v>10067</v>
      </c>
    </row>
    <row r="5896" spans="1:3" x14ac:dyDescent="0.25">
      <c r="A5896" s="222">
        <v>500754</v>
      </c>
      <c r="B5896" s="223" t="s">
        <v>10068</v>
      </c>
      <c r="C5896" s="221" t="s">
        <v>10069</v>
      </c>
    </row>
    <row r="5897" spans="1:3" x14ac:dyDescent="0.25">
      <c r="A5897" s="222">
        <v>500758</v>
      </c>
      <c r="B5897" s="223" t="s">
        <v>10070</v>
      </c>
      <c r="C5897" s="221" t="s">
        <v>10071</v>
      </c>
    </row>
    <row r="5898" spans="1:3" x14ac:dyDescent="0.25">
      <c r="A5898" s="222">
        <v>500759</v>
      </c>
      <c r="B5898" s="223" t="s">
        <v>10072</v>
      </c>
      <c r="C5898" s="221" t="s">
        <v>10073</v>
      </c>
    </row>
    <row r="5899" spans="1:3" x14ac:dyDescent="0.25">
      <c r="A5899" s="222">
        <v>500760</v>
      </c>
      <c r="B5899" s="223" t="s">
        <v>10074</v>
      </c>
      <c r="C5899" s="221" t="s">
        <v>10075</v>
      </c>
    </row>
    <row r="5900" spans="1:3" x14ac:dyDescent="0.25">
      <c r="A5900" s="222">
        <v>500761</v>
      </c>
      <c r="B5900" s="223" t="s">
        <v>10076</v>
      </c>
      <c r="C5900" s="221" t="s">
        <v>10077</v>
      </c>
    </row>
    <row r="5901" spans="1:3" x14ac:dyDescent="0.25">
      <c r="A5901" s="222">
        <v>500762</v>
      </c>
      <c r="B5901" s="223" t="s">
        <v>10078</v>
      </c>
      <c r="C5901" s="221" t="s">
        <v>10079</v>
      </c>
    </row>
    <row r="5902" spans="1:3" x14ac:dyDescent="0.25">
      <c r="A5902" s="222">
        <v>500763</v>
      </c>
      <c r="B5902" s="223" t="s">
        <v>10080</v>
      </c>
      <c r="C5902" s="221" t="s">
        <v>10081</v>
      </c>
    </row>
    <row r="5903" spans="1:3" x14ac:dyDescent="0.25">
      <c r="A5903" s="222">
        <v>500764</v>
      </c>
      <c r="B5903" s="223" t="s">
        <v>10082</v>
      </c>
      <c r="C5903" s="221" t="s">
        <v>10083</v>
      </c>
    </row>
    <row r="5904" spans="1:3" x14ac:dyDescent="0.25">
      <c r="A5904" s="222">
        <v>500765</v>
      </c>
      <c r="B5904" s="223" t="s">
        <v>10084</v>
      </c>
      <c r="C5904" s="221" t="s">
        <v>10085</v>
      </c>
    </row>
    <row r="5905" spans="1:3" x14ac:dyDescent="0.25">
      <c r="A5905" s="222">
        <v>500766</v>
      </c>
      <c r="B5905" s="223" t="s">
        <v>10086</v>
      </c>
      <c r="C5905" s="221" t="s">
        <v>10087</v>
      </c>
    </row>
    <row r="5906" spans="1:3" x14ac:dyDescent="0.25">
      <c r="A5906" s="222">
        <v>500767</v>
      </c>
      <c r="B5906" s="223" t="s">
        <v>10088</v>
      </c>
      <c r="C5906" s="221" t="s">
        <v>10089</v>
      </c>
    </row>
    <row r="5907" spans="1:3" x14ac:dyDescent="0.25">
      <c r="A5907" s="222">
        <v>500768</v>
      </c>
      <c r="B5907" s="223" t="s">
        <v>10090</v>
      </c>
      <c r="C5907" s="221" t="s">
        <v>10091</v>
      </c>
    </row>
    <row r="5908" spans="1:3" x14ac:dyDescent="0.25">
      <c r="A5908" s="222">
        <v>500769</v>
      </c>
      <c r="B5908" s="223" t="s">
        <v>10092</v>
      </c>
      <c r="C5908" s="221" t="s">
        <v>10093</v>
      </c>
    </row>
    <row r="5909" spans="1:3" x14ac:dyDescent="0.25">
      <c r="A5909" s="222">
        <v>500770</v>
      </c>
      <c r="B5909" s="223" t="s">
        <v>10094</v>
      </c>
      <c r="C5909" s="221" t="s">
        <v>10095</v>
      </c>
    </row>
    <row r="5910" spans="1:3" x14ac:dyDescent="0.25">
      <c r="A5910" s="222">
        <v>500771</v>
      </c>
      <c r="B5910" s="223" t="s">
        <v>10096</v>
      </c>
      <c r="C5910" s="221" t="s">
        <v>10097</v>
      </c>
    </row>
    <row r="5911" spans="1:3" x14ac:dyDescent="0.25">
      <c r="A5911" s="222">
        <v>500772</v>
      </c>
      <c r="B5911" s="223" t="s">
        <v>10098</v>
      </c>
      <c r="C5911" s="221" t="s">
        <v>10099</v>
      </c>
    </row>
    <row r="5912" spans="1:3" x14ac:dyDescent="0.25">
      <c r="A5912" s="222">
        <v>500773</v>
      </c>
      <c r="B5912" s="223" t="s">
        <v>10100</v>
      </c>
      <c r="C5912" s="221" t="s">
        <v>10101</v>
      </c>
    </row>
    <row r="5913" spans="1:3" x14ac:dyDescent="0.25">
      <c r="A5913" s="222">
        <v>500774</v>
      </c>
      <c r="B5913" s="223" t="s">
        <v>10102</v>
      </c>
      <c r="C5913" s="221" t="s">
        <v>10103</v>
      </c>
    </row>
    <row r="5914" spans="1:3" x14ac:dyDescent="0.25">
      <c r="A5914" s="222">
        <v>500775</v>
      </c>
      <c r="B5914" s="223" t="s">
        <v>10104</v>
      </c>
      <c r="C5914" s="221" t="s">
        <v>10105</v>
      </c>
    </row>
    <row r="5915" spans="1:3" x14ac:dyDescent="0.25">
      <c r="A5915" s="222">
        <v>500776</v>
      </c>
      <c r="B5915" s="223" t="s">
        <v>10106</v>
      </c>
      <c r="C5915" s="221" t="s">
        <v>10107</v>
      </c>
    </row>
    <row r="5916" spans="1:3" x14ac:dyDescent="0.25">
      <c r="A5916" s="222">
        <v>500777</v>
      </c>
      <c r="B5916" s="223" t="s">
        <v>10108</v>
      </c>
      <c r="C5916" s="221" t="s">
        <v>10109</v>
      </c>
    </row>
    <row r="5917" spans="1:3" x14ac:dyDescent="0.25">
      <c r="A5917" s="222">
        <v>500778</v>
      </c>
      <c r="B5917" s="223" t="s">
        <v>10110</v>
      </c>
      <c r="C5917" s="221" t="s">
        <v>10111</v>
      </c>
    </row>
    <row r="5918" spans="1:3" x14ac:dyDescent="0.25">
      <c r="A5918" s="222">
        <v>500779</v>
      </c>
      <c r="B5918" s="223" t="s">
        <v>10112</v>
      </c>
      <c r="C5918" s="221" t="s">
        <v>10113</v>
      </c>
    </row>
    <row r="5919" spans="1:3" x14ac:dyDescent="0.25">
      <c r="A5919" s="222">
        <v>500780</v>
      </c>
      <c r="B5919" s="223" t="s">
        <v>10114</v>
      </c>
      <c r="C5919" s="221" t="s">
        <v>10115</v>
      </c>
    </row>
    <row r="5920" spans="1:3" x14ac:dyDescent="0.25">
      <c r="A5920" s="222">
        <v>500781</v>
      </c>
      <c r="B5920" s="223" t="s">
        <v>10116</v>
      </c>
      <c r="C5920" s="221" t="s">
        <v>10117</v>
      </c>
    </row>
    <row r="5921" spans="1:3" x14ac:dyDescent="0.25">
      <c r="A5921" s="222">
        <v>500782</v>
      </c>
      <c r="B5921" s="223" t="s">
        <v>10118</v>
      </c>
      <c r="C5921" s="221" t="s">
        <v>10119</v>
      </c>
    </row>
    <row r="5922" spans="1:3" x14ac:dyDescent="0.25">
      <c r="A5922" s="222">
        <v>500783</v>
      </c>
      <c r="B5922" s="223" t="s">
        <v>10120</v>
      </c>
      <c r="C5922" s="221" t="s">
        <v>10121</v>
      </c>
    </row>
    <row r="5923" spans="1:3" x14ac:dyDescent="0.25">
      <c r="A5923" s="222">
        <v>500784</v>
      </c>
      <c r="B5923" s="223" t="s">
        <v>10122</v>
      </c>
      <c r="C5923" s="221" t="s">
        <v>10123</v>
      </c>
    </row>
    <row r="5924" spans="1:3" x14ac:dyDescent="0.25">
      <c r="A5924" s="222">
        <v>500785</v>
      </c>
      <c r="B5924" s="223" t="s">
        <v>10124</v>
      </c>
      <c r="C5924" s="221" t="s">
        <v>10125</v>
      </c>
    </row>
    <row r="5925" spans="1:3" x14ac:dyDescent="0.25">
      <c r="A5925" s="222">
        <v>500786</v>
      </c>
      <c r="B5925" s="223" t="s">
        <v>10126</v>
      </c>
      <c r="C5925" s="221" t="s">
        <v>10127</v>
      </c>
    </row>
    <row r="5926" spans="1:3" x14ac:dyDescent="0.25">
      <c r="A5926" s="222">
        <v>500787</v>
      </c>
      <c r="B5926" s="223" t="s">
        <v>10128</v>
      </c>
      <c r="C5926" s="221" t="s">
        <v>10129</v>
      </c>
    </row>
    <row r="5927" spans="1:3" x14ac:dyDescent="0.25">
      <c r="A5927" s="222">
        <v>500788</v>
      </c>
      <c r="B5927" s="223" t="s">
        <v>10130</v>
      </c>
      <c r="C5927" s="221" t="s">
        <v>10131</v>
      </c>
    </row>
    <row r="5928" spans="1:3" x14ac:dyDescent="0.25">
      <c r="A5928" s="222">
        <v>500789</v>
      </c>
      <c r="B5928" s="223" t="s">
        <v>10132</v>
      </c>
      <c r="C5928" s="221" t="s">
        <v>10133</v>
      </c>
    </row>
    <row r="5929" spans="1:3" x14ac:dyDescent="0.25">
      <c r="A5929" s="222">
        <v>500790</v>
      </c>
      <c r="B5929" s="223" t="s">
        <v>10134</v>
      </c>
      <c r="C5929" s="221" t="s">
        <v>10135</v>
      </c>
    </row>
    <row r="5930" spans="1:3" x14ac:dyDescent="0.25">
      <c r="A5930" s="222">
        <v>500791</v>
      </c>
      <c r="B5930" s="223" t="s">
        <v>10136</v>
      </c>
      <c r="C5930" s="221" t="s">
        <v>10137</v>
      </c>
    </row>
    <row r="5931" spans="1:3" x14ac:dyDescent="0.25">
      <c r="A5931" s="222">
        <v>500792</v>
      </c>
      <c r="B5931" s="223" t="s">
        <v>10138</v>
      </c>
      <c r="C5931" s="221" t="s">
        <v>10139</v>
      </c>
    </row>
    <row r="5932" spans="1:3" x14ac:dyDescent="0.25">
      <c r="A5932" s="222">
        <v>500793</v>
      </c>
      <c r="B5932" s="223" t="s">
        <v>10140</v>
      </c>
      <c r="C5932" s="221" t="s">
        <v>10141</v>
      </c>
    </row>
    <row r="5933" spans="1:3" x14ac:dyDescent="0.25">
      <c r="A5933" s="222">
        <v>500794</v>
      </c>
      <c r="B5933" s="223" t="s">
        <v>10142</v>
      </c>
      <c r="C5933" s="221" t="s">
        <v>10143</v>
      </c>
    </row>
    <row r="5934" spans="1:3" x14ac:dyDescent="0.25">
      <c r="A5934" s="222">
        <v>500795</v>
      </c>
      <c r="B5934" s="223" t="s">
        <v>10144</v>
      </c>
      <c r="C5934" s="221" t="s">
        <v>10145</v>
      </c>
    </row>
    <row r="5935" spans="1:3" x14ac:dyDescent="0.25">
      <c r="A5935" s="222">
        <v>500796</v>
      </c>
      <c r="B5935" s="223" t="s">
        <v>10146</v>
      </c>
      <c r="C5935" s="221" t="s">
        <v>10147</v>
      </c>
    </row>
    <row r="5936" spans="1:3" x14ac:dyDescent="0.25">
      <c r="A5936" s="222">
        <v>500797</v>
      </c>
      <c r="B5936" s="223" t="s">
        <v>10148</v>
      </c>
      <c r="C5936" s="221" t="s">
        <v>10149</v>
      </c>
    </row>
    <row r="5937" spans="1:3" x14ac:dyDescent="0.25">
      <c r="A5937" s="222">
        <v>500798</v>
      </c>
      <c r="B5937" s="223" t="s">
        <v>10150</v>
      </c>
      <c r="C5937" s="221" t="s">
        <v>10151</v>
      </c>
    </row>
    <row r="5938" spans="1:3" x14ac:dyDescent="0.25">
      <c r="A5938" s="222">
        <v>500799</v>
      </c>
      <c r="B5938" s="223" t="s">
        <v>10152</v>
      </c>
      <c r="C5938" s="221" t="s">
        <v>10153</v>
      </c>
    </row>
    <row r="5939" spans="1:3" x14ac:dyDescent="0.25">
      <c r="A5939" s="222">
        <v>500800</v>
      </c>
      <c r="B5939" s="223" t="s">
        <v>10154</v>
      </c>
      <c r="C5939" s="221" t="s">
        <v>10155</v>
      </c>
    </row>
    <row r="5940" spans="1:3" x14ac:dyDescent="0.25">
      <c r="A5940" s="222">
        <v>500801</v>
      </c>
      <c r="B5940" s="223" t="s">
        <v>10156</v>
      </c>
      <c r="C5940" s="221" t="s">
        <v>10157</v>
      </c>
    </row>
    <row r="5941" spans="1:3" x14ac:dyDescent="0.25">
      <c r="A5941" s="222">
        <v>500802</v>
      </c>
      <c r="B5941" s="223" t="s">
        <v>10158</v>
      </c>
      <c r="C5941" s="221" t="s">
        <v>10159</v>
      </c>
    </row>
    <row r="5942" spans="1:3" x14ac:dyDescent="0.25">
      <c r="A5942" s="222">
        <v>500803</v>
      </c>
      <c r="B5942" s="223" t="s">
        <v>10160</v>
      </c>
      <c r="C5942" s="221" t="s">
        <v>10161</v>
      </c>
    </row>
    <row r="5943" spans="1:3" x14ac:dyDescent="0.25">
      <c r="A5943" s="222">
        <v>500804</v>
      </c>
      <c r="B5943" s="223" t="s">
        <v>10162</v>
      </c>
      <c r="C5943" s="221" t="s">
        <v>10163</v>
      </c>
    </row>
    <row r="5944" spans="1:3" x14ac:dyDescent="0.25">
      <c r="A5944" s="222">
        <v>500805</v>
      </c>
      <c r="B5944" s="223" t="s">
        <v>10164</v>
      </c>
      <c r="C5944" s="221" t="s">
        <v>10165</v>
      </c>
    </row>
    <row r="5945" spans="1:3" x14ac:dyDescent="0.25">
      <c r="A5945" s="222">
        <v>500806</v>
      </c>
      <c r="B5945" s="223" t="s">
        <v>10166</v>
      </c>
      <c r="C5945" s="221" t="s">
        <v>10167</v>
      </c>
    </row>
    <row r="5946" spans="1:3" x14ac:dyDescent="0.25">
      <c r="A5946" s="222">
        <v>500807</v>
      </c>
      <c r="B5946" s="223" t="s">
        <v>10168</v>
      </c>
      <c r="C5946" s="221" t="s">
        <v>10169</v>
      </c>
    </row>
    <row r="5947" spans="1:3" x14ac:dyDescent="0.25">
      <c r="A5947" s="222">
        <v>500808</v>
      </c>
      <c r="B5947" s="223" t="s">
        <v>10170</v>
      </c>
      <c r="C5947" s="221" t="s">
        <v>10171</v>
      </c>
    </row>
    <row r="5948" spans="1:3" x14ac:dyDescent="0.25">
      <c r="A5948" s="222">
        <v>500809</v>
      </c>
      <c r="B5948" s="223" t="s">
        <v>10172</v>
      </c>
      <c r="C5948" s="221" t="s">
        <v>10173</v>
      </c>
    </row>
    <row r="5949" spans="1:3" x14ac:dyDescent="0.25">
      <c r="A5949" s="222">
        <v>500810</v>
      </c>
      <c r="B5949" s="223" t="s">
        <v>10174</v>
      </c>
      <c r="C5949" s="221" t="s">
        <v>10175</v>
      </c>
    </row>
    <row r="5950" spans="1:3" x14ac:dyDescent="0.25">
      <c r="A5950" s="222">
        <v>500811</v>
      </c>
      <c r="B5950" s="223" t="s">
        <v>10176</v>
      </c>
      <c r="C5950" s="221" t="s">
        <v>10177</v>
      </c>
    </row>
    <row r="5951" spans="1:3" x14ac:dyDescent="0.25">
      <c r="A5951" s="222">
        <v>500812</v>
      </c>
      <c r="B5951" s="223" t="s">
        <v>10178</v>
      </c>
      <c r="C5951" s="221" t="s">
        <v>10179</v>
      </c>
    </row>
    <row r="5952" spans="1:3" x14ac:dyDescent="0.25">
      <c r="A5952" s="222">
        <v>500813</v>
      </c>
      <c r="B5952" s="223" t="s">
        <v>10180</v>
      </c>
      <c r="C5952" s="221" t="s">
        <v>10181</v>
      </c>
    </row>
    <row r="5953" spans="1:3" x14ac:dyDescent="0.25">
      <c r="A5953" s="222">
        <v>500890</v>
      </c>
      <c r="B5953" s="223" t="s">
        <v>10182</v>
      </c>
      <c r="C5953" s="221" t="s">
        <v>10183</v>
      </c>
    </row>
    <row r="5954" spans="1:3" x14ac:dyDescent="0.25">
      <c r="A5954" s="222">
        <v>500894</v>
      </c>
      <c r="B5954" s="223" t="s">
        <v>10184</v>
      </c>
      <c r="C5954" s="221" t="s">
        <v>10185</v>
      </c>
    </row>
    <row r="5955" spans="1:3" x14ac:dyDescent="0.25">
      <c r="A5955" s="222">
        <v>500897</v>
      </c>
      <c r="B5955" s="223" t="s">
        <v>25</v>
      </c>
      <c r="C5955" s="221" t="s">
        <v>10186</v>
      </c>
    </row>
    <row r="5956" spans="1:3" x14ac:dyDescent="0.25">
      <c r="A5956" s="222">
        <v>501001</v>
      </c>
      <c r="B5956" s="223" t="s">
        <v>10187</v>
      </c>
      <c r="C5956" s="221" t="s">
        <v>10188</v>
      </c>
    </row>
    <row r="5957" spans="1:3" x14ac:dyDescent="0.25">
      <c r="A5957" s="222">
        <v>501002</v>
      </c>
      <c r="B5957" s="223" t="s">
        <v>10189</v>
      </c>
      <c r="C5957" s="221" t="s">
        <v>10190</v>
      </c>
    </row>
    <row r="5958" spans="1:3" x14ac:dyDescent="0.25">
      <c r="A5958" s="222">
        <v>501003</v>
      </c>
      <c r="B5958" s="223" t="s">
        <v>10191</v>
      </c>
      <c r="C5958" s="221" t="s">
        <v>10192</v>
      </c>
    </row>
    <row r="5959" spans="1:3" x14ac:dyDescent="0.25">
      <c r="A5959" s="222">
        <v>501004</v>
      </c>
      <c r="B5959" s="223" t="s">
        <v>10193</v>
      </c>
      <c r="C5959" s="221" t="s">
        <v>10194</v>
      </c>
    </row>
    <row r="5960" spans="1:3" x14ac:dyDescent="0.25">
      <c r="A5960" s="222">
        <v>501005</v>
      </c>
      <c r="B5960" s="223" t="s">
        <v>10195</v>
      </c>
      <c r="C5960" s="221" t="s">
        <v>10196</v>
      </c>
    </row>
    <row r="5961" spans="1:3" x14ac:dyDescent="0.25">
      <c r="A5961" s="222">
        <v>501006</v>
      </c>
      <c r="B5961" s="223" t="s">
        <v>10197</v>
      </c>
      <c r="C5961" s="221" t="s">
        <v>10198</v>
      </c>
    </row>
    <row r="5962" spans="1:3" x14ac:dyDescent="0.25">
      <c r="A5962" s="222">
        <v>501007</v>
      </c>
      <c r="B5962" s="223" t="s">
        <v>10199</v>
      </c>
      <c r="C5962" s="221" t="s">
        <v>10200</v>
      </c>
    </row>
    <row r="5963" spans="1:3" x14ac:dyDescent="0.25">
      <c r="A5963" s="222">
        <v>501008</v>
      </c>
      <c r="B5963" s="223" t="s">
        <v>10201</v>
      </c>
      <c r="C5963" s="221" t="s">
        <v>10202</v>
      </c>
    </row>
    <row r="5964" spans="1:3" x14ac:dyDescent="0.25">
      <c r="A5964" s="222">
        <v>501009</v>
      </c>
      <c r="B5964" s="223" t="s">
        <v>10203</v>
      </c>
      <c r="C5964" s="221" t="s">
        <v>10204</v>
      </c>
    </row>
    <row r="5965" spans="1:3" x14ac:dyDescent="0.25">
      <c r="A5965" s="222">
        <v>501010</v>
      </c>
      <c r="B5965" s="223" t="s">
        <v>10205</v>
      </c>
      <c r="C5965" s="221" t="s">
        <v>10206</v>
      </c>
    </row>
    <row r="5966" spans="1:3" x14ac:dyDescent="0.25">
      <c r="A5966" s="222">
        <v>501011</v>
      </c>
      <c r="B5966" s="223" t="s">
        <v>10207</v>
      </c>
      <c r="C5966" s="221" t="s">
        <v>10208</v>
      </c>
    </row>
    <row r="5967" spans="1:3" x14ac:dyDescent="0.25">
      <c r="A5967" s="222">
        <v>501012</v>
      </c>
      <c r="B5967" s="223" t="s">
        <v>10209</v>
      </c>
      <c r="C5967" s="221" t="s">
        <v>10210</v>
      </c>
    </row>
    <row r="5968" spans="1:3" x14ac:dyDescent="0.25">
      <c r="A5968" s="222">
        <v>501013</v>
      </c>
      <c r="B5968" s="223" t="s">
        <v>10211</v>
      </c>
      <c r="C5968" s="221" t="s">
        <v>10212</v>
      </c>
    </row>
    <row r="5969" spans="1:3" x14ac:dyDescent="0.25">
      <c r="A5969" s="222">
        <v>501014</v>
      </c>
      <c r="B5969" s="223" t="s">
        <v>10213</v>
      </c>
      <c r="C5969" s="221" t="s">
        <v>10214</v>
      </c>
    </row>
    <row r="5970" spans="1:3" x14ac:dyDescent="0.25">
      <c r="A5970" s="222">
        <v>501015</v>
      </c>
      <c r="B5970" s="223" t="s">
        <v>10215</v>
      </c>
      <c r="C5970" s="221" t="s">
        <v>10216</v>
      </c>
    </row>
    <row r="5971" spans="1:3" x14ac:dyDescent="0.25">
      <c r="A5971" s="222">
        <v>501016</v>
      </c>
      <c r="B5971" s="223" t="s">
        <v>10217</v>
      </c>
      <c r="C5971" s="221" t="s">
        <v>10218</v>
      </c>
    </row>
    <row r="5972" spans="1:3" x14ac:dyDescent="0.25">
      <c r="A5972" s="222">
        <v>501017</v>
      </c>
      <c r="B5972" s="223" t="s">
        <v>10219</v>
      </c>
      <c r="C5972" s="221" t="s">
        <v>10220</v>
      </c>
    </row>
    <row r="5973" spans="1:3" x14ac:dyDescent="0.25">
      <c r="A5973" s="222">
        <v>501018</v>
      </c>
      <c r="B5973" s="223" t="s">
        <v>10221</v>
      </c>
      <c r="C5973" s="221" t="s">
        <v>10222</v>
      </c>
    </row>
    <row r="5974" spans="1:3" x14ac:dyDescent="0.25">
      <c r="A5974" s="222">
        <v>501019</v>
      </c>
      <c r="B5974" s="223" t="s">
        <v>10223</v>
      </c>
      <c r="C5974" s="221" t="s">
        <v>10224</v>
      </c>
    </row>
    <row r="5975" spans="1:3" x14ac:dyDescent="0.25">
      <c r="A5975" s="222">
        <v>501020</v>
      </c>
      <c r="B5975" s="223" t="s">
        <v>10225</v>
      </c>
      <c r="C5975" s="221" t="s">
        <v>10226</v>
      </c>
    </row>
    <row r="5976" spans="1:3" x14ac:dyDescent="0.25">
      <c r="A5976" s="222">
        <v>501021</v>
      </c>
      <c r="B5976" s="223" t="s">
        <v>10227</v>
      </c>
      <c r="C5976" s="221" t="s">
        <v>10228</v>
      </c>
    </row>
    <row r="5977" spans="1:3" x14ac:dyDescent="0.25">
      <c r="A5977" s="222">
        <v>501022</v>
      </c>
      <c r="B5977" s="223" t="s">
        <v>10229</v>
      </c>
      <c r="C5977" s="221" t="s">
        <v>10230</v>
      </c>
    </row>
    <row r="5978" spans="1:3" x14ac:dyDescent="0.25">
      <c r="A5978" s="222">
        <v>501023</v>
      </c>
      <c r="B5978" s="223" t="s">
        <v>10231</v>
      </c>
      <c r="C5978" s="221" t="s">
        <v>10232</v>
      </c>
    </row>
    <row r="5979" spans="1:3" x14ac:dyDescent="0.25">
      <c r="A5979" s="222">
        <v>501024</v>
      </c>
      <c r="B5979" s="223" t="s">
        <v>10233</v>
      </c>
      <c r="C5979" s="221" t="s">
        <v>10234</v>
      </c>
    </row>
    <row r="5980" spans="1:3" x14ac:dyDescent="0.25">
      <c r="A5980" s="222">
        <v>501025</v>
      </c>
      <c r="B5980" s="223" t="s">
        <v>10235</v>
      </c>
      <c r="C5980" s="221" t="s">
        <v>10236</v>
      </c>
    </row>
    <row r="5981" spans="1:3" x14ac:dyDescent="0.25">
      <c r="A5981" s="222">
        <v>501026</v>
      </c>
      <c r="B5981" s="223" t="s">
        <v>10237</v>
      </c>
      <c r="C5981" s="221" t="s">
        <v>10238</v>
      </c>
    </row>
    <row r="5982" spans="1:3" x14ac:dyDescent="0.25">
      <c r="A5982" s="222">
        <v>501027</v>
      </c>
      <c r="B5982" s="223" t="s">
        <v>10239</v>
      </c>
      <c r="C5982" s="221" t="s">
        <v>10240</v>
      </c>
    </row>
    <row r="5983" spans="1:3" x14ac:dyDescent="0.25">
      <c r="A5983" s="222">
        <v>501028</v>
      </c>
      <c r="B5983" s="223" t="s">
        <v>10241</v>
      </c>
      <c r="C5983" s="221" t="s">
        <v>10242</v>
      </c>
    </row>
    <row r="5984" spans="1:3" x14ac:dyDescent="0.25">
      <c r="A5984" s="222">
        <v>501029</v>
      </c>
      <c r="B5984" s="223" t="s">
        <v>10243</v>
      </c>
      <c r="C5984" s="221" t="s">
        <v>10244</v>
      </c>
    </row>
    <row r="5985" spans="1:3" x14ac:dyDescent="0.25">
      <c r="A5985" s="222">
        <v>501030</v>
      </c>
      <c r="B5985" s="223" t="s">
        <v>10245</v>
      </c>
      <c r="C5985" s="221" t="s">
        <v>10246</v>
      </c>
    </row>
    <row r="5986" spans="1:3" x14ac:dyDescent="0.25">
      <c r="A5986" s="222">
        <v>501031</v>
      </c>
      <c r="B5986" s="223" t="s">
        <v>10247</v>
      </c>
      <c r="C5986" s="221" t="s">
        <v>10248</v>
      </c>
    </row>
    <row r="5987" spans="1:3" x14ac:dyDescent="0.25">
      <c r="A5987" s="222">
        <v>501032</v>
      </c>
      <c r="B5987" s="223" t="s">
        <v>10249</v>
      </c>
      <c r="C5987" s="221" t="s">
        <v>10250</v>
      </c>
    </row>
    <row r="5988" spans="1:3" x14ac:dyDescent="0.25">
      <c r="A5988" s="222">
        <v>501033</v>
      </c>
      <c r="B5988" s="223" t="s">
        <v>10251</v>
      </c>
      <c r="C5988" s="221" t="s">
        <v>10252</v>
      </c>
    </row>
    <row r="5989" spans="1:3" x14ac:dyDescent="0.25">
      <c r="A5989" s="222">
        <v>501034</v>
      </c>
      <c r="B5989" s="223" t="s">
        <v>10253</v>
      </c>
      <c r="C5989" s="221" t="s">
        <v>10254</v>
      </c>
    </row>
    <row r="5990" spans="1:3" x14ac:dyDescent="0.25">
      <c r="A5990" s="222">
        <v>501035</v>
      </c>
      <c r="B5990" s="223" t="s">
        <v>10255</v>
      </c>
      <c r="C5990" s="221" t="s">
        <v>10256</v>
      </c>
    </row>
    <row r="5991" spans="1:3" x14ac:dyDescent="0.25">
      <c r="A5991" s="222">
        <v>501036</v>
      </c>
      <c r="B5991" s="223" t="s">
        <v>10257</v>
      </c>
      <c r="C5991" s="221" t="s">
        <v>10258</v>
      </c>
    </row>
    <row r="5992" spans="1:3" x14ac:dyDescent="0.25">
      <c r="A5992" s="222">
        <v>501037</v>
      </c>
      <c r="B5992" s="223" t="s">
        <v>10259</v>
      </c>
      <c r="C5992" s="221" t="s">
        <v>10260</v>
      </c>
    </row>
    <row r="5993" spans="1:3" x14ac:dyDescent="0.25">
      <c r="A5993" s="222">
        <v>501038</v>
      </c>
      <c r="B5993" s="223" t="s">
        <v>10261</v>
      </c>
      <c r="C5993" s="221" t="s">
        <v>10262</v>
      </c>
    </row>
    <row r="5994" spans="1:3" x14ac:dyDescent="0.25">
      <c r="A5994" s="222">
        <v>501039</v>
      </c>
      <c r="B5994" s="223" t="s">
        <v>10263</v>
      </c>
      <c r="C5994" s="221" t="s">
        <v>10264</v>
      </c>
    </row>
    <row r="5995" spans="1:3" x14ac:dyDescent="0.25">
      <c r="A5995" s="222">
        <v>501040</v>
      </c>
      <c r="B5995" s="223" t="s">
        <v>10265</v>
      </c>
      <c r="C5995" s="221" t="s">
        <v>10266</v>
      </c>
    </row>
    <row r="5996" spans="1:3" x14ac:dyDescent="0.25">
      <c r="A5996" s="222">
        <v>501041</v>
      </c>
      <c r="B5996" s="223" t="s">
        <v>10267</v>
      </c>
      <c r="C5996" s="221" t="s">
        <v>10268</v>
      </c>
    </row>
    <row r="5997" spans="1:3" x14ac:dyDescent="0.25">
      <c r="A5997" s="222">
        <v>501042</v>
      </c>
      <c r="B5997" s="223" t="s">
        <v>10269</v>
      </c>
      <c r="C5997" s="221" t="s">
        <v>10270</v>
      </c>
    </row>
    <row r="5998" spans="1:3" x14ac:dyDescent="0.25">
      <c r="A5998" s="222">
        <v>501043</v>
      </c>
      <c r="B5998" s="223" t="s">
        <v>10271</v>
      </c>
      <c r="C5998" s="221" t="s">
        <v>10272</v>
      </c>
    </row>
    <row r="5999" spans="1:3" x14ac:dyDescent="0.25">
      <c r="A5999" s="222">
        <v>501044</v>
      </c>
      <c r="B5999" s="223" t="s">
        <v>10273</v>
      </c>
      <c r="C5999" s="221" t="s">
        <v>10274</v>
      </c>
    </row>
    <row r="6000" spans="1:3" x14ac:dyDescent="0.25">
      <c r="A6000" s="222">
        <v>501045</v>
      </c>
      <c r="B6000" s="223" t="s">
        <v>10275</v>
      </c>
      <c r="C6000" s="221" t="s">
        <v>10276</v>
      </c>
    </row>
    <row r="6001" spans="1:3" x14ac:dyDescent="0.25">
      <c r="A6001" s="222">
        <v>501046</v>
      </c>
      <c r="B6001" s="223" t="s">
        <v>10277</v>
      </c>
      <c r="C6001" s="221" t="s">
        <v>10278</v>
      </c>
    </row>
    <row r="6002" spans="1:3" x14ac:dyDescent="0.25">
      <c r="A6002" s="222">
        <v>501047</v>
      </c>
      <c r="B6002" s="223" t="s">
        <v>10279</v>
      </c>
      <c r="C6002" s="221" t="s">
        <v>10280</v>
      </c>
    </row>
    <row r="6003" spans="1:3" x14ac:dyDescent="0.25">
      <c r="A6003" s="222">
        <v>501048</v>
      </c>
      <c r="B6003" s="223" t="s">
        <v>10281</v>
      </c>
      <c r="C6003" s="221" t="s">
        <v>10282</v>
      </c>
    </row>
    <row r="6004" spans="1:3" x14ac:dyDescent="0.25">
      <c r="A6004" s="222">
        <v>501049</v>
      </c>
      <c r="B6004" s="223" t="s">
        <v>10283</v>
      </c>
      <c r="C6004" s="221" t="s">
        <v>10284</v>
      </c>
    </row>
    <row r="6005" spans="1:3" x14ac:dyDescent="0.25">
      <c r="A6005" s="222">
        <v>501050</v>
      </c>
      <c r="B6005" s="223" t="s">
        <v>10285</v>
      </c>
      <c r="C6005" s="221" t="s">
        <v>10286</v>
      </c>
    </row>
    <row r="6006" spans="1:3" x14ac:dyDescent="0.25">
      <c r="A6006" s="222">
        <v>501051</v>
      </c>
      <c r="B6006" s="223" t="s">
        <v>10287</v>
      </c>
      <c r="C6006" s="221" t="s">
        <v>10288</v>
      </c>
    </row>
    <row r="6007" spans="1:3" x14ac:dyDescent="0.25">
      <c r="A6007" s="222">
        <v>501052</v>
      </c>
      <c r="B6007" s="223" t="s">
        <v>10289</v>
      </c>
      <c r="C6007" s="221" t="s">
        <v>10290</v>
      </c>
    </row>
    <row r="6008" spans="1:3" x14ac:dyDescent="0.25">
      <c r="A6008" s="222">
        <v>501053</v>
      </c>
      <c r="B6008" s="223" t="s">
        <v>10291</v>
      </c>
      <c r="C6008" s="221" t="s">
        <v>10292</v>
      </c>
    </row>
    <row r="6009" spans="1:3" x14ac:dyDescent="0.25">
      <c r="A6009" s="222">
        <v>501054</v>
      </c>
      <c r="B6009" s="223" t="s">
        <v>10293</v>
      </c>
      <c r="C6009" s="221" t="s">
        <v>10294</v>
      </c>
    </row>
    <row r="6010" spans="1:3" x14ac:dyDescent="0.25">
      <c r="A6010" s="222">
        <v>501055</v>
      </c>
      <c r="B6010" s="223" t="s">
        <v>10295</v>
      </c>
      <c r="C6010" s="221" t="s">
        <v>10296</v>
      </c>
    </row>
    <row r="6011" spans="1:3" x14ac:dyDescent="0.25">
      <c r="A6011" s="222">
        <v>501056</v>
      </c>
      <c r="B6011" s="223" t="s">
        <v>10297</v>
      </c>
      <c r="C6011" s="221" t="s">
        <v>10298</v>
      </c>
    </row>
    <row r="6012" spans="1:3" x14ac:dyDescent="0.25">
      <c r="A6012" s="222">
        <v>501057</v>
      </c>
      <c r="B6012" s="223" t="s">
        <v>10299</v>
      </c>
      <c r="C6012" s="221" t="s">
        <v>10300</v>
      </c>
    </row>
    <row r="6013" spans="1:3" x14ac:dyDescent="0.25">
      <c r="A6013" s="222">
        <v>501058</v>
      </c>
      <c r="B6013" s="223" t="s">
        <v>10301</v>
      </c>
      <c r="C6013" s="221" t="s">
        <v>10302</v>
      </c>
    </row>
    <row r="6014" spans="1:3" x14ac:dyDescent="0.25">
      <c r="A6014" s="222">
        <v>501059</v>
      </c>
      <c r="B6014" s="223" t="s">
        <v>10303</v>
      </c>
      <c r="C6014" s="221" t="s">
        <v>10304</v>
      </c>
    </row>
    <row r="6015" spans="1:3" x14ac:dyDescent="0.25">
      <c r="A6015" s="222">
        <v>501060</v>
      </c>
      <c r="B6015" s="223" t="s">
        <v>10305</v>
      </c>
      <c r="C6015" s="221" t="s">
        <v>10306</v>
      </c>
    </row>
    <row r="6016" spans="1:3" x14ac:dyDescent="0.25">
      <c r="A6016" s="222">
        <v>501061</v>
      </c>
      <c r="B6016" s="223" t="s">
        <v>10307</v>
      </c>
      <c r="C6016" s="221" t="s">
        <v>10308</v>
      </c>
    </row>
    <row r="6017" spans="1:3" x14ac:dyDescent="0.25">
      <c r="A6017" s="222">
        <v>501062</v>
      </c>
      <c r="B6017" s="223" t="s">
        <v>10309</v>
      </c>
      <c r="C6017" s="221" t="s">
        <v>10310</v>
      </c>
    </row>
    <row r="6018" spans="1:3" x14ac:dyDescent="0.25">
      <c r="A6018" s="222">
        <v>501063</v>
      </c>
      <c r="B6018" s="223" t="s">
        <v>10311</v>
      </c>
      <c r="C6018" s="221" t="s">
        <v>10312</v>
      </c>
    </row>
    <row r="6019" spans="1:3" x14ac:dyDescent="0.25">
      <c r="A6019" s="222">
        <v>501064</v>
      </c>
      <c r="B6019" s="223" t="s">
        <v>10313</v>
      </c>
      <c r="C6019" s="221" t="s">
        <v>10314</v>
      </c>
    </row>
    <row r="6020" spans="1:3" x14ac:dyDescent="0.25">
      <c r="A6020" s="222">
        <v>501065</v>
      </c>
      <c r="B6020" s="223" t="s">
        <v>10315</v>
      </c>
      <c r="C6020" s="221" t="s">
        <v>10316</v>
      </c>
    </row>
    <row r="6021" spans="1:3" x14ac:dyDescent="0.25">
      <c r="A6021" s="222">
        <v>501066</v>
      </c>
      <c r="B6021" s="223" t="s">
        <v>10317</v>
      </c>
      <c r="C6021" s="221" t="s">
        <v>10318</v>
      </c>
    </row>
    <row r="6022" spans="1:3" x14ac:dyDescent="0.25">
      <c r="A6022" s="222">
        <v>501067</v>
      </c>
      <c r="B6022" s="223" t="s">
        <v>10319</v>
      </c>
      <c r="C6022" s="221" t="s">
        <v>10320</v>
      </c>
    </row>
    <row r="6023" spans="1:3" x14ac:dyDescent="0.25">
      <c r="A6023" s="222">
        <v>501068</v>
      </c>
      <c r="B6023" s="223" t="s">
        <v>10321</v>
      </c>
      <c r="C6023" s="221" t="s">
        <v>10322</v>
      </c>
    </row>
    <row r="6024" spans="1:3" x14ac:dyDescent="0.25">
      <c r="A6024" s="222">
        <v>501069</v>
      </c>
      <c r="B6024" s="223" t="s">
        <v>10323</v>
      </c>
      <c r="C6024" s="221" t="s">
        <v>10324</v>
      </c>
    </row>
    <row r="6025" spans="1:3" x14ac:dyDescent="0.25">
      <c r="A6025" s="222">
        <v>501070</v>
      </c>
      <c r="B6025" s="223" t="s">
        <v>10325</v>
      </c>
      <c r="C6025" s="221" t="s">
        <v>10326</v>
      </c>
    </row>
    <row r="6026" spans="1:3" x14ac:dyDescent="0.25">
      <c r="A6026" s="222">
        <v>501071</v>
      </c>
      <c r="B6026" s="223" t="s">
        <v>10327</v>
      </c>
      <c r="C6026" s="221" t="s">
        <v>10328</v>
      </c>
    </row>
    <row r="6027" spans="1:3" x14ac:dyDescent="0.25">
      <c r="A6027" s="222">
        <v>501072</v>
      </c>
      <c r="B6027" s="223" t="s">
        <v>10329</v>
      </c>
      <c r="C6027" s="221" t="s">
        <v>10330</v>
      </c>
    </row>
    <row r="6028" spans="1:3" x14ac:dyDescent="0.25">
      <c r="A6028" s="222">
        <v>501073</v>
      </c>
      <c r="B6028" s="223" t="s">
        <v>10331</v>
      </c>
      <c r="C6028" s="221" t="s">
        <v>10332</v>
      </c>
    </row>
    <row r="6029" spans="1:3" x14ac:dyDescent="0.25">
      <c r="A6029" s="222">
        <v>501074</v>
      </c>
      <c r="B6029" s="223" t="s">
        <v>10333</v>
      </c>
      <c r="C6029" s="221" t="s">
        <v>10334</v>
      </c>
    </row>
    <row r="6030" spans="1:3" x14ac:dyDescent="0.25">
      <c r="A6030" s="222">
        <v>501075</v>
      </c>
      <c r="B6030" s="223" t="s">
        <v>10335</v>
      </c>
      <c r="C6030" s="221" t="s">
        <v>10336</v>
      </c>
    </row>
    <row r="6031" spans="1:3" x14ac:dyDescent="0.25">
      <c r="A6031" s="222">
        <v>501076</v>
      </c>
      <c r="B6031" s="223" t="s">
        <v>10337</v>
      </c>
      <c r="C6031" s="221" t="s">
        <v>10338</v>
      </c>
    </row>
    <row r="6032" spans="1:3" x14ac:dyDescent="0.25">
      <c r="A6032" s="222">
        <v>501077</v>
      </c>
      <c r="B6032" s="223" t="s">
        <v>10339</v>
      </c>
      <c r="C6032" s="221" t="s">
        <v>10340</v>
      </c>
    </row>
    <row r="6033" spans="1:3" x14ac:dyDescent="0.25">
      <c r="A6033" s="222">
        <v>501078</v>
      </c>
      <c r="B6033" s="223" t="s">
        <v>10341</v>
      </c>
      <c r="C6033" s="221" t="s">
        <v>10342</v>
      </c>
    </row>
    <row r="6034" spans="1:3" x14ac:dyDescent="0.25">
      <c r="A6034" s="222">
        <v>501079</v>
      </c>
      <c r="B6034" s="223" t="s">
        <v>10343</v>
      </c>
      <c r="C6034" s="221" t="s">
        <v>10344</v>
      </c>
    </row>
    <row r="6035" spans="1:3" x14ac:dyDescent="0.25">
      <c r="A6035" s="222">
        <v>501080</v>
      </c>
      <c r="B6035" s="223" t="s">
        <v>10345</v>
      </c>
      <c r="C6035" s="221" t="s">
        <v>10346</v>
      </c>
    </row>
    <row r="6036" spans="1:3" x14ac:dyDescent="0.25">
      <c r="A6036" s="222">
        <v>501081</v>
      </c>
      <c r="B6036" s="223" t="s">
        <v>10347</v>
      </c>
      <c r="C6036" s="221" t="s">
        <v>10348</v>
      </c>
    </row>
    <row r="6037" spans="1:3" x14ac:dyDescent="0.25">
      <c r="A6037" s="222">
        <v>501082</v>
      </c>
      <c r="B6037" s="223" t="s">
        <v>10349</v>
      </c>
      <c r="C6037" s="221" t="s">
        <v>10350</v>
      </c>
    </row>
    <row r="6038" spans="1:3" x14ac:dyDescent="0.25">
      <c r="A6038" s="222">
        <v>501083</v>
      </c>
      <c r="B6038" s="223" t="s">
        <v>10351</v>
      </c>
      <c r="C6038" s="221" t="s">
        <v>10352</v>
      </c>
    </row>
    <row r="6039" spans="1:3" x14ac:dyDescent="0.25">
      <c r="A6039" s="222">
        <v>501084</v>
      </c>
      <c r="B6039" s="223" t="s">
        <v>10353</v>
      </c>
      <c r="C6039" s="221" t="s">
        <v>10354</v>
      </c>
    </row>
    <row r="6040" spans="1:3" x14ac:dyDescent="0.25">
      <c r="A6040" s="222">
        <v>501085</v>
      </c>
      <c r="B6040" s="223" t="s">
        <v>10355</v>
      </c>
      <c r="C6040" s="221" t="s">
        <v>10356</v>
      </c>
    </row>
    <row r="6041" spans="1:3" x14ac:dyDescent="0.25">
      <c r="A6041" s="222">
        <v>501086</v>
      </c>
      <c r="B6041" s="223" t="s">
        <v>10357</v>
      </c>
      <c r="C6041" s="221" t="s">
        <v>10358</v>
      </c>
    </row>
    <row r="6042" spans="1:3" x14ac:dyDescent="0.25">
      <c r="A6042" s="222">
        <v>501087</v>
      </c>
      <c r="B6042" s="223" t="s">
        <v>10359</v>
      </c>
      <c r="C6042" s="221" t="s">
        <v>10360</v>
      </c>
    </row>
    <row r="6043" spans="1:3" x14ac:dyDescent="0.25">
      <c r="A6043" s="222">
        <v>501088</v>
      </c>
      <c r="B6043" s="223" t="s">
        <v>10361</v>
      </c>
      <c r="C6043" s="221" t="s">
        <v>10362</v>
      </c>
    </row>
    <row r="6044" spans="1:3" x14ac:dyDescent="0.25">
      <c r="A6044" s="222">
        <v>501089</v>
      </c>
      <c r="B6044" s="223" t="s">
        <v>10363</v>
      </c>
      <c r="C6044" s="221" t="s">
        <v>10364</v>
      </c>
    </row>
    <row r="6045" spans="1:3" x14ac:dyDescent="0.25">
      <c r="A6045" s="222">
        <v>501090</v>
      </c>
      <c r="B6045" s="223" t="s">
        <v>10365</v>
      </c>
      <c r="C6045" s="221" t="s">
        <v>10366</v>
      </c>
    </row>
    <row r="6046" spans="1:3" x14ac:dyDescent="0.25">
      <c r="A6046" s="222">
        <v>501091</v>
      </c>
      <c r="B6046" s="223" t="s">
        <v>10367</v>
      </c>
      <c r="C6046" s="221" t="s">
        <v>10368</v>
      </c>
    </row>
    <row r="6047" spans="1:3" x14ac:dyDescent="0.25">
      <c r="A6047" s="222">
        <v>501092</v>
      </c>
      <c r="B6047" s="223" t="s">
        <v>10369</v>
      </c>
      <c r="C6047" s="221" t="s">
        <v>10370</v>
      </c>
    </row>
    <row r="6048" spans="1:3" x14ac:dyDescent="0.25">
      <c r="A6048" s="222">
        <v>501093</v>
      </c>
      <c r="B6048" s="223" t="s">
        <v>10371</v>
      </c>
      <c r="C6048" s="221" t="s">
        <v>10372</v>
      </c>
    </row>
    <row r="6049" spans="1:3" x14ac:dyDescent="0.25">
      <c r="A6049" s="222">
        <v>501094</v>
      </c>
      <c r="B6049" s="223" t="s">
        <v>10373</v>
      </c>
      <c r="C6049" s="221" t="s">
        <v>10374</v>
      </c>
    </row>
    <row r="6050" spans="1:3" x14ac:dyDescent="0.25">
      <c r="A6050" s="222">
        <v>501095</v>
      </c>
      <c r="B6050" s="223" t="s">
        <v>10375</v>
      </c>
      <c r="C6050" s="221" t="s">
        <v>10376</v>
      </c>
    </row>
    <row r="6051" spans="1:3" x14ac:dyDescent="0.25">
      <c r="A6051" s="222">
        <v>501096</v>
      </c>
      <c r="B6051" s="223" t="s">
        <v>10377</v>
      </c>
      <c r="C6051" s="221" t="s">
        <v>10378</v>
      </c>
    </row>
    <row r="6052" spans="1:3" x14ac:dyDescent="0.25">
      <c r="A6052" s="222">
        <v>501097</v>
      </c>
      <c r="B6052" s="223" t="s">
        <v>10379</v>
      </c>
      <c r="C6052" s="221" t="s">
        <v>10380</v>
      </c>
    </row>
    <row r="6053" spans="1:3" x14ac:dyDescent="0.25">
      <c r="A6053" s="222">
        <v>501098</v>
      </c>
      <c r="B6053" s="223" t="s">
        <v>10381</v>
      </c>
      <c r="C6053" s="221" t="s">
        <v>10382</v>
      </c>
    </row>
    <row r="6054" spans="1:3" x14ac:dyDescent="0.25">
      <c r="A6054" s="222">
        <v>501099</v>
      </c>
      <c r="B6054" s="223" t="s">
        <v>10383</v>
      </c>
      <c r="C6054" s="221" t="s">
        <v>10384</v>
      </c>
    </row>
    <row r="6055" spans="1:3" x14ac:dyDescent="0.25">
      <c r="A6055" s="222">
        <v>501100</v>
      </c>
      <c r="B6055" s="223" t="s">
        <v>10385</v>
      </c>
      <c r="C6055" s="221" t="s">
        <v>10386</v>
      </c>
    </row>
    <row r="6056" spans="1:3" x14ac:dyDescent="0.25">
      <c r="A6056" s="222">
        <v>501101</v>
      </c>
      <c r="B6056" s="223" t="s">
        <v>10387</v>
      </c>
      <c r="C6056" s="221" t="s">
        <v>10388</v>
      </c>
    </row>
    <row r="6057" spans="1:3" x14ac:dyDescent="0.25">
      <c r="A6057" s="222">
        <v>501102</v>
      </c>
      <c r="B6057" s="223" t="s">
        <v>10389</v>
      </c>
      <c r="C6057" s="221" t="s">
        <v>10390</v>
      </c>
    </row>
    <row r="6058" spans="1:3" x14ac:dyDescent="0.25">
      <c r="A6058" s="222">
        <v>501103</v>
      </c>
      <c r="B6058" s="223" t="s">
        <v>10391</v>
      </c>
      <c r="C6058" s="221" t="s">
        <v>10392</v>
      </c>
    </row>
    <row r="6059" spans="1:3" x14ac:dyDescent="0.25">
      <c r="A6059" s="222">
        <v>501104</v>
      </c>
      <c r="B6059" s="223" t="s">
        <v>10393</v>
      </c>
      <c r="C6059" s="221" t="s">
        <v>10394</v>
      </c>
    </row>
    <row r="6060" spans="1:3" x14ac:dyDescent="0.25">
      <c r="A6060" s="222">
        <v>501105</v>
      </c>
      <c r="B6060" s="223" t="s">
        <v>10395</v>
      </c>
      <c r="C6060" s="221" t="s">
        <v>10396</v>
      </c>
    </row>
    <row r="6061" spans="1:3" x14ac:dyDescent="0.25">
      <c r="A6061" s="222">
        <v>501106</v>
      </c>
      <c r="B6061" s="223" t="s">
        <v>10397</v>
      </c>
      <c r="C6061" s="221" t="s">
        <v>10398</v>
      </c>
    </row>
    <row r="6062" spans="1:3" x14ac:dyDescent="0.25">
      <c r="A6062" s="222">
        <v>501107</v>
      </c>
      <c r="B6062" s="223" t="s">
        <v>10399</v>
      </c>
      <c r="C6062" s="221" t="s">
        <v>10400</v>
      </c>
    </row>
    <row r="6063" spans="1:3" x14ac:dyDescent="0.25">
      <c r="A6063" s="222">
        <v>501108</v>
      </c>
      <c r="B6063" s="223" t="s">
        <v>10401</v>
      </c>
      <c r="C6063" s="221" t="s">
        <v>10402</v>
      </c>
    </row>
    <row r="6064" spans="1:3" x14ac:dyDescent="0.25">
      <c r="A6064" s="222">
        <v>501109</v>
      </c>
      <c r="B6064" s="223" t="s">
        <v>10403</v>
      </c>
      <c r="C6064" s="221" t="s">
        <v>10404</v>
      </c>
    </row>
    <row r="6065" spans="1:3" x14ac:dyDescent="0.25">
      <c r="A6065" s="222">
        <v>501110</v>
      </c>
      <c r="B6065" s="223" t="s">
        <v>10405</v>
      </c>
      <c r="C6065" s="221" t="s">
        <v>10406</v>
      </c>
    </row>
    <row r="6066" spans="1:3" x14ac:dyDescent="0.25">
      <c r="A6066" s="222">
        <v>501111</v>
      </c>
      <c r="B6066" s="223" t="s">
        <v>10407</v>
      </c>
      <c r="C6066" s="221" t="s">
        <v>10408</v>
      </c>
    </row>
    <row r="6067" spans="1:3" x14ac:dyDescent="0.25">
      <c r="A6067" s="222">
        <v>501112</v>
      </c>
      <c r="B6067" s="223" t="s">
        <v>10409</v>
      </c>
      <c r="C6067" s="221" t="s">
        <v>10410</v>
      </c>
    </row>
    <row r="6068" spans="1:3" x14ac:dyDescent="0.25">
      <c r="A6068" s="222">
        <v>501113</v>
      </c>
      <c r="B6068" s="223" t="s">
        <v>10411</v>
      </c>
      <c r="C6068" s="221" t="s">
        <v>10412</v>
      </c>
    </row>
    <row r="6069" spans="1:3" x14ac:dyDescent="0.25">
      <c r="A6069" s="222">
        <v>501114</v>
      </c>
      <c r="B6069" s="223" t="s">
        <v>10413</v>
      </c>
      <c r="C6069" s="221" t="s">
        <v>10414</v>
      </c>
    </row>
    <row r="6070" spans="1:3" x14ac:dyDescent="0.25">
      <c r="A6070" s="222">
        <v>501115</v>
      </c>
      <c r="B6070" s="223" t="s">
        <v>10415</v>
      </c>
      <c r="C6070" s="221" t="s">
        <v>10416</v>
      </c>
    </row>
    <row r="6071" spans="1:3" x14ac:dyDescent="0.25">
      <c r="A6071" s="222">
        <v>501116</v>
      </c>
      <c r="B6071" s="223" t="s">
        <v>10417</v>
      </c>
      <c r="C6071" s="221" t="s">
        <v>10418</v>
      </c>
    </row>
    <row r="6072" spans="1:3" x14ac:dyDescent="0.25">
      <c r="A6072" s="222">
        <v>501117</v>
      </c>
      <c r="B6072" s="223" t="s">
        <v>10419</v>
      </c>
      <c r="C6072" s="221" t="s">
        <v>10420</v>
      </c>
    </row>
    <row r="6073" spans="1:3" x14ac:dyDescent="0.25">
      <c r="A6073" s="222">
        <v>501118</v>
      </c>
      <c r="B6073" s="223" t="s">
        <v>10421</v>
      </c>
      <c r="C6073" s="221" t="s">
        <v>10422</v>
      </c>
    </row>
    <row r="6074" spans="1:3" x14ac:dyDescent="0.25">
      <c r="A6074" s="222">
        <v>501119</v>
      </c>
      <c r="B6074" s="223" t="s">
        <v>10423</v>
      </c>
      <c r="C6074" s="221" t="s">
        <v>10424</v>
      </c>
    </row>
    <row r="6075" spans="1:3" x14ac:dyDescent="0.25">
      <c r="A6075" s="222">
        <v>501120</v>
      </c>
      <c r="B6075" s="223" t="s">
        <v>10425</v>
      </c>
      <c r="C6075" s="221" t="s">
        <v>10426</v>
      </c>
    </row>
    <row r="6076" spans="1:3" x14ac:dyDescent="0.25">
      <c r="A6076" s="222">
        <v>501121</v>
      </c>
      <c r="B6076" s="223" t="s">
        <v>10427</v>
      </c>
      <c r="C6076" s="221" t="s">
        <v>10428</v>
      </c>
    </row>
    <row r="6077" spans="1:3" x14ac:dyDescent="0.25">
      <c r="A6077" s="222">
        <v>501122</v>
      </c>
      <c r="B6077" s="223" t="s">
        <v>10429</v>
      </c>
      <c r="C6077" s="221" t="s">
        <v>10430</v>
      </c>
    </row>
    <row r="6078" spans="1:3" x14ac:dyDescent="0.25">
      <c r="A6078" s="222">
        <v>501123</v>
      </c>
      <c r="B6078" s="223" t="s">
        <v>10431</v>
      </c>
      <c r="C6078" s="221" t="s">
        <v>10432</v>
      </c>
    </row>
    <row r="6079" spans="1:3" x14ac:dyDescent="0.25">
      <c r="A6079" s="222">
        <v>501124</v>
      </c>
      <c r="B6079" s="223" t="s">
        <v>10433</v>
      </c>
      <c r="C6079" s="221" t="s">
        <v>10434</v>
      </c>
    </row>
    <row r="6080" spans="1:3" x14ac:dyDescent="0.25">
      <c r="A6080" s="222">
        <v>501125</v>
      </c>
      <c r="B6080" s="223" t="s">
        <v>10435</v>
      </c>
      <c r="C6080" s="221" t="s">
        <v>10436</v>
      </c>
    </row>
    <row r="6081" spans="1:3" x14ac:dyDescent="0.25">
      <c r="A6081" s="222">
        <v>501126</v>
      </c>
      <c r="B6081" s="223" t="s">
        <v>10437</v>
      </c>
      <c r="C6081" s="221" t="s">
        <v>10438</v>
      </c>
    </row>
    <row r="6082" spans="1:3" x14ac:dyDescent="0.25">
      <c r="A6082" s="222">
        <v>501127</v>
      </c>
      <c r="B6082" s="223" t="s">
        <v>10439</v>
      </c>
      <c r="C6082" s="221" t="s">
        <v>10440</v>
      </c>
    </row>
    <row r="6083" spans="1:3" x14ac:dyDescent="0.25">
      <c r="A6083" s="222">
        <v>501128</v>
      </c>
      <c r="B6083" s="223" t="s">
        <v>10441</v>
      </c>
      <c r="C6083" s="221" t="s">
        <v>10442</v>
      </c>
    </row>
    <row r="6084" spans="1:3" x14ac:dyDescent="0.25">
      <c r="A6084" s="222">
        <v>501129</v>
      </c>
      <c r="B6084" s="223" t="s">
        <v>10443</v>
      </c>
      <c r="C6084" s="221" t="s">
        <v>10444</v>
      </c>
    </row>
    <row r="6085" spans="1:3" x14ac:dyDescent="0.25">
      <c r="A6085" s="222">
        <v>501130</v>
      </c>
      <c r="B6085" s="223" t="s">
        <v>10445</v>
      </c>
      <c r="C6085" s="221" t="s">
        <v>10446</v>
      </c>
    </row>
    <row r="6086" spans="1:3" x14ac:dyDescent="0.25">
      <c r="A6086" s="222">
        <v>501131</v>
      </c>
      <c r="B6086" s="223" t="s">
        <v>10447</v>
      </c>
      <c r="C6086" s="221" t="s">
        <v>10448</v>
      </c>
    </row>
    <row r="6087" spans="1:3" x14ac:dyDescent="0.25">
      <c r="A6087" s="222">
        <v>501132</v>
      </c>
      <c r="B6087" s="223" t="s">
        <v>10449</v>
      </c>
      <c r="C6087" s="221" t="s">
        <v>10450</v>
      </c>
    </row>
    <row r="6088" spans="1:3" x14ac:dyDescent="0.25">
      <c r="A6088" s="222">
        <v>501133</v>
      </c>
      <c r="B6088" s="223" t="s">
        <v>10451</v>
      </c>
      <c r="C6088" s="221" t="s">
        <v>10452</v>
      </c>
    </row>
    <row r="6089" spans="1:3" x14ac:dyDescent="0.25">
      <c r="A6089" s="222">
        <v>501134</v>
      </c>
      <c r="B6089" s="223" t="s">
        <v>10453</v>
      </c>
      <c r="C6089" s="221" t="s">
        <v>10454</v>
      </c>
    </row>
    <row r="6090" spans="1:3" x14ac:dyDescent="0.25">
      <c r="A6090" s="222">
        <v>501135</v>
      </c>
      <c r="B6090" s="223" t="s">
        <v>10455</v>
      </c>
      <c r="C6090" s="221" t="s">
        <v>10456</v>
      </c>
    </row>
    <row r="6091" spans="1:3" x14ac:dyDescent="0.25">
      <c r="A6091" s="222">
        <v>501136</v>
      </c>
      <c r="B6091" s="223" t="s">
        <v>10457</v>
      </c>
      <c r="C6091" s="221" t="s">
        <v>10458</v>
      </c>
    </row>
    <row r="6092" spans="1:3" x14ac:dyDescent="0.25">
      <c r="A6092" s="222">
        <v>501137</v>
      </c>
      <c r="B6092" s="223" t="s">
        <v>10459</v>
      </c>
      <c r="C6092" s="221" t="s">
        <v>10460</v>
      </c>
    </row>
    <row r="6093" spans="1:3" x14ac:dyDescent="0.25">
      <c r="A6093" s="222">
        <v>501138</v>
      </c>
      <c r="B6093" s="223" t="s">
        <v>10461</v>
      </c>
      <c r="C6093" s="221" t="s">
        <v>10462</v>
      </c>
    </row>
    <row r="6094" spans="1:3" x14ac:dyDescent="0.25">
      <c r="A6094" s="222">
        <v>501139</v>
      </c>
      <c r="B6094" s="223" t="s">
        <v>10463</v>
      </c>
      <c r="C6094" s="221" t="s">
        <v>10464</v>
      </c>
    </row>
    <row r="6095" spans="1:3" x14ac:dyDescent="0.25">
      <c r="A6095" s="222">
        <v>501140</v>
      </c>
      <c r="B6095" s="223" t="s">
        <v>10465</v>
      </c>
      <c r="C6095" s="221" t="s">
        <v>10466</v>
      </c>
    </row>
    <row r="6096" spans="1:3" x14ac:dyDescent="0.25">
      <c r="A6096" s="222">
        <v>501141</v>
      </c>
      <c r="B6096" s="223" t="s">
        <v>10467</v>
      </c>
      <c r="C6096" s="221" t="s">
        <v>10468</v>
      </c>
    </row>
    <row r="6097" spans="1:3" x14ac:dyDescent="0.25">
      <c r="A6097" s="222">
        <v>501142</v>
      </c>
      <c r="B6097" s="223" t="s">
        <v>10469</v>
      </c>
      <c r="C6097" s="221" t="s">
        <v>10470</v>
      </c>
    </row>
    <row r="6098" spans="1:3" x14ac:dyDescent="0.25">
      <c r="A6098" s="222">
        <v>502001</v>
      </c>
      <c r="B6098" s="223" t="s">
        <v>10471</v>
      </c>
      <c r="C6098" s="221" t="s">
        <v>10472</v>
      </c>
    </row>
    <row r="6099" spans="1:3" x14ac:dyDescent="0.25">
      <c r="A6099" s="222">
        <v>502002</v>
      </c>
      <c r="B6099" s="223" t="s">
        <v>10473</v>
      </c>
      <c r="C6099" s="221" t="s">
        <v>10474</v>
      </c>
    </row>
    <row r="6100" spans="1:3" x14ac:dyDescent="0.25">
      <c r="A6100" s="222">
        <v>502003</v>
      </c>
      <c r="B6100" s="223" t="s">
        <v>10475</v>
      </c>
      <c r="C6100" s="221" t="s">
        <v>10476</v>
      </c>
    </row>
    <row r="6101" spans="1:3" x14ac:dyDescent="0.25">
      <c r="A6101" s="222">
        <v>502004</v>
      </c>
      <c r="B6101" s="223" t="s">
        <v>10477</v>
      </c>
      <c r="C6101" s="221" t="s">
        <v>10478</v>
      </c>
    </row>
    <row r="6102" spans="1:3" x14ac:dyDescent="0.25">
      <c r="A6102" s="222">
        <v>502005</v>
      </c>
      <c r="B6102" s="223" t="s">
        <v>10479</v>
      </c>
      <c r="C6102" s="221" t="s">
        <v>10480</v>
      </c>
    </row>
    <row r="6103" spans="1:3" x14ac:dyDescent="0.25">
      <c r="A6103" s="222">
        <v>502006</v>
      </c>
      <c r="B6103" s="223" t="s">
        <v>10481</v>
      </c>
      <c r="C6103" s="221" t="s">
        <v>10482</v>
      </c>
    </row>
    <row r="6104" spans="1:3" x14ac:dyDescent="0.25">
      <c r="A6104" s="222">
        <v>502007</v>
      </c>
      <c r="B6104" s="223" t="s">
        <v>10483</v>
      </c>
      <c r="C6104" s="221" t="s">
        <v>10484</v>
      </c>
    </row>
    <row r="6105" spans="1:3" x14ac:dyDescent="0.25">
      <c r="A6105" s="222">
        <v>502008</v>
      </c>
      <c r="B6105" s="223" t="s">
        <v>10485</v>
      </c>
      <c r="C6105" s="221" t="s">
        <v>10486</v>
      </c>
    </row>
    <row r="6106" spans="1:3" x14ac:dyDescent="0.25">
      <c r="A6106" s="222">
        <v>502009</v>
      </c>
      <c r="B6106" s="223" t="s">
        <v>10487</v>
      </c>
      <c r="C6106" s="221" t="s">
        <v>10488</v>
      </c>
    </row>
    <row r="6107" spans="1:3" x14ac:dyDescent="0.25">
      <c r="A6107" s="222">
        <v>502010</v>
      </c>
      <c r="B6107" s="223" t="s">
        <v>10489</v>
      </c>
      <c r="C6107" s="221" t="s">
        <v>10490</v>
      </c>
    </row>
    <row r="6108" spans="1:3" x14ac:dyDescent="0.25">
      <c r="A6108" s="222">
        <v>502011</v>
      </c>
      <c r="B6108" s="223" t="s">
        <v>10491</v>
      </c>
      <c r="C6108" s="221" t="s">
        <v>10492</v>
      </c>
    </row>
    <row r="6109" spans="1:3" x14ac:dyDescent="0.25">
      <c r="A6109" s="222">
        <v>502012</v>
      </c>
      <c r="B6109" s="223" t="s">
        <v>10493</v>
      </c>
      <c r="C6109" s="221" t="s">
        <v>10494</v>
      </c>
    </row>
    <row r="6110" spans="1:3" x14ac:dyDescent="0.25">
      <c r="A6110" s="222">
        <v>502013</v>
      </c>
      <c r="B6110" s="223" t="s">
        <v>10495</v>
      </c>
      <c r="C6110" s="221" t="s">
        <v>10496</v>
      </c>
    </row>
    <row r="6111" spans="1:3" x14ac:dyDescent="0.25">
      <c r="A6111" s="222">
        <v>502014</v>
      </c>
      <c r="B6111" s="223" t="s">
        <v>10497</v>
      </c>
      <c r="C6111" s="221" t="s">
        <v>10498</v>
      </c>
    </row>
    <row r="6112" spans="1:3" x14ac:dyDescent="0.25">
      <c r="A6112" s="222">
        <v>502015</v>
      </c>
      <c r="B6112" s="223" t="s">
        <v>10499</v>
      </c>
      <c r="C6112" s="221" t="s">
        <v>10500</v>
      </c>
    </row>
    <row r="6113" spans="1:3" x14ac:dyDescent="0.25">
      <c r="A6113" s="222">
        <v>502016</v>
      </c>
      <c r="B6113" s="223" t="s">
        <v>10501</v>
      </c>
      <c r="C6113" s="221" t="s">
        <v>10502</v>
      </c>
    </row>
    <row r="6114" spans="1:3" x14ac:dyDescent="0.25">
      <c r="A6114" s="222">
        <v>502017</v>
      </c>
      <c r="B6114" s="223" t="s">
        <v>10503</v>
      </c>
      <c r="C6114" s="221" t="s">
        <v>10504</v>
      </c>
    </row>
    <row r="6115" spans="1:3" x14ac:dyDescent="0.25">
      <c r="A6115" s="222">
        <v>502018</v>
      </c>
      <c r="B6115" s="223" t="s">
        <v>10505</v>
      </c>
      <c r="C6115" s="221" t="s">
        <v>10506</v>
      </c>
    </row>
    <row r="6116" spans="1:3" x14ac:dyDescent="0.25">
      <c r="A6116" s="222">
        <v>502019</v>
      </c>
      <c r="B6116" s="223" t="s">
        <v>10507</v>
      </c>
      <c r="C6116" s="221" t="s">
        <v>10508</v>
      </c>
    </row>
    <row r="6117" spans="1:3" x14ac:dyDescent="0.25">
      <c r="A6117" s="222">
        <v>502020</v>
      </c>
      <c r="B6117" s="223" t="s">
        <v>10509</v>
      </c>
      <c r="C6117" s="221" t="s">
        <v>10510</v>
      </c>
    </row>
    <row r="6118" spans="1:3" x14ac:dyDescent="0.25">
      <c r="A6118" s="222">
        <v>502021</v>
      </c>
      <c r="B6118" s="223" t="s">
        <v>10511</v>
      </c>
      <c r="C6118" s="221" t="s">
        <v>10512</v>
      </c>
    </row>
    <row r="6119" spans="1:3" x14ac:dyDescent="0.25">
      <c r="A6119" s="222">
        <v>502022</v>
      </c>
      <c r="B6119" s="223" t="s">
        <v>10513</v>
      </c>
      <c r="C6119" s="221" t="s">
        <v>10514</v>
      </c>
    </row>
    <row r="6120" spans="1:3" x14ac:dyDescent="0.25">
      <c r="A6120" s="222">
        <v>502023</v>
      </c>
      <c r="B6120" s="223" t="s">
        <v>10515</v>
      </c>
      <c r="C6120" s="221" t="s">
        <v>10516</v>
      </c>
    </row>
    <row r="6121" spans="1:3" x14ac:dyDescent="0.25">
      <c r="A6121" s="222">
        <v>502024</v>
      </c>
      <c r="B6121" s="223" t="s">
        <v>10517</v>
      </c>
      <c r="C6121" s="221" t="s">
        <v>10518</v>
      </c>
    </row>
    <row r="6122" spans="1:3" x14ac:dyDescent="0.25">
      <c r="A6122" s="222">
        <v>502025</v>
      </c>
      <c r="B6122" s="223" t="s">
        <v>10519</v>
      </c>
      <c r="C6122" s="221" t="s">
        <v>10520</v>
      </c>
    </row>
    <row r="6123" spans="1:3" x14ac:dyDescent="0.25">
      <c r="A6123" s="222">
        <v>502026</v>
      </c>
      <c r="B6123" s="223" t="s">
        <v>10521</v>
      </c>
      <c r="C6123" s="221" t="s">
        <v>10522</v>
      </c>
    </row>
    <row r="6124" spans="1:3" x14ac:dyDescent="0.25">
      <c r="A6124" s="222">
        <v>502027</v>
      </c>
      <c r="B6124" s="223" t="s">
        <v>10523</v>
      </c>
      <c r="C6124" s="221" t="s">
        <v>10524</v>
      </c>
    </row>
    <row r="6125" spans="1:3" x14ac:dyDescent="0.25">
      <c r="A6125" s="222">
        <v>502028</v>
      </c>
      <c r="B6125" s="223" t="s">
        <v>10525</v>
      </c>
      <c r="C6125" s="221" t="s">
        <v>10526</v>
      </c>
    </row>
    <row r="6126" spans="1:3" x14ac:dyDescent="0.25">
      <c r="A6126" s="222">
        <v>502029</v>
      </c>
      <c r="B6126" s="223" t="s">
        <v>10527</v>
      </c>
      <c r="C6126" s="221" t="s">
        <v>10528</v>
      </c>
    </row>
    <row r="6127" spans="1:3" x14ac:dyDescent="0.25">
      <c r="A6127" s="222">
        <v>502030</v>
      </c>
      <c r="B6127" s="223" t="s">
        <v>10529</v>
      </c>
      <c r="C6127" s="221" t="s">
        <v>10530</v>
      </c>
    </row>
    <row r="6128" spans="1:3" x14ac:dyDescent="0.25">
      <c r="A6128" s="222">
        <v>502031</v>
      </c>
      <c r="B6128" s="223" t="s">
        <v>10531</v>
      </c>
      <c r="C6128" s="221" t="s">
        <v>10532</v>
      </c>
    </row>
    <row r="6129" spans="1:3" x14ac:dyDescent="0.25">
      <c r="A6129" s="222">
        <v>502032</v>
      </c>
      <c r="B6129" s="223" t="s">
        <v>10533</v>
      </c>
      <c r="C6129" s="221" t="s">
        <v>10534</v>
      </c>
    </row>
    <row r="6130" spans="1:3" x14ac:dyDescent="0.25">
      <c r="A6130" s="222">
        <v>502033</v>
      </c>
      <c r="B6130" s="223" t="s">
        <v>10535</v>
      </c>
      <c r="C6130" s="221" t="s">
        <v>10536</v>
      </c>
    </row>
    <row r="6131" spans="1:3" x14ac:dyDescent="0.25">
      <c r="A6131" s="222">
        <v>502034</v>
      </c>
      <c r="B6131" s="223" t="s">
        <v>10537</v>
      </c>
      <c r="C6131" s="221" t="s">
        <v>10538</v>
      </c>
    </row>
    <row r="6132" spans="1:3" x14ac:dyDescent="0.25">
      <c r="A6132" s="222">
        <v>502035</v>
      </c>
      <c r="B6132" s="223" t="s">
        <v>10539</v>
      </c>
      <c r="C6132" s="221" t="s">
        <v>10540</v>
      </c>
    </row>
    <row r="6133" spans="1:3" x14ac:dyDescent="0.25">
      <c r="A6133" s="222">
        <v>502036</v>
      </c>
      <c r="B6133" s="223" t="s">
        <v>10541</v>
      </c>
      <c r="C6133" s="221" t="s">
        <v>10542</v>
      </c>
    </row>
    <row r="6134" spans="1:3" x14ac:dyDescent="0.25">
      <c r="A6134" s="222">
        <v>502037</v>
      </c>
      <c r="B6134" s="223" t="s">
        <v>10543</v>
      </c>
      <c r="C6134" s="221" t="s">
        <v>10544</v>
      </c>
    </row>
    <row r="6135" spans="1:3" x14ac:dyDescent="0.25">
      <c r="A6135" s="222">
        <v>502038</v>
      </c>
      <c r="B6135" s="223" t="s">
        <v>10545</v>
      </c>
      <c r="C6135" s="221" t="s">
        <v>10546</v>
      </c>
    </row>
    <row r="6136" spans="1:3" x14ac:dyDescent="0.25">
      <c r="A6136" s="222">
        <v>502039</v>
      </c>
      <c r="B6136" s="223" t="s">
        <v>10547</v>
      </c>
      <c r="C6136" s="221" t="s">
        <v>10548</v>
      </c>
    </row>
    <row r="6137" spans="1:3" x14ac:dyDescent="0.25">
      <c r="A6137" s="222">
        <v>502040</v>
      </c>
      <c r="B6137" s="223" t="s">
        <v>10549</v>
      </c>
      <c r="C6137" s="221" t="s">
        <v>10550</v>
      </c>
    </row>
    <row r="6138" spans="1:3" x14ac:dyDescent="0.25">
      <c r="A6138" s="222">
        <v>502041</v>
      </c>
      <c r="B6138" s="223" t="s">
        <v>10551</v>
      </c>
      <c r="C6138" s="221" t="s">
        <v>10552</v>
      </c>
    </row>
    <row r="6139" spans="1:3" x14ac:dyDescent="0.25">
      <c r="A6139" s="222">
        <v>502042</v>
      </c>
      <c r="B6139" s="223" t="s">
        <v>10553</v>
      </c>
      <c r="C6139" s="221" t="s">
        <v>10554</v>
      </c>
    </row>
    <row r="6140" spans="1:3" x14ac:dyDescent="0.25">
      <c r="A6140" s="222">
        <v>502043</v>
      </c>
      <c r="B6140" s="223" t="s">
        <v>10555</v>
      </c>
      <c r="C6140" s="221" t="s">
        <v>10556</v>
      </c>
    </row>
    <row r="6141" spans="1:3" x14ac:dyDescent="0.25">
      <c r="A6141" s="222">
        <v>502044</v>
      </c>
      <c r="B6141" s="223" t="s">
        <v>10557</v>
      </c>
      <c r="C6141" s="221" t="s">
        <v>10558</v>
      </c>
    </row>
    <row r="6142" spans="1:3" x14ac:dyDescent="0.25">
      <c r="A6142" s="222">
        <v>502045</v>
      </c>
      <c r="B6142" s="223" t="s">
        <v>10559</v>
      </c>
      <c r="C6142" s="221" t="s">
        <v>10560</v>
      </c>
    </row>
    <row r="6143" spans="1:3" x14ac:dyDescent="0.25">
      <c r="A6143" s="222">
        <v>502046</v>
      </c>
      <c r="B6143" s="223" t="s">
        <v>10561</v>
      </c>
      <c r="C6143" s="221" t="s">
        <v>10562</v>
      </c>
    </row>
    <row r="6144" spans="1:3" x14ac:dyDescent="0.25">
      <c r="A6144" s="222">
        <v>502047</v>
      </c>
      <c r="B6144" s="223" t="s">
        <v>10563</v>
      </c>
      <c r="C6144" s="221" t="s">
        <v>10564</v>
      </c>
    </row>
    <row r="6145" spans="1:3" x14ac:dyDescent="0.25">
      <c r="A6145" s="222">
        <v>502048</v>
      </c>
      <c r="B6145" s="223" t="s">
        <v>10565</v>
      </c>
      <c r="C6145" s="221" t="s">
        <v>10566</v>
      </c>
    </row>
    <row r="6146" spans="1:3" x14ac:dyDescent="0.25">
      <c r="A6146" s="222">
        <v>502049</v>
      </c>
      <c r="B6146" s="223" t="s">
        <v>10567</v>
      </c>
      <c r="C6146" s="221" t="s">
        <v>10568</v>
      </c>
    </row>
    <row r="6147" spans="1:3" x14ac:dyDescent="0.25">
      <c r="A6147" s="222">
        <v>502050</v>
      </c>
      <c r="B6147" s="223" t="s">
        <v>10569</v>
      </c>
      <c r="C6147" s="221" t="s">
        <v>10570</v>
      </c>
    </row>
    <row r="6148" spans="1:3" x14ac:dyDescent="0.25">
      <c r="A6148" s="222">
        <v>502051</v>
      </c>
      <c r="B6148" s="223" t="s">
        <v>10571</v>
      </c>
      <c r="C6148" s="221" t="s">
        <v>10572</v>
      </c>
    </row>
    <row r="6149" spans="1:3" x14ac:dyDescent="0.25">
      <c r="A6149" s="222">
        <v>502052</v>
      </c>
      <c r="B6149" s="223" t="s">
        <v>10573</v>
      </c>
      <c r="C6149" s="221" t="s">
        <v>10574</v>
      </c>
    </row>
    <row r="6150" spans="1:3" x14ac:dyDescent="0.25">
      <c r="A6150" s="222">
        <v>502053</v>
      </c>
      <c r="B6150" s="223" t="s">
        <v>10575</v>
      </c>
      <c r="C6150" s="221" t="s">
        <v>10576</v>
      </c>
    </row>
    <row r="6151" spans="1:3" x14ac:dyDescent="0.25">
      <c r="A6151" s="222">
        <v>502054</v>
      </c>
      <c r="B6151" s="223" t="s">
        <v>10577</v>
      </c>
      <c r="C6151" s="221" t="s">
        <v>10578</v>
      </c>
    </row>
    <row r="6152" spans="1:3" x14ac:dyDescent="0.25">
      <c r="A6152" s="222">
        <v>502055</v>
      </c>
      <c r="B6152" s="223" t="s">
        <v>10579</v>
      </c>
      <c r="C6152" s="221" t="s">
        <v>10580</v>
      </c>
    </row>
    <row r="6153" spans="1:3" x14ac:dyDescent="0.25">
      <c r="A6153" s="222">
        <v>502056</v>
      </c>
      <c r="B6153" s="223" t="s">
        <v>10581</v>
      </c>
      <c r="C6153" s="221" t="s">
        <v>10582</v>
      </c>
    </row>
    <row r="6154" spans="1:3" x14ac:dyDescent="0.25">
      <c r="A6154" s="222">
        <v>502057</v>
      </c>
      <c r="B6154" s="223" t="s">
        <v>10583</v>
      </c>
      <c r="C6154" s="221" t="s">
        <v>10584</v>
      </c>
    </row>
    <row r="6155" spans="1:3" x14ac:dyDescent="0.25">
      <c r="A6155" s="222">
        <v>502058</v>
      </c>
      <c r="B6155" s="223" t="s">
        <v>10585</v>
      </c>
      <c r="C6155" s="221" t="s">
        <v>10586</v>
      </c>
    </row>
    <row r="6156" spans="1:3" x14ac:dyDescent="0.25">
      <c r="A6156" s="222">
        <v>502059</v>
      </c>
      <c r="B6156" s="223" t="s">
        <v>10587</v>
      </c>
      <c r="C6156" s="221" t="s">
        <v>10588</v>
      </c>
    </row>
    <row r="6157" spans="1:3" x14ac:dyDescent="0.25">
      <c r="A6157" s="222">
        <v>502060</v>
      </c>
      <c r="B6157" s="223" t="s">
        <v>10589</v>
      </c>
      <c r="C6157" s="221" t="s">
        <v>10590</v>
      </c>
    </row>
    <row r="6158" spans="1:3" x14ac:dyDescent="0.25">
      <c r="A6158" s="222">
        <v>502061</v>
      </c>
      <c r="B6158" s="223" t="s">
        <v>10591</v>
      </c>
      <c r="C6158" s="221" t="s">
        <v>10592</v>
      </c>
    </row>
    <row r="6159" spans="1:3" x14ac:dyDescent="0.25">
      <c r="A6159" s="222">
        <v>502062</v>
      </c>
      <c r="B6159" s="223" t="s">
        <v>10593</v>
      </c>
      <c r="C6159" s="221" t="s">
        <v>10594</v>
      </c>
    </row>
    <row r="6160" spans="1:3" x14ac:dyDescent="0.25">
      <c r="A6160" s="222">
        <v>502063</v>
      </c>
      <c r="B6160" s="223" t="s">
        <v>10595</v>
      </c>
      <c r="C6160" s="221" t="s">
        <v>10596</v>
      </c>
    </row>
    <row r="6161" spans="1:3" x14ac:dyDescent="0.25">
      <c r="A6161" s="222">
        <v>502064</v>
      </c>
      <c r="B6161" s="223" t="s">
        <v>10597</v>
      </c>
      <c r="C6161" s="221" t="s">
        <v>10598</v>
      </c>
    </row>
    <row r="6162" spans="1:3" x14ac:dyDescent="0.25">
      <c r="A6162" s="222">
        <v>502065</v>
      </c>
      <c r="B6162" s="223" t="s">
        <v>10599</v>
      </c>
      <c r="C6162" s="221" t="s">
        <v>10600</v>
      </c>
    </row>
    <row r="6163" spans="1:3" x14ac:dyDescent="0.25">
      <c r="A6163" s="222">
        <v>502066</v>
      </c>
      <c r="B6163" s="223" t="s">
        <v>10601</v>
      </c>
      <c r="C6163" s="221" t="s">
        <v>10602</v>
      </c>
    </row>
    <row r="6164" spans="1:3" x14ac:dyDescent="0.25">
      <c r="A6164" s="222">
        <v>502067</v>
      </c>
      <c r="B6164" s="223" t="s">
        <v>10603</v>
      </c>
      <c r="C6164" s="221" t="s">
        <v>10604</v>
      </c>
    </row>
    <row r="6165" spans="1:3" x14ac:dyDescent="0.25">
      <c r="A6165" s="222">
        <v>502068</v>
      </c>
      <c r="B6165" s="223" t="s">
        <v>10605</v>
      </c>
      <c r="C6165" s="221" t="s">
        <v>10606</v>
      </c>
    </row>
    <row r="6166" spans="1:3" x14ac:dyDescent="0.25">
      <c r="A6166" s="222">
        <v>502069</v>
      </c>
      <c r="B6166" s="223" t="s">
        <v>10607</v>
      </c>
      <c r="C6166" s="221" t="s">
        <v>10608</v>
      </c>
    </row>
    <row r="6167" spans="1:3" x14ac:dyDescent="0.25">
      <c r="A6167" s="222">
        <v>502070</v>
      </c>
      <c r="B6167" s="223" t="s">
        <v>10609</v>
      </c>
      <c r="C6167" s="221" t="s">
        <v>10610</v>
      </c>
    </row>
    <row r="6168" spans="1:3" x14ac:dyDescent="0.25">
      <c r="A6168" s="222">
        <v>502071</v>
      </c>
      <c r="B6168" s="223" t="s">
        <v>10611</v>
      </c>
      <c r="C6168" s="221" t="s">
        <v>10612</v>
      </c>
    </row>
    <row r="6169" spans="1:3" x14ac:dyDescent="0.25">
      <c r="A6169" s="222">
        <v>502072</v>
      </c>
      <c r="B6169" s="223" t="s">
        <v>10613</v>
      </c>
      <c r="C6169" s="221" t="s">
        <v>10614</v>
      </c>
    </row>
    <row r="6170" spans="1:3" x14ac:dyDescent="0.25">
      <c r="A6170" s="222">
        <v>502073</v>
      </c>
      <c r="B6170" s="223" t="s">
        <v>10615</v>
      </c>
      <c r="C6170" s="221" t="s">
        <v>10616</v>
      </c>
    </row>
    <row r="6171" spans="1:3" x14ac:dyDescent="0.25">
      <c r="A6171" s="222">
        <v>502074</v>
      </c>
      <c r="B6171" s="223" t="s">
        <v>10617</v>
      </c>
      <c r="C6171" s="221" t="s">
        <v>10618</v>
      </c>
    </row>
    <row r="6172" spans="1:3" x14ac:dyDescent="0.25">
      <c r="A6172" s="222">
        <v>502075</v>
      </c>
      <c r="B6172" s="223" t="s">
        <v>10619</v>
      </c>
      <c r="C6172" s="221" t="s">
        <v>10620</v>
      </c>
    </row>
    <row r="6173" spans="1:3" x14ac:dyDescent="0.25">
      <c r="A6173" s="222">
        <v>502076</v>
      </c>
      <c r="B6173" s="223" t="s">
        <v>10621</v>
      </c>
      <c r="C6173" s="221" t="s">
        <v>10622</v>
      </c>
    </row>
    <row r="6174" spans="1:3" x14ac:dyDescent="0.25">
      <c r="A6174" s="222">
        <v>502077</v>
      </c>
      <c r="B6174" s="223" t="s">
        <v>10623</v>
      </c>
      <c r="C6174" s="221" t="s">
        <v>10624</v>
      </c>
    </row>
    <row r="6175" spans="1:3" x14ac:dyDescent="0.25">
      <c r="A6175" s="222">
        <v>502078</v>
      </c>
      <c r="B6175" s="223" t="s">
        <v>10625</v>
      </c>
      <c r="C6175" s="221" t="s">
        <v>10626</v>
      </c>
    </row>
    <row r="6176" spans="1:3" x14ac:dyDescent="0.25">
      <c r="A6176" s="222">
        <v>502079</v>
      </c>
      <c r="B6176" s="223" t="s">
        <v>10627</v>
      </c>
      <c r="C6176" s="221" t="s">
        <v>10628</v>
      </c>
    </row>
    <row r="6177" spans="1:3" x14ac:dyDescent="0.25">
      <c r="A6177" s="222">
        <v>502080</v>
      </c>
      <c r="B6177" s="223" t="s">
        <v>10629</v>
      </c>
      <c r="C6177" s="221" t="s">
        <v>10630</v>
      </c>
    </row>
    <row r="6178" spans="1:3" x14ac:dyDescent="0.25">
      <c r="A6178" s="222">
        <v>502081</v>
      </c>
      <c r="B6178" s="223" t="s">
        <v>10631</v>
      </c>
      <c r="C6178" s="221" t="s">
        <v>10632</v>
      </c>
    </row>
    <row r="6179" spans="1:3" x14ac:dyDescent="0.25">
      <c r="A6179" s="222">
        <v>502082</v>
      </c>
      <c r="B6179" s="223" t="s">
        <v>10633</v>
      </c>
      <c r="C6179" s="221" t="s">
        <v>10634</v>
      </c>
    </row>
    <row r="6180" spans="1:3" x14ac:dyDescent="0.25">
      <c r="A6180" s="222">
        <v>502083</v>
      </c>
      <c r="B6180" s="223" t="s">
        <v>10635</v>
      </c>
      <c r="C6180" s="221" t="s">
        <v>10636</v>
      </c>
    </row>
    <row r="6181" spans="1:3" x14ac:dyDescent="0.25">
      <c r="A6181" s="222">
        <v>502084</v>
      </c>
      <c r="B6181" s="223" t="s">
        <v>10637</v>
      </c>
      <c r="C6181" s="221" t="s">
        <v>10638</v>
      </c>
    </row>
    <row r="6182" spans="1:3" x14ac:dyDescent="0.25">
      <c r="A6182" s="222">
        <v>502085</v>
      </c>
      <c r="B6182" s="223" t="s">
        <v>10639</v>
      </c>
      <c r="C6182" s="221" t="s">
        <v>10640</v>
      </c>
    </row>
    <row r="6183" spans="1:3" x14ac:dyDescent="0.25">
      <c r="A6183" s="222">
        <v>502086</v>
      </c>
      <c r="B6183" s="223" t="s">
        <v>10641</v>
      </c>
      <c r="C6183" s="221" t="s">
        <v>10642</v>
      </c>
    </row>
    <row r="6184" spans="1:3" x14ac:dyDescent="0.25">
      <c r="A6184" s="222">
        <v>502087</v>
      </c>
      <c r="B6184" s="223" t="s">
        <v>10643</v>
      </c>
      <c r="C6184" s="221" t="s">
        <v>10644</v>
      </c>
    </row>
    <row r="6185" spans="1:3" x14ac:dyDescent="0.25">
      <c r="A6185" s="222">
        <v>502088</v>
      </c>
      <c r="B6185" s="223" t="s">
        <v>10645</v>
      </c>
      <c r="C6185" s="221" t="s">
        <v>10646</v>
      </c>
    </row>
    <row r="6186" spans="1:3" x14ac:dyDescent="0.25">
      <c r="A6186" s="222">
        <v>502089</v>
      </c>
      <c r="B6186" s="223" t="s">
        <v>10647</v>
      </c>
      <c r="C6186" s="221" t="s">
        <v>10648</v>
      </c>
    </row>
    <row r="6187" spans="1:3" x14ac:dyDescent="0.25">
      <c r="A6187" s="222">
        <v>502090</v>
      </c>
      <c r="B6187" s="223" t="s">
        <v>10649</v>
      </c>
      <c r="C6187" s="221" t="s">
        <v>10650</v>
      </c>
    </row>
    <row r="6188" spans="1:3" x14ac:dyDescent="0.25">
      <c r="A6188" s="222">
        <v>502091</v>
      </c>
      <c r="B6188" s="223" t="s">
        <v>10651</v>
      </c>
      <c r="C6188" s="221" t="s">
        <v>10652</v>
      </c>
    </row>
    <row r="6189" spans="1:3" x14ac:dyDescent="0.25">
      <c r="A6189" s="222">
        <v>502092</v>
      </c>
      <c r="B6189" s="223" t="s">
        <v>10653</v>
      </c>
      <c r="C6189" s="221" t="s">
        <v>10654</v>
      </c>
    </row>
    <row r="6190" spans="1:3" x14ac:dyDescent="0.25">
      <c r="A6190" s="222">
        <v>502093</v>
      </c>
      <c r="B6190" s="223" t="s">
        <v>10655</v>
      </c>
      <c r="C6190" s="221" t="s">
        <v>10656</v>
      </c>
    </row>
    <row r="6191" spans="1:3" x14ac:dyDescent="0.25">
      <c r="A6191" s="222">
        <v>502094</v>
      </c>
      <c r="B6191" s="223" t="s">
        <v>10657</v>
      </c>
      <c r="C6191" s="221" t="s">
        <v>10658</v>
      </c>
    </row>
    <row r="6192" spans="1:3" x14ac:dyDescent="0.25">
      <c r="A6192" s="222">
        <v>502095</v>
      </c>
      <c r="B6192" s="223" t="s">
        <v>10659</v>
      </c>
      <c r="C6192" s="221" t="s">
        <v>10660</v>
      </c>
    </row>
    <row r="6193" spans="1:3" x14ac:dyDescent="0.25">
      <c r="A6193" s="222">
        <v>502096</v>
      </c>
      <c r="B6193" s="223" t="s">
        <v>10661</v>
      </c>
      <c r="C6193" s="221" t="s">
        <v>10662</v>
      </c>
    </row>
    <row r="6194" spans="1:3" x14ac:dyDescent="0.25">
      <c r="A6194" s="222">
        <v>502097</v>
      </c>
      <c r="B6194" s="223" t="s">
        <v>10663</v>
      </c>
      <c r="C6194" s="221" t="s">
        <v>10664</v>
      </c>
    </row>
    <row r="6195" spans="1:3" x14ac:dyDescent="0.25">
      <c r="A6195" s="222">
        <v>502098</v>
      </c>
      <c r="B6195" s="223" t="s">
        <v>10665</v>
      </c>
      <c r="C6195" s="221" t="s">
        <v>10666</v>
      </c>
    </row>
    <row r="6196" spans="1:3" x14ac:dyDescent="0.25">
      <c r="A6196" s="222">
        <v>502099</v>
      </c>
      <c r="B6196" s="223" t="s">
        <v>10667</v>
      </c>
      <c r="C6196" s="221" t="s">
        <v>10668</v>
      </c>
    </row>
    <row r="6197" spans="1:3" x14ac:dyDescent="0.25">
      <c r="A6197" s="222">
        <v>502100</v>
      </c>
      <c r="B6197" s="223" t="s">
        <v>10669</v>
      </c>
      <c r="C6197" s="221" t="s">
        <v>10670</v>
      </c>
    </row>
    <row r="6198" spans="1:3" x14ac:dyDescent="0.25">
      <c r="A6198" s="222">
        <v>502101</v>
      </c>
      <c r="B6198" s="223" t="s">
        <v>10671</v>
      </c>
      <c r="C6198" s="221" t="s">
        <v>10672</v>
      </c>
    </row>
    <row r="6199" spans="1:3" x14ac:dyDescent="0.25">
      <c r="A6199" s="222">
        <v>502102</v>
      </c>
      <c r="B6199" s="223" t="s">
        <v>10673</v>
      </c>
      <c r="C6199" s="221" t="s">
        <v>10674</v>
      </c>
    </row>
    <row r="6200" spans="1:3" x14ac:dyDescent="0.25">
      <c r="A6200" s="222">
        <v>502103</v>
      </c>
      <c r="B6200" s="223" t="s">
        <v>10675</v>
      </c>
      <c r="C6200" s="221" t="s">
        <v>10676</v>
      </c>
    </row>
    <row r="6201" spans="1:3" x14ac:dyDescent="0.25">
      <c r="A6201" s="222">
        <v>502104</v>
      </c>
      <c r="B6201" s="223" t="s">
        <v>10677</v>
      </c>
      <c r="C6201" s="221" t="s">
        <v>10678</v>
      </c>
    </row>
    <row r="6202" spans="1:3" x14ac:dyDescent="0.25">
      <c r="A6202" s="222">
        <v>502105</v>
      </c>
      <c r="B6202" s="223" t="s">
        <v>10679</v>
      </c>
      <c r="C6202" s="221" t="s">
        <v>10680</v>
      </c>
    </row>
    <row r="6203" spans="1:3" x14ac:dyDescent="0.25">
      <c r="A6203" s="222">
        <v>502106</v>
      </c>
      <c r="B6203" s="223" t="s">
        <v>10681</v>
      </c>
      <c r="C6203" s="221" t="s">
        <v>10682</v>
      </c>
    </row>
    <row r="6204" spans="1:3" x14ac:dyDescent="0.25">
      <c r="A6204" s="222">
        <v>502107</v>
      </c>
      <c r="B6204" s="223" t="s">
        <v>10683</v>
      </c>
      <c r="C6204" s="221" t="s">
        <v>10684</v>
      </c>
    </row>
    <row r="6205" spans="1:3" x14ac:dyDescent="0.25">
      <c r="A6205" s="222">
        <v>502108</v>
      </c>
      <c r="B6205" s="223" t="s">
        <v>10685</v>
      </c>
      <c r="C6205" s="221" t="s">
        <v>10686</v>
      </c>
    </row>
    <row r="6206" spans="1:3" x14ac:dyDescent="0.25">
      <c r="A6206" s="222">
        <v>502109</v>
      </c>
      <c r="B6206" s="223" t="s">
        <v>10687</v>
      </c>
      <c r="C6206" s="221" t="s">
        <v>10688</v>
      </c>
    </row>
    <row r="6207" spans="1:3" x14ac:dyDescent="0.25">
      <c r="A6207" s="222">
        <v>502110</v>
      </c>
      <c r="B6207" s="223" t="s">
        <v>10689</v>
      </c>
      <c r="C6207" s="221" t="s">
        <v>10690</v>
      </c>
    </row>
    <row r="6208" spans="1:3" x14ac:dyDescent="0.25">
      <c r="A6208" s="222">
        <v>502111</v>
      </c>
      <c r="B6208" s="223" t="s">
        <v>10691</v>
      </c>
      <c r="C6208" s="221" t="s">
        <v>10692</v>
      </c>
    </row>
    <row r="6209" spans="1:3" x14ac:dyDescent="0.25">
      <c r="A6209" s="222">
        <v>502112</v>
      </c>
      <c r="B6209" s="223" t="s">
        <v>10693</v>
      </c>
      <c r="C6209" s="221" t="s">
        <v>10694</v>
      </c>
    </row>
    <row r="6210" spans="1:3" x14ac:dyDescent="0.25">
      <c r="A6210" s="222">
        <v>502113</v>
      </c>
      <c r="B6210" s="223" t="s">
        <v>10695</v>
      </c>
      <c r="C6210" s="221" t="s">
        <v>10696</v>
      </c>
    </row>
    <row r="6211" spans="1:3" x14ac:dyDescent="0.25">
      <c r="A6211" s="222">
        <v>502114</v>
      </c>
      <c r="B6211" s="223" t="s">
        <v>10697</v>
      </c>
      <c r="C6211" s="221" t="s">
        <v>10698</v>
      </c>
    </row>
    <row r="6212" spans="1:3" x14ac:dyDescent="0.25">
      <c r="A6212" s="222">
        <v>502115</v>
      </c>
      <c r="B6212" s="223" t="s">
        <v>10699</v>
      </c>
      <c r="C6212" s="221" t="s">
        <v>10700</v>
      </c>
    </row>
    <row r="6213" spans="1:3" x14ac:dyDescent="0.25">
      <c r="A6213" s="222">
        <v>502116</v>
      </c>
      <c r="B6213" s="223" t="s">
        <v>10701</v>
      </c>
      <c r="C6213" s="221" t="s">
        <v>10702</v>
      </c>
    </row>
    <row r="6214" spans="1:3" x14ac:dyDescent="0.25">
      <c r="A6214" s="222">
        <v>502117</v>
      </c>
      <c r="B6214" s="223" t="s">
        <v>10703</v>
      </c>
      <c r="C6214" s="221" t="s">
        <v>10704</v>
      </c>
    </row>
    <row r="6215" spans="1:3" x14ac:dyDescent="0.25">
      <c r="A6215" s="222">
        <v>502118</v>
      </c>
      <c r="B6215" s="223" t="s">
        <v>10705</v>
      </c>
      <c r="C6215" s="221" t="s">
        <v>10706</v>
      </c>
    </row>
    <row r="6216" spans="1:3" x14ac:dyDescent="0.25">
      <c r="A6216" s="222">
        <v>502119</v>
      </c>
      <c r="B6216" s="223" t="s">
        <v>10707</v>
      </c>
      <c r="C6216" s="221" t="s">
        <v>10708</v>
      </c>
    </row>
    <row r="6217" spans="1:3" x14ac:dyDescent="0.25">
      <c r="A6217" s="222">
        <v>502120</v>
      </c>
      <c r="B6217" s="223" t="s">
        <v>10709</v>
      </c>
      <c r="C6217" s="221" t="s">
        <v>10710</v>
      </c>
    </row>
    <row r="6218" spans="1:3" x14ac:dyDescent="0.25">
      <c r="A6218" s="222">
        <v>502121</v>
      </c>
      <c r="B6218" s="223" t="s">
        <v>10711</v>
      </c>
      <c r="C6218" s="221" t="s">
        <v>10712</v>
      </c>
    </row>
    <row r="6219" spans="1:3" x14ac:dyDescent="0.25">
      <c r="A6219" s="222">
        <v>502122</v>
      </c>
      <c r="B6219" s="223" t="s">
        <v>10713</v>
      </c>
      <c r="C6219" s="221" t="s">
        <v>10714</v>
      </c>
    </row>
    <row r="6220" spans="1:3" x14ac:dyDescent="0.25">
      <c r="A6220" s="222">
        <v>502123</v>
      </c>
      <c r="B6220" s="223" t="s">
        <v>10715</v>
      </c>
      <c r="C6220" s="221" t="s">
        <v>10716</v>
      </c>
    </row>
    <row r="6221" spans="1:3" x14ac:dyDescent="0.25">
      <c r="A6221" s="222">
        <v>502124</v>
      </c>
      <c r="B6221" s="223" t="s">
        <v>10717</v>
      </c>
      <c r="C6221" s="221" t="s">
        <v>10718</v>
      </c>
    </row>
    <row r="6222" spans="1:3" x14ac:dyDescent="0.25">
      <c r="A6222" s="222">
        <v>502125</v>
      </c>
      <c r="B6222" s="223" t="s">
        <v>10719</v>
      </c>
      <c r="C6222" s="221" t="s">
        <v>10720</v>
      </c>
    </row>
    <row r="6223" spans="1:3" x14ac:dyDescent="0.25">
      <c r="A6223" s="222">
        <v>502126</v>
      </c>
      <c r="B6223" s="223" t="s">
        <v>10721</v>
      </c>
      <c r="C6223" s="221" t="s">
        <v>10722</v>
      </c>
    </row>
    <row r="6224" spans="1:3" x14ac:dyDescent="0.25">
      <c r="A6224" s="222">
        <v>502127</v>
      </c>
      <c r="B6224" s="223" t="s">
        <v>10723</v>
      </c>
      <c r="C6224" s="221" t="s">
        <v>10724</v>
      </c>
    </row>
    <row r="6225" spans="1:3" x14ac:dyDescent="0.25">
      <c r="A6225" s="222">
        <v>502128</v>
      </c>
      <c r="B6225" s="223" t="s">
        <v>10725</v>
      </c>
      <c r="C6225" s="221" t="s">
        <v>10726</v>
      </c>
    </row>
    <row r="6226" spans="1:3" x14ac:dyDescent="0.25">
      <c r="A6226" s="222">
        <v>510001</v>
      </c>
      <c r="B6226" s="223" t="s">
        <v>10727</v>
      </c>
      <c r="C6226" s="221" t="s">
        <v>10728</v>
      </c>
    </row>
    <row r="6227" spans="1:3" x14ac:dyDescent="0.25">
      <c r="A6227" s="222">
        <v>510001</v>
      </c>
      <c r="B6227" s="223" t="s">
        <v>10727</v>
      </c>
      <c r="C6227" s="221" t="s">
        <v>10729</v>
      </c>
    </row>
    <row r="6228" spans="1:3" x14ac:dyDescent="0.25">
      <c r="A6228" s="222">
        <v>510002</v>
      </c>
      <c r="B6228" s="223" t="s">
        <v>10730</v>
      </c>
      <c r="C6228" s="221" t="s">
        <v>10731</v>
      </c>
    </row>
    <row r="6229" spans="1:3" x14ac:dyDescent="0.25">
      <c r="A6229" s="222">
        <v>510002</v>
      </c>
      <c r="B6229" s="223" t="s">
        <v>10730</v>
      </c>
      <c r="C6229" s="221" t="s">
        <v>10732</v>
      </c>
    </row>
    <row r="6230" spans="1:3" x14ac:dyDescent="0.25">
      <c r="A6230" s="222">
        <v>510003</v>
      </c>
      <c r="B6230" s="223" t="s">
        <v>10733</v>
      </c>
      <c r="C6230" s="221" t="s">
        <v>10734</v>
      </c>
    </row>
    <row r="6231" spans="1:3" x14ac:dyDescent="0.25">
      <c r="A6231" s="222">
        <v>510003</v>
      </c>
      <c r="B6231" s="223" t="s">
        <v>10733</v>
      </c>
      <c r="C6231" s="221" t="s">
        <v>10735</v>
      </c>
    </row>
    <row r="6232" spans="1:3" x14ac:dyDescent="0.25">
      <c r="A6232" s="222">
        <v>510004</v>
      </c>
      <c r="B6232" s="223" t="s">
        <v>10736</v>
      </c>
      <c r="C6232" s="221" t="s">
        <v>10737</v>
      </c>
    </row>
    <row r="6233" spans="1:3" x14ac:dyDescent="0.25">
      <c r="A6233" s="222">
        <v>510004</v>
      </c>
      <c r="B6233" s="223" t="s">
        <v>10736</v>
      </c>
      <c r="C6233" s="221" t="s">
        <v>10738</v>
      </c>
    </row>
    <row r="6234" spans="1:3" x14ac:dyDescent="0.25">
      <c r="A6234" s="222">
        <v>510005</v>
      </c>
      <c r="B6234" s="223" t="s">
        <v>10739</v>
      </c>
      <c r="C6234" s="221" t="s">
        <v>10740</v>
      </c>
    </row>
    <row r="6235" spans="1:3" x14ac:dyDescent="0.25">
      <c r="A6235" s="222">
        <v>510005</v>
      </c>
      <c r="B6235" s="223" t="s">
        <v>10739</v>
      </c>
      <c r="C6235" s="221" t="s">
        <v>10741</v>
      </c>
    </row>
    <row r="6236" spans="1:3" x14ac:dyDescent="0.25">
      <c r="A6236" s="222">
        <v>510006</v>
      </c>
      <c r="B6236" s="223" t="s">
        <v>10742</v>
      </c>
      <c r="C6236" s="221" t="s">
        <v>10743</v>
      </c>
    </row>
    <row r="6237" spans="1:3" x14ac:dyDescent="0.25">
      <c r="A6237" s="222">
        <v>510006</v>
      </c>
      <c r="B6237" s="223" t="s">
        <v>10742</v>
      </c>
      <c r="C6237" s="221" t="s">
        <v>10744</v>
      </c>
    </row>
    <row r="6238" spans="1:3" x14ac:dyDescent="0.25">
      <c r="A6238" s="222">
        <v>510007</v>
      </c>
      <c r="B6238" s="223" t="s">
        <v>10745</v>
      </c>
      <c r="C6238" s="221" t="s">
        <v>10746</v>
      </c>
    </row>
    <row r="6239" spans="1:3" x14ac:dyDescent="0.25">
      <c r="A6239" s="222">
        <v>510007</v>
      </c>
      <c r="B6239" s="223" t="s">
        <v>10745</v>
      </c>
      <c r="C6239" s="221" t="s">
        <v>10747</v>
      </c>
    </row>
    <row r="6240" spans="1:3" x14ac:dyDescent="0.25">
      <c r="A6240" s="222">
        <v>510008</v>
      </c>
      <c r="B6240" s="223" t="s">
        <v>10745</v>
      </c>
      <c r="C6240" s="221" t="s">
        <v>10748</v>
      </c>
    </row>
    <row r="6241" spans="1:3" x14ac:dyDescent="0.25">
      <c r="A6241" s="222">
        <v>510008</v>
      </c>
      <c r="B6241" s="223" t="s">
        <v>10745</v>
      </c>
      <c r="C6241" s="221" t="s">
        <v>10749</v>
      </c>
    </row>
    <row r="6242" spans="1:3" x14ac:dyDescent="0.25">
      <c r="A6242" s="222">
        <v>510009</v>
      </c>
      <c r="B6242" s="223" t="s">
        <v>10750</v>
      </c>
      <c r="C6242" s="221" t="s">
        <v>10751</v>
      </c>
    </row>
    <row r="6243" spans="1:3" x14ac:dyDescent="0.25">
      <c r="A6243" s="222">
        <v>510009</v>
      </c>
      <c r="B6243" s="223" t="s">
        <v>10750</v>
      </c>
      <c r="C6243" s="221" t="s">
        <v>10752</v>
      </c>
    </row>
    <row r="6244" spans="1:3" x14ac:dyDescent="0.25">
      <c r="A6244" s="222">
        <v>510010</v>
      </c>
      <c r="B6244" s="223" t="s">
        <v>10753</v>
      </c>
      <c r="C6244" s="221" t="s">
        <v>10754</v>
      </c>
    </row>
    <row r="6245" spans="1:3" x14ac:dyDescent="0.25">
      <c r="A6245" s="222">
        <v>510010</v>
      </c>
      <c r="B6245" s="223" t="s">
        <v>10753</v>
      </c>
      <c r="C6245" s="221" t="s">
        <v>10755</v>
      </c>
    </row>
    <row r="6246" spans="1:3" x14ac:dyDescent="0.25">
      <c r="A6246" s="222">
        <v>510011</v>
      </c>
      <c r="B6246" s="223" t="s">
        <v>10753</v>
      </c>
      <c r="C6246" s="221" t="s">
        <v>10756</v>
      </c>
    </row>
    <row r="6247" spans="1:3" x14ac:dyDescent="0.25">
      <c r="A6247" s="222">
        <v>510011</v>
      </c>
      <c r="B6247" s="223" t="s">
        <v>10753</v>
      </c>
      <c r="C6247" s="221" t="s">
        <v>10757</v>
      </c>
    </row>
    <row r="6248" spans="1:3" x14ac:dyDescent="0.25">
      <c r="A6248" s="222">
        <v>510012</v>
      </c>
      <c r="B6248" s="223" t="s">
        <v>10758</v>
      </c>
      <c r="C6248" s="221" t="s">
        <v>10759</v>
      </c>
    </row>
    <row r="6249" spans="1:3" x14ac:dyDescent="0.25">
      <c r="A6249" s="222">
        <v>510012</v>
      </c>
      <c r="B6249" s="223" t="s">
        <v>10758</v>
      </c>
      <c r="C6249" s="221" t="s">
        <v>10760</v>
      </c>
    </row>
    <row r="6250" spans="1:3" x14ac:dyDescent="0.25">
      <c r="A6250" s="222">
        <v>510013</v>
      </c>
      <c r="B6250" s="223" t="s">
        <v>10758</v>
      </c>
      <c r="C6250" s="221" t="s">
        <v>10761</v>
      </c>
    </row>
    <row r="6251" spans="1:3" x14ac:dyDescent="0.25">
      <c r="A6251" s="222">
        <v>510013</v>
      </c>
      <c r="B6251" s="223" t="s">
        <v>10758</v>
      </c>
      <c r="C6251" s="221" t="s">
        <v>10762</v>
      </c>
    </row>
    <row r="6252" spans="1:3" x14ac:dyDescent="0.25">
      <c r="A6252" s="222">
        <v>510014</v>
      </c>
      <c r="B6252" s="223" t="s">
        <v>10763</v>
      </c>
      <c r="C6252" s="221" t="s">
        <v>10764</v>
      </c>
    </row>
    <row r="6253" spans="1:3" x14ac:dyDescent="0.25">
      <c r="A6253" s="222">
        <v>510014</v>
      </c>
      <c r="B6253" s="223" t="s">
        <v>10763</v>
      </c>
      <c r="C6253" s="221" t="s">
        <v>10765</v>
      </c>
    </row>
    <row r="6254" spans="1:3" x14ac:dyDescent="0.25">
      <c r="A6254" s="222">
        <v>510015</v>
      </c>
      <c r="B6254" s="223" t="s">
        <v>10766</v>
      </c>
      <c r="C6254" s="221" t="s">
        <v>10767</v>
      </c>
    </row>
    <row r="6255" spans="1:3" x14ac:dyDescent="0.25">
      <c r="A6255" s="222">
        <v>510015</v>
      </c>
      <c r="B6255" s="223" t="s">
        <v>10766</v>
      </c>
      <c r="C6255" s="221" t="s">
        <v>10768</v>
      </c>
    </row>
    <row r="6256" spans="1:3" x14ac:dyDescent="0.25">
      <c r="A6256" s="222">
        <v>510016</v>
      </c>
      <c r="B6256" s="223" t="s">
        <v>10769</v>
      </c>
      <c r="C6256" s="221" t="s">
        <v>10770</v>
      </c>
    </row>
    <row r="6257" spans="1:3" x14ac:dyDescent="0.25">
      <c r="A6257" s="222">
        <v>510016</v>
      </c>
      <c r="B6257" s="223" t="s">
        <v>10769</v>
      </c>
      <c r="C6257" s="221" t="s">
        <v>10771</v>
      </c>
    </row>
    <row r="6258" spans="1:3" x14ac:dyDescent="0.25">
      <c r="A6258" s="222">
        <v>510017</v>
      </c>
      <c r="B6258" s="223" t="s">
        <v>10766</v>
      </c>
      <c r="C6258" s="221" t="s">
        <v>10772</v>
      </c>
    </row>
    <row r="6259" spans="1:3" x14ac:dyDescent="0.25">
      <c r="A6259" s="222">
        <v>510017</v>
      </c>
      <c r="B6259" s="223" t="s">
        <v>10766</v>
      </c>
      <c r="C6259" s="221" t="s">
        <v>10773</v>
      </c>
    </row>
    <row r="6260" spans="1:3" x14ac:dyDescent="0.25">
      <c r="A6260" s="222">
        <v>510018</v>
      </c>
      <c r="B6260" s="223" t="s">
        <v>10769</v>
      </c>
      <c r="C6260" s="221" t="s">
        <v>10774</v>
      </c>
    </row>
    <row r="6261" spans="1:3" x14ac:dyDescent="0.25">
      <c r="A6261" s="222">
        <v>510018</v>
      </c>
      <c r="B6261" s="223" t="s">
        <v>10769</v>
      </c>
      <c r="C6261" s="221" t="s">
        <v>10775</v>
      </c>
    </row>
    <row r="6262" spans="1:3" x14ac:dyDescent="0.25">
      <c r="A6262" s="222">
        <v>510019</v>
      </c>
      <c r="B6262" s="223" t="s">
        <v>10776</v>
      </c>
      <c r="C6262" s="221" t="s">
        <v>10777</v>
      </c>
    </row>
    <row r="6263" spans="1:3" x14ac:dyDescent="0.25">
      <c r="A6263" s="222">
        <v>510019</v>
      </c>
      <c r="B6263" s="223" t="s">
        <v>10776</v>
      </c>
      <c r="C6263" s="221" t="s">
        <v>10778</v>
      </c>
    </row>
    <row r="6264" spans="1:3" x14ac:dyDescent="0.25">
      <c r="A6264" s="222">
        <v>510020</v>
      </c>
      <c r="B6264" s="223" t="s">
        <v>10779</v>
      </c>
      <c r="C6264" s="221" t="s">
        <v>10780</v>
      </c>
    </row>
    <row r="6265" spans="1:3" x14ac:dyDescent="0.25">
      <c r="A6265" s="222">
        <v>510020</v>
      </c>
      <c r="B6265" s="223" t="s">
        <v>10779</v>
      </c>
      <c r="C6265" s="221" t="s">
        <v>10781</v>
      </c>
    </row>
    <row r="6266" spans="1:3" x14ac:dyDescent="0.25">
      <c r="A6266" s="222">
        <v>510021</v>
      </c>
      <c r="B6266" s="223" t="s">
        <v>10782</v>
      </c>
      <c r="C6266" s="221" t="s">
        <v>10783</v>
      </c>
    </row>
    <row r="6267" spans="1:3" x14ac:dyDescent="0.25">
      <c r="A6267" s="222">
        <v>510021</v>
      </c>
      <c r="B6267" s="223" t="s">
        <v>10782</v>
      </c>
      <c r="C6267" s="221" t="s">
        <v>10784</v>
      </c>
    </row>
    <row r="6268" spans="1:3" x14ac:dyDescent="0.25">
      <c r="A6268" s="222">
        <v>510022</v>
      </c>
      <c r="B6268" s="223" t="s">
        <v>10782</v>
      </c>
      <c r="C6268" s="221" t="s">
        <v>10785</v>
      </c>
    </row>
    <row r="6269" spans="1:3" x14ac:dyDescent="0.25">
      <c r="A6269" s="222">
        <v>510022</v>
      </c>
      <c r="B6269" s="223" t="s">
        <v>10782</v>
      </c>
      <c r="C6269" s="221" t="s">
        <v>10786</v>
      </c>
    </row>
    <row r="6270" spans="1:3" x14ac:dyDescent="0.25">
      <c r="A6270" s="222">
        <v>510023</v>
      </c>
      <c r="B6270" s="223" t="s">
        <v>10787</v>
      </c>
      <c r="C6270" s="221" t="s">
        <v>10788</v>
      </c>
    </row>
    <row r="6271" spans="1:3" x14ac:dyDescent="0.25">
      <c r="A6271" s="222">
        <v>510023</v>
      </c>
      <c r="B6271" s="223" t="s">
        <v>10787</v>
      </c>
      <c r="C6271" s="221" t="s">
        <v>10789</v>
      </c>
    </row>
    <row r="6272" spans="1:3" x14ac:dyDescent="0.25">
      <c r="A6272" s="222">
        <v>510024</v>
      </c>
      <c r="B6272" s="223" t="s">
        <v>10790</v>
      </c>
      <c r="C6272" s="221" t="s">
        <v>10791</v>
      </c>
    </row>
    <row r="6273" spans="1:3" x14ac:dyDescent="0.25">
      <c r="A6273" s="222">
        <v>510024</v>
      </c>
      <c r="B6273" s="223" t="s">
        <v>10790</v>
      </c>
      <c r="C6273" s="221" t="s">
        <v>10792</v>
      </c>
    </row>
    <row r="6274" spans="1:3" x14ac:dyDescent="0.25">
      <c r="A6274" s="222">
        <v>510025</v>
      </c>
      <c r="B6274" s="223" t="s">
        <v>10793</v>
      </c>
      <c r="C6274" s="221" t="s">
        <v>10794</v>
      </c>
    </row>
    <row r="6275" spans="1:3" x14ac:dyDescent="0.25">
      <c r="A6275" s="222">
        <v>510025</v>
      </c>
      <c r="B6275" s="223" t="s">
        <v>10793</v>
      </c>
      <c r="C6275" s="221" t="s">
        <v>10795</v>
      </c>
    </row>
    <row r="6276" spans="1:3" x14ac:dyDescent="0.25">
      <c r="A6276" s="222">
        <v>510026</v>
      </c>
      <c r="B6276" s="223" t="s">
        <v>10796</v>
      </c>
      <c r="C6276" s="221" t="s">
        <v>10797</v>
      </c>
    </row>
    <row r="6277" spans="1:3" x14ac:dyDescent="0.25">
      <c r="A6277" s="222">
        <v>510026</v>
      </c>
      <c r="B6277" s="223" t="s">
        <v>10796</v>
      </c>
      <c r="C6277" s="221" t="s">
        <v>10798</v>
      </c>
    </row>
    <row r="6278" spans="1:3" x14ac:dyDescent="0.25">
      <c r="A6278" s="222">
        <v>510027</v>
      </c>
      <c r="B6278" s="223" t="s">
        <v>10799</v>
      </c>
      <c r="C6278" s="221" t="s">
        <v>10800</v>
      </c>
    </row>
    <row r="6279" spans="1:3" x14ac:dyDescent="0.25">
      <c r="A6279" s="222">
        <v>510027</v>
      </c>
      <c r="B6279" s="223" t="s">
        <v>10799</v>
      </c>
      <c r="C6279" s="221" t="s">
        <v>10801</v>
      </c>
    </row>
    <row r="6280" spans="1:3" x14ac:dyDescent="0.25">
      <c r="A6280" s="222">
        <v>510028</v>
      </c>
      <c r="B6280" s="223" t="s">
        <v>10802</v>
      </c>
      <c r="C6280" s="221" t="s">
        <v>10803</v>
      </c>
    </row>
    <row r="6281" spans="1:3" x14ac:dyDescent="0.25">
      <c r="A6281" s="222">
        <v>510028</v>
      </c>
      <c r="B6281" s="223" t="s">
        <v>10802</v>
      </c>
      <c r="C6281" s="221" t="s">
        <v>10804</v>
      </c>
    </row>
    <row r="6282" spans="1:3" x14ac:dyDescent="0.25">
      <c r="A6282" s="222">
        <v>510029</v>
      </c>
      <c r="B6282" s="223" t="s">
        <v>10805</v>
      </c>
      <c r="C6282" s="221" t="s">
        <v>10806</v>
      </c>
    </row>
    <row r="6283" spans="1:3" x14ac:dyDescent="0.25">
      <c r="A6283" s="222">
        <v>510029</v>
      </c>
      <c r="B6283" s="223" t="s">
        <v>10805</v>
      </c>
      <c r="C6283" s="221" t="s">
        <v>10807</v>
      </c>
    </row>
    <row r="6284" spans="1:3" x14ac:dyDescent="0.25">
      <c r="A6284" s="222">
        <v>510030</v>
      </c>
      <c r="B6284" s="223" t="s">
        <v>10808</v>
      </c>
      <c r="C6284" s="221" t="s">
        <v>10809</v>
      </c>
    </row>
    <row r="6285" spans="1:3" x14ac:dyDescent="0.25">
      <c r="A6285" s="222">
        <v>510030</v>
      </c>
      <c r="B6285" s="223" t="s">
        <v>10808</v>
      </c>
      <c r="C6285" s="221" t="s">
        <v>10810</v>
      </c>
    </row>
    <row r="6286" spans="1:3" x14ac:dyDescent="0.25">
      <c r="A6286" s="222">
        <v>510031</v>
      </c>
      <c r="B6286" s="223" t="s">
        <v>10811</v>
      </c>
      <c r="C6286" s="221" t="s">
        <v>10812</v>
      </c>
    </row>
    <row r="6287" spans="1:3" x14ac:dyDescent="0.25">
      <c r="A6287" s="222">
        <v>510031</v>
      </c>
      <c r="B6287" s="223" t="s">
        <v>10811</v>
      </c>
      <c r="C6287" s="221" t="s">
        <v>10813</v>
      </c>
    </row>
    <row r="6288" spans="1:3" x14ac:dyDescent="0.25">
      <c r="A6288" s="222">
        <v>510032</v>
      </c>
      <c r="B6288" s="223" t="s">
        <v>10814</v>
      </c>
      <c r="C6288" s="221" t="s">
        <v>10815</v>
      </c>
    </row>
    <row r="6289" spans="1:3" x14ac:dyDescent="0.25">
      <c r="A6289" s="222">
        <v>510032</v>
      </c>
      <c r="B6289" s="223" t="s">
        <v>10814</v>
      </c>
      <c r="C6289" s="221" t="s">
        <v>10816</v>
      </c>
    </row>
    <row r="6290" spans="1:3" x14ac:dyDescent="0.25">
      <c r="A6290" s="222">
        <v>510033</v>
      </c>
      <c r="B6290" s="223" t="s">
        <v>10817</v>
      </c>
      <c r="C6290" s="221" t="s">
        <v>10818</v>
      </c>
    </row>
    <row r="6291" spans="1:3" x14ac:dyDescent="0.25">
      <c r="A6291" s="222">
        <v>510033</v>
      </c>
      <c r="B6291" s="223" t="s">
        <v>10817</v>
      </c>
      <c r="C6291" s="221" t="s">
        <v>10819</v>
      </c>
    </row>
    <row r="6292" spans="1:3" x14ac:dyDescent="0.25">
      <c r="A6292" s="222">
        <v>510034</v>
      </c>
      <c r="B6292" s="223" t="s">
        <v>10820</v>
      </c>
      <c r="C6292" s="221" t="s">
        <v>10821</v>
      </c>
    </row>
    <row r="6293" spans="1:3" x14ac:dyDescent="0.25">
      <c r="A6293" s="222">
        <v>510034</v>
      </c>
      <c r="B6293" s="223" t="s">
        <v>10820</v>
      </c>
      <c r="C6293" s="221" t="s">
        <v>10822</v>
      </c>
    </row>
    <row r="6294" spans="1:3" x14ac:dyDescent="0.25">
      <c r="A6294" s="222">
        <v>510035</v>
      </c>
      <c r="B6294" s="223" t="s">
        <v>10823</v>
      </c>
      <c r="C6294" s="221" t="s">
        <v>10824</v>
      </c>
    </row>
    <row r="6295" spans="1:3" x14ac:dyDescent="0.25">
      <c r="A6295" s="222">
        <v>510035</v>
      </c>
      <c r="B6295" s="223" t="s">
        <v>10823</v>
      </c>
      <c r="C6295" s="221" t="s">
        <v>10825</v>
      </c>
    </row>
    <row r="6296" spans="1:3" x14ac:dyDescent="0.25">
      <c r="A6296" s="222">
        <v>510036</v>
      </c>
      <c r="B6296" s="223" t="s">
        <v>10826</v>
      </c>
      <c r="C6296" s="221" t="s">
        <v>10827</v>
      </c>
    </row>
    <row r="6297" spans="1:3" x14ac:dyDescent="0.25">
      <c r="A6297" s="222">
        <v>510036</v>
      </c>
      <c r="B6297" s="223" t="s">
        <v>10826</v>
      </c>
      <c r="C6297" s="221" t="s">
        <v>10828</v>
      </c>
    </row>
    <row r="6298" spans="1:3" x14ac:dyDescent="0.25">
      <c r="A6298" s="222">
        <v>510037</v>
      </c>
      <c r="B6298" s="223" t="s">
        <v>10829</v>
      </c>
      <c r="C6298" s="221" t="s">
        <v>10830</v>
      </c>
    </row>
    <row r="6299" spans="1:3" x14ac:dyDescent="0.25">
      <c r="A6299" s="222">
        <v>510037</v>
      </c>
      <c r="B6299" s="223" t="s">
        <v>10829</v>
      </c>
      <c r="C6299" s="221" t="s">
        <v>10831</v>
      </c>
    </row>
    <row r="6300" spans="1:3" x14ac:dyDescent="0.25">
      <c r="A6300" s="222">
        <v>510038</v>
      </c>
      <c r="B6300" s="223" t="s">
        <v>10832</v>
      </c>
      <c r="C6300" s="221" t="s">
        <v>10833</v>
      </c>
    </row>
    <row r="6301" spans="1:3" x14ac:dyDescent="0.25">
      <c r="A6301" s="222">
        <v>510038</v>
      </c>
      <c r="B6301" s="223" t="s">
        <v>10832</v>
      </c>
      <c r="C6301" s="221" t="s">
        <v>10834</v>
      </c>
    </row>
    <row r="6302" spans="1:3" x14ac:dyDescent="0.25">
      <c r="A6302" s="222">
        <v>510039</v>
      </c>
      <c r="B6302" s="223" t="s">
        <v>10835</v>
      </c>
      <c r="C6302" s="221" t="s">
        <v>10836</v>
      </c>
    </row>
    <row r="6303" spans="1:3" x14ac:dyDescent="0.25">
      <c r="A6303" s="222">
        <v>510039</v>
      </c>
      <c r="B6303" s="223" t="s">
        <v>10835</v>
      </c>
      <c r="C6303" s="221" t="s">
        <v>10837</v>
      </c>
    </row>
    <row r="6304" spans="1:3" x14ac:dyDescent="0.25">
      <c r="A6304" s="222">
        <v>510040</v>
      </c>
      <c r="B6304" s="223" t="s">
        <v>10838</v>
      </c>
      <c r="C6304" s="221" t="s">
        <v>10839</v>
      </c>
    </row>
    <row r="6305" spans="1:3" x14ac:dyDescent="0.25">
      <c r="A6305" s="222">
        <v>510040</v>
      </c>
      <c r="B6305" s="223" t="s">
        <v>10838</v>
      </c>
      <c r="C6305" s="221" t="s">
        <v>10840</v>
      </c>
    </row>
    <row r="6306" spans="1:3" x14ac:dyDescent="0.25">
      <c r="A6306" s="222">
        <v>510041</v>
      </c>
      <c r="B6306" s="223" t="s">
        <v>10841</v>
      </c>
      <c r="C6306" s="221" t="s">
        <v>10842</v>
      </c>
    </row>
    <row r="6307" spans="1:3" x14ac:dyDescent="0.25">
      <c r="A6307" s="222">
        <v>510041</v>
      </c>
      <c r="B6307" s="223" t="s">
        <v>10841</v>
      </c>
      <c r="C6307" s="221" t="s">
        <v>10843</v>
      </c>
    </row>
    <row r="6308" spans="1:3" x14ac:dyDescent="0.25">
      <c r="A6308" s="222">
        <v>510042</v>
      </c>
      <c r="B6308" s="223" t="s">
        <v>10844</v>
      </c>
      <c r="C6308" s="221" t="s">
        <v>10845</v>
      </c>
    </row>
    <row r="6309" spans="1:3" x14ac:dyDescent="0.25">
      <c r="A6309" s="222">
        <v>510042</v>
      </c>
      <c r="B6309" s="223" t="s">
        <v>10844</v>
      </c>
      <c r="C6309" s="221" t="s">
        <v>10846</v>
      </c>
    </row>
    <row r="6310" spans="1:3" x14ac:dyDescent="0.25">
      <c r="A6310" s="222">
        <v>510043</v>
      </c>
      <c r="B6310" s="223" t="s">
        <v>10847</v>
      </c>
      <c r="C6310" s="221" t="s">
        <v>10848</v>
      </c>
    </row>
    <row r="6311" spans="1:3" x14ac:dyDescent="0.25">
      <c r="A6311" s="222">
        <v>510043</v>
      </c>
      <c r="B6311" s="223" t="s">
        <v>10847</v>
      </c>
      <c r="C6311" s="221" t="s">
        <v>10849</v>
      </c>
    </row>
    <row r="6312" spans="1:3" x14ac:dyDescent="0.25">
      <c r="A6312" s="222">
        <v>510044</v>
      </c>
      <c r="B6312" s="223" t="s">
        <v>10850</v>
      </c>
      <c r="C6312" s="221" t="s">
        <v>10851</v>
      </c>
    </row>
    <row r="6313" spans="1:3" x14ac:dyDescent="0.25">
      <c r="A6313" s="222">
        <v>510044</v>
      </c>
      <c r="B6313" s="223" t="s">
        <v>10850</v>
      </c>
      <c r="C6313" s="221" t="s">
        <v>10852</v>
      </c>
    </row>
    <row r="6314" spans="1:3" x14ac:dyDescent="0.25">
      <c r="A6314" s="222">
        <v>510045</v>
      </c>
      <c r="B6314" s="223" t="s">
        <v>10853</v>
      </c>
      <c r="C6314" s="221" t="s">
        <v>10854</v>
      </c>
    </row>
    <row r="6315" spans="1:3" x14ac:dyDescent="0.25">
      <c r="A6315" s="222">
        <v>510045</v>
      </c>
      <c r="B6315" s="223" t="s">
        <v>10853</v>
      </c>
      <c r="C6315" s="221" t="s">
        <v>10855</v>
      </c>
    </row>
    <row r="6316" spans="1:3" x14ac:dyDescent="0.25">
      <c r="A6316" s="222">
        <v>510046</v>
      </c>
      <c r="B6316" s="223" t="s">
        <v>10856</v>
      </c>
      <c r="C6316" s="221" t="s">
        <v>10857</v>
      </c>
    </row>
    <row r="6317" spans="1:3" x14ac:dyDescent="0.25">
      <c r="A6317" s="222">
        <v>510046</v>
      </c>
      <c r="B6317" s="223" t="s">
        <v>10856</v>
      </c>
      <c r="C6317" s="221" t="s">
        <v>10858</v>
      </c>
    </row>
    <row r="6318" spans="1:3" x14ac:dyDescent="0.25">
      <c r="A6318" s="222">
        <v>510047</v>
      </c>
      <c r="B6318" s="223" t="s">
        <v>10859</v>
      </c>
      <c r="C6318" s="221" t="s">
        <v>10860</v>
      </c>
    </row>
    <row r="6319" spans="1:3" x14ac:dyDescent="0.25">
      <c r="A6319" s="222">
        <v>510047</v>
      </c>
      <c r="B6319" s="223" t="s">
        <v>10859</v>
      </c>
      <c r="C6319" s="221" t="s">
        <v>10861</v>
      </c>
    </row>
    <row r="6320" spans="1:3" x14ac:dyDescent="0.25">
      <c r="A6320" s="222">
        <v>510048</v>
      </c>
      <c r="B6320" s="223" t="s">
        <v>10862</v>
      </c>
      <c r="C6320" s="221" t="s">
        <v>10863</v>
      </c>
    </row>
    <row r="6321" spans="1:3" x14ac:dyDescent="0.25">
      <c r="A6321" s="222">
        <v>510048</v>
      </c>
      <c r="B6321" s="223" t="s">
        <v>10862</v>
      </c>
      <c r="C6321" s="221" t="s">
        <v>10864</v>
      </c>
    </row>
    <row r="6322" spans="1:3" x14ac:dyDescent="0.25">
      <c r="A6322" s="222">
        <v>510049</v>
      </c>
      <c r="B6322" s="223" t="s">
        <v>10865</v>
      </c>
      <c r="C6322" s="221" t="s">
        <v>10866</v>
      </c>
    </row>
    <row r="6323" spans="1:3" x14ac:dyDescent="0.25">
      <c r="A6323" s="222">
        <v>510049</v>
      </c>
      <c r="B6323" s="223" t="s">
        <v>10865</v>
      </c>
      <c r="C6323" s="221" t="s">
        <v>10867</v>
      </c>
    </row>
    <row r="6324" spans="1:3" x14ac:dyDescent="0.25">
      <c r="A6324" s="222">
        <v>510050</v>
      </c>
      <c r="B6324" s="223" t="s">
        <v>10868</v>
      </c>
      <c r="C6324" s="221" t="s">
        <v>10869</v>
      </c>
    </row>
    <row r="6325" spans="1:3" x14ac:dyDescent="0.25">
      <c r="A6325" s="222">
        <v>510050</v>
      </c>
      <c r="B6325" s="223" t="s">
        <v>10868</v>
      </c>
      <c r="C6325" s="221" t="s">
        <v>10870</v>
      </c>
    </row>
    <row r="6326" spans="1:3" x14ac:dyDescent="0.25">
      <c r="A6326" s="222">
        <v>510051</v>
      </c>
      <c r="B6326" s="223" t="s">
        <v>10871</v>
      </c>
      <c r="C6326" s="221" t="s">
        <v>10872</v>
      </c>
    </row>
    <row r="6327" spans="1:3" x14ac:dyDescent="0.25">
      <c r="A6327" s="222">
        <v>510051</v>
      </c>
      <c r="B6327" s="223" t="s">
        <v>10871</v>
      </c>
      <c r="C6327" s="221" t="s">
        <v>10873</v>
      </c>
    </row>
    <row r="6328" spans="1:3" x14ac:dyDescent="0.25">
      <c r="A6328" s="222">
        <v>510052</v>
      </c>
      <c r="B6328" s="223" t="s">
        <v>10874</v>
      </c>
      <c r="C6328" s="221" t="s">
        <v>10875</v>
      </c>
    </row>
    <row r="6329" spans="1:3" x14ac:dyDescent="0.25">
      <c r="A6329" s="222">
        <v>510052</v>
      </c>
      <c r="B6329" s="223" t="s">
        <v>10874</v>
      </c>
      <c r="C6329" s="221" t="s">
        <v>10876</v>
      </c>
    </row>
    <row r="6330" spans="1:3" x14ac:dyDescent="0.25">
      <c r="A6330" s="222">
        <v>510053</v>
      </c>
      <c r="B6330" s="223" t="s">
        <v>10877</v>
      </c>
      <c r="C6330" s="221" t="s">
        <v>10878</v>
      </c>
    </row>
    <row r="6331" spans="1:3" x14ac:dyDescent="0.25">
      <c r="A6331" s="222">
        <v>510053</v>
      </c>
      <c r="B6331" s="223" t="s">
        <v>10877</v>
      </c>
      <c r="C6331" s="221" t="s">
        <v>10879</v>
      </c>
    </row>
    <row r="6332" spans="1:3" x14ac:dyDescent="0.25">
      <c r="A6332" s="222">
        <v>510054</v>
      </c>
      <c r="B6332" s="223" t="s">
        <v>10880</v>
      </c>
      <c r="C6332" s="221" t="s">
        <v>10881</v>
      </c>
    </row>
    <row r="6333" spans="1:3" x14ac:dyDescent="0.25">
      <c r="A6333" s="222">
        <v>510054</v>
      </c>
      <c r="B6333" s="223" t="s">
        <v>10880</v>
      </c>
      <c r="C6333" s="221" t="s">
        <v>10882</v>
      </c>
    </row>
    <row r="6334" spans="1:3" x14ac:dyDescent="0.25">
      <c r="A6334" s="222">
        <v>510055</v>
      </c>
      <c r="B6334" s="223" t="s">
        <v>10883</v>
      </c>
      <c r="C6334" s="221" t="s">
        <v>10884</v>
      </c>
    </row>
    <row r="6335" spans="1:3" x14ac:dyDescent="0.25">
      <c r="A6335" s="222">
        <v>510055</v>
      </c>
      <c r="B6335" s="223" t="s">
        <v>10883</v>
      </c>
      <c r="C6335" s="221" t="s">
        <v>10885</v>
      </c>
    </row>
    <row r="6336" spans="1:3" x14ac:dyDescent="0.25">
      <c r="A6336" s="222">
        <v>510056</v>
      </c>
      <c r="B6336" s="223" t="s">
        <v>10886</v>
      </c>
      <c r="C6336" s="221" t="s">
        <v>10887</v>
      </c>
    </row>
    <row r="6337" spans="1:3" x14ac:dyDescent="0.25">
      <c r="A6337" s="222">
        <v>510056</v>
      </c>
      <c r="B6337" s="223" t="s">
        <v>10886</v>
      </c>
      <c r="C6337" s="221" t="s">
        <v>10888</v>
      </c>
    </row>
    <row r="6338" spans="1:3" x14ac:dyDescent="0.25">
      <c r="A6338" s="222">
        <v>510057</v>
      </c>
      <c r="B6338" s="223" t="s">
        <v>10889</v>
      </c>
      <c r="C6338" s="221" t="s">
        <v>10890</v>
      </c>
    </row>
    <row r="6339" spans="1:3" x14ac:dyDescent="0.25">
      <c r="A6339" s="222">
        <v>510057</v>
      </c>
      <c r="B6339" s="223" t="s">
        <v>10889</v>
      </c>
      <c r="C6339" s="221" t="s">
        <v>10891</v>
      </c>
    </row>
    <row r="6340" spans="1:3" x14ac:dyDescent="0.25">
      <c r="A6340" s="222">
        <v>510058</v>
      </c>
      <c r="B6340" s="223" t="s">
        <v>10892</v>
      </c>
      <c r="C6340" s="221" t="s">
        <v>10893</v>
      </c>
    </row>
    <row r="6341" spans="1:3" x14ac:dyDescent="0.25">
      <c r="A6341" s="222">
        <v>510058</v>
      </c>
      <c r="B6341" s="223" t="s">
        <v>10892</v>
      </c>
      <c r="C6341" s="221" t="s">
        <v>10894</v>
      </c>
    </row>
    <row r="6342" spans="1:3" x14ac:dyDescent="0.25">
      <c r="A6342" s="222">
        <v>510059</v>
      </c>
      <c r="B6342" s="223" t="s">
        <v>10895</v>
      </c>
      <c r="C6342" s="221" t="s">
        <v>10896</v>
      </c>
    </row>
    <row r="6343" spans="1:3" x14ac:dyDescent="0.25">
      <c r="A6343" s="222">
        <v>510059</v>
      </c>
      <c r="B6343" s="223" t="s">
        <v>10895</v>
      </c>
      <c r="C6343" s="221" t="s">
        <v>10897</v>
      </c>
    </row>
    <row r="6344" spans="1:3" x14ac:dyDescent="0.25">
      <c r="A6344" s="222">
        <v>510060</v>
      </c>
      <c r="B6344" s="223" t="s">
        <v>10898</v>
      </c>
      <c r="C6344" s="221" t="s">
        <v>10899</v>
      </c>
    </row>
    <row r="6345" spans="1:3" x14ac:dyDescent="0.25">
      <c r="A6345" s="222">
        <v>510060</v>
      </c>
      <c r="B6345" s="223" t="s">
        <v>10898</v>
      </c>
      <c r="C6345" s="221" t="s">
        <v>10900</v>
      </c>
    </row>
    <row r="6346" spans="1:3" x14ac:dyDescent="0.25">
      <c r="A6346" s="222">
        <v>510061</v>
      </c>
      <c r="B6346" s="223" t="s">
        <v>10901</v>
      </c>
      <c r="C6346" s="221" t="s">
        <v>10902</v>
      </c>
    </row>
    <row r="6347" spans="1:3" x14ac:dyDescent="0.25">
      <c r="A6347" s="222">
        <v>510061</v>
      </c>
      <c r="B6347" s="223" t="s">
        <v>10901</v>
      </c>
      <c r="C6347" s="221" t="s">
        <v>10903</v>
      </c>
    </row>
    <row r="6348" spans="1:3" x14ac:dyDescent="0.25">
      <c r="A6348" s="222">
        <v>510062</v>
      </c>
      <c r="B6348" s="223" t="s">
        <v>10904</v>
      </c>
      <c r="C6348" s="221" t="s">
        <v>10905</v>
      </c>
    </row>
    <row r="6349" spans="1:3" x14ac:dyDescent="0.25">
      <c r="A6349" s="222">
        <v>510062</v>
      </c>
      <c r="B6349" s="223" t="s">
        <v>10904</v>
      </c>
      <c r="C6349" s="221" t="s">
        <v>10906</v>
      </c>
    </row>
    <row r="6350" spans="1:3" x14ac:dyDescent="0.25">
      <c r="A6350" s="222">
        <v>510063</v>
      </c>
      <c r="B6350" s="223" t="s">
        <v>10907</v>
      </c>
      <c r="C6350" s="221" t="s">
        <v>10908</v>
      </c>
    </row>
    <row r="6351" spans="1:3" x14ac:dyDescent="0.25">
      <c r="A6351" s="222">
        <v>510063</v>
      </c>
      <c r="B6351" s="223" t="s">
        <v>10907</v>
      </c>
      <c r="C6351" s="221" t="s">
        <v>10909</v>
      </c>
    </row>
    <row r="6352" spans="1:3" x14ac:dyDescent="0.25">
      <c r="A6352" s="222">
        <v>510064</v>
      </c>
      <c r="B6352" s="223" t="s">
        <v>10910</v>
      </c>
      <c r="C6352" s="221" t="s">
        <v>10911</v>
      </c>
    </row>
    <row r="6353" spans="1:3" x14ac:dyDescent="0.25">
      <c r="A6353" s="222">
        <v>510064</v>
      </c>
      <c r="B6353" s="223" t="s">
        <v>10910</v>
      </c>
      <c r="C6353" s="221" t="s">
        <v>10912</v>
      </c>
    </row>
    <row r="6354" spans="1:3" x14ac:dyDescent="0.25">
      <c r="A6354" s="222">
        <v>510065</v>
      </c>
      <c r="B6354" s="223" t="s">
        <v>10913</v>
      </c>
      <c r="C6354" s="221" t="s">
        <v>10914</v>
      </c>
    </row>
    <row r="6355" spans="1:3" x14ac:dyDescent="0.25">
      <c r="A6355" s="222">
        <v>510065</v>
      </c>
      <c r="B6355" s="223" t="s">
        <v>10913</v>
      </c>
      <c r="C6355" s="221" t="s">
        <v>10915</v>
      </c>
    </row>
    <row r="6356" spans="1:3" x14ac:dyDescent="0.25">
      <c r="A6356" s="222">
        <v>510066</v>
      </c>
      <c r="B6356" s="223" t="s">
        <v>10916</v>
      </c>
      <c r="C6356" s="221" t="s">
        <v>10917</v>
      </c>
    </row>
    <row r="6357" spans="1:3" x14ac:dyDescent="0.25">
      <c r="A6357" s="222">
        <v>510066</v>
      </c>
      <c r="B6357" s="223" t="s">
        <v>10916</v>
      </c>
      <c r="C6357" s="221" t="s">
        <v>10918</v>
      </c>
    </row>
    <row r="6358" spans="1:3" x14ac:dyDescent="0.25">
      <c r="A6358" s="222">
        <v>510067</v>
      </c>
      <c r="B6358" s="223" t="s">
        <v>10919</v>
      </c>
      <c r="C6358" s="221" t="s">
        <v>10920</v>
      </c>
    </row>
    <row r="6359" spans="1:3" x14ac:dyDescent="0.25">
      <c r="A6359" s="222">
        <v>510067</v>
      </c>
      <c r="B6359" s="223" t="s">
        <v>10919</v>
      </c>
      <c r="C6359" s="221" t="s">
        <v>10921</v>
      </c>
    </row>
    <row r="6360" spans="1:3" x14ac:dyDescent="0.25">
      <c r="A6360" s="222">
        <v>510068</v>
      </c>
      <c r="B6360" s="223" t="s">
        <v>10922</v>
      </c>
      <c r="C6360" s="221" t="s">
        <v>10923</v>
      </c>
    </row>
    <row r="6361" spans="1:3" x14ac:dyDescent="0.25">
      <c r="A6361" s="222">
        <v>510068</v>
      </c>
      <c r="B6361" s="223" t="s">
        <v>10922</v>
      </c>
      <c r="C6361" s="221" t="s">
        <v>10924</v>
      </c>
    </row>
    <row r="6362" spans="1:3" x14ac:dyDescent="0.25">
      <c r="A6362" s="222">
        <v>510069</v>
      </c>
      <c r="B6362" s="223" t="s">
        <v>10925</v>
      </c>
      <c r="C6362" s="221" t="s">
        <v>10926</v>
      </c>
    </row>
    <row r="6363" spans="1:3" x14ac:dyDescent="0.25">
      <c r="A6363" s="222">
        <v>510069</v>
      </c>
      <c r="B6363" s="223" t="s">
        <v>10925</v>
      </c>
      <c r="C6363" s="221" t="s">
        <v>10927</v>
      </c>
    </row>
    <row r="6364" spans="1:3" x14ac:dyDescent="0.25">
      <c r="A6364" s="222">
        <v>510070</v>
      </c>
      <c r="B6364" s="223" t="s">
        <v>10928</v>
      </c>
      <c r="C6364" s="221" t="s">
        <v>10929</v>
      </c>
    </row>
    <row r="6365" spans="1:3" x14ac:dyDescent="0.25">
      <c r="A6365" s="222">
        <v>510070</v>
      </c>
      <c r="B6365" s="223" t="s">
        <v>10928</v>
      </c>
      <c r="C6365" s="221" t="s">
        <v>10930</v>
      </c>
    </row>
    <row r="6366" spans="1:3" x14ac:dyDescent="0.25">
      <c r="A6366" s="222">
        <v>510071</v>
      </c>
      <c r="B6366" s="223" t="s">
        <v>10931</v>
      </c>
      <c r="C6366" s="221" t="s">
        <v>10932</v>
      </c>
    </row>
    <row r="6367" spans="1:3" x14ac:dyDescent="0.25">
      <c r="A6367" s="222">
        <v>510071</v>
      </c>
      <c r="B6367" s="223" t="s">
        <v>10931</v>
      </c>
      <c r="C6367" s="221" t="s">
        <v>10933</v>
      </c>
    </row>
    <row r="6368" spans="1:3" x14ac:dyDescent="0.25">
      <c r="A6368" s="222">
        <v>510072</v>
      </c>
      <c r="B6368" s="223" t="s">
        <v>10934</v>
      </c>
      <c r="C6368" s="221" t="s">
        <v>10935</v>
      </c>
    </row>
    <row r="6369" spans="1:3" x14ac:dyDescent="0.25">
      <c r="A6369" s="222">
        <v>510072</v>
      </c>
      <c r="B6369" s="223" t="s">
        <v>10934</v>
      </c>
      <c r="C6369" s="221" t="s">
        <v>10936</v>
      </c>
    </row>
    <row r="6370" spans="1:3" x14ac:dyDescent="0.25">
      <c r="A6370" s="222">
        <v>510073</v>
      </c>
      <c r="B6370" s="223" t="s">
        <v>10937</v>
      </c>
      <c r="C6370" s="221" t="s">
        <v>10938</v>
      </c>
    </row>
    <row r="6371" spans="1:3" x14ac:dyDescent="0.25">
      <c r="A6371" s="222">
        <v>510073</v>
      </c>
      <c r="B6371" s="223" t="s">
        <v>10937</v>
      </c>
      <c r="C6371" s="221" t="s">
        <v>10939</v>
      </c>
    </row>
    <row r="6372" spans="1:3" x14ac:dyDescent="0.25">
      <c r="A6372" s="222">
        <v>510074</v>
      </c>
      <c r="B6372" s="223" t="s">
        <v>10940</v>
      </c>
      <c r="C6372" s="221" t="s">
        <v>10941</v>
      </c>
    </row>
    <row r="6373" spans="1:3" x14ac:dyDescent="0.25">
      <c r="A6373" s="222">
        <v>510074</v>
      </c>
      <c r="B6373" s="223" t="s">
        <v>10940</v>
      </c>
      <c r="C6373" s="221" t="s">
        <v>10942</v>
      </c>
    </row>
    <row r="6374" spans="1:3" x14ac:dyDescent="0.25">
      <c r="A6374" s="222">
        <v>510076</v>
      </c>
      <c r="B6374" s="223" t="s">
        <v>10943</v>
      </c>
      <c r="C6374" s="221" t="s">
        <v>10944</v>
      </c>
    </row>
    <row r="6375" spans="1:3" x14ac:dyDescent="0.25">
      <c r="A6375" s="222">
        <v>510076</v>
      </c>
      <c r="B6375" s="223" t="s">
        <v>10943</v>
      </c>
      <c r="C6375" s="221" t="s">
        <v>10945</v>
      </c>
    </row>
    <row r="6376" spans="1:3" x14ac:dyDescent="0.25">
      <c r="A6376" s="222">
        <v>510077</v>
      </c>
      <c r="B6376" s="223" t="s">
        <v>10946</v>
      </c>
      <c r="C6376" s="221" t="s">
        <v>10947</v>
      </c>
    </row>
    <row r="6377" spans="1:3" x14ac:dyDescent="0.25">
      <c r="A6377" s="222">
        <v>510077</v>
      </c>
      <c r="B6377" s="223" t="s">
        <v>10946</v>
      </c>
      <c r="C6377" s="221" t="s">
        <v>10948</v>
      </c>
    </row>
    <row r="6378" spans="1:3" x14ac:dyDescent="0.25">
      <c r="A6378" s="222">
        <v>510078</v>
      </c>
      <c r="B6378" s="223" t="s">
        <v>10949</v>
      </c>
      <c r="C6378" s="221" t="s">
        <v>10950</v>
      </c>
    </row>
    <row r="6379" spans="1:3" x14ac:dyDescent="0.25">
      <c r="A6379" s="222">
        <v>510078</v>
      </c>
      <c r="B6379" s="223" t="s">
        <v>10949</v>
      </c>
      <c r="C6379" s="221" t="s">
        <v>10951</v>
      </c>
    </row>
    <row r="6380" spans="1:3" x14ac:dyDescent="0.25">
      <c r="A6380" s="222">
        <v>510079</v>
      </c>
      <c r="B6380" s="223" t="s">
        <v>10952</v>
      </c>
      <c r="C6380" s="221" t="s">
        <v>10953</v>
      </c>
    </row>
    <row r="6381" spans="1:3" x14ac:dyDescent="0.25">
      <c r="A6381" s="222">
        <v>510079</v>
      </c>
      <c r="B6381" s="223" t="s">
        <v>10952</v>
      </c>
      <c r="C6381" s="221" t="s">
        <v>10954</v>
      </c>
    </row>
    <row r="6382" spans="1:3" x14ac:dyDescent="0.25">
      <c r="A6382" s="222">
        <v>510080</v>
      </c>
      <c r="B6382" s="223" t="s">
        <v>10955</v>
      </c>
      <c r="C6382" s="221" t="s">
        <v>10956</v>
      </c>
    </row>
    <row r="6383" spans="1:3" x14ac:dyDescent="0.25">
      <c r="A6383" s="222">
        <v>510080</v>
      </c>
      <c r="B6383" s="223" t="s">
        <v>10955</v>
      </c>
      <c r="C6383" s="221" t="s">
        <v>10957</v>
      </c>
    </row>
    <row r="6384" spans="1:3" x14ac:dyDescent="0.25">
      <c r="A6384" s="222">
        <v>510081</v>
      </c>
      <c r="B6384" s="223" t="s">
        <v>10958</v>
      </c>
      <c r="C6384" s="221" t="s">
        <v>10959</v>
      </c>
    </row>
    <row r="6385" spans="1:3" x14ac:dyDescent="0.25">
      <c r="A6385" s="222">
        <v>510081</v>
      </c>
      <c r="B6385" s="223" t="s">
        <v>10958</v>
      </c>
      <c r="C6385" s="221" t="s">
        <v>10960</v>
      </c>
    </row>
    <row r="6386" spans="1:3" x14ac:dyDescent="0.25">
      <c r="A6386" s="222">
        <v>510082</v>
      </c>
      <c r="B6386" s="223" t="s">
        <v>10961</v>
      </c>
      <c r="C6386" s="221" t="s">
        <v>10962</v>
      </c>
    </row>
    <row r="6387" spans="1:3" x14ac:dyDescent="0.25">
      <c r="A6387" s="222">
        <v>510082</v>
      </c>
      <c r="B6387" s="223" t="s">
        <v>10961</v>
      </c>
      <c r="C6387" s="221" t="s">
        <v>10963</v>
      </c>
    </row>
    <row r="6388" spans="1:3" x14ac:dyDescent="0.25">
      <c r="A6388" s="222">
        <v>510083</v>
      </c>
      <c r="B6388" s="223" t="s">
        <v>10964</v>
      </c>
      <c r="C6388" s="221" t="s">
        <v>10965</v>
      </c>
    </row>
    <row r="6389" spans="1:3" x14ac:dyDescent="0.25">
      <c r="A6389" s="222">
        <v>510083</v>
      </c>
      <c r="B6389" s="223" t="s">
        <v>10964</v>
      </c>
      <c r="C6389" s="221" t="s">
        <v>10966</v>
      </c>
    </row>
    <row r="6390" spans="1:3" x14ac:dyDescent="0.25">
      <c r="A6390" s="222">
        <v>510084</v>
      </c>
      <c r="B6390" s="223" t="s">
        <v>10967</v>
      </c>
      <c r="C6390" s="221" t="s">
        <v>10968</v>
      </c>
    </row>
    <row r="6391" spans="1:3" x14ac:dyDescent="0.25">
      <c r="A6391" s="222">
        <v>510084</v>
      </c>
      <c r="B6391" s="223" t="s">
        <v>10967</v>
      </c>
      <c r="C6391" s="221" t="s">
        <v>10969</v>
      </c>
    </row>
    <row r="6392" spans="1:3" x14ac:dyDescent="0.25">
      <c r="A6392" s="222">
        <v>510085</v>
      </c>
      <c r="B6392" s="223" t="s">
        <v>10970</v>
      </c>
      <c r="C6392" s="221" t="s">
        <v>10971</v>
      </c>
    </row>
    <row r="6393" spans="1:3" x14ac:dyDescent="0.25">
      <c r="A6393" s="222">
        <v>510085</v>
      </c>
      <c r="B6393" s="223" t="s">
        <v>10970</v>
      </c>
      <c r="C6393" s="221" t="s">
        <v>10972</v>
      </c>
    </row>
    <row r="6394" spans="1:3" x14ac:dyDescent="0.25">
      <c r="A6394" s="222">
        <v>510086</v>
      </c>
      <c r="B6394" s="223" t="s">
        <v>10973</v>
      </c>
      <c r="C6394" s="221" t="s">
        <v>10974</v>
      </c>
    </row>
    <row r="6395" spans="1:3" x14ac:dyDescent="0.25">
      <c r="A6395" s="222">
        <v>510086</v>
      </c>
      <c r="B6395" s="223" t="s">
        <v>10973</v>
      </c>
      <c r="C6395" s="221" t="s">
        <v>10975</v>
      </c>
    </row>
    <row r="6396" spans="1:3" x14ac:dyDescent="0.25">
      <c r="A6396" s="222">
        <v>510087</v>
      </c>
      <c r="B6396" s="223" t="s">
        <v>10976</v>
      </c>
      <c r="C6396" s="221" t="s">
        <v>10977</v>
      </c>
    </row>
    <row r="6397" spans="1:3" x14ac:dyDescent="0.25">
      <c r="A6397" s="222">
        <v>510087</v>
      </c>
      <c r="B6397" s="223" t="s">
        <v>10976</v>
      </c>
      <c r="C6397" s="221" t="s">
        <v>10978</v>
      </c>
    </row>
    <row r="6398" spans="1:3" x14ac:dyDescent="0.25">
      <c r="A6398" s="222">
        <v>510088</v>
      </c>
      <c r="B6398" s="223" t="s">
        <v>10979</v>
      </c>
      <c r="C6398" s="221" t="s">
        <v>10980</v>
      </c>
    </row>
    <row r="6399" spans="1:3" x14ac:dyDescent="0.25">
      <c r="A6399" s="222">
        <v>510088</v>
      </c>
      <c r="B6399" s="223" t="s">
        <v>10979</v>
      </c>
      <c r="C6399" s="221" t="s">
        <v>10981</v>
      </c>
    </row>
    <row r="6400" spans="1:3" x14ac:dyDescent="0.25">
      <c r="A6400" s="222">
        <v>510089</v>
      </c>
      <c r="B6400" s="223" t="s">
        <v>10982</v>
      </c>
      <c r="C6400" s="221" t="s">
        <v>10983</v>
      </c>
    </row>
    <row r="6401" spans="1:3" x14ac:dyDescent="0.25">
      <c r="A6401" s="222">
        <v>510089</v>
      </c>
      <c r="B6401" s="223" t="s">
        <v>10982</v>
      </c>
      <c r="C6401" s="221" t="s">
        <v>10984</v>
      </c>
    </row>
    <row r="6402" spans="1:3" x14ac:dyDescent="0.25">
      <c r="A6402" s="222">
        <v>510090</v>
      </c>
      <c r="B6402" s="223" t="s">
        <v>10985</v>
      </c>
      <c r="C6402" s="221" t="s">
        <v>10986</v>
      </c>
    </row>
    <row r="6403" spans="1:3" x14ac:dyDescent="0.25">
      <c r="A6403" s="222">
        <v>510090</v>
      </c>
      <c r="B6403" s="223" t="s">
        <v>10985</v>
      </c>
      <c r="C6403" s="221" t="s">
        <v>10987</v>
      </c>
    </row>
    <row r="6404" spans="1:3" x14ac:dyDescent="0.25">
      <c r="A6404" s="222">
        <v>510091</v>
      </c>
      <c r="B6404" s="223" t="s">
        <v>10988</v>
      </c>
      <c r="C6404" s="221" t="s">
        <v>10989</v>
      </c>
    </row>
    <row r="6405" spans="1:3" x14ac:dyDescent="0.25">
      <c r="A6405" s="222">
        <v>510091</v>
      </c>
      <c r="B6405" s="223" t="s">
        <v>10988</v>
      </c>
      <c r="C6405" s="221" t="s">
        <v>10990</v>
      </c>
    </row>
    <row r="6406" spans="1:3" x14ac:dyDescent="0.25">
      <c r="A6406" s="222">
        <v>510092</v>
      </c>
      <c r="B6406" s="223" t="s">
        <v>10991</v>
      </c>
      <c r="C6406" s="221" t="s">
        <v>10992</v>
      </c>
    </row>
    <row r="6407" spans="1:3" x14ac:dyDescent="0.25">
      <c r="A6407" s="222">
        <v>510092</v>
      </c>
      <c r="B6407" s="223" t="s">
        <v>10991</v>
      </c>
      <c r="C6407" s="221" t="s">
        <v>10993</v>
      </c>
    </row>
    <row r="6408" spans="1:3" x14ac:dyDescent="0.25">
      <c r="A6408" s="222">
        <v>510093</v>
      </c>
      <c r="B6408" s="223" t="s">
        <v>10994</v>
      </c>
      <c r="C6408" s="221" t="s">
        <v>10995</v>
      </c>
    </row>
    <row r="6409" spans="1:3" x14ac:dyDescent="0.25">
      <c r="A6409" s="222">
        <v>510093</v>
      </c>
      <c r="B6409" s="223" t="s">
        <v>10994</v>
      </c>
      <c r="C6409" s="221" t="s">
        <v>10996</v>
      </c>
    </row>
    <row r="6410" spans="1:3" x14ac:dyDescent="0.25">
      <c r="A6410" s="222">
        <v>510094</v>
      </c>
      <c r="B6410" s="223" t="s">
        <v>10997</v>
      </c>
      <c r="C6410" s="221" t="s">
        <v>10998</v>
      </c>
    </row>
    <row r="6411" spans="1:3" x14ac:dyDescent="0.25">
      <c r="A6411" s="222">
        <v>510094</v>
      </c>
      <c r="B6411" s="223" t="s">
        <v>10997</v>
      </c>
      <c r="C6411" s="221" t="s">
        <v>10999</v>
      </c>
    </row>
    <row r="6412" spans="1:3" x14ac:dyDescent="0.25">
      <c r="A6412" s="222">
        <v>510095</v>
      </c>
      <c r="B6412" s="223" t="s">
        <v>11000</v>
      </c>
      <c r="C6412" s="221" t="s">
        <v>11001</v>
      </c>
    </row>
    <row r="6413" spans="1:3" x14ac:dyDescent="0.25">
      <c r="A6413" s="222">
        <v>510095</v>
      </c>
      <c r="B6413" s="223" t="s">
        <v>11000</v>
      </c>
      <c r="C6413" s="221" t="s">
        <v>11002</v>
      </c>
    </row>
    <row r="6414" spans="1:3" x14ac:dyDescent="0.25">
      <c r="A6414" s="222">
        <v>510096</v>
      </c>
      <c r="B6414" s="223" t="s">
        <v>11003</v>
      </c>
      <c r="C6414" s="221" t="s">
        <v>11004</v>
      </c>
    </row>
    <row r="6415" spans="1:3" x14ac:dyDescent="0.25">
      <c r="A6415" s="222">
        <v>510096</v>
      </c>
      <c r="B6415" s="223" t="s">
        <v>11003</v>
      </c>
      <c r="C6415" s="221" t="s">
        <v>11005</v>
      </c>
    </row>
    <row r="6416" spans="1:3" x14ac:dyDescent="0.25">
      <c r="A6416" s="222">
        <v>510097</v>
      </c>
      <c r="B6416" s="223" t="s">
        <v>11006</v>
      </c>
      <c r="C6416" s="221" t="s">
        <v>11007</v>
      </c>
    </row>
    <row r="6417" spans="1:3" x14ac:dyDescent="0.25">
      <c r="A6417" s="222">
        <v>510097</v>
      </c>
      <c r="B6417" s="223" t="s">
        <v>11006</v>
      </c>
      <c r="C6417" s="221" t="s">
        <v>11008</v>
      </c>
    </row>
    <row r="6418" spans="1:3" x14ac:dyDescent="0.25">
      <c r="A6418" s="222">
        <v>510098</v>
      </c>
      <c r="B6418" s="223" t="s">
        <v>11009</v>
      </c>
      <c r="C6418" s="221" t="s">
        <v>11010</v>
      </c>
    </row>
    <row r="6419" spans="1:3" x14ac:dyDescent="0.25">
      <c r="A6419" s="222">
        <v>510098</v>
      </c>
      <c r="B6419" s="223" t="s">
        <v>11009</v>
      </c>
      <c r="C6419" s="221" t="s">
        <v>11011</v>
      </c>
    </row>
    <row r="6420" spans="1:3" x14ac:dyDescent="0.25">
      <c r="A6420" s="222">
        <v>510099</v>
      </c>
      <c r="B6420" s="223" t="s">
        <v>11012</v>
      </c>
      <c r="C6420" s="221" t="s">
        <v>11013</v>
      </c>
    </row>
    <row r="6421" spans="1:3" x14ac:dyDescent="0.25">
      <c r="A6421" s="222">
        <v>510099</v>
      </c>
      <c r="B6421" s="223" t="s">
        <v>11012</v>
      </c>
      <c r="C6421" s="221" t="s">
        <v>11014</v>
      </c>
    </row>
    <row r="6422" spans="1:3" x14ac:dyDescent="0.25">
      <c r="A6422" s="222">
        <v>510100</v>
      </c>
      <c r="B6422" s="223" t="s">
        <v>11015</v>
      </c>
      <c r="C6422" s="221" t="s">
        <v>11016</v>
      </c>
    </row>
    <row r="6423" spans="1:3" x14ac:dyDescent="0.25">
      <c r="A6423" s="222">
        <v>510100</v>
      </c>
      <c r="B6423" s="223" t="s">
        <v>11015</v>
      </c>
      <c r="C6423" s="221" t="s">
        <v>11017</v>
      </c>
    </row>
    <row r="6424" spans="1:3" x14ac:dyDescent="0.25">
      <c r="A6424" s="222">
        <v>510101</v>
      </c>
      <c r="B6424" s="223" t="s">
        <v>11018</v>
      </c>
      <c r="C6424" s="221" t="s">
        <v>11019</v>
      </c>
    </row>
    <row r="6425" spans="1:3" x14ac:dyDescent="0.25">
      <c r="A6425" s="222">
        <v>510101</v>
      </c>
      <c r="B6425" s="223" t="s">
        <v>11018</v>
      </c>
      <c r="C6425" s="221" t="s">
        <v>11020</v>
      </c>
    </row>
    <row r="6426" spans="1:3" x14ac:dyDescent="0.25">
      <c r="A6426" s="222">
        <v>510102</v>
      </c>
      <c r="B6426" s="223" t="s">
        <v>11015</v>
      </c>
      <c r="C6426" s="221" t="s">
        <v>11021</v>
      </c>
    </row>
    <row r="6427" spans="1:3" x14ac:dyDescent="0.25">
      <c r="A6427" s="222">
        <v>510102</v>
      </c>
      <c r="B6427" s="223" t="s">
        <v>11015</v>
      </c>
      <c r="C6427" s="221" t="s">
        <v>11022</v>
      </c>
    </row>
    <row r="6428" spans="1:3" x14ac:dyDescent="0.25">
      <c r="A6428" s="222">
        <v>510103</v>
      </c>
      <c r="B6428" s="223" t="s">
        <v>11023</v>
      </c>
      <c r="C6428" s="221" t="s">
        <v>11024</v>
      </c>
    </row>
    <row r="6429" spans="1:3" x14ac:dyDescent="0.25">
      <c r="A6429" s="222">
        <v>510103</v>
      </c>
      <c r="B6429" s="223" t="s">
        <v>11023</v>
      </c>
      <c r="C6429" s="221" t="s">
        <v>11025</v>
      </c>
    </row>
    <row r="6430" spans="1:3" x14ac:dyDescent="0.25">
      <c r="A6430" s="222">
        <v>510104</v>
      </c>
      <c r="B6430" s="223" t="s">
        <v>11003</v>
      </c>
      <c r="C6430" s="221" t="s">
        <v>11026</v>
      </c>
    </row>
    <row r="6431" spans="1:3" x14ac:dyDescent="0.25">
      <c r="A6431" s="222">
        <v>510104</v>
      </c>
      <c r="B6431" s="223" t="s">
        <v>11003</v>
      </c>
      <c r="C6431" s="221" t="s">
        <v>11027</v>
      </c>
    </row>
    <row r="6432" spans="1:3" x14ac:dyDescent="0.25">
      <c r="A6432" s="222">
        <v>510105</v>
      </c>
      <c r="B6432" s="223" t="s">
        <v>11028</v>
      </c>
      <c r="C6432" s="221" t="s">
        <v>11029</v>
      </c>
    </row>
    <row r="6433" spans="1:3" x14ac:dyDescent="0.25">
      <c r="A6433" s="222">
        <v>510105</v>
      </c>
      <c r="B6433" s="223" t="s">
        <v>11028</v>
      </c>
      <c r="C6433" s="221" t="s">
        <v>11030</v>
      </c>
    </row>
    <row r="6434" spans="1:3" x14ac:dyDescent="0.25">
      <c r="A6434" s="222">
        <v>510106</v>
      </c>
      <c r="B6434" s="223" t="s">
        <v>11031</v>
      </c>
      <c r="C6434" s="221" t="s">
        <v>11032</v>
      </c>
    </row>
    <row r="6435" spans="1:3" x14ac:dyDescent="0.25">
      <c r="A6435" s="222">
        <v>510106</v>
      </c>
      <c r="B6435" s="223" t="s">
        <v>11031</v>
      </c>
      <c r="C6435" s="221" t="s">
        <v>11033</v>
      </c>
    </row>
    <row r="6436" spans="1:3" x14ac:dyDescent="0.25">
      <c r="A6436" s="222">
        <v>510107</v>
      </c>
      <c r="B6436" s="223" t="s">
        <v>11034</v>
      </c>
      <c r="C6436" s="221" t="s">
        <v>11035</v>
      </c>
    </row>
    <row r="6437" spans="1:3" x14ac:dyDescent="0.25">
      <c r="A6437" s="222">
        <v>510107</v>
      </c>
      <c r="B6437" s="223" t="s">
        <v>11034</v>
      </c>
      <c r="C6437" s="221" t="s">
        <v>11036</v>
      </c>
    </row>
    <row r="6438" spans="1:3" x14ac:dyDescent="0.25">
      <c r="A6438" s="222">
        <v>510108</v>
      </c>
      <c r="B6438" s="223" t="s">
        <v>11037</v>
      </c>
      <c r="C6438" s="221" t="s">
        <v>11038</v>
      </c>
    </row>
    <row r="6439" spans="1:3" x14ac:dyDescent="0.25">
      <c r="A6439" s="222">
        <v>510108</v>
      </c>
      <c r="B6439" s="223" t="s">
        <v>11037</v>
      </c>
      <c r="C6439" s="221" t="s">
        <v>11039</v>
      </c>
    </row>
    <row r="6440" spans="1:3" x14ac:dyDescent="0.25">
      <c r="A6440" s="222">
        <v>510109</v>
      </c>
      <c r="B6440" s="223" t="s">
        <v>11031</v>
      </c>
      <c r="C6440" s="221" t="s">
        <v>11040</v>
      </c>
    </row>
    <row r="6441" spans="1:3" x14ac:dyDescent="0.25">
      <c r="A6441" s="222">
        <v>510109</v>
      </c>
      <c r="B6441" s="223" t="s">
        <v>11031</v>
      </c>
      <c r="C6441" s="221" t="s">
        <v>11041</v>
      </c>
    </row>
    <row r="6442" spans="1:3" x14ac:dyDescent="0.25">
      <c r="A6442" s="222">
        <v>510110</v>
      </c>
      <c r="B6442" s="223" t="s">
        <v>11042</v>
      </c>
      <c r="C6442" s="221" t="s">
        <v>11043</v>
      </c>
    </row>
    <row r="6443" spans="1:3" x14ac:dyDescent="0.25">
      <c r="A6443" s="222">
        <v>510110</v>
      </c>
      <c r="B6443" s="223" t="s">
        <v>11042</v>
      </c>
      <c r="C6443" s="221" t="s">
        <v>11044</v>
      </c>
    </row>
    <row r="6444" spans="1:3" x14ac:dyDescent="0.25">
      <c r="A6444" s="222">
        <v>510111</v>
      </c>
      <c r="B6444" s="223" t="s">
        <v>11045</v>
      </c>
      <c r="C6444" s="221" t="s">
        <v>11046</v>
      </c>
    </row>
    <row r="6445" spans="1:3" x14ac:dyDescent="0.25">
      <c r="A6445" s="222">
        <v>510111</v>
      </c>
      <c r="B6445" s="223" t="s">
        <v>11045</v>
      </c>
      <c r="C6445" s="221" t="s">
        <v>11047</v>
      </c>
    </row>
    <row r="6446" spans="1:3" x14ac:dyDescent="0.25">
      <c r="A6446" s="222">
        <v>510112</v>
      </c>
      <c r="B6446" s="223" t="s">
        <v>11048</v>
      </c>
      <c r="C6446" s="221" t="s">
        <v>11049</v>
      </c>
    </row>
    <row r="6447" spans="1:3" x14ac:dyDescent="0.25">
      <c r="A6447" s="222">
        <v>510112</v>
      </c>
      <c r="B6447" s="223" t="s">
        <v>11048</v>
      </c>
      <c r="C6447" s="221" t="s">
        <v>11050</v>
      </c>
    </row>
    <row r="6448" spans="1:3" x14ac:dyDescent="0.25">
      <c r="A6448" s="222">
        <v>510113</v>
      </c>
      <c r="B6448" s="223" t="s">
        <v>11051</v>
      </c>
      <c r="C6448" s="221" t="s">
        <v>11052</v>
      </c>
    </row>
    <row r="6449" spans="1:3" x14ac:dyDescent="0.25">
      <c r="A6449" s="222">
        <v>510113</v>
      </c>
      <c r="B6449" s="223" t="s">
        <v>11051</v>
      </c>
      <c r="C6449" s="221" t="s">
        <v>11053</v>
      </c>
    </row>
    <row r="6450" spans="1:3" x14ac:dyDescent="0.25">
      <c r="A6450" s="222">
        <v>510114</v>
      </c>
      <c r="B6450" s="223" t="s">
        <v>11054</v>
      </c>
      <c r="C6450" s="221" t="s">
        <v>11055</v>
      </c>
    </row>
    <row r="6451" spans="1:3" x14ac:dyDescent="0.25">
      <c r="A6451" s="222">
        <v>510114</v>
      </c>
      <c r="B6451" s="223" t="s">
        <v>11054</v>
      </c>
      <c r="C6451" s="221" t="s">
        <v>11056</v>
      </c>
    </row>
    <row r="6452" spans="1:3" x14ac:dyDescent="0.25">
      <c r="A6452" s="222">
        <v>510115</v>
      </c>
      <c r="B6452" s="223" t="s">
        <v>11057</v>
      </c>
      <c r="C6452" s="221" t="s">
        <v>11058</v>
      </c>
    </row>
    <row r="6453" spans="1:3" x14ac:dyDescent="0.25">
      <c r="A6453" s="222">
        <v>510116</v>
      </c>
      <c r="B6453" s="223" t="s">
        <v>11059</v>
      </c>
      <c r="C6453" s="221" t="s">
        <v>11060</v>
      </c>
    </row>
    <row r="6454" spans="1:3" x14ac:dyDescent="0.25">
      <c r="A6454" s="222">
        <v>510120</v>
      </c>
      <c r="B6454" s="223" t="s">
        <v>11061</v>
      </c>
      <c r="C6454" s="221" t="s">
        <v>11062</v>
      </c>
    </row>
    <row r="6455" spans="1:3" x14ac:dyDescent="0.25">
      <c r="A6455" s="222">
        <v>510121</v>
      </c>
      <c r="B6455" s="223" t="s">
        <v>11063</v>
      </c>
      <c r="C6455" s="221" t="s">
        <v>11064</v>
      </c>
    </row>
    <row r="6456" spans="1:3" x14ac:dyDescent="0.25">
      <c r="A6456" s="222">
        <v>510122</v>
      </c>
      <c r="B6456" s="223" t="s">
        <v>11065</v>
      </c>
      <c r="C6456" s="221" t="s">
        <v>11066</v>
      </c>
    </row>
    <row r="6457" spans="1:3" x14ac:dyDescent="0.25">
      <c r="A6457" s="222">
        <v>510123</v>
      </c>
      <c r="B6457" s="223" t="s">
        <v>11067</v>
      </c>
      <c r="C6457" s="221" t="s">
        <v>11068</v>
      </c>
    </row>
    <row r="6458" spans="1:3" x14ac:dyDescent="0.25">
      <c r="A6458" s="222">
        <v>510124</v>
      </c>
      <c r="B6458" s="223" t="s">
        <v>11069</v>
      </c>
      <c r="C6458" s="221" t="s">
        <v>11070</v>
      </c>
    </row>
    <row r="6459" spans="1:3" x14ac:dyDescent="0.25">
      <c r="A6459" s="222">
        <v>510125</v>
      </c>
      <c r="B6459" s="223" t="s">
        <v>11071</v>
      </c>
      <c r="C6459" s="221" t="s">
        <v>11072</v>
      </c>
    </row>
    <row r="6460" spans="1:3" x14ac:dyDescent="0.25">
      <c r="A6460" s="222">
        <v>510126</v>
      </c>
      <c r="B6460" s="223" t="s">
        <v>11073</v>
      </c>
      <c r="C6460" s="221" t="s">
        <v>11074</v>
      </c>
    </row>
    <row r="6461" spans="1:3" x14ac:dyDescent="0.25">
      <c r="A6461" s="222">
        <v>510127</v>
      </c>
      <c r="B6461" s="223" t="s">
        <v>11075</v>
      </c>
      <c r="C6461" s="221" t="s">
        <v>11076</v>
      </c>
    </row>
    <row r="6462" spans="1:3" x14ac:dyDescent="0.25">
      <c r="A6462" s="222">
        <v>510128</v>
      </c>
      <c r="B6462" s="223" t="s">
        <v>11077</v>
      </c>
      <c r="C6462" s="221" t="s">
        <v>11078</v>
      </c>
    </row>
    <row r="6463" spans="1:3" x14ac:dyDescent="0.25">
      <c r="A6463" s="222">
        <v>510129</v>
      </c>
      <c r="B6463" s="223" t="s">
        <v>11079</v>
      </c>
      <c r="C6463" s="221" t="s">
        <v>11080</v>
      </c>
    </row>
    <row r="6464" spans="1:3" x14ac:dyDescent="0.25">
      <c r="A6464" s="222">
        <v>510130</v>
      </c>
      <c r="B6464" s="223" t="s">
        <v>11081</v>
      </c>
      <c r="C6464" s="221" t="s">
        <v>11082</v>
      </c>
    </row>
    <row r="6465" spans="1:3" x14ac:dyDescent="0.25">
      <c r="A6465" s="222">
        <v>510131</v>
      </c>
      <c r="B6465" s="223" t="s">
        <v>11083</v>
      </c>
      <c r="C6465" s="221" t="s">
        <v>11084</v>
      </c>
    </row>
    <row r="6466" spans="1:3" x14ac:dyDescent="0.25">
      <c r="A6466" s="222">
        <v>510132</v>
      </c>
      <c r="B6466" s="223" t="s">
        <v>11085</v>
      </c>
      <c r="C6466" s="221" t="s">
        <v>11086</v>
      </c>
    </row>
    <row r="6467" spans="1:3" x14ac:dyDescent="0.25">
      <c r="A6467" s="222">
        <v>510133</v>
      </c>
      <c r="B6467" s="223" t="s">
        <v>11087</v>
      </c>
      <c r="C6467" s="221" t="s">
        <v>11088</v>
      </c>
    </row>
    <row r="6468" spans="1:3" x14ac:dyDescent="0.25">
      <c r="A6468" s="222">
        <v>510134</v>
      </c>
      <c r="B6468" s="223" t="s">
        <v>11089</v>
      </c>
      <c r="C6468" s="221" t="s">
        <v>11090</v>
      </c>
    </row>
    <row r="6469" spans="1:3" x14ac:dyDescent="0.25">
      <c r="A6469" s="222">
        <v>510135</v>
      </c>
      <c r="B6469" s="223" t="s">
        <v>11091</v>
      </c>
      <c r="C6469" s="221" t="s">
        <v>11092</v>
      </c>
    </row>
    <row r="6470" spans="1:3" x14ac:dyDescent="0.25">
      <c r="A6470" s="222">
        <v>510136</v>
      </c>
      <c r="B6470" s="223" t="s">
        <v>11093</v>
      </c>
      <c r="C6470" s="221" t="s">
        <v>11094</v>
      </c>
    </row>
    <row r="6471" spans="1:3" x14ac:dyDescent="0.25">
      <c r="A6471" s="222">
        <v>510137</v>
      </c>
      <c r="B6471" s="223" t="s">
        <v>11095</v>
      </c>
      <c r="C6471" s="221" t="s">
        <v>11096</v>
      </c>
    </row>
    <row r="6472" spans="1:3" x14ac:dyDescent="0.25">
      <c r="A6472" s="222">
        <v>510138</v>
      </c>
      <c r="B6472" s="223" t="s">
        <v>11097</v>
      </c>
      <c r="C6472" s="221" t="s">
        <v>11098</v>
      </c>
    </row>
    <row r="6473" spans="1:3" x14ac:dyDescent="0.25">
      <c r="A6473" s="222">
        <v>510139</v>
      </c>
      <c r="B6473" s="223" t="s">
        <v>11099</v>
      </c>
      <c r="C6473" s="221" t="s">
        <v>11100</v>
      </c>
    </row>
    <row r="6474" spans="1:3" x14ac:dyDescent="0.25">
      <c r="A6474" s="222">
        <v>510140</v>
      </c>
      <c r="B6474" s="223" t="s">
        <v>11101</v>
      </c>
      <c r="C6474" s="221" t="s">
        <v>11102</v>
      </c>
    </row>
    <row r="6475" spans="1:3" x14ac:dyDescent="0.25">
      <c r="A6475" s="222">
        <v>510141</v>
      </c>
      <c r="B6475" s="223" t="s">
        <v>11103</v>
      </c>
      <c r="C6475" s="221" t="s">
        <v>11104</v>
      </c>
    </row>
    <row r="6476" spans="1:3" x14ac:dyDescent="0.25">
      <c r="A6476" s="222">
        <v>510142</v>
      </c>
      <c r="B6476" s="223" t="s">
        <v>11105</v>
      </c>
      <c r="C6476" s="221" t="s">
        <v>11106</v>
      </c>
    </row>
    <row r="6477" spans="1:3" x14ac:dyDescent="0.25">
      <c r="A6477" s="222">
        <v>510143</v>
      </c>
      <c r="B6477" s="223" t="s">
        <v>11107</v>
      </c>
      <c r="C6477" s="221" t="s">
        <v>11108</v>
      </c>
    </row>
    <row r="6478" spans="1:3" x14ac:dyDescent="0.25">
      <c r="A6478" s="222">
        <v>510144</v>
      </c>
      <c r="B6478" s="223" t="s">
        <v>11109</v>
      </c>
      <c r="C6478" s="221" t="s">
        <v>11110</v>
      </c>
    </row>
    <row r="6479" spans="1:3" x14ac:dyDescent="0.25">
      <c r="A6479" s="222">
        <v>510145</v>
      </c>
      <c r="B6479" s="223" t="s">
        <v>11111</v>
      </c>
      <c r="C6479" s="221" t="s">
        <v>11112</v>
      </c>
    </row>
    <row r="6480" spans="1:3" x14ac:dyDescent="0.25">
      <c r="A6480" s="222">
        <v>510146</v>
      </c>
      <c r="B6480" s="223" t="s">
        <v>11113</v>
      </c>
      <c r="C6480" s="221" t="s">
        <v>11114</v>
      </c>
    </row>
    <row r="6481" spans="1:3" x14ac:dyDescent="0.25">
      <c r="A6481" s="222">
        <v>510147</v>
      </c>
      <c r="B6481" s="223" t="s">
        <v>11115</v>
      </c>
      <c r="C6481" s="221" t="s">
        <v>11116</v>
      </c>
    </row>
    <row r="6482" spans="1:3" x14ac:dyDescent="0.25">
      <c r="A6482" s="222">
        <v>510148</v>
      </c>
      <c r="B6482" s="223" t="s">
        <v>11117</v>
      </c>
      <c r="C6482" s="221" t="s">
        <v>11118</v>
      </c>
    </row>
    <row r="6483" spans="1:3" x14ac:dyDescent="0.25">
      <c r="A6483" s="222">
        <v>510149</v>
      </c>
      <c r="B6483" s="223" t="s">
        <v>11119</v>
      </c>
      <c r="C6483" s="221" t="s">
        <v>11120</v>
      </c>
    </row>
    <row r="6484" spans="1:3" x14ac:dyDescent="0.25">
      <c r="A6484" s="222">
        <v>510150</v>
      </c>
      <c r="B6484" s="223" t="s">
        <v>11121</v>
      </c>
      <c r="C6484" s="221" t="s">
        <v>11122</v>
      </c>
    </row>
    <row r="6485" spans="1:3" x14ac:dyDescent="0.25">
      <c r="A6485" s="222">
        <v>510151</v>
      </c>
      <c r="B6485" s="223" t="s">
        <v>11123</v>
      </c>
      <c r="C6485" s="221" t="s">
        <v>11124</v>
      </c>
    </row>
    <row r="6486" spans="1:3" x14ac:dyDescent="0.25">
      <c r="A6486" s="222">
        <v>510152</v>
      </c>
      <c r="B6486" s="223" t="s">
        <v>11125</v>
      </c>
      <c r="C6486" s="221" t="s">
        <v>11126</v>
      </c>
    </row>
    <row r="6487" spans="1:3" x14ac:dyDescent="0.25">
      <c r="A6487" s="222">
        <v>510153</v>
      </c>
      <c r="B6487" s="223" t="s">
        <v>11127</v>
      </c>
      <c r="C6487" s="221" t="s">
        <v>11128</v>
      </c>
    </row>
    <row r="6488" spans="1:3" x14ac:dyDescent="0.25">
      <c r="A6488" s="222">
        <v>510154</v>
      </c>
      <c r="B6488" s="223" t="s">
        <v>11129</v>
      </c>
      <c r="C6488" s="221" t="s">
        <v>11130</v>
      </c>
    </row>
    <row r="6489" spans="1:3" x14ac:dyDescent="0.25">
      <c r="A6489" s="222">
        <v>510155</v>
      </c>
      <c r="B6489" s="223" t="s">
        <v>11131</v>
      </c>
      <c r="C6489" s="221" t="s">
        <v>11132</v>
      </c>
    </row>
    <row r="6490" spans="1:3" x14ac:dyDescent="0.25">
      <c r="A6490" s="222">
        <v>510156</v>
      </c>
      <c r="B6490" s="223" t="s">
        <v>11133</v>
      </c>
      <c r="C6490" s="221" t="s">
        <v>11134</v>
      </c>
    </row>
    <row r="6491" spans="1:3" x14ac:dyDescent="0.25">
      <c r="A6491" s="222">
        <v>510157</v>
      </c>
      <c r="B6491" s="223" t="s">
        <v>11135</v>
      </c>
      <c r="C6491" s="221" t="s">
        <v>11136</v>
      </c>
    </row>
    <row r="6492" spans="1:3" x14ac:dyDescent="0.25">
      <c r="A6492" s="222">
        <v>510158</v>
      </c>
      <c r="B6492" s="223" t="s">
        <v>11137</v>
      </c>
      <c r="C6492" s="221" t="s">
        <v>11138</v>
      </c>
    </row>
    <row r="6493" spans="1:3" x14ac:dyDescent="0.25">
      <c r="A6493" s="222">
        <v>510159</v>
      </c>
      <c r="B6493" s="223" t="s">
        <v>11139</v>
      </c>
      <c r="C6493" s="221" t="s">
        <v>11140</v>
      </c>
    </row>
    <row r="6494" spans="1:3" x14ac:dyDescent="0.25">
      <c r="A6494" s="222">
        <v>510160</v>
      </c>
      <c r="B6494" s="223" t="s">
        <v>11141</v>
      </c>
      <c r="C6494" s="221" t="s">
        <v>11142</v>
      </c>
    </row>
    <row r="6495" spans="1:3" x14ac:dyDescent="0.25">
      <c r="A6495" s="222">
        <v>510161</v>
      </c>
      <c r="B6495" s="223" t="s">
        <v>11143</v>
      </c>
      <c r="C6495" s="221" t="s">
        <v>11144</v>
      </c>
    </row>
    <row r="6496" spans="1:3" x14ac:dyDescent="0.25">
      <c r="A6496" s="222">
        <v>510162</v>
      </c>
      <c r="B6496" s="223" t="s">
        <v>11145</v>
      </c>
      <c r="C6496" s="221" t="s">
        <v>11146</v>
      </c>
    </row>
    <row r="6497" spans="1:3" x14ac:dyDescent="0.25">
      <c r="A6497" s="222">
        <v>510163</v>
      </c>
      <c r="B6497" s="223" t="s">
        <v>11147</v>
      </c>
      <c r="C6497" s="221" t="s">
        <v>11148</v>
      </c>
    </row>
    <row r="6498" spans="1:3" x14ac:dyDescent="0.25">
      <c r="A6498" s="222">
        <v>510164</v>
      </c>
      <c r="B6498" s="223" t="s">
        <v>11149</v>
      </c>
      <c r="C6498" s="221" t="s">
        <v>11150</v>
      </c>
    </row>
    <row r="6499" spans="1:3" x14ac:dyDescent="0.25">
      <c r="A6499" s="222">
        <v>510165</v>
      </c>
      <c r="B6499" s="223" t="s">
        <v>11151</v>
      </c>
      <c r="C6499" s="221" t="s">
        <v>11152</v>
      </c>
    </row>
    <row r="6500" spans="1:3" x14ac:dyDescent="0.25">
      <c r="A6500" s="222">
        <v>510166</v>
      </c>
      <c r="B6500" s="223" t="s">
        <v>11153</v>
      </c>
      <c r="C6500" s="221" t="s">
        <v>11154</v>
      </c>
    </row>
    <row r="6501" spans="1:3" x14ac:dyDescent="0.25">
      <c r="A6501" s="222">
        <v>510167</v>
      </c>
      <c r="B6501" s="223" t="s">
        <v>11155</v>
      </c>
      <c r="C6501" s="221" t="s">
        <v>11156</v>
      </c>
    </row>
    <row r="6502" spans="1:3" x14ac:dyDescent="0.25">
      <c r="A6502" s="222">
        <v>510168</v>
      </c>
      <c r="B6502" s="223" t="s">
        <v>11157</v>
      </c>
      <c r="C6502" s="221" t="s">
        <v>11158</v>
      </c>
    </row>
    <row r="6503" spans="1:3" x14ac:dyDescent="0.25">
      <c r="A6503" s="222">
        <v>510169</v>
      </c>
      <c r="B6503" s="223" t="s">
        <v>11159</v>
      </c>
      <c r="C6503" s="221" t="s">
        <v>11160</v>
      </c>
    </row>
    <row r="6504" spans="1:3" x14ac:dyDescent="0.25">
      <c r="A6504" s="222">
        <v>510170</v>
      </c>
      <c r="B6504" s="223" t="s">
        <v>11161</v>
      </c>
      <c r="C6504" s="221" t="s">
        <v>11162</v>
      </c>
    </row>
    <row r="6505" spans="1:3" x14ac:dyDescent="0.25">
      <c r="A6505" s="222">
        <v>510171</v>
      </c>
      <c r="B6505" s="223" t="s">
        <v>11163</v>
      </c>
      <c r="C6505" s="221" t="s">
        <v>11164</v>
      </c>
    </row>
    <row r="6506" spans="1:3" x14ac:dyDescent="0.25">
      <c r="A6506" s="222">
        <v>510172</v>
      </c>
      <c r="B6506" s="223" t="s">
        <v>11165</v>
      </c>
      <c r="C6506" s="221" t="s">
        <v>11166</v>
      </c>
    </row>
    <row r="6507" spans="1:3" x14ac:dyDescent="0.25">
      <c r="A6507" s="222">
        <v>510173</v>
      </c>
      <c r="B6507" s="223" t="s">
        <v>11167</v>
      </c>
      <c r="C6507" s="221" t="s">
        <v>11168</v>
      </c>
    </row>
    <row r="6508" spans="1:3" x14ac:dyDescent="0.25">
      <c r="A6508" s="222">
        <v>510174</v>
      </c>
      <c r="B6508" s="223" t="s">
        <v>11169</v>
      </c>
      <c r="C6508" s="221" t="s">
        <v>11170</v>
      </c>
    </row>
    <row r="6509" spans="1:3" x14ac:dyDescent="0.25">
      <c r="A6509" s="222">
        <v>510175</v>
      </c>
      <c r="B6509" s="223" t="s">
        <v>11171</v>
      </c>
      <c r="C6509" s="221" t="s">
        <v>11172</v>
      </c>
    </row>
    <row r="6510" spans="1:3" x14ac:dyDescent="0.25">
      <c r="A6510" s="222">
        <v>510176</v>
      </c>
      <c r="B6510" s="223" t="s">
        <v>11173</v>
      </c>
      <c r="C6510" s="221" t="s">
        <v>11174</v>
      </c>
    </row>
    <row r="6511" spans="1:3" x14ac:dyDescent="0.25">
      <c r="A6511" s="222">
        <v>510177</v>
      </c>
      <c r="B6511" s="223" t="s">
        <v>11175</v>
      </c>
      <c r="C6511" s="221" t="s">
        <v>11176</v>
      </c>
    </row>
    <row r="6512" spans="1:3" x14ac:dyDescent="0.25">
      <c r="A6512" s="222">
        <v>510178</v>
      </c>
      <c r="B6512" s="223" t="s">
        <v>11177</v>
      </c>
      <c r="C6512" s="221" t="s">
        <v>11178</v>
      </c>
    </row>
    <row r="6513" spans="1:3" x14ac:dyDescent="0.25">
      <c r="A6513" s="222">
        <v>510179</v>
      </c>
      <c r="B6513" s="223" t="s">
        <v>11179</v>
      </c>
      <c r="C6513" s="221" t="s">
        <v>11180</v>
      </c>
    </row>
    <row r="6514" spans="1:3" x14ac:dyDescent="0.25">
      <c r="A6514" s="222">
        <v>510180</v>
      </c>
      <c r="B6514" s="223" t="s">
        <v>11181</v>
      </c>
      <c r="C6514" s="221" t="s">
        <v>11182</v>
      </c>
    </row>
    <row r="6515" spans="1:3" x14ac:dyDescent="0.25">
      <c r="A6515" s="222">
        <v>510181</v>
      </c>
      <c r="B6515" s="223" t="s">
        <v>11183</v>
      </c>
      <c r="C6515" s="221" t="s">
        <v>11184</v>
      </c>
    </row>
    <row r="6516" spans="1:3" x14ac:dyDescent="0.25">
      <c r="A6516" s="222">
        <v>510182</v>
      </c>
      <c r="B6516" s="223" t="s">
        <v>11185</v>
      </c>
      <c r="C6516" s="221" t="s">
        <v>11186</v>
      </c>
    </row>
    <row r="6517" spans="1:3" x14ac:dyDescent="0.25">
      <c r="A6517" s="222">
        <v>510183</v>
      </c>
      <c r="B6517" s="223" t="s">
        <v>11187</v>
      </c>
      <c r="C6517" s="221" t="s">
        <v>11188</v>
      </c>
    </row>
    <row r="6518" spans="1:3" x14ac:dyDescent="0.25">
      <c r="A6518" s="222">
        <v>510184</v>
      </c>
      <c r="B6518" s="223" t="s">
        <v>11189</v>
      </c>
      <c r="C6518" s="221" t="s">
        <v>11190</v>
      </c>
    </row>
    <row r="6519" spans="1:3" x14ac:dyDescent="0.25">
      <c r="A6519" s="222">
        <v>510185</v>
      </c>
      <c r="B6519" s="223" t="s">
        <v>11191</v>
      </c>
      <c r="C6519" s="221" t="s">
        <v>11192</v>
      </c>
    </row>
    <row r="6520" spans="1:3" x14ac:dyDescent="0.25">
      <c r="A6520" s="222">
        <v>510186</v>
      </c>
      <c r="B6520" s="223" t="s">
        <v>11193</v>
      </c>
      <c r="C6520" s="221" t="s">
        <v>11194</v>
      </c>
    </row>
    <row r="6521" spans="1:3" x14ac:dyDescent="0.25">
      <c r="A6521" s="222">
        <v>510187</v>
      </c>
      <c r="B6521" s="223" t="s">
        <v>11195</v>
      </c>
      <c r="C6521" s="221" t="s">
        <v>11196</v>
      </c>
    </row>
    <row r="6522" spans="1:3" x14ac:dyDescent="0.25">
      <c r="A6522" s="222">
        <v>510188</v>
      </c>
      <c r="B6522" s="223" t="s">
        <v>11197</v>
      </c>
      <c r="C6522" s="221" t="s">
        <v>11198</v>
      </c>
    </row>
    <row r="6523" spans="1:3" x14ac:dyDescent="0.25">
      <c r="A6523" s="222">
        <v>510189</v>
      </c>
      <c r="B6523" s="223" t="s">
        <v>11199</v>
      </c>
      <c r="C6523" s="221" t="s">
        <v>6159</v>
      </c>
    </row>
    <row r="6524" spans="1:3" x14ac:dyDescent="0.25">
      <c r="A6524" s="222">
        <v>510190</v>
      </c>
      <c r="B6524" s="223" t="s">
        <v>11200</v>
      </c>
      <c r="C6524" s="221" t="s">
        <v>11201</v>
      </c>
    </row>
    <row r="6525" spans="1:3" x14ac:dyDescent="0.25">
      <c r="A6525" s="222">
        <v>510191</v>
      </c>
      <c r="B6525" s="223" t="s">
        <v>11202</v>
      </c>
      <c r="C6525" s="221" t="s">
        <v>11203</v>
      </c>
    </row>
    <row r="6526" spans="1:3" x14ac:dyDescent="0.25">
      <c r="A6526" s="222">
        <v>510192</v>
      </c>
      <c r="B6526" s="223" t="s">
        <v>11204</v>
      </c>
      <c r="C6526" s="221" t="s">
        <v>11205</v>
      </c>
    </row>
    <row r="6527" spans="1:3" x14ac:dyDescent="0.25">
      <c r="A6527" s="222">
        <v>510193</v>
      </c>
      <c r="B6527" s="223" t="s">
        <v>11206</v>
      </c>
      <c r="C6527" s="221" t="s">
        <v>11207</v>
      </c>
    </row>
    <row r="6528" spans="1:3" x14ac:dyDescent="0.25">
      <c r="A6528" s="222">
        <v>510194</v>
      </c>
      <c r="B6528" s="223" t="s">
        <v>11208</v>
      </c>
      <c r="C6528" s="221" t="s">
        <v>11209</v>
      </c>
    </row>
    <row r="6529" spans="1:3" x14ac:dyDescent="0.25">
      <c r="A6529" s="222">
        <v>510195</v>
      </c>
      <c r="B6529" s="223" t="s">
        <v>11210</v>
      </c>
      <c r="C6529" s="221" t="s">
        <v>11211</v>
      </c>
    </row>
    <row r="6530" spans="1:3" x14ac:dyDescent="0.25">
      <c r="A6530" s="222">
        <v>510196</v>
      </c>
      <c r="B6530" s="223" t="s">
        <v>11212</v>
      </c>
      <c r="C6530" s="221" t="s">
        <v>11213</v>
      </c>
    </row>
    <row r="6531" spans="1:3" x14ac:dyDescent="0.25">
      <c r="A6531" s="222">
        <v>510197</v>
      </c>
      <c r="B6531" s="223" t="s">
        <v>11214</v>
      </c>
      <c r="C6531" s="221" t="s">
        <v>11215</v>
      </c>
    </row>
    <row r="6532" spans="1:3" x14ac:dyDescent="0.25">
      <c r="A6532" s="222">
        <v>510198</v>
      </c>
      <c r="B6532" s="223" t="s">
        <v>11216</v>
      </c>
      <c r="C6532" s="221" t="s">
        <v>11217</v>
      </c>
    </row>
    <row r="6533" spans="1:3" x14ac:dyDescent="0.25">
      <c r="A6533" s="222">
        <v>510199</v>
      </c>
      <c r="B6533" s="223" t="s">
        <v>11218</v>
      </c>
      <c r="C6533" s="221" t="s">
        <v>11219</v>
      </c>
    </row>
    <row r="6534" spans="1:3" x14ac:dyDescent="0.25">
      <c r="A6534" s="222">
        <v>510200</v>
      </c>
      <c r="B6534" s="223" t="s">
        <v>11220</v>
      </c>
      <c r="C6534" s="221" t="s">
        <v>11221</v>
      </c>
    </row>
    <row r="6535" spans="1:3" x14ac:dyDescent="0.25">
      <c r="A6535" s="222">
        <v>510201</v>
      </c>
      <c r="B6535" s="223" t="s">
        <v>11222</v>
      </c>
      <c r="C6535" s="221" t="s">
        <v>11223</v>
      </c>
    </row>
    <row r="6536" spans="1:3" x14ac:dyDescent="0.25">
      <c r="A6536" s="222">
        <v>510202</v>
      </c>
      <c r="B6536" s="223" t="s">
        <v>11224</v>
      </c>
      <c r="C6536" s="221" t="s">
        <v>11225</v>
      </c>
    </row>
    <row r="6537" spans="1:3" x14ac:dyDescent="0.25">
      <c r="A6537" s="222">
        <v>510203</v>
      </c>
      <c r="B6537" s="223" t="s">
        <v>11226</v>
      </c>
      <c r="C6537" s="221" t="s">
        <v>11227</v>
      </c>
    </row>
    <row r="6538" spans="1:3" x14ac:dyDescent="0.25">
      <c r="A6538" s="222">
        <v>510204</v>
      </c>
      <c r="B6538" s="223" t="s">
        <v>11228</v>
      </c>
      <c r="C6538" s="221" t="s">
        <v>11229</v>
      </c>
    </row>
    <row r="6539" spans="1:3" x14ac:dyDescent="0.25">
      <c r="A6539" s="222">
        <v>510205</v>
      </c>
      <c r="B6539" s="223" t="s">
        <v>11230</v>
      </c>
      <c r="C6539" s="221" t="s">
        <v>11231</v>
      </c>
    </row>
    <row r="6540" spans="1:3" x14ac:dyDescent="0.25">
      <c r="A6540" s="222">
        <v>510206</v>
      </c>
      <c r="B6540" s="223" t="s">
        <v>11232</v>
      </c>
      <c r="C6540" s="221" t="s">
        <v>11233</v>
      </c>
    </row>
    <row r="6541" spans="1:3" x14ac:dyDescent="0.25">
      <c r="A6541" s="222">
        <v>510207</v>
      </c>
      <c r="B6541" s="223" t="s">
        <v>11234</v>
      </c>
      <c r="C6541" s="221" t="s">
        <v>11235</v>
      </c>
    </row>
    <row r="6542" spans="1:3" x14ac:dyDescent="0.25">
      <c r="A6542" s="222">
        <v>510208</v>
      </c>
      <c r="B6542" s="223" t="s">
        <v>11236</v>
      </c>
      <c r="C6542" s="221" t="s">
        <v>11237</v>
      </c>
    </row>
    <row r="6543" spans="1:3" x14ac:dyDescent="0.25">
      <c r="A6543" s="222">
        <v>510209</v>
      </c>
      <c r="B6543" s="223" t="s">
        <v>11238</v>
      </c>
      <c r="C6543" s="221" t="s">
        <v>11239</v>
      </c>
    </row>
    <row r="6544" spans="1:3" x14ac:dyDescent="0.25">
      <c r="A6544" s="222">
        <v>510210</v>
      </c>
      <c r="B6544" s="223" t="s">
        <v>11240</v>
      </c>
      <c r="C6544" s="221" t="s">
        <v>11241</v>
      </c>
    </row>
    <row r="6545" spans="1:3" x14ac:dyDescent="0.25">
      <c r="A6545" s="222">
        <v>510211</v>
      </c>
      <c r="B6545" s="223" t="s">
        <v>11242</v>
      </c>
      <c r="C6545" s="221" t="s">
        <v>11243</v>
      </c>
    </row>
    <row r="6546" spans="1:3" x14ac:dyDescent="0.25">
      <c r="A6546" s="222">
        <v>510212</v>
      </c>
      <c r="B6546" s="223" t="s">
        <v>11244</v>
      </c>
      <c r="C6546" s="221" t="s">
        <v>11245</v>
      </c>
    </row>
    <row r="6547" spans="1:3" x14ac:dyDescent="0.25">
      <c r="A6547" s="222">
        <v>510213</v>
      </c>
      <c r="B6547" s="223" t="s">
        <v>11246</v>
      </c>
      <c r="C6547" s="221" t="s">
        <v>11247</v>
      </c>
    </row>
    <row r="6548" spans="1:3" x14ac:dyDescent="0.25">
      <c r="A6548" s="222">
        <v>510214</v>
      </c>
      <c r="B6548" s="223" t="s">
        <v>11249</v>
      </c>
      <c r="C6548" s="221" t="s">
        <v>11248</v>
      </c>
    </row>
    <row r="6549" spans="1:3" x14ac:dyDescent="0.25">
      <c r="A6549" s="222">
        <v>510215</v>
      </c>
      <c r="B6549" s="223" t="s">
        <v>11250</v>
      </c>
      <c r="C6549" s="221" t="s">
        <v>11251</v>
      </c>
    </row>
    <row r="6550" spans="1:3" x14ac:dyDescent="0.25">
      <c r="A6550" s="222">
        <v>510216</v>
      </c>
      <c r="B6550" s="223" t="s">
        <v>11252</v>
      </c>
      <c r="C6550" s="221" t="s">
        <v>11253</v>
      </c>
    </row>
    <row r="6551" spans="1:3" x14ac:dyDescent="0.25">
      <c r="A6551" s="222">
        <v>510217</v>
      </c>
      <c r="B6551" s="223" t="s">
        <v>11255</v>
      </c>
      <c r="C6551" s="221" t="s">
        <v>11254</v>
      </c>
    </row>
    <row r="6552" spans="1:3" x14ac:dyDescent="0.25">
      <c r="A6552" s="222">
        <v>510218</v>
      </c>
      <c r="B6552" s="223" t="s">
        <v>11257</v>
      </c>
      <c r="C6552" s="221" t="s">
        <v>11256</v>
      </c>
    </row>
    <row r="6553" spans="1:3" x14ac:dyDescent="0.25">
      <c r="A6553" s="222">
        <v>510219</v>
      </c>
      <c r="B6553" s="223" t="s">
        <v>11259</v>
      </c>
      <c r="C6553" s="221" t="s">
        <v>11258</v>
      </c>
    </row>
    <row r="6554" spans="1:3" x14ac:dyDescent="0.25">
      <c r="A6554" s="222">
        <v>510222</v>
      </c>
      <c r="B6554" s="223" t="s">
        <v>11261</v>
      </c>
      <c r="C6554" s="221" t="s">
        <v>11260</v>
      </c>
    </row>
    <row r="6555" spans="1:3" x14ac:dyDescent="0.25">
      <c r="A6555" s="222">
        <v>510231</v>
      </c>
      <c r="B6555" s="223" t="s">
        <v>11262</v>
      </c>
      <c r="C6555" s="221" t="s">
        <v>11263</v>
      </c>
    </row>
    <row r="6556" spans="1:3" x14ac:dyDescent="0.25">
      <c r="A6556" s="222">
        <v>510232</v>
      </c>
      <c r="B6556" s="223" t="s">
        <v>11264</v>
      </c>
      <c r="C6556" s="221" t="s">
        <v>11265</v>
      </c>
    </row>
    <row r="6557" spans="1:3" x14ac:dyDescent="0.25">
      <c r="A6557" s="222">
        <v>510233</v>
      </c>
      <c r="B6557" s="223" t="s">
        <v>11266</v>
      </c>
      <c r="C6557" s="221" t="s">
        <v>11267</v>
      </c>
    </row>
    <row r="6558" spans="1:3" x14ac:dyDescent="0.25">
      <c r="A6558" s="222">
        <v>510234</v>
      </c>
      <c r="B6558" s="223" t="s">
        <v>11268</v>
      </c>
      <c r="C6558" s="221" t="s">
        <v>11269</v>
      </c>
    </row>
    <row r="6559" spans="1:3" x14ac:dyDescent="0.25">
      <c r="A6559" s="222">
        <v>510235</v>
      </c>
      <c r="B6559" s="223" t="s">
        <v>11270</v>
      </c>
      <c r="C6559" s="221" t="s">
        <v>11271</v>
      </c>
    </row>
    <row r="6560" spans="1:3" x14ac:dyDescent="0.25">
      <c r="A6560" s="222">
        <v>510236</v>
      </c>
      <c r="B6560" s="223" t="s">
        <v>11272</v>
      </c>
      <c r="C6560" s="221" t="s">
        <v>11273</v>
      </c>
    </row>
    <row r="6561" spans="1:3" x14ac:dyDescent="0.25">
      <c r="A6561" s="222">
        <v>510237</v>
      </c>
      <c r="B6561" s="223" t="s">
        <v>11274</v>
      </c>
      <c r="C6561" s="221" t="s">
        <v>11275</v>
      </c>
    </row>
    <row r="6562" spans="1:3" x14ac:dyDescent="0.25">
      <c r="A6562" s="222">
        <v>510238</v>
      </c>
      <c r="B6562" s="223" t="s">
        <v>11276</v>
      </c>
      <c r="C6562" s="221" t="s">
        <v>11277</v>
      </c>
    </row>
    <row r="6563" spans="1:3" x14ac:dyDescent="0.25">
      <c r="A6563" s="222">
        <v>510239</v>
      </c>
      <c r="B6563" s="223" t="s">
        <v>11278</v>
      </c>
      <c r="C6563" s="221" t="s">
        <v>11279</v>
      </c>
    </row>
    <row r="6564" spans="1:3" x14ac:dyDescent="0.25">
      <c r="A6564" s="222">
        <v>510241</v>
      </c>
      <c r="B6564" s="223" t="s">
        <v>11280</v>
      </c>
      <c r="C6564" s="221" t="s">
        <v>11281</v>
      </c>
    </row>
    <row r="6565" spans="1:3" x14ac:dyDescent="0.25">
      <c r="A6565" s="222">
        <v>510245</v>
      </c>
      <c r="B6565" s="223" t="s">
        <v>11282</v>
      </c>
      <c r="C6565" s="221" t="s">
        <v>11283</v>
      </c>
    </row>
    <row r="6566" spans="1:3" x14ac:dyDescent="0.25">
      <c r="A6566" s="222">
        <v>510247</v>
      </c>
      <c r="B6566" s="223" t="s">
        <v>11284</v>
      </c>
      <c r="C6566" s="221" t="s">
        <v>11285</v>
      </c>
    </row>
    <row r="6567" spans="1:3" x14ac:dyDescent="0.25">
      <c r="A6567" s="222">
        <v>510254</v>
      </c>
      <c r="B6567" s="223" t="s">
        <v>11286</v>
      </c>
      <c r="C6567" s="221" t="s">
        <v>11287</v>
      </c>
    </row>
    <row r="6568" spans="1:3" x14ac:dyDescent="0.25">
      <c r="A6568" s="222">
        <v>510255</v>
      </c>
      <c r="B6568" s="223" t="s">
        <v>11288</v>
      </c>
      <c r="C6568" s="221" t="s">
        <v>11289</v>
      </c>
    </row>
    <row r="6569" spans="1:3" x14ac:dyDescent="0.25">
      <c r="A6569" s="222">
        <v>510256</v>
      </c>
      <c r="B6569" s="223" t="s">
        <v>11290</v>
      </c>
      <c r="C6569" s="221" t="s">
        <v>11291</v>
      </c>
    </row>
    <row r="6570" spans="1:3" x14ac:dyDescent="0.25">
      <c r="A6570" s="222">
        <v>510258</v>
      </c>
      <c r="B6570" s="223" t="s">
        <v>11292</v>
      </c>
      <c r="C6570" s="221" t="s">
        <v>11293</v>
      </c>
    </row>
    <row r="6571" spans="1:3" x14ac:dyDescent="0.25">
      <c r="A6571" s="222">
        <v>510259</v>
      </c>
      <c r="B6571" s="223" t="s">
        <v>11294</v>
      </c>
      <c r="C6571" s="221" t="s">
        <v>11295</v>
      </c>
    </row>
    <row r="6572" spans="1:3" x14ac:dyDescent="0.25">
      <c r="A6572" s="222">
        <v>510261</v>
      </c>
      <c r="B6572" s="223" t="s">
        <v>11296</v>
      </c>
      <c r="C6572" s="221" t="s">
        <v>11297</v>
      </c>
    </row>
    <row r="6573" spans="1:3" x14ac:dyDescent="0.25">
      <c r="A6573" s="222">
        <v>510263</v>
      </c>
      <c r="B6573" s="223" t="s">
        <v>11298</v>
      </c>
      <c r="C6573" s="221" t="s">
        <v>11299</v>
      </c>
    </row>
    <row r="6574" spans="1:3" x14ac:dyDescent="0.25">
      <c r="A6574" s="222">
        <v>510264</v>
      </c>
      <c r="B6574" s="223" t="s">
        <v>11300</v>
      </c>
      <c r="C6574" s="221" t="s">
        <v>11301</v>
      </c>
    </row>
    <row r="6575" spans="1:3" x14ac:dyDescent="0.25">
      <c r="A6575" s="222">
        <v>510265</v>
      </c>
      <c r="B6575" s="223" t="s">
        <v>11302</v>
      </c>
      <c r="C6575" s="221" t="s">
        <v>11303</v>
      </c>
    </row>
    <row r="6576" spans="1:3" x14ac:dyDescent="0.25">
      <c r="A6576" s="222">
        <v>510266</v>
      </c>
      <c r="B6576" s="223" t="s">
        <v>11304</v>
      </c>
      <c r="C6576" s="221" t="s">
        <v>11305</v>
      </c>
    </row>
    <row r="6577" spans="1:3" x14ac:dyDescent="0.25">
      <c r="A6577" s="222">
        <v>510267</v>
      </c>
      <c r="B6577" s="223" t="s">
        <v>11306</v>
      </c>
      <c r="C6577" s="221" t="s">
        <v>11307</v>
      </c>
    </row>
    <row r="6578" spans="1:3" x14ac:dyDescent="0.25">
      <c r="A6578" s="222">
        <v>510272</v>
      </c>
      <c r="B6578" s="223" t="s">
        <v>11308</v>
      </c>
      <c r="C6578" s="221" t="s">
        <v>11309</v>
      </c>
    </row>
    <row r="6579" spans="1:3" x14ac:dyDescent="0.25">
      <c r="A6579" s="222">
        <v>510273</v>
      </c>
      <c r="B6579" s="223" t="s">
        <v>11310</v>
      </c>
      <c r="C6579" s="221" t="s">
        <v>11311</v>
      </c>
    </row>
    <row r="6580" spans="1:3" x14ac:dyDescent="0.25">
      <c r="A6580" s="222">
        <v>510274</v>
      </c>
      <c r="B6580" s="223" t="s">
        <v>11312</v>
      </c>
      <c r="C6580" s="221" t="s">
        <v>11313</v>
      </c>
    </row>
    <row r="6581" spans="1:3" x14ac:dyDescent="0.25">
      <c r="A6581" s="222">
        <v>510275</v>
      </c>
      <c r="B6581" s="223" t="s">
        <v>11314</v>
      </c>
      <c r="C6581" s="221" t="s">
        <v>11315</v>
      </c>
    </row>
    <row r="6582" spans="1:3" x14ac:dyDescent="0.25">
      <c r="A6582" s="222">
        <v>510277</v>
      </c>
      <c r="B6582" s="223" t="s">
        <v>11316</v>
      </c>
      <c r="C6582" s="221" t="s">
        <v>11317</v>
      </c>
    </row>
    <row r="6583" spans="1:3" x14ac:dyDescent="0.25">
      <c r="A6583" s="222">
        <v>510281</v>
      </c>
      <c r="B6583" s="223" t="s">
        <v>11318</v>
      </c>
      <c r="C6583" s="221" t="s">
        <v>11319</v>
      </c>
    </row>
    <row r="6584" spans="1:3" x14ac:dyDescent="0.25">
      <c r="A6584" s="222">
        <v>510282</v>
      </c>
      <c r="B6584" s="223" t="s">
        <v>11320</v>
      </c>
      <c r="C6584" s="221" t="s">
        <v>11321</v>
      </c>
    </row>
    <row r="6585" spans="1:3" x14ac:dyDescent="0.25">
      <c r="A6585" s="222">
        <v>510283</v>
      </c>
      <c r="B6585" s="223" t="s">
        <v>11322</v>
      </c>
      <c r="C6585" s="221" t="s">
        <v>11323</v>
      </c>
    </row>
    <row r="6586" spans="1:3" x14ac:dyDescent="0.25">
      <c r="A6586" s="222">
        <v>510284</v>
      </c>
      <c r="B6586" s="223" t="s">
        <v>11324</v>
      </c>
      <c r="C6586" s="221" t="s">
        <v>11325</v>
      </c>
    </row>
    <row r="6587" spans="1:3" x14ac:dyDescent="0.25">
      <c r="A6587" s="222">
        <v>510286</v>
      </c>
      <c r="B6587" s="223" t="s">
        <v>11326</v>
      </c>
      <c r="C6587" s="221" t="s">
        <v>11327</v>
      </c>
    </row>
    <row r="6588" spans="1:3" x14ac:dyDescent="0.25">
      <c r="A6588" s="222">
        <v>510287</v>
      </c>
      <c r="B6588" s="223" t="s">
        <v>11328</v>
      </c>
      <c r="C6588" s="221" t="s">
        <v>11329</v>
      </c>
    </row>
    <row r="6589" spans="1:3" x14ac:dyDescent="0.25">
      <c r="A6589" s="222">
        <v>510289</v>
      </c>
      <c r="B6589" s="223" t="s">
        <v>11330</v>
      </c>
      <c r="C6589" s="221" t="s">
        <v>11331</v>
      </c>
    </row>
    <row r="6590" spans="1:3" x14ac:dyDescent="0.25">
      <c r="A6590" s="222">
        <v>510290</v>
      </c>
      <c r="B6590" s="223" t="s">
        <v>11332</v>
      </c>
      <c r="C6590" s="221" t="s">
        <v>11333</v>
      </c>
    </row>
    <row r="6591" spans="1:3" x14ac:dyDescent="0.25">
      <c r="A6591" s="222">
        <v>510292</v>
      </c>
      <c r="B6591" s="223" t="s">
        <v>11334</v>
      </c>
      <c r="C6591" s="221" t="s">
        <v>11335</v>
      </c>
    </row>
    <row r="6592" spans="1:3" x14ac:dyDescent="0.25">
      <c r="A6592" s="222">
        <v>510295</v>
      </c>
      <c r="B6592" s="223" t="s">
        <v>11336</v>
      </c>
      <c r="C6592" s="221" t="s">
        <v>11337</v>
      </c>
    </row>
    <row r="6593" spans="1:3" x14ac:dyDescent="0.25">
      <c r="A6593" s="222">
        <v>510300</v>
      </c>
      <c r="B6593" s="223" t="s">
        <v>11338</v>
      </c>
      <c r="C6593" s="221" t="s">
        <v>11339</v>
      </c>
    </row>
    <row r="6594" spans="1:3" x14ac:dyDescent="0.25">
      <c r="A6594" s="222">
        <v>510302</v>
      </c>
      <c r="B6594" s="223" t="s">
        <v>11340</v>
      </c>
      <c r="C6594" s="221" t="s">
        <v>11341</v>
      </c>
    </row>
    <row r="6595" spans="1:3" x14ac:dyDescent="0.25">
      <c r="A6595" s="222">
        <v>510318</v>
      </c>
      <c r="B6595" s="223" t="s">
        <v>11342</v>
      </c>
      <c r="C6595" s="221" t="s">
        <v>11343</v>
      </c>
    </row>
    <row r="6596" spans="1:3" x14ac:dyDescent="0.25">
      <c r="A6596" s="222">
        <v>510319</v>
      </c>
      <c r="B6596" s="223" t="s">
        <v>11344</v>
      </c>
      <c r="C6596" s="221" t="s">
        <v>11345</v>
      </c>
    </row>
    <row r="6597" spans="1:3" x14ac:dyDescent="0.25">
      <c r="A6597" s="222">
        <v>510320</v>
      </c>
      <c r="B6597" s="223" t="s">
        <v>11346</v>
      </c>
      <c r="C6597" s="221" t="s">
        <v>11347</v>
      </c>
    </row>
    <row r="6598" spans="1:3" x14ac:dyDescent="0.25">
      <c r="A6598" s="222">
        <v>510321</v>
      </c>
      <c r="B6598" s="223" t="s">
        <v>11348</v>
      </c>
      <c r="C6598" s="221" t="s">
        <v>11349</v>
      </c>
    </row>
    <row r="6599" spans="1:3" x14ac:dyDescent="0.25">
      <c r="A6599" s="222">
        <v>510322</v>
      </c>
      <c r="B6599" s="223" t="s">
        <v>11350</v>
      </c>
      <c r="C6599" s="221" t="s">
        <v>11351</v>
      </c>
    </row>
    <row r="6600" spans="1:3" x14ac:dyDescent="0.25">
      <c r="A6600" s="222">
        <v>510323</v>
      </c>
      <c r="B6600" s="223" t="s">
        <v>11352</v>
      </c>
      <c r="C6600" s="221" t="s">
        <v>11353</v>
      </c>
    </row>
    <row r="6601" spans="1:3" x14ac:dyDescent="0.25">
      <c r="A6601" s="222">
        <v>510324</v>
      </c>
      <c r="B6601" s="223" t="s">
        <v>11354</v>
      </c>
      <c r="C6601" s="221" t="s">
        <v>11355</v>
      </c>
    </row>
    <row r="6602" spans="1:3" x14ac:dyDescent="0.25">
      <c r="A6602" s="222">
        <v>510325</v>
      </c>
      <c r="B6602" s="223" t="s">
        <v>11356</v>
      </c>
      <c r="C6602" s="221" t="s">
        <v>11357</v>
      </c>
    </row>
    <row r="6603" spans="1:3" x14ac:dyDescent="0.25">
      <c r="A6603" s="222">
        <v>510326</v>
      </c>
      <c r="B6603" s="223" t="s">
        <v>11358</v>
      </c>
      <c r="C6603" s="221" t="s">
        <v>11359</v>
      </c>
    </row>
    <row r="6604" spans="1:3" x14ac:dyDescent="0.25">
      <c r="A6604" s="222">
        <v>510327</v>
      </c>
      <c r="B6604" s="223" t="s">
        <v>11360</v>
      </c>
      <c r="C6604" s="221" t="s">
        <v>11361</v>
      </c>
    </row>
    <row r="6605" spans="1:3" x14ac:dyDescent="0.25">
      <c r="A6605" s="222">
        <v>510328</v>
      </c>
      <c r="B6605" s="223" t="s">
        <v>11362</v>
      </c>
      <c r="C6605" s="221" t="s">
        <v>11363</v>
      </c>
    </row>
    <row r="6606" spans="1:3" x14ac:dyDescent="0.25">
      <c r="A6606" s="222">
        <v>510329</v>
      </c>
      <c r="B6606" s="223" t="s">
        <v>11364</v>
      </c>
      <c r="C6606" s="221" t="s">
        <v>11365</v>
      </c>
    </row>
    <row r="6607" spans="1:3" x14ac:dyDescent="0.25">
      <c r="A6607" s="222">
        <v>510330</v>
      </c>
      <c r="B6607" s="223" t="s">
        <v>11366</v>
      </c>
      <c r="C6607" s="221" t="s">
        <v>11367</v>
      </c>
    </row>
    <row r="6608" spans="1:3" x14ac:dyDescent="0.25">
      <c r="A6608" s="222">
        <v>510331</v>
      </c>
      <c r="B6608" s="223" t="s">
        <v>11368</v>
      </c>
      <c r="C6608" s="221" t="s">
        <v>11369</v>
      </c>
    </row>
    <row r="6609" spans="1:3" x14ac:dyDescent="0.25">
      <c r="A6609" s="222">
        <v>510332</v>
      </c>
      <c r="B6609" s="223" t="s">
        <v>11370</v>
      </c>
      <c r="C6609" s="221" t="s">
        <v>11371</v>
      </c>
    </row>
    <row r="6610" spans="1:3" x14ac:dyDescent="0.25">
      <c r="A6610" s="222">
        <v>510333</v>
      </c>
      <c r="B6610" s="223" t="s">
        <v>11372</v>
      </c>
      <c r="C6610" s="221" t="s">
        <v>11373</v>
      </c>
    </row>
    <row r="6611" spans="1:3" x14ac:dyDescent="0.25">
      <c r="A6611" s="222">
        <v>510334</v>
      </c>
      <c r="B6611" s="223" t="s">
        <v>11374</v>
      </c>
      <c r="C6611" s="221" t="s">
        <v>11375</v>
      </c>
    </row>
    <row r="6612" spans="1:3" x14ac:dyDescent="0.25">
      <c r="A6612" s="222">
        <v>510335</v>
      </c>
      <c r="B6612" s="223" t="s">
        <v>11376</v>
      </c>
      <c r="C6612" s="221" t="s">
        <v>11377</v>
      </c>
    </row>
    <row r="6613" spans="1:3" x14ac:dyDescent="0.25">
      <c r="A6613" s="222">
        <v>510337</v>
      </c>
      <c r="B6613" s="223" t="s">
        <v>11378</v>
      </c>
      <c r="C6613" s="221" t="s">
        <v>11379</v>
      </c>
    </row>
    <row r="6614" spans="1:3" x14ac:dyDescent="0.25">
      <c r="A6614" s="222">
        <v>510339</v>
      </c>
      <c r="B6614" s="223" t="s">
        <v>11340</v>
      </c>
      <c r="C6614" s="221" t="s">
        <v>11380</v>
      </c>
    </row>
    <row r="6615" spans="1:3" x14ac:dyDescent="0.25">
      <c r="A6615" s="222">
        <v>510341</v>
      </c>
      <c r="B6615" s="223" t="s">
        <v>11381</v>
      </c>
      <c r="C6615" s="221" t="s">
        <v>11382</v>
      </c>
    </row>
    <row r="6616" spans="1:3" x14ac:dyDescent="0.25">
      <c r="A6616" s="222">
        <v>510342</v>
      </c>
      <c r="B6616" s="223" t="s">
        <v>11383</v>
      </c>
      <c r="C6616" s="221" t="s">
        <v>11384</v>
      </c>
    </row>
    <row r="6617" spans="1:3" x14ac:dyDescent="0.25">
      <c r="A6617" s="222">
        <v>511001</v>
      </c>
      <c r="B6617" s="223" t="s">
        <v>11385</v>
      </c>
      <c r="C6617" s="221" t="s">
        <v>11386</v>
      </c>
    </row>
    <row r="6618" spans="1:3" x14ac:dyDescent="0.25">
      <c r="A6618" s="222">
        <v>511002</v>
      </c>
      <c r="B6618" s="223" t="s">
        <v>11387</v>
      </c>
      <c r="C6618" s="221" t="s">
        <v>11388</v>
      </c>
    </row>
    <row r="6619" spans="1:3" x14ac:dyDescent="0.25">
      <c r="A6619" s="222">
        <v>511003</v>
      </c>
      <c r="B6619" s="223" t="s">
        <v>11389</v>
      </c>
      <c r="C6619" s="221" t="s">
        <v>11390</v>
      </c>
    </row>
    <row r="6620" spans="1:3" x14ac:dyDescent="0.25">
      <c r="A6620" s="222">
        <v>511004</v>
      </c>
      <c r="B6620" s="223" t="s">
        <v>11391</v>
      </c>
      <c r="C6620" s="221" t="s">
        <v>11392</v>
      </c>
    </row>
    <row r="6621" spans="1:3" x14ac:dyDescent="0.25">
      <c r="A6621" s="222">
        <v>511005</v>
      </c>
      <c r="B6621" s="223" t="s">
        <v>11393</v>
      </c>
      <c r="C6621" s="221" t="s">
        <v>11394</v>
      </c>
    </row>
    <row r="6622" spans="1:3" x14ac:dyDescent="0.25">
      <c r="A6622" s="222">
        <v>511006</v>
      </c>
      <c r="B6622" s="223" t="s">
        <v>11395</v>
      </c>
      <c r="C6622" s="221" t="s">
        <v>11396</v>
      </c>
    </row>
    <row r="6623" spans="1:3" x14ac:dyDescent="0.25">
      <c r="A6623" s="222">
        <v>511007</v>
      </c>
      <c r="B6623" s="223" t="s">
        <v>11397</v>
      </c>
      <c r="C6623" s="221" t="s">
        <v>11398</v>
      </c>
    </row>
    <row r="6624" spans="1:3" x14ac:dyDescent="0.25">
      <c r="A6624" s="222">
        <v>511008</v>
      </c>
      <c r="B6624" s="223" t="s">
        <v>11399</v>
      </c>
      <c r="C6624" s="221" t="s">
        <v>11400</v>
      </c>
    </row>
    <row r="6625" spans="1:3" x14ac:dyDescent="0.25">
      <c r="A6625" s="222">
        <v>511009</v>
      </c>
      <c r="B6625" s="223" t="s">
        <v>11401</v>
      </c>
      <c r="C6625" s="221" t="s">
        <v>11402</v>
      </c>
    </row>
    <row r="6626" spans="1:3" x14ac:dyDescent="0.25">
      <c r="A6626" s="222">
        <v>511010</v>
      </c>
      <c r="B6626" s="223" t="s">
        <v>11403</v>
      </c>
      <c r="C6626" s="221" t="s">
        <v>11404</v>
      </c>
    </row>
    <row r="6627" spans="1:3" x14ac:dyDescent="0.25">
      <c r="A6627" s="222">
        <v>511011</v>
      </c>
      <c r="B6627" s="223" t="s">
        <v>11405</v>
      </c>
      <c r="C6627" s="221" t="s">
        <v>11406</v>
      </c>
    </row>
    <row r="6628" spans="1:3" x14ac:dyDescent="0.25">
      <c r="A6628" s="222">
        <v>511012</v>
      </c>
      <c r="B6628" s="223" t="s">
        <v>11407</v>
      </c>
      <c r="C6628" s="221" t="s">
        <v>11408</v>
      </c>
    </row>
    <row r="6629" spans="1:3" x14ac:dyDescent="0.25">
      <c r="A6629" s="222">
        <v>511013</v>
      </c>
      <c r="B6629" s="223" t="s">
        <v>11409</v>
      </c>
      <c r="C6629" s="221" t="s">
        <v>11410</v>
      </c>
    </row>
    <row r="6630" spans="1:3" x14ac:dyDescent="0.25">
      <c r="A6630" s="222">
        <v>511014</v>
      </c>
      <c r="B6630" s="223" t="s">
        <v>11411</v>
      </c>
      <c r="C6630" s="221" t="s">
        <v>11412</v>
      </c>
    </row>
    <row r="6631" spans="1:3" x14ac:dyDescent="0.25">
      <c r="A6631" s="222">
        <v>511015</v>
      </c>
      <c r="B6631" s="223" t="s">
        <v>11413</v>
      </c>
      <c r="C6631" s="221" t="s">
        <v>11414</v>
      </c>
    </row>
    <row r="6632" spans="1:3" x14ac:dyDescent="0.25">
      <c r="A6632" s="222">
        <v>511016</v>
      </c>
      <c r="B6632" s="223" t="s">
        <v>11415</v>
      </c>
      <c r="C6632" s="221" t="s">
        <v>11416</v>
      </c>
    </row>
    <row r="6633" spans="1:3" x14ac:dyDescent="0.25">
      <c r="A6633" s="222">
        <v>511017</v>
      </c>
      <c r="B6633" s="223" t="s">
        <v>11417</v>
      </c>
      <c r="C6633" s="221" t="s">
        <v>11418</v>
      </c>
    </row>
    <row r="6634" spans="1:3" x14ac:dyDescent="0.25">
      <c r="A6634" s="222">
        <v>511018</v>
      </c>
      <c r="B6634" s="223" t="s">
        <v>11419</v>
      </c>
      <c r="C6634" s="221" t="s">
        <v>11420</v>
      </c>
    </row>
    <row r="6635" spans="1:3" x14ac:dyDescent="0.25">
      <c r="A6635" s="222">
        <v>511019</v>
      </c>
      <c r="B6635" s="223" t="s">
        <v>11421</v>
      </c>
      <c r="C6635" s="221" t="s">
        <v>11422</v>
      </c>
    </row>
    <row r="6636" spans="1:3" x14ac:dyDescent="0.25">
      <c r="A6636" s="222">
        <v>511020</v>
      </c>
      <c r="B6636" s="223" t="s">
        <v>11423</v>
      </c>
      <c r="C6636" s="221" t="s">
        <v>11424</v>
      </c>
    </row>
    <row r="6637" spans="1:3" x14ac:dyDescent="0.25">
      <c r="A6637" s="222">
        <v>511021</v>
      </c>
      <c r="B6637" s="223" t="s">
        <v>11425</v>
      </c>
      <c r="C6637" s="221" t="s">
        <v>11426</v>
      </c>
    </row>
    <row r="6638" spans="1:3" x14ac:dyDescent="0.25">
      <c r="A6638" s="222">
        <v>511022</v>
      </c>
      <c r="B6638" s="223" t="s">
        <v>11427</v>
      </c>
      <c r="C6638" s="221" t="s">
        <v>11428</v>
      </c>
    </row>
    <row r="6639" spans="1:3" x14ac:dyDescent="0.25">
      <c r="A6639" s="222">
        <v>511023</v>
      </c>
      <c r="B6639" s="223" t="s">
        <v>11429</v>
      </c>
      <c r="C6639" s="221" t="s">
        <v>11430</v>
      </c>
    </row>
    <row r="6640" spans="1:3" x14ac:dyDescent="0.25">
      <c r="A6640" s="222">
        <v>511024</v>
      </c>
      <c r="B6640" s="223" t="s">
        <v>11431</v>
      </c>
      <c r="C6640" s="221" t="s">
        <v>11432</v>
      </c>
    </row>
    <row r="6641" spans="1:3" x14ac:dyDescent="0.25">
      <c r="A6641" s="222">
        <v>511025</v>
      </c>
      <c r="B6641" s="223" t="s">
        <v>11433</v>
      </c>
      <c r="C6641" s="221" t="s">
        <v>11434</v>
      </c>
    </row>
    <row r="6642" spans="1:3" x14ac:dyDescent="0.25">
      <c r="A6642" s="222">
        <v>511026</v>
      </c>
      <c r="B6642" s="223" t="s">
        <v>11435</v>
      </c>
      <c r="C6642" s="221" t="s">
        <v>11436</v>
      </c>
    </row>
    <row r="6643" spans="1:3" x14ac:dyDescent="0.25">
      <c r="A6643" s="222">
        <v>511027</v>
      </c>
      <c r="B6643" s="223" t="s">
        <v>11437</v>
      </c>
      <c r="C6643" s="221" t="s">
        <v>11438</v>
      </c>
    </row>
    <row r="6644" spans="1:3" x14ac:dyDescent="0.25">
      <c r="A6644" s="222">
        <v>511028</v>
      </c>
      <c r="B6644" s="223" t="s">
        <v>11439</v>
      </c>
      <c r="C6644" s="221" t="s">
        <v>11440</v>
      </c>
    </row>
    <row r="6645" spans="1:3" x14ac:dyDescent="0.25">
      <c r="A6645" s="222">
        <v>511029</v>
      </c>
      <c r="B6645" s="223" t="s">
        <v>11441</v>
      </c>
      <c r="C6645" s="221" t="s">
        <v>11442</v>
      </c>
    </row>
    <row r="6646" spans="1:3" x14ac:dyDescent="0.25">
      <c r="A6646" s="222">
        <v>511030</v>
      </c>
      <c r="B6646" s="223" t="s">
        <v>11443</v>
      </c>
      <c r="C6646" s="221" t="s">
        <v>11444</v>
      </c>
    </row>
    <row r="6647" spans="1:3" x14ac:dyDescent="0.25">
      <c r="A6647" s="222">
        <v>511031</v>
      </c>
      <c r="B6647" s="223" t="s">
        <v>11445</v>
      </c>
      <c r="C6647" s="221" t="s">
        <v>11446</v>
      </c>
    </row>
    <row r="6648" spans="1:3" x14ac:dyDescent="0.25">
      <c r="A6648" s="222">
        <v>511032</v>
      </c>
      <c r="B6648" s="223" t="s">
        <v>11447</v>
      </c>
      <c r="C6648" s="221" t="s">
        <v>11448</v>
      </c>
    </row>
    <row r="6649" spans="1:3" x14ac:dyDescent="0.25">
      <c r="A6649" s="222">
        <v>511033</v>
      </c>
      <c r="B6649" s="223" t="s">
        <v>11449</v>
      </c>
      <c r="C6649" s="221" t="s">
        <v>11450</v>
      </c>
    </row>
    <row r="6650" spans="1:3" x14ac:dyDescent="0.25">
      <c r="A6650" s="222">
        <v>512001</v>
      </c>
      <c r="B6650" s="223" t="s">
        <v>11451</v>
      </c>
      <c r="C6650" s="221" t="s">
        <v>11452</v>
      </c>
    </row>
    <row r="6651" spans="1:3" x14ac:dyDescent="0.25">
      <c r="A6651" s="222">
        <v>512002</v>
      </c>
      <c r="B6651" s="223" t="s">
        <v>11453</v>
      </c>
      <c r="C6651" s="221" t="s">
        <v>11454</v>
      </c>
    </row>
    <row r="6652" spans="1:3" x14ac:dyDescent="0.25">
      <c r="A6652" s="222">
        <v>512003</v>
      </c>
      <c r="B6652" s="223" t="s">
        <v>11455</v>
      </c>
      <c r="C6652" s="221" t="s">
        <v>11456</v>
      </c>
    </row>
    <row r="6653" spans="1:3" x14ac:dyDescent="0.25">
      <c r="A6653" s="222">
        <v>512004</v>
      </c>
      <c r="B6653" s="223" t="s">
        <v>11457</v>
      </c>
      <c r="C6653" s="221" t="s">
        <v>11458</v>
      </c>
    </row>
    <row r="6654" spans="1:3" x14ac:dyDescent="0.25">
      <c r="A6654" s="222">
        <v>512005</v>
      </c>
      <c r="B6654" s="223" t="s">
        <v>11459</v>
      </c>
      <c r="C6654" s="221" t="s">
        <v>11460</v>
      </c>
    </row>
    <row r="6655" spans="1:3" x14ac:dyDescent="0.25">
      <c r="A6655" s="222">
        <v>512005</v>
      </c>
      <c r="B6655" s="223" t="s">
        <v>11459</v>
      </c>
      <c r="C6655" s="221" t="s">
        <v>11461</v>
      </c>
    </row>
    <row r="6656" spans="1:3" x14ac:dyDescent="0.25">
      <c r="A6656" s="222">
        <v>512005</v>
      </c>
      <c r="B6656" s="223" t="s">
        <v>11459</v>
      </c>
      <c r="C6656" s="221" t="s">
        <v>11462</v>
      </c>
    </row>
    <row r="6657" spans="1:3" x14ac:dyDescent="0.25">
      <c r="A6657" s="222">
        <v>512006</v>
      </c>
      <c r="B6657" s="223" t="s">
        <v>11463</v>
      </c>
      <c r="C6657" s="221" t="s">
        <v>11464</v>
      </c>
    </row>
    <row r="6658" spans="1:3" x14ac:dyDescent="0.25">
      <c r="A6658" s="222">
        <v>512007</v>
      </c>
      <c r="B6658" s="223" t="s">
        <v>11465</v>
      </c>
      <c r="C6658" s="221" t="s">
        <v>11466</v>
      </c>
    </row>
    <row r="6659" spans="1:3" x14ac:dyDescent="0.25">
      <c r="A6659" s="222">
        <v>512008</v>
      </c>
      <c r="B6659" s="223" t="s">
        <v>11467</v>
      </c>
      <c r="C6659" s="221" t="s">
        <v>11468</v>
      </c>
    </row>
    <row r="6660" spans="1:3" x14ac:dyDescent="0.25">
      <c r="A6660" s="222">
        <v>512009</v>
      </c>
      <c r="B6660" s="223" t="s">
        <v>11469</v>
      </c>
      <c r="C6660" s="221" t="s">
        <v>11470</v>
      </c>
    </row>
    <row r="6661" spans="1:3" x14ac:dyDescent="0.25">
      <c r="A6661" s="222">
        <v>512010</v>
      </c>
      <c r="B6661" s="223" t="s">
        <v>11471</v>
      </c>
      <c r="C6661" s="221" t="s">
        <v>11472</v>
      </c>
    </row>
    <row r="6662" spans="1:3" x14ac:dyDescent="0.25">
      <c r="A6662" s="222">
        <v>512011</v>
      </c>
      <c r="B6662" s="223" t="s">
        <v>11473</v>
      </c>
      <c r="C6662" s="221" t="s">
        <v>11474</v>
      </c>
    </row>
    <row r="6663" spans="1:3" x14ac:dyDescent="0.25">
      <c r="A6663" s="222">
        <v>512012</v>
      </c>
      <c r="B6663" s="223" t="s">
        <v>11475</v>
      </c>
      <c r="C6663" s="221" t="s">
        <v>11476</v>
      </c>
    </row>
    <row r="6664" spans="1:3" x14ac:dyDescent="0.25">
      <c r="A6664" s="222">
        <v>512015</v>
      </c>
      <c r="B6664" s="223" t="s">
        <v>11477</v>
      </c>
      <c r="C6664" s="221" t="s">
        <v>11478</v>
      </c>
    </row>
    <row r="6665" spans="1:3" x14ac:dyDescent="0.25">
      <c r="A6665" s="222">
        <v>512016</v>
      </c>
      <c r="B6665" s="223" t="s">
        <v>11479</v>
      </c>
      <c r="C6665" s="221" t="s">
        <v>11480</v>
      </c>
    </row>
    <row r="6666" spans="1:3" x14ac:dyDescent="0.25">
      <c r="A6666" s="222">
        <v>512018</v>
      </c>
      <c r="B6666" s="223" t="s">
        <v>11481</v>
      </c>
      <c r="C6666" s="221" t="s">
        <v>11482</v>
      </c>
    </row>
    <row r="6667" spans="1:3" x14ac:dyDescent="0.25">
      <c r="A6667" s="222">
        <v>512019</v>
      </c>
      <c r="B6667" s="223" t="s">
        <v>11483</v>
      </c>
      <c r="C6667" s="221" t="s">
        <v>11482</v>
      </c>
    </row>
    <row r="6668" spans="1:3" x14ac:dyDescent="0.25">
      <c r="A6668" s="222">
        <v>512020</v>
      </c>
      <c r="B6668" s="223" t="s">
        <v>11484</v>
      </c>
      <c r="C6668" s="221" t="s">
        <v>11485</v>
      </c>
    </row>
    <row r="6669" spans="1:3" x14ac:dyDescent="0.25">
      <c r="A6669" s="222">
        <v>512023</v>
      </c>
      <c r="B6669" s="223" t="s">
        <v>11486</v>
      </c>
      <c r="C6669" s="221" t="s">
        <v>11487</v>
      </c>
    </row>
    <row r="6670" spans="1:3" x14ac:dyDescent="0.25">
      <c r="A6670" s="222">
        <v>512024</v>
      </c>
      <c r="B6670" s="223" t="s">
        <v>11488</v>
      </c>
      <c r="C6670" s="221" t="s">
        <v>11489</v>
      </c>
    </row>
    <row r="6671" spans="1:3" x14ac:dyDescent="0.25">
      <c r="A6671" s="222">
        <v>512025</v>
      </c>
      <c r="B6671" s="223" t="s">
        <v>11490</v>
      </c>
      <c r="C6671" s="221" t="s">
        <v>11491</v>
      </c>
    </row>
    <row r="6672" spans="1:3" x14ac:dyDescent="0.25">
      <c r="A6672" s="222">
        <v>512028</v>
      </c>
      <c r="B6672" s="223" t="s">
        <v>11492</v>
      </c>
      <c r="C6672" s="221" t="s">
        <v>11493</v>
      </c>
    </row>
    <row r="6673" spans="1:3" x14ac:dyDescent="0.25">
      <c r="A6673" s="222">
        <v>512029</v>
      </c>
      <c r="B6673" s="223" t="s">
        <v>11494</v>
      </c>
      <c r="C6673" s="221" t="s">
        <v>11495</v>
      </c>
    </row>
    <row r="6674" spans="1:3" x14ac:dyDescent="0.25">
      <c r="A6674" s="222">
        <v>512030</v>
      </c>
      <c r="B6674" s="223" t="s">
        <v>11496</v>
      </c>
      <c r="C6674" s="221" t="s">
        <v>11497</v>
      </c>
    </row>
    <row r="6675" spans="1:3" x14ac:dyDescent="0.25">
      <c r="A6675" s="222">
        <v>512031</v>
      </c>
      <c r="B6675" s="223" t="s">
        <v>11498</v>
      </c>
      <c r="C6675" s="221" t="s">
        <v>11499</v>
      </c>
    </row>
    <row r="6676" spans="1:3" x14ac:dyDescent="0.25">
      <c r="A6676" s="222">
        <v>512032</v>
      </c>
      <c r="B6676" s="223" t="s">
        <v>11500</v>
      </c>
      <c r="C6676" s="221" t="s">
        <v>11501</v>
      </c>
    </row>
    <row r="6677" spans="1:3" x14ac:dyDescent="0.25">
      <c r="A6677" s="222">
        <v>512033</v>
      </c>
      <c r="B6677" s="223" t="s">
        <v>11502</v>
      </c>
      <c r="C6677" s="221" t="s">
        <v>11503</v>
      </c>
    </row>
    <row r="6678" spans="1:3" x14ac:dyDescent="0.25">
      <c r="A6678" s="222">
        <v>512034</v>
      </c>
      <c r="B6678" s="223" t="s">
        <v>11504</v>
      </c>
      <c r="C6678" s="221" t="s">
        <v>11505</v>
      </c>
    </row>
    <row r="6679" spans="1:3" x14ac:dyDescent="0.25">
      <c r="A6679" s="222">
        <v>512034</v>
      </c>
      <c r="B6679" s="223" t="s">
        <v>11504</v>
      </c>
      <c r="C6679" s="221" t="s">
        <v>11506</v>
      </c>
    </row>
    <row r="6680" spans="1:3" x14ac:dyDescent="0.25">
      <c r="A6680" s="222">
        <v>512035</v>
      </c>
      <c r="B6680" s="223" t="s">
        <v>11507</v>
      </c>
      <c r="C6680" s="221" t="s">
        <v>11508</v>
      </c>
    </row>
    <row r="6681" spans="1:3" x14ac:dyDescent="0.25">
      <c r="A6681" s="222">
        <v>512036</v>
      </c>
      <c r="B6681" s="223" t="s">
        <v>11509</v>
      </c>
      <c r="C6681" s="221" t="s">
        <v>11510</v>
      </c>
    </row>
    <row r="6682" spans="1:3" x14ac:dyDescent="0.25">
      <c r="A6682" s="222">
        <v>512037</v>
      </c>
      <c r="B6682" s="223" t="s">
        <v>11511</v>
      </c>
      <c r="C6682" s="221" t="s">
        <v>11512</v>
      </c>
    </row>
    <row r="6683" spans="1:3" x14ac:dyDescent="0.25">
      <c r="A6683" s="222">
        <v>512038</v>
      </c>
      <c r="B6683" s="223" t="s">
        <v>11513</v>
      </c>
      <c r="C6683" s="221" t="s">
        <v>11514</v>
      </c>
    </row>
    <row r="6684" spans="1:3" x14ac:dyDescent="0.25">
      <c r="A6684" s="222">
        <v>512039</v>
      </c>
      <c r="B6684" s="223" t="s">
        <v>11515</v>
      </c>
      <c r="C6684" s="221" t="s">
        <v>11516</v>
      </c>
    </row>
    <row r="6685" spans="1:3" x14ac:dyDescent="0.25">
      <c r="A6685" s="222">
        <v>512040</v>
      </c>
      <c r="B6685" s="223" t="s">
        <v>11517</v>
      </c>
      <c r="C6685" s="221" t="s">
        <v>11518</v>
      </c>
    </row>
    <row r="6686" spans="1:3" x14ac:dyDescent="0.25">
      <c r="A6686" s="222">
        <v>512041</v>
      </c>
      <c r="B6686" s="223" t="s">
        <v>11519</v>
      </c>
      <c r="C6686" s="221" t="s">
        <v>11520</v>
      </c>
    </row>
    <row r="6687" spans="1:3" x14ac:dyDescent="0.25">
      <c r="A6687" s="222">
        <v>512042</v>
      </c>
      <c r="B6687" s="223" t="s">
        <v>11521</v>
      </c>
      <c r="C6687" s="221" t="s">
        <v>11522</v>
      </c>
    </row>
    <row r="6688" spans="1:3" x14ac:dyDescent="0.25">
      <c r="A6688" s="222">
        <v>512043</v>
      </c>
      <c r="B6688" s="223" t="s">
        <v>11523</v>
      </c>
      <c r="C6688" s="221" t="s">
        <v>11524</v>
      </c>
    </row>
    <row r="6689" spans="1:3" x14ac:dyDescent="0.25">
      <c r="A6689" s="222">
        <v>512044</v>
      </c>
      <c r="B6689" s="223" t="s">
        <v>11525</v>
      </c>
      <c r="C6689" s="221" t="s">
        <v>11526</v>
      </c>
    </row>
    <row r="6690" spans="1:3" x14ac:dyDescent="0.25">
      <c r="A6690" s="222">
        <v>512045</v>
      </c>
      <c r="B6690" s="223" t="s">
        <v>11527</v>
      </c>
      <c r="C6690" s="221" t="s">
        <v>11528</v>
      </c>
    </row>
    <row r="6691" spans="1:3" x14ac:dyDescent="0.25">
      <c r="A6691" s="222">
        <v>512046</v>
      </c>
      <c r="B6691" s="223" t="s">
        <v>11529</v>
      </c>
      <c r="C6691" s="221" t="s">
        <v>11530</v>
      </c>
    </row>
    <row r="6692" spans="1:3" x14ac:dyDescent="0.25">
      <c r="A6692" s="222">
        <v>512047</v>
      </c>
      <c r="B6692" s="223" t="s">
        <v>11531</v>
      </c>
      <c r="C6692" s="221" t="s">
        <v>11532</v>
      </c>
    </row>
    <row r="6693" spans="1:3" x14ac:dyDescent="0.25">
      <c r="A6693" s="222">
        <v>512048</v>
      </c>
      <c r="B6693" s="223" t="s">
        <v>11533</v>
      </c>
      <c r="C6693" s="221" t="s">
        <v>11534</v>
      </c>
    </row>
    <row r="6694" spans="1:3" x14ac:dyDescent="0.25">
      <c r="A6694" s="222">
        <v>512049</v>
      </c>
      <c r="B6694" s="223" t="s">
        <v>11535</v>
      </c>
      <c r="C6694" s="221" t="s">
        <v>11536</v>
      </c>
    </row>
    <row r="6695" spans="1:3" x14ac:dyDescent="0.25">
      <c r="A6695" s="222">
        <v>512050</v>
      </c>
      <c r="B6695" s="223" t="s">
        <v>11537</v>
      </c>
      <c r="C6695" s="221" t="s">
        <v>11538</v>
      </c>
    </row>
    <row r="6696" spans="1:3" x14ac:dyDescent="0.25">
      <c r="A6696" s="222">
        <v>512051</v>
      </c>
      <c r="B6696" s="223" t="s">
        <v>869</v>
      </c>
      <c r="C6696" s="221" t="s">
        <v>11539</v>
      </c>
    </row>
    <row r="6697" spans="1:3" x14ac:dyDescent="0.25">
      <c r="A6697" s="222">
        <v>512052</v>
      </c>
      <c r="B6697" s="223" t="s">
        <v>11540</v>
      </c>
      <c r="C6697" s="221" t="s">
        <v>11541</v>
      </c>
    </row>
    <row r="6698" spans="1:3" x14ac:dyDescent="0.25">
      <c r="A6698" s="222">
        <v>512053</v>
      </c>
      <c r="B6698" s="223" t="s">
        <v>11542</v>
      </c>
      <c r="C6698" s="221" t="s">
        <v>11543</v>
      </c>
    </row>
    <row r="6699" spans="1:3" x14ac:dyDescent="0.25">
      <c r="A6699" s="222">
        <v>512054</v>
      </c>
      <c r="B6699" s="223" t="s">
        <v>11544</v>
      </c>
      <c r="C6699" s="221" t="s">
        <v>11545</v>
      </c>
    </row>
    <row r="6700" spans="1:3" x14ac:dyDescent="0.25">
      <c r="A6700" s="222">
        <v>512055</v>
      </c>
      <c r="B6700" s="223" t="s">
        <v>11546</v>
      </c>
      <c r="C6700" s="221" t="s">
        <v>11547</v>
      </c>
    </row>
    <row r="6701" spans="1:3" x14ac:dyDescent="0.25">
      <c r="A6701" s="222">
        <v>512056</v>
      </c>
      <c r="B6701" s="223" t="s">
        <v>11548</v>
      </c>
      <c r="C6701" s="221" t="s">
        <v>11549</v>
      </c>
    </row>
    <row r="6702" spans="1:3" x14ac:dyDescent="0.25">
      <c r="A6702" s="222">
        <v>512057</v>
      </c>
      <c r="B6702" s="223" t="s">
        <v>11550</v>
      </c>
      <c r="C6702" s="221" t="s">
        <v>11551</v>
      </c>
    </row>
    <row r="6703" spans="1:3" x14ac:dyDescent="0.25">
      <c r="A6703" s="222">
        <v>512058</v>
      </c>
      <c r="B6703" s="223" t="s">
        <v>11552</v>
      </c>
      <c r="C6703" s="221" t="s">
        <v>11553</v>
      </c>
    </row>
    <row r="6704" spans="1:3" x14ac:dyDescent="0.25">
      <c r="A6704" s="222">
        <v>512059</v>
      </c>
      <c r="B6704" s="223" t="s">
        <v>11554</v>
      </c>
      <c r="C6704" s="221" t="s">
        <v>11555</v>
      </c>
    </row>
    <row r="6705" spans="1:3" x14ac:dyDescent="0.25">
      <c r="A6705" s="222">
        <v>512060</v>
      </c>
      <c r="B6705" s="223" t="s">
        <v>11556</v>
      </c>
      <c r="C6705" s="221" t="s">
        <v>11557</v>
      </c>
    </row>
    <row r="6706" spans="1:3" x14ac:dyDescent="0.25">
      <c r="A6706" s="222">
        <v>512061</v>
      </c>
      <c r="B6706" s="223" t="s">
        <v>11558</v>
      </c>
      <c r="C6706" s="221" t="s">
        <v>11559</v>
      </c>
    </row>
    <row r="6707" spans="1:3" x14ac:dyDescent="0.25">
      <c r="A6707" s="222">
        <v>512062</v>
      </c>
      <c r="B6707" s="223" t="s">
        <v>11560</v>
      </c>
      <c r="C6707" s="221" t="s">
        <v>11561</v>
      </c>
    </row>
    <row r="6708" spans="1:3" x14ac:dyDescent="0.25">
      <c r="A6708" s="222">
        <v>512063</v>
      </c>
      <c r="B6708" s="223" t="s">
        <v>11562</v>
      </c>
      <c r="C6708" s="221" t="s">
        <v>11563</v>
      </c>
    </row>
    <row r="6709" spans="1:3" x14ac:dyDescent="0.25">
      <c r="A6709" s="222">
        <v>512065</v>
      </c>
      <c r="B6709" s="223" t="s">
        <v>6293</v>
      </c>
      <c r="C6709" s="221" t="s">
        <v>11564</v>
      </c>
    </row>
    <row r="6710" spans="1:3" x14ac:dyDescent="0.25">
      <c r="A6710" s="222">
        <v>512068</v>
      </c>
      <c r="B6710" s="223" t="s">
        <v>11565</v>
      </c>
      <c r="C6710" s="221" t="s">
        <v>11566</v>
      </c>
    </row>
    <row r="6711" spans="1:3" x14ac:dyDescent="0.25">
      <c r="A6711" s="222">
        <v>512069</v>
      </c>
      <c r="B6711" s="223" t="s">
        <v>11567</v>
      </c>
      <c r="C6711" s="221" t="s">
        <v>11568</v>
      </c>
    </row>
    <row r="6712" spans="1:3" x14ac:dyDescent="0.25">
      <c r="A6712" s="222">
        <v>512070</v>
      </c>
      <c r="B6712" s="223" t="s">
        <v>11569</v>
      </c>
      <c r="C6712" s="221" t="s">
        <v>11570</v>
      </c>
    </row>
    <row r="6713" spans="1:3" x14ac:dyDescent="0.25">
      <c r="A6713" s="222">
        <v>512073</v>
      </c>
      <c r="B6713" s="223" t="s">
        <v>11571</v>
      </c>
      <c r="C6713" s="221" t="s">
        <v>11572</v>
      </c>
    </row>
    <row r="6714" spans="1:3" x14ac:dyDescent="0.25">
      <c r="A6714" s="222">
        <v>512074</v>
      </c>
      <c r="B6714" s="223" t="s">
        <v>11573</v>
      </c>
      <c r="C6714" s="221" t="s">
        <v>11574</v>
      </c>
    </row>
    <row r="6715" spans="1:3" x14ac:dyDescent="0.25">
      <c r="A6715" s="222">
        <v>512075</v>
      </c>
      <c r="B6715" s="223" t="s">
        <v>11575</v>
      </c>
      <c r="C6715" s="221" t="s">
        <v>11576</v>
      </c>
    </row>
    <row r="6716" spans="1:3" x14ac:dyDescent="0.25">
      <c r="A6716" s="222">
        <v>512076</v>
      </c>
      <c r="B6716" s="223" t="s">
        <v>849</v>
      </c>
      <c r="C6716" s="221" t="s">
        <v>11577</v>
      </c>
    </row>
    <row r="6717" spans="1:3" x14ac:dyDescent="0.25">
      <c r="A6717" s="222">
        <v>512077</v>
      </c>
      <c r="B6717" s="223" t="s">
        <v>850</v>
      </c>
      <c r="C6717" s="221" t="s">
        <v>11578</v>
      </c>
    </row>
    <row r="6718" spans="1:3" x14ac:dyDescent="0.25">
      <c r="A6718" s="222">
        <v>512078</v>
      </c>
      <c r="B6718" s="223" t="s">
        <v>851</v>
      </c>
      <c r="C6718" s="221" t="s">
        <v>11579</v>
      </c>
    </row>
    <row r="6719" spans="1:3" x14ac:dyDescent="0.25">
      <c r="A6719" s="222">
        <v>512079</v>
      </c>
      <c r="B6719" s="223" t="s">
        <v>852</v>
      </c>
      <c r="C6719" s="221" t="s">
        <v>11580</v>
      </c>
    </row>
    <row r="6720" spans="1:3" x14ac:dyDescent="0.25">
      <c r="A6720" s="222">
        <v>512080</v>
      </c>
      <c r="B6720" s="223" t="s">
        <v>853</v>
      </c>
      <c r="C6720" s="221" t="s">
        <v>11581</v>
      </c>
    </row>
    <row r="6721" spans="1:3" x14ac:dyDescent="0.25">
      <c r="A6721" s="222">
        <v>512081</v>
      </c>
      <c r="B6721" s="223" t="s">
        <v>11582</v>
      </c>
      <c r="C6721" s="221" t="s">
        <v>11583</v>
      </c>
    </row>
    <row r="6722" spans="1:3" x14ac:dyDescent="0.25">
      <c r="A6722" s="222">
        <v>512082</v>
      </c>
      <c r="B6722" s="223" t="s">
        <v>854</v>
      </c>
      <c r="C6722" s="221" t="s">
        <v>11584</v>
      </c>
    </row>
    <row r="6723" spans="1:3" x14ac:dyDescent="0.25">
      <c r="A6723" s="222">
        <v>512083</v>
      </c>
      <c r="B6723" s="223" t="s">
        <v>855</v>
      </c>
      <c r="C6723" s="221" t="s">
        <v>11585</v>
      </c>
    </row>
    <row r="6724" spans="1:3" x14ac:dyDescent="0.25">
      <c r="A6724" s="222">
        <v>512084</v>
      </c>
      <c r="B6724" s="223" t="s">
        <v>856</v>
      </c>
      <c r="C6724" s="221" t="s">
        <v>11586</v>
      </c>
    </row>
    <row r="6725" spans="1:3" x14ac:dyDescent="0.25">
      <c r="A6725" s="222">
        <v>512085</v>
      </c>
      <c r="B6725" s="223" t="s">
        <v>857</v>
      </c>
      <c r="C6725" s="221" t="s">
        <v>11587</v>
      </c>
    </row>
    <row r="6726" spans="1:3" x14ac:dyDescent="0.25">
      <c r="A6726" s="222">
        <v>512086</v>
      </c>
      <c r="B6726" s="223" t="s">
        <v>858</v>
      </c>
      <c r="C6726" s="221" t="s">
        <v>11588</v>
      </c>
    </row>
    <row r="6727" spans="1:3" x14ac:dyDescent="0.25">
      <c r="A6727" s="222">
        <v>512087</v>
      </c>
      <c r="B6727" s="223" t="s">
        <v>859</v>
      </c>
      <c r="C6727" s="221" t="s">
        <v>11589</v>
      </c>
    </row>
    <row r="6728" spans="1:3" x14ac:dyDescent="0.25">
      <c r="A6728" s="222">
        <v>512088</v>
      </c>
      <c r="B6728" s="223" t="s">
        <v>860</v>
      </c>
      <c r="C6728" s="221" t="s">
        <v>11590</v>
      </c>
    </row>
    <row r="6729" spans="1:3" x14ac:dyDescent="0.25">
      <c r="A6729" s="222">
        <v>512089</v>
      </c>
      <c r="B6729" s="223" t="s">
        <v>861</v>
      </c>
      <c r="C6729" s="221" t="s">
        <v>11591</v>
      </c>
    </row>
    <row r="6730" spans="1:3" x14ac:dyDescent="0.25">
      <c r="A6730" s="222">
        <v>512090</v>
      </c>
      <c r="B6730" s="223" t="s">
        <v>862</v>
      </c>
      <c r="C6730" s="221" t="s">
        <v>11592</v>
      </c>
    </row>
    <row r="6731" spans="1:3" x14ac:dyDescent="0.25">
      <c r="A6731" s="222">
        <v>512091</v>
      </c>
      <c r="B6731" s="223" t="s">
        <v>863</v>
      </c>
      <c r="C6731" s="221" t="s">
        <v>11593</v>
      </c>
    </row>
    <row r="6732" spans="1:3" x14ac:dyDescent="0.25">
      <c r="A6732" s="222">
        <v>512092</v>
      </c>
      <c r="B6732" s="223" t="s">
        <v>11594</v>
      </c>
      <c r="C6732" s="221" t="s">
        <v>11595</v>
      </c>
    </row>
    <row r="6733" spans="1:3" x14ac:dyDescent="0.25">
      <c r="A6733" s="222">
        <v>512093</v>
      </c>
      <c r="B6733" s="223" t="s">
        <v>864</v>
      </c>
      <c r="C6733" s="221" t="s">
        <v>11596</v>
      </c>
    </row>
    <row r="6734" spans="1:3" x14ac:dyDescent="0.25">
      <c r="A6734" s="222">
        <v>512094</v>
      </c>
      <c r="B6734" s="223" t="s">
        <v>865</v>
      </c>
      <c r="C6734" s="221" t="s">
        <v>11597</v>
      </c>
    </row>
    <row r="6735" spans="1:3" x14ac:dyDescent="0.25">
      <c r="A6735" s="222">
        <v>512095</v>
      </c>
      <c r="B6735" s="223" t="s">
        <v>866</v>
      </c>
      <c r="C6735" s="221" t="s">
        <v>11598</v>
      </c>
    </row>
    <row r="6736" spans="1:3" x14ac:dyDescent="0.25">
      <c r="A6736" s="222">
        <v>512096</v>
      </c>
      <c r="B6736" s="223" t="s">
        <v>867</v>
      </c>
      <c r="C6736" s="221" t="s">
        <v>11599</v>
      </c>
    </row>
    <row r="6737" spans="1:3" x14ac:dyDescent="0.25">
      <c r="A6737" s="222">
        <v>512097</v>
      </c>
      <c r="B6737" s="223" t="s">
        <v>868</v>
      </c>
      <c r="C6737" s="221" t="s">
        <v>11600</v>
      </c>
    </row>
    <row r="6738" spans="1:3" x14ac:dyDescent="0.25">
      <c r="A6738" s="222">
        <v>512098</v>
      </c>
      <c r="B6738" s="223" t="s">
        <v>870</v>
      </c>
      <c r="C6738" s="221" t="s">
        <v>11601</v>
      </c>
    </row>
    <row r="6739" spans="1:3" x14ac:dyDescent="0.25">
      <c r="A6739" s="222">
        <v>512099</v>
      </c>
      <c r="B6739" s="223" t="s">
        <v>871</v>
      </c>
      <c r="C6739" s="221" t="s">
        <v>11602</v>
      </c>
    </row>
    <row r="6740" spans="1:3" x14ac:dyDescent="0.25">
      <c r="A6740" s="222">
        <v>512100</v>
      </c>
      <c r="B6740" s="223" t="s">
        <v>872</v>
      </c>
      <c r="C6740" s="221" t="s">
        <v>11603</v>
      </c>
    </row>
    <row r="6741" spans="1:3" x14ac:dyDescent="0.25">
      <c r="A6741" s="222">
        <v>512101</v>
      </c>
      <c r="B6741" s="223" t="s">
        <v>873</v>
      </c>
      <c r="C6741" s="221" t="s">
        <v>11604</v>
      </c>
    </row>
    <row r="6742" spans="1:3" x14ac:dyDescent="0.25">
      <c r="A6742" s="222">
        <v>512102</v>
      </c>
      <c r="B6742" s="223" t="s">
        <v>874</v>
      </c>
      <c r="C6742" s="221" t="s">
        <v>11605</v>
      </c>
    </row>
    <row r="6743" spans="1:3" x14ac:dyDescent="0.25">
      <c r="A6743" s="222">
        <v>512103</v>
      </c>
      <c r="B6743" s="223" t="s">
        <v>875</v>
      </c>
      <c r="C6743" s="221" t="s">
        <v>11606</v>
      </c>
    </row>
    <row r="6744" spans="1:3" x14ac:dyDescent="0.25">
      <c r="A6744" s="222">
        <v>512104</v>
      </c>
      <c r="B6744" s="223" t="s">
        <v>876</v>
      </c>
      <c r="C6744" s="221" t="s">
        <v>11607</v>
      </c>
    </row>
    <row r="6745" spans="1:3" x14ac:dyDescent="0.25">
      <c r="A6745" s="222">
        <v>512105</v>
      </c>
      <c r="B6745" s="223" t="s">
        <v>877</v>
      </c>
      <c r="C6745" s="221" t="s">
        <v>11608</v>
      </c>
    </row>
    <row r="6746" spans="1:3" x14ac:dyDescent="0.25">
      <c r="A6746" s="222">
        <v>512106</v>
      </c>
      <c r="B6746" s="223" t="s">
        <v>878</v>
      </c>
      <c r="C6746" s="221" t="s">
        <v>11609</v>
      </c>
    </row>
    <row r="6747" spans="1:3" x14ac:dyDescent="0.25">
      <c r="A6747" s="222">
        <v>512107</v>
      </c>
      <c r="B6747" s="223" t="s">
        <v>879</v>
      </c>
      <c r="C6747" s="221" t="s">
        <v>11610</v>
      </c>
    </row>
    <row r="6748" spans="1:3" x14ac:dyDescent="0.25">
      <c r="A6748" s="222">
        <v>512108</v>
      </c>
      <c r="B6748" s="223" t="s">
        <v>880</v>
      </c>
      <c r="C6748" s="221" t="s">
        <v>11611</v>
      </c>
    </row>
    <row r="6749" spans="1:3" x14ac:dyDescent="0.25">
      <c r="A6749" s="222">
        <v>512109</v>
      </c>
      <c r="B6749" s="223" t="s">
        <v>22</v>
      </c>
      <c r="C6749" s="221" t="s">
        <v>11612</v>
      </c>
    </row>
    <row r="6750" spans="1:3" x14ac:dyDescent="0.25">
      <c r="A6750" s="222">
        <v>512113</v>
      </c>
      <c r="B6750" s="223" t="s">
        <v>11613</v>
      </c>
      <c r="C6750" s="221" t="s">
        <v>11614</v>
      </c>
    </row>
    <row r="6751" spans="1:3" x14ac:dyDescent="0.25">
      <c r="A6751" s="222">
        <v>512115</v>
      </c>
      <c r="B6751" s="223" t="s">
        <v>11615</v>
      </c>
      <c r="C6751" s="221" t="s">
        <v>11616</v>
      </c>
    </row>
    <row r="6752" spans="1:3" x14ac:dyDescent="0.25">
      <c r="A6752" s="222">
        <v>512117</v>
      </c>
      <c r="B6752" s="223" t="s">
        <v>11617</v>
      </c>
      <c r="C6752" s="221" t="s">
        <v>11618</v>
      </c>
    </row>
    <row r="6753" spans="1:3" x14ac:dyDescent="0.25">
      <c r="A6753" s="222">
        <v>512119</v>
      </c>
      <c r="B6753" s="223" t="s">
        <v>11619</v>
      </c>
      <c r="C6753" s="221" t="s">
        <v>11620</v>
      </c>
    </row>
    <row r="6754" spans="1:3" x14ac:dyDescent="0.25">
      <c r="A6754" s="222">
        <v>512120</v>
      </c>
      <c r="B6754" s="223" t="s">
        <v>11621</v>
      </c>
      <c r="C6754" s="221" t="s">
        <v>11622</v>
      </c>
    </row>
    <row r="6755" spans="1:3" x14ac:dyDescent="0.25">
      <c r="A6755" s="222">
        <v>512121</v>
      </c>
      <c r="B6755" s="223" t="s">
        <v>11623</v>
      </c>
      <c r="C6755" s="221" t="s">
        <v>11624</v>
      </c>
    </row>
    <row r="6756" spans="1:3" x14ac:dyDescent="0.25">
      <c r="A6756" s="222">
        <v>512122</v>
      </c>
      <c r="B6756" s="223" t="s">
        <v>11625</v>
      </c>
      <c r="C6756" s="221" t="s">
        <v>11626</v>
      </c>
    </row>
    <row r="6757" spans="1:3" x14ac:dyDescent="0.25">
      <c r="A6757" s="222">
        <v>512123</v>
      </c>
      <c r="B6757" s="223" t="s">
        <v>11627</v>
      </c>
      <c r="C6757" s="221" t="s">
        <v>11628</v>
      </c>
    </row>
    <row r="6758" spans="1:3" x14ac:dyDescent="0.25">
      <c r="A6758" s="222">
        <v>512124</v>
      </c>
      <c r="B6758" s="223" t="s">
        <v>11629</v>
      </c>
      <c r="C6758" s="221" t="s">
        <v>11630</v>
      </c>
    </row>
    <row r="6759" spans="1:3" x14ac:dyDescent="0.25">
      <c r="A6759" s="222">
        <v>512125</v>
      </c>
      <c r="B6759" s="223" t="s">
        <v>11631</v>
      </c>
      <c r="C6759" s="221" t="s">
        <v>11632</v>
      </c>
    </row>
    <row r="6760" spans="1:3" x14ac:dyDescent="0.25">
      <c r="A6760" s="222">
        <v>512126</v>
      </c>
      <c r="B6760" s="223" t="s">
        <v>11633</v>
      </c>
      <c r="C6760" s="221" t="s">
        <v>11634</v>
      </c>
    </row>
    <row r="6761" spans="1:3" x14ac:dyDescent="0.25">
      <c r="A6761" s="222">
        <v>512127</v>
      </c>
      <c r="B6761" s="223" t="s">
        <v>11635</v>
      </c>
      <c r="C6761" s="221" t="s">
        <v>11636</v>
      </c>
    </row>
    <row r="6762" spans="1:3" x14ac:dyDescent="0.25">
      <c r="A6762" s="222">
        <v>512128</v>
      </c>
      <c r="B6762" s="223" t="s">
        <v>11637</v>
      </c>
      <c r="C6762" s="221" t="s">
        <v>11638</v>
      </c>
    </row>
    <row r="6763" spans="1:3" x14ac:dyDescent="0.25">
      <c r="A6763" s="222">
        <v>512129</v>
      </c>
      <c r="B6763" s="223" t="s">
        <v>11639</v>
      </c>
      <c r="C6763" s="221" t="s">
        <v>11640</v>
      </c>
    </row>
    <row r="6764" spans="1:3" x14ac:dyDescent="0.25">
      <c r="A6764" s="222">
        <v>512130</v>
      </c>
      <c r="B6764" s="223" t="s">
        <v>11641</v>
      </c>
      <c r="C6764" s="221" t="s">
        <v>11642</v>
      </c>
    </row>
    <row r="6765" spans="1:3" x14ac:dyDescent="0.25">
      <c r="A6765" s="222">
        <v>512132</v>
      </c>
      <c r="B6765" s="223" t="s">
        <v>11643</v>
      </c>
      <c r="C6765" s="221" t="s">
        <v>11644</v>
      </c>
    </row>
    <row r="6766" spans="1:3" x14ac:dyDescent="0.25">
      <c r="A6766" s="222">
        <v>512133</v>
      </c>
      <c r="B6766" s="223" t="s">
        <v>11645</v>
      </c>
      <c r="C6766" s="221" t="s">
        <v>11646</v>
      </c>
    </row>
    <row r="6767" spans="1:3" x14ac:dyDescent="0.25">
      <c r="A6767" s="222">
        <v>512134</v>
      </c>
      <c r="B6767" s="223" t="s">
        <v>11647</v>
      </c>
      <c r="C6767" s="221" t="s">
        <v>11648</v>
      </c>
    </row>
    <row r="6768" spans="1:3" x14ac:dyDescent="0.25">
      <c r="A6768" s="222">
        <v>512135</v>
      </c>
      <c r="B6768" s="223" t="s">
        <v>11649</v>
      </c>
      <c r="C6768" s="221" t="s">
        <v>11650</v>
      </c>
    </row>
    <row r="6769" spans="1:3" x14ac:dyDescent="0.25">
      <c r="A6769" s="222">
        <v>512136</v>
      </c>
      <c r="B6769" s="223" t="s">
        <v>11651</v>
      </c>
      <c r="C6769" s="221" t="s">
        <v>11652</v>
      </c>
    </row>
    <row r="6770" spans="1:3" x14ac:dyDescent="0.25">
      <c r="A6770" s="222">
        <v>512140</v>
      </c>
      <c r="B6770" s="223" t="s">
        <v>11653</v>
      </c>
      <c r="C6770" s="221" t="s">
        <v>11654</v>
      </c>
    </row>
    <row r="6771" spans="1:3" x14ac:dyDescent="0.25">
      <c r="A6771" s="222">
        <v>512141</v>
      </c>
      <c r="B6771" s="223" t="s">
        <v>11655</v>
      </c>
      <c r="C6771" s="221" t="s">
        <v>11656</v>
      </c>
    </row>
    <row r="6772" spans="1:3" x14ac:dyDescent="0.25">
      <c r="A6772" s="222">
        <v>512142</v>
      </c>
      <c r="B6772" s="223" t="s">
        <v>11657</v>
      </c>
      <c r="C6772" s="221" t="s">
        <v>11658</v>
      </c>
    </row>
    <row r="6773" spans="1:3" x14ac:dyDescent="0.25">
      <c r="A6773" s="222">
        <v>512143</v>
      </c>
      <c r="B6773" s="223" t="s">
        <v>11659</v>
      </c>
      <c r="C6773" s="221" t="s">
        <v>11660</v>
      </c>
    </row>
    <row r="6774" spans="1:3" x14ac:dyDescent="0.25">
      <c r="A6774" s="222">
        <v>512146</v>
      </c>
      <c r="B6774" s="223" t="s">
        <v>11661</v>
      </c>
      <c r="C6774" s="221" t="s">
        <v>11662</v>
      </c>
    </row>
    <row r="6775" spans="1:3" x14ac:dyDescent="0.25">
      <c r="A6775" s="222">
        <v>512148</v>
      </c>
      <c r="B6775" s="223" t="s">
        <v>26</v>
      </c>
      <c r="C6775" s="221" t="s">
        <v>11663</v>
      </c>
    </row>
    <row r="6776" spans="1:3" x14ac:dyDescent="0.25">
      <c r="A6776" s="222">
        <v>512152</v>
      </c>
      <c r="B6776" s="223" t="s">
        <v>12</v>
      </c>
      <c r="C6776" s="221" t="s">
        <v>11664</v>
      </c>
    </row>
    <row r="6777" spans="1:3" x14ac:dyDescent="0.25">
      <c r="A6777" s="222">
        <v>512153</v>
      </c>
      <c r="B6777" s="223" t="s">
        <v>13</v>
      </c>
      <c r="C6777" s="221" t="s">
        <v>11665</v>
      </c>
    </row>
    <row r="6778" spans="1:3" x14ac:dyDescent="0.25">
      <c r="A6778" s="222">
        <v>512154</v>
      </c>
      <c r="B6778" s="223" t="s">
        <v>14</v>
      </c>
      <c r="C6778" s="221" t="s">
        <v>11666</v>
      </c>
    </row>
    <row r="6779" spans="1:3" x14ac:dyDescent="0.25">
      <c r="A6779" s="222">
        <v>512155</v>
      </c>
      <c r="B6779" s="223" t="s">
        <v>15</v>
      </c>
      <c r="C6779" s="221" t="s">
        <v>11667</v>
      </c>
    </row>
    <row r="6780" spans="1:3" x14ac:dyDescent="0.25">
      <c r="A6780" s="222">
        <v>512156</v>
      </c>
      <c r="B6780" s="223" t="s">
        <v>16</v>
      </c>
      <c r="C6780" s="221" t="s">
        <v>11668</v>
      </c>
    </row>
    <row r="6781" spans="1:3" x14ac:dyDescent="0.25">
      <c r="A6781" s="222">
        <v>512159</v>
      </c>
      <c r="B6781" s="223" t="s">
        <v>11669</v>
      </c>
      <c r="C6781" s="221" t="s">
        <v>11670</v>
      </c>
    </row>
    <row r="6782" spans="1:3" x14ac:dyDescent="0.25">
      <c r="A6782" s="222">
        <v>512160</v>
      </c>
      <c r="B6782" s="223" t="s">
        <v>11671</v>
      </c>
      <c r="C6782" s="221" t="s">
        <v>11672</v>
      </c>
    </row>
    <row r="6783" spans="1:3" x14ac:dyDescent="0.25">
      <c r="A6783" s="222">
        <v>512161</v>
      </c>
      <c r="B6783" s="223" t="s">
        <v>11673</v>
      </c>
      <c r="C6783" s="221" t="s">
        <v>11674</v>
      </c>
    </row>
    <row r="6784" spans="1:3" x14ac:dyDescent="0.25">
      <c r="A6784" s="222">
        <v>512162</v>
      </c>
      <c r="B6784" s="223" t="s">
        <v>11675</v>
      </c>
      <c r="C6784" s="221" t="s">
        <v>11676</v>
      </c>
    </row>
    <row r="6785" spans="1:3" x14ac:dyDescent="0.25">
      <c r="A6785" s="222">
        <v>512164</v>
      </c>
      <c r="B6785" s="223" t="s">
        <v>11677</v>
      </c>
      <c r="C6785" s="221" t="s">
        <v>11678</v>
      </c>
    </row>
    <row r="6786" spans="1:3" x14ac:dyDescent="0.25">
      <c r="A6786" s="222">
        <v>512166</v>
      </c>
      <c r="B6786" s="223" t="s">
        <v>11679</v>
      </c>
      <c r="C6786" s="221" t="s">
        <v>11680</v>
      </c>
    </row>
    <row r="6787" spans="1:3" x14ac:dyDescent="0.25">
      <c r="A6787" s="222">
        <v>512167</v>
      </c>
      <c r="B6787" s="223" t="s">
        <v>11681</v>
      </c>
      <c r="C6787" s="221" t="s">
        <v>11682</v>
      </c>
    </row>
    <row r="6788" spans="1:3" x14ac:dyDescent="0.25">
      <c r="A6788" s="222">
        <v>512168</v>
      </c>
      <c r="B6788" s="223" t="s">
        <v>11683</v>
      </c>
      <c r="C6788" s="221" t="s">
        <v>11684</v>
      </c>
    </row>
    <row r="6789" spans="1:3" x14ac:dyDescent="0.25">
      <c r="A6789" s="222">
        <v>512169</v>
      </c>
      <c r="B6789" s="223" t="s">
        <v>11685</v>
      </c>
      <c r="C6789" s="221" t="s">
        <v>11686</v>
      </c>
    </row>
    <row r="6790" spans="1:3" x14ac:dyDescent="0.25">
      <c r="A6790" s="222">
        <v>512170</v>
      </c>
      <c r="B6790" s="223" t="s">
        <v>11687</v>
      </c>
      <c r="C6790" s="221" t="s">
        <v>11688</v>
      </c>
    </row>
    <row r="6791" spans="1:3" x14ac:dyDescent="0.25">
      <c r="A6791" s="222">
        <v>512171</v>
      </c>
      <c r="B6791" s="223" t="s">
        <v>11675</v>
      </c>
      <c r="C6791" s="221" t="s">
        <v>11689</v>
      </c>
    </row>
    <row r="6792" spans="1:3" x14ac:dyDescent="0.25">
      <c r="A6792" s="222">
        <v>512172</v>
      </c>
      <c r="B6792" s="223" t="s">
        <v>11669</v>
      </c>
      <c r="C6792" s="221" t="s">
        <v>11690</v>
      </c>
    </row>
    <row r="6793" spans="1:3" x14ac:dyDescent="0.25">
      <c r="A6793" s="222">
        <v>512173</v>
      </c>
      <c r="B6793" s="223" t="s">
        <v>11671</v>
      </c>
      <c r="C6793" s="221" t="s">
        <v>11691</v>
      </c>
    </row>
    <row r="6794" spans="1:3" x14ac:dyDescent="0.25">
      <c r="A6794" s="222">
        <v>512174</v>
      </c>
      <c r="B6794" s="223" t="s">
        <v>11692</v>
      </c>
      <c r="C6794" s="221" t="s">
        <v>11693</v>
      </c>
    </row>
    <row r="6795" spans="1:3" x14ac:dyDescent="0.25">
      <c r="A6795" s="222">
        <v>512175</v>
      </c>
      <c r="B6795" s="223" t="s">
        <v>11694</v>
      </c>
      <c r="C6795" s="221" t="s">
        <v>11695</v>
      </c>
    </row>
    <row r="6796" spans="1:3" x14ac:dyDescent="0.25">
      <c r="A6796" s="222">
        <v>512179</v>
      </c>
      <c r="B6796" s="223" t="s">
        <v>11696</v>
      </c>
      <c r="C6796" s="221" t="s">
        <v>11697</v>
      </c>
    </row>
    <row r="6797" spans="1:3" x14ac:dyDescent="0.25">
      <c r="A6797" s="222">
        <v>512180</v>
      </c>
      <c r="B6797" s="223" t="s">
        <v>11698</v>
      </c>
      <c r="C6797" s="221" t="s">
        <v>11699</v>
      </c>
    </row>
    <row r="6798" spans="1:3" x14ac:dyDescent="0.25">
      <c r="A6798" s="222">
        <v>512181</v>
      </c>
      <c r="B6798" s="223" t="s">
        <v>11700</v>
      </c>
      <c r="C6798" s="221" t="s">
        <v>11701</v>
      </c>
    </row>
    <row r="6799" spans="1:3" x14ac:dyDescent="0.25">
      <c r="A6799" s="222">
        <v>512183</v>
      </c>
      <c r="B6799" s="223" t="s">
        <v>11702</v>
      </c>
      <c r="C6799" s="221" t="s">
        <v>11703</v>
      </c>
    </row>
    <row r="6800" spans="1:3" x14ac:dyDescent="0.25">
      <c r="A6800" s="222">
        <v>512184</v>
      </c>
      <c r="B6800" s="223" t="s">
        <v>11704</v>
      </c>
      <c r="C6800" s="221" t="s">
        <v>11705</v>
      </c>
    </row>
    <row r="6801" spans="1:3" x14ac:dyDescent="0.25">
      <c r="A6801" s="222">
        <v>512185</v>
      </c>
      <c r="B6801" s="223" t="s">
        <v>11706</v>
      </c>
      <c r="C6801" s="221" t="s">
        <v>11707</v>
      </c>
    </row>
    <row r="6802" spans="1:3" x14ac:dyDescent="0.25">
      <c r="A6802" s="222">
        <v>512186</v>
      </c>
      <c r="B6802" s="223" t="s">
        <v>11708</v>
      </c>
      <c r="C6802" s="221" t="s">
        <v>11709</v>
      </c>
    </row>
    <row r="6803" spans="1:3" x14ac:dyDescent="0.25">
      <c r="A6803" s="222">
        <v>512194</v>
      </c>
      <c r="B6803" s="223" t="s">
        <v>6322</v>
      </c>
      <c r="C6803" s="221" t="s">
        <v>11710</v>
      </c>
    </row>
    <row r="6804" spans="1:3" x14ac:dyDescent="0.25">
      <c r="A6804" s="222">
        <v>512195</v>
      </c>
      <c r="B6804" s="223" t="s">
        <v>11711</v>
      </c>
      <c r="C6804" s="221" t="s">
        <v>11712</v>
      </c>
    </row>
    <row r="6805" spans="1:3" x14ac:dyDescent="0.25">
      <c r="A6805" s="222">
        <v>512196</v>
      </c>
      <c r="B6805" s="223" t="s">
        <v>11713</v>
      </c>
      <c r="C6805" s="221" t="s">
        <v>11714</v>
      </c>
    </row>
    <row r="6806" spans="1:3" x14ac:dyDescent="0.25">
      <c r="A6806" s="222">
        <v>512197</v>
      </c>
      <c r="B6806" s="223" t="s">
        <v>11715</v>
      </c>
      <c r="C6806" s="221" t="s">
        <v>11716</v>
      </c>
    </row>
    <row r="6807" spans="1:3" x14ac:dyDescent="0.25">
      <c r="A6807" s="222">
        <v>512198</v>
      </c>
      <c r="B6807" s="223" t="s">
        <v>11717</v>
      </c>
      <c r="C6807" s="221" t="s">
        <v>11718</v>
      </c>
    </row>
    <row r="6808" spans="1:3" x14ac:dyDescent="0.25">
      <c r="A6808" s="222">
        <v>512199</v>
      </c>
      <c r="B6808" s="223" t="s">
        <v>11719</v>
      </c>
      <c r="C6808" s="221" t="s">
        <v>11720</v>
      </c>
    </row>
    <row r="6809" spans="1:3" x14ac:dyDescent="0.25">
      <c r="A6809" s="222">
        <v>512200</v>
      </c>
      <c r="B6809" s="223" t="s">
        <v>11721</v>
      </c>
      <c r="C6809" s="221" t="s">
        <v>11722</v>
      </c>
    </row>
    <row r="6810" spans="1:3" x14ac:dyDescent="0.25">
      <c r="A6810" s="222">
        <v>512201</v>
      </c>
      <c r="B6810" s="223" t="s">
        <v>11723</v>
      </c>
      <c r="C6810" s="221" t="s">
        <v>11724</v>
      </c>
    </row>
    <row r="6811" spans="1:3" x14ac:dyDescent="0.25">
      <c r="A6811" s="222">
        <v>512203</v>
      </c>
      <c r="B6811" s="223" t="s">
        <v>11669</v>
      </c>
      <c r="C6811" s="221" t="s">
        <v>11725</v>
      </c>
    </row>
    <row r="6812" spans="1:3" x14ac:dyDescent="0.25">
      <c r="A6812" s="222">
        <v>512204</v>
      </c>
      <c r="B6812" s="223" t="s">
        <v>11671</v>
      </c>
      <c r="C6812" s="221" t="s">
        <v>11726</v>
      </c>
    </row>
    <row r="6813" spans="1:3" x14ac:dyDescent="0.25">
      <c r="A6813" s="222">
        <v>512205</v>
      </c>
      <c r="B6813" s="223" t="s">
        <v>11692</v>
      </c>
      <c r="C6813" s="221" t="s">
        <v>11727</v>
      </c>
    </row>
    <row r="6814" spans="1:3" x14ac:dyDescent="0.25">
      <c r="A6814" s="222">
        <v>512206</v>
      </c>
      <c r="B6814" s="223" t="s">
        <v>11675</v>
      </c>
      <c r="C6814" s="221" t="s">
        <v>11728</v>
      </c>
    </row>
    <row r="6815" spans="1:3" x14ac:dyDescent="0.25">
      <c r="A6815" s="222">
        <v>512207</v>
      </c>
      <c r="B6815" s="223" t="s">
        <v>11694</v>
      </c>
      <c r="C6815" s="221" t="s">
        <v>11729</v>
      </c>
    </row>
    <row r="6816" spans="1:3" x14ac:dyDescent="0.25">
      <c r="A6816" s="222">
        <v>513001</v>
      </c>
      <c r="B6816" s="223" t="s">
        <v>11730</v>
      </c>
      <c r="C6816" s="221" t="s">
        <v>11731</v>
      </c>
    </row>
    <row r="6817" spans="1:3" x14ac:dyDescent="0.25">
      <c r="A6817" s="222">
        <v>513002</v>
      </c>
      <c r="B6817" s="223" t="s">
        <v>11732</v>
      </c>
      <c r="C6817" s="221" t="s">
        <v>11733</v>
      </c>
    </row>
    <row r="6818" spans="1:3" x14ac:dyDescent="0.25">
      <c r="A6818" s="222">
        <v>513003</v>
      </c>
      <c r="B6818" s="223" t="s">
        <v>11734</v>
      </c>
      <c r="C6818" s="221" t="s">
        <v>11735</v>
      </c>
    </row>
    <row r="6819" spans="1:3" x14ac:dyDescent="0.25">
      <c r="A6819" s="222">
        <v>513004</v>
      </c>
      <c r="B6819" s="223" t="s">
        <v>11736</v>
      </c>
      <c r="C6819" s="221" t="s">
        <v>11737</v>
      </c>
    </row>
    <row r="6820" spans="1:3" x14ac:dyDescent="0.25">
      <c r="A6820" s="222">
        <v>513005</v>
      </c>
      <c r="B6820" s="223" t="s">
        <v>11738</v>
      </c>
      <c r="C6820" s="221" t="s">
        <v>11739</v>
      </c>
    </row>
    <row r="6821" spans="1:3" x14ac:dyDescent="0.25">
      <c r="A6821" s="222">
        <v>513006</v>
      </c>
      <c r="B6821" s="223" t="s">
        <v>11740</v>
      </c>
      <c r="C6821" s="221" t="s">
        <v>11741</v>
      </c>
    </row>
    <row r="6822" spans="1:3" x14ac:dyDescent="0.25">
      <c r="A6822" s="222">
        <v>513007</v>
      </c>
      <c r="B6822" s="223" t="s">
        <v>11742</v>
      </c>
      <c r="C6822" s="221" t="s">
        <v>11743</v>
      </c>
    </row>
    <row r="6823" spans="1:3" x14ac:dyDescent="0.25">
      <c r="A6823" s="222">
        <v>513008</v>
      </c>
      <c r="B6823" s="223" t="s">
        <v>11744</v>
      </c>
      <c r="C6823" s="221" t="s">
        <v>11745</v>
      </c>
    </row>
    <row r="6824" spans="1:3" x14ac:dyDescent="0.25">
      <c r="A6824" s="222">
        <v>513009</v>
      </c>
      <c r="B6824" s="223" t="s">
        <v>11746</v>
      </c>
      <c r="C6824" s="221" t="s">
        <v>11747</v>
      </c>
    </row>
    <row r="6825" spans="1:3" x14ac:dyDescent="0.25">
      <c r="A6825" s="222">
        <v>513010</v>
      </c>
      <c r="B6825" s="223" t="s">
        <v>11748</v>
      </c>
      <c r="C6825" s="221" t="s">
        <v>11749</v>
      </c>
    </row>
    <row r="6826" spans="1:3" x14ac:dyDescent="0.25">
      <c r="A6826" s="222">
        <v>513011</v>
      </c>
      <c r="B6826" s="223" t="s">
        <v>11750</v>
      </c>
      <c r="C6826" s="221" t="s">
        <v>11751</v>
      </c>
    </row>
    <row r="6827" spans="1:3" x14ac:dyDescent="0.25">
      <c r="A6827" s="222">
        <v>513012</v>
      </c>
      <c r="B6827" s="223" t="s">
        <v>11752</v>
      </c>
      <c r="C6827" s="221" t="s">
        <v>11753</v>
      </c>
    </row>
    <row r="6828" spans="1:3" x14ac:dyDescent="0.25">
      <c r="A6828" s="222">
        <v>513013</v>
      </c>
      <c r="B6828" s="223" t="s">
        <v>11754</v>
      </c>
      <c r="C6828" s="221" t="s">
        <v>11755</v>
      </c>
    </row>
    <row r="6829" spans="1:3" x14ac:dyDescent="0.25">
      <c r="A6829" s="222">
        <v>513014</v>
      </c>
      <c r="B6829" s="223" t="s">
        <v>11756</v>
      </c>
      <c r="C6829" s="221" t="s">
        <v>11757</v>
      </c>
    </row>
    <row r="6830" spans="1:3" x14ac:dyDescent="0.25">
      <c r="A6830" s="222">
        <v>513015</v>
      </c>
      <c r="B6830" s="223" t="s">
        <v>11758</v>
      </c>
      <c r="C6830" s="221" t="s">
        <v>11759</v>
      </c>
    </row>
    <row r="6831" spans="1:3" x14ac:dyDescent="0.25">
      <c r="A6831" s="222">
        <v>513016</v>
      </c>
      <c r="B6831" s="223" t="s">
        <v>11760</v>
      </c>
      <c r="C6831" s="221" t="s">
        <v>11761</v>
      </c>
    </row>
    <row r="6832" spans="1:3" x14ac:dyDescent="0.25">
      <c r="A6832" s="222">
        <v>513017</v>
      </c>
      <c r="B6832" s="223" t="s">
        <v>11762</v>
      </c>
      <c r="C6832" s="221" t="s">
        <v>11763</v>
      </c>
    </row>
    <row r="6833" spans="1:3" x14ac:dyDescent="0.25">
      <c r="A6833" s="222">
        <v>513018</v>
      </c>
      <c r="B6833" s="223" t="s">
        <v>11764</v>
      </c>
      <c r="C6833" s="221" t="s">
        <v>11765</v>
      </c>
    </row>
    <row r="6834" spans="1:3" x14ac:dyDescent="0.25">
      <c r="A6834" s="222">
        <v>513019</v>
      </c>
      <c r="B6834" s="223" t="s">
        <v>11766</v>
      </c>
      <c r="C6834" s="221" t="s">
        <v>11767</v>
      </c>
    </row>
    <row r="6835" spans="1:3" x14ac:dyDescent="0.25">
      <c r="A6835" s="222">
        <v>513020</v>
      </c>
      <c r="B6835" s="223" t="s">
        <v>11768</v>
      </c>
      <c r="C6835" s="221" t="s">
        <v>11769</v>
      </c>
    </row>
    <row r="6836" spans="1:3" x14ac:dyDescent="0.25">
      <c r="A6836" s="222">
        <v>513021</v>
      </c>
      <c r="B6836" s="223" t="s">
        <v>11770</v>
      </c>
      <c r="C6836" s="221" t="s">
        <v>11771</v>
      </c>
    </row>
    <row r="6837" spans="1:3" x14ac:dyDescent="0.25">
      <c r="A6837" s="222">
        <v>513022</v>
      </c>
      <c r="B6837" s="223" t="s">
        <v>11772</v>
      </c>
      <c r="C6837" s="221" t="s">
        <v>11773</v>
      </c>
    </row>
    <row r="6838" spans="1:3" x14ac:dyDescent="0.25">
      <c r="A6838" s="222">
        <v>513023</v>
      </c>
      <c r="B6838" s="223" t="s">
        <v>11774</v>
      </c>
      <c r="C6838" s="221" t="s">
        <v>11775</v>
      </c>
    </row>
    <row r="6839" spans="1:3" x14ac:dyDescent="0.25">
      <c r="A6839" s="222">
        <v>513024</v>
      </c>
      <c r="B6839" s="223" t="s">
        <v>11776</v>
      </c>
      <c r="C6839" s="221" t="s">
        <v>11777</v>
      </c>
    </row>
    <row r="6840" spans="1:3" x14ac:dyDescent="0.25">
      <c r="A6840" s="222">
        <v>513025</v>
      </c>
      <c r="B6840" s="223" t="s">
        <v>11778</v>
      </c>
      <c r="C6840" s="221" t="s">
        <v>11779</v>
      </c>
    </row>
    <row r="6841" spans="1:3" x14ac:dyDescent="0.25">
      <c r="A6841" s="222">
        <v>513026</v>
      </c>
      <c r="B6841" s="223" t="s">
        <v>11780</v>
      </c>
      <c r="C6841" s="221" t="s">
        <v>11781</v>
      </c>
    </row>
    <row r="6842" spans="1:3" x14ac:dyDescent="0.25">
      <c r="A6842" s="222">
        <v>513027</v>
      </c>
      <c r="B6842" s="223" t="s">
        <v>11782</v>
      </c>
      <c r="C6842" s="221" t="s">
        <v>11783</v>
      </c>
    </row>
    <row r="6843" spans="1:3" x14ac:dyDescent="0.25">
      <c r="A6843" s="222">
        <v>513028</v>
      </c>
      <c r="B6843" s="223" t="s">
        <v>11784</v>
      </c>
      <c r="C6843" s="221" t="s">
        <v>11785</v>
      </c>
    </row>
    <row r="6844" spans="1:3" x14ac:dyDescent="0.25">
      <c r="A6844" s="222">
        <v>513101</v>
      </c>
      <c r="B6844" s="223" t="s">
        <v>11786</v>
      </c>
      <c r="C6844" s="221" t="s">
        <v>11787</v>
      </c>
    </row>
    <row r="6845" spans="1:3" x14ac:dyDescent="0.25">
      <c r="A6845" s="222">
        <v>513102</v>
      </c>
      <c r="B6845" s="223" t="s">
        <v>11788</v>
      </c>
      <c r="C6845" s="221" t="s">
        <v>11789</v>
      </c>
    </row>
    <row r="6846" spans="1:3" x14ac:dyDescent="0.25">
      <c r="A6846" s="222">
        <v>513103</v>
      </c>
      <c r="B6846" s="223" t="s">
        <v>11790</v>
      </c>
      <c r="C6846" s="221" t="s">
        <v>11791</v>
      </c>
    </row>
    <row r="6847" spans="1:3" x14ac:dyDescent="0.25">
      <c r="A6847" s="222">
        <v>513104</v>
      </c>
      <c r="B6847" s="223" t="s">
        <v>11792</v>
      </c>
      <c r="C6847" s="221" t="s">
        <v>11793</v>
      </c>
    </row>
    <row r="6848" spans="1:3" x14ac:dyDescent="0.25">
      <c r="A6848" s="222">
        <v>513105</v>
      </c>
      <c r="B6848" s="223" t="s">
        <v>11794</v>
      </c>
      <c r="C6848" s="221" t="s">
        <v>11795</v>
      </c>
    </row>
    <row r="6849" spans="1:3" x14ac:dyDescent="0.25">
      <c r="A6849" s="222">
        <v>513106</v>
      </c>
      <c r="B6849" s="223" t="s">
        <v>11796</v>
      </c>
      <c r="C6849" s="221" t="s">
        <v>11797</v>
      </c>
    </row>
    <row r="6850" spans="1:3" x14ac:dyDescent="0.25">
      <c r="A6850" s="222">
        <v>513107</v>
      </c>
      <c r="B6850" s="223" t="s">
        <v>11798</v>
      </c>
      <c r="C6850" s="221" t="s">
        <v>11799</v>
      </c>
    </row>
    <row r="6851" spans="1:3" x14ac:dyDescent="0.25">
      <c r="A6851" s="222">
        <v>513108</v>
      </c>
      <c r="B6851" s="223" t="s">
        <v>11800</v>
      </c>
      <c r="C6851" s="221" t="s">
        <v>11801</v>
      </c>
    </row>
    <row r="6852" spans="1:3" x14ac:dyDescent="0.25">
      <c r="A6852" s="222">
        <v>513109</v>
      </c>
      <c r="B6852" s="223" t="s">
        <v>11802</v>
      </c>
      <c r="C6852" s="221" t="s">
        <v>11803</v>
      </c>
    </row>
    <row r="6853" spans="1:3" x14ac:dyDescent="0.25">
      <c r="A6853" s="222">
        <v>513110</v>
      </c>
      <c r="B6853" s="223" t="s">
        <v>11804</v>
      </c>
      <c r="C6853" s="221" t="s">
        <v>11805</v>
      </c>
    </row>
    <row r="6854" spans="1:3" x14ac:dyDescent="0.25">
      <c r="A6854" s="222">
        <v>513111</v>
      </c>
      <c r="B6854" s="223" t="s">
        <v>11806</v>
      </c>
      <c r="C6854" s="221" t="s">
        <v>11807</v>
      </c>
    </row>
    <row r="6855" spans="1:3" x14ac:dyDescent="0.25">
      <c r="A6855" s="222">
        <v>513112</v>
      </c>
      <c r="B6855" s="223" t="s">
        <v>11808</v>
      </c>
      <c r="C6855" s="221" t="s">
        <v>11809</v>
      </c>
    </row>
    <row r="6856" spans="1:3" x14ac:dyDescent="0.25">
      <c r="A6856" s="222">
        <v>513113</v>
      </c>
      <c r="B6856" s="223" t="s">
        <v>11810</v>
      </c>
      <c r="C6856" s="221" t="s">
        <v>11811</v>
      </c>
    </row>
    <row r="6857" spans="1:3" x14ac:dyDescent="0.25">
      <c r="A6857" s="222">
        <v>513114</v>
      </c>
      <c r="B6857" s="223" t="s">
        <v>11812</v>
      </c>
      <c r="C6857" s="221" t="s">
        <v>11813</v>
      </c>
    </row>
    <row r="6858" spans="1:3" x14ac:dyDescent="0.25">
      <c r="A6858" s="222">
        <v>513115</v>
      </c>
      <c r="B6858" s="223" t="s">
        <v>11814</v>
      </c>
      <c r="C6858" s="221" t="s">
        <v>11815</v>
      </c>
    </row>
    <row r="6859" spans="1:3" x14ac:dyDescent="0.25">
      <c r="A6859" s="222">
        <v>513116</v>
      </c>
      <c r="B6859" s="223" t="s">
        <v>11816</v>
      </c>
      <c r="C6859" s="221" t="s">
        <v>11817</v>
      </c>
    </row>
    <row r="6860" spans="1:3" x14ac:dyDescent="0.25">
      <c r="A6860" s="222">
        <v>513117</v>
      </c>
      <c r="B6860" s="223" t="s">
        <v>11818</v>
      </c>
      <c r="C6860" s="221" t="s">
        <v>11819</v>
      </c>
    </row>
    <row r="6861" spans="1:3" x14ac:dyDescent="0.25">
      <c r="A6861" s="222">
        <v>513118</v>
      </c>
      <c r="B6861" s="223" t="s">
        <v>11820</v>
      </c>
      <c r="C6861" s="221" t="s">
        <v>11821</v>
      </c>
    </row>
    <row r="6862" spans="1:3" x14ac:dyDescent="0.25">
      <c r="A6862" s="222">
        <v>513119</v>
      </c>
      <c r="B6862" s="223" t="s">
        <v>11822</v>
      </c>
      <c r="C6862" s="221" t="s">
        <v>11823</v>
      </c>
    </row>
    <row r="6863" spans="1:3" x14ac:dyDescent="0.25">
      <c r="A6863" s="222">
        <v>513120</v>
      </c>
      <c r="B6863" s="223" t="s">
        <v>11824</v>
      </c>
      <c r="C6863" s="221" t="s">
        <v>11825</v>
      </c>
    </row>
    <row r="6864" spans="1:3" x14ac:dyDescent="0.25">
      <c r="A6864" s="222">
        <v>513121</v>
      </c>
      <c r="B6864" s="223" t="s">
        <v>11826</v>
      </c>
      <c r="C6864" s="221" t="s">
        <v>11827</v>
      </c>
    </row>
    <row r="6865" spans="1:3" x14ac:dyDescent="0.25">
      <c r="A6865" s="222">
        <v>513122</v>
      </c>
      <c r="B6865" s="223" t="s">
        <v>11828</v>
      </c>
      <c r="C6865" s="221" t="s">
        <v>11829</v>
      </c>
    </row>
    <row r="6866" spans="1:3" x14ac:dyDescent="0.25">
      <c r="A6866" s="222">
        <v>513123</v>
      </c>
      <c r="B6866" s="223" t="s">
        <v>11830</v>
      </c>
      <c r="C6866" s="221" t="s">
        <v>11831</v>
      </c>
    </row>
    <row r="6867" spans="1:3" x14ac:dyDescent="0.25">
      <c r="A6867" s="222">
        <v>513124</v>
      </c>
      <c r="B6867" s="223" t="s">
        <v>11832</v>
      </c>
      <c r="C6867" s="221" t="s">
        <v>11833</v>
      </c>
    </row>
    <row r="6868" spans="1:3" x14ac:dyDescent="0.25">
      <c r="A6868" s="222">
        <v>513125</v>
      </c>
      <c r="B6868" s="223" t="s">
        <v>11834</v>
      </c>
      <c r="C6868" s="221" t="s">
        <v>11835</v>
      </c>
    </row>
    <row r="6869" spans="1:3" x14ac:dyDescent="0.25">
      <c r="A6869" s="222">
        <v>513126</v>
      </c>
      <c r="B6869" s="223" t="s">
        <v>11836</v>
      </c>
      <c r="C6869" s="221" t="s">
        <v>11837</v>
      </c>
    </row>
    <row r="6870" spans="1:3" x14ac:dyDescent="0.25">
      <c r="A6870" s="222">
        <v>513127</v>
      </c>
      <c r="B6870" s="223" t="s">
        <v>11838</v>
      </c>
      <c r="C6870" s="221" t="s">
        <v>11839</v>
      </c>
    </row>
    <row r="6871" spans="1:3" x14ac:dyDescent="0.25">
      <c r="A6871" s="222">
        <v>513128</v>
      </c>
      <c r="B6871" s="223" t="s">
        <v>11840</v>
      </c>
      <c r="C6871" s="221" t="s">
        <v>11841</v>
      </c>
    </row>
    <row r="6872" spans="1:3" x14ac:dyDescent="0.25">
      <c r="A6872" s="222">
        <v>513129</v>
      </c>
      <c r="B6872" s="223" t="s">
        <v>11842</v>
      </c>
      <c r="C6872" s="221" t="s">
        <v>11843</v>
      </c>
    </row>
    <row r="6873" spans="1:3" x14ac:dyDescent="0.25">
      <c r="A6873" s="222">
        <v>513130</v>
      </c>
      <c r="B6873" s="223" t="s">
        <v>11844</v>
      </c>
      <c r="C6873" s="221" t="s">
        <v>11845</v>
      </c>
    </row>
    <row r="6874" spans="1:3" x14ac:dyDescent="0.25">
      <c r="A6874" s="222">
        <v>513131</v>
      </c>
      <c r="B6874" s="223" t="s">
        <v>11846</v>
      </c>
      <c r="C6874" s="221" t="s">
        <v>11847</v>
      </c>
    </row>
    <row r="6875" spans="1:3" x14ac:dyDescent="0.25">
      <c r="A6875" s="222">
        <v>513132</v>
      </c>
      <c r="B6875" s="223" t="s">
        <v>11848</v>
      </c>
      <c r="C6875" s="221" t="s">
        <v>11849</v>
      </c>
    </row>
    <row r="6876" spans="1:3" x14ac:dyDescent="0.25">
      <c r="A6876" s="222">
        <v>513133</v>
      </c>
      <c r="B6876" s="223" t="s">
        <v>11850</v>
      </c>
      <c r="C6876" s="221" t="s">
        <v>11851</v>
      </c>
    </row>
    <row r="6877" spans="1:3" x14ac:dyDescent="0.25">
      <c r="A6877" s="222">
        <v>513134</v>
      </c>
      <c r="B6877" s="223" t="s">
        <v>11852</v>
      </c>
      <c r="C6877" s="221" t="s">
        <v>11853</v>
      </c>
    </row>
    <row r="6878" spans="1:3" x14ac:dyDescent="0.25">
      <c r="A6878" s="222">
        <v>513135</v>
      </c>
      <c r="B6878" s="223" t="s">
        <v>11854</v>
      </c>
      <c r="C6878" s="221" t="s">
        <v>11855</v>
      </c>
    </row>
    <row r="6879" spans="1:3" x14ac:dyDescent="0.25">
      <c r="A6879" s="222">
        <v>513136</v>
      </c>
      <c r="B6879" s="223" t="s">
        <v>11856</v>
      </c>
      <c r="C6879" s="221" t="s">
        <v>11857</v>
      </c>
    </row>
    <row r="6880" spans="1:3" x14ac:dyDescent="0.25">
      <c r="A6880" s="222">
        <v>513137</v>
      </c>
      <c r="B6880" s="223" t="s">
        <v>11858</v>
      </c>
      <c r="C6880" s="221" t="s">
        <v>11859</v>
      </c>
    </row>
    <row r="6881" spans="1:3" x14ac:dyDescent="0.25">
      <c r="A6881" s="222">
        <v>513138</v>
      </c>
      <c r="B6881" s="223" t="s">
        <v>11860</v>
      </c>
      <c r="C6881" s="221" t="s">
        <v>11861</v>
      </c>
    </row>
    <row r="6882" spans="1:3" x14ac:dyDescent="0.25">
      <c r="A6882" s="222">
        <v>513139</v>
      </c>
      <c r="B6882" s="223" t="s">
        <v>11862</v>
      </c>
      <c r="C6882" s="221" t="s">
        <v>11863</v>
      </c>
    </row>
    <row r="6883" spans="1:3" x14ac:dyDescent="0.25">
      <c r="A6883" s="222">
        <v>513140</v>
      </c>
      <c r="B6883" s="223" t="s">
        <v>11864</v>
      </c>
      <c r="C6883" s="221" t="s">
        <v>11865</v>
      </c>
    </row>
    <row r="6884" spans="1:3" x14ac:dyDescent="0.25">
      <c r="A6884" s="222">
        <v>513141</v>
      </c>
      <c r="B6884" s="223" t="s">
        <v>11866</v>
      </c>
      <c r="C6884" s="221" t="s">
        <v>11867</v>
      </c>
    </row>
    <row r="6885" spans="1:3" x14ac:dyDescent="0.25">
      <c r="A6885" s="222">
        <v>513142</v>
      </c>
      <c r="B6885" s="223" t="s">
        <v>11868</v>
      </c>
      <c r="C6885" s="221" t="s">
        <v>11869</v>
      </c>
    </row>
    <row r="6886" spans="1:3" x14ac:dyDescent="0.25">
      <c r="A6886" s="222">
        <v>513143</v>
      </c>
      <c r="B6886" s="223" t="s">
        <v>11870</v>
      </c>
      <c r="C6886" s="221" t="s">
        <v>11871</v>
      </c>
    </row>
    <row r="6887" spans="1:3" x14ac:dyDescent="0.25">
      <c r="A6887" s="222">
        <v>513144</v>
      </c>
      <c r="B6887" s="223" t="s">
        <v>11872</v>
      </c>
      <c r="C6887" s="221" t="s">
        <v>11873</v>
      </c>
    </row>
    <row r="6888" spans="1:3" x14ac:dyDescent="0.25">
      <c r="A6888" s="222">
        <v>513145</v>
      </c>
      <c r="B6888" s="223" t="s">
        <v>11874</v>
      </c>
      <c r="C6888" s="221" t="s">
        <v>11875</v>
      </c>
    </row>
    <row r="6889" spans="1:3" x14ac:dyDescent="0.25">
      <c r="A6889" s="222">
        <v>513146</v>
      </c>
      <c r="B6889" s="223" t="s">
        <v>11876</v>
      </c>
      <c r="C6889" s="221" t="s">
        <v>11877</v>
      </c>
    </row>
    <row r="6890" spans="1:3" x14ac:dyDescent="0.25">
      <c r="A6890" s="222">
        <v>513147</v>
      </c>
      <c r="B6890" s="223" t="s">
        <v>11878</v>
      </c>
      <c r="C6890" s="221" t="s">
        <v>11879</v>
      </c>
    </row>
    <row r="6891" spans="1:3" x14ac:dyDescent="0.25">
      <c r="A6891" s="222">
        <v>513148</v>
      </c>
      <c r="B6891" s="223" t="s">
        <v>11880</v>
      </c>
      <c r="C6891" s="221" t="s">
        <v>11881</v>
      </c>
    </row>
    <row r="6892" spans="1:3" x14ac:dyDescent="0.25">
      <c r="A6892" s="222">
        <v>513149</v>
      </c>
      <c r="B6892" s="223" t="s">
        <v>11882</v>
      </c>
      <c r="C6892" s="221" t="s">
        <v>11883</v>
      </c>
    </row>
    <row r="6893" spans="1:3" x14ac:dyDescent="0.25">
      <c r="A6893" s="222">
        <v>513150</v>
      </c>
      <c r="B6893" s="223" t="s">
        <v>11884</v>
      </c>
      <c r="C6893" s="221" t="s">
        <v>11885</v>
      </c>
    </row>
    <row r="6894" spans="1:3" x14ac:dyDescent="0.25">
      <c r="A6894" s="222">
        <v>513151</v>
      </c>
      <c r="B6894" s="223" t="s">
        <v>11886</v>
      </c>
      <c r="C6894" s="221" t="s">
        <v>11887</v>
      </c>
    </row>
    <row r="6895" spans="1:3" x14ac:dyDescent="0.25">
      <c r="A6895" s="222">
        <v>513152</v>
      </c>
      <c r="B6895" s="223" t="s">
        <v>11888</v>
      </c>
      <c r="C6895" s="221" t="s">
        <v>11889</v>
      </c>
    </row>
    <row r="6896" spans="1:3" x14ac:dyDescent="0.25">
      <c r="A6896" s="222">
        <v>513153</v>
      </c>
      <c r="B6896" s="223" t="s">
        <v>11890</v>
      </c>
      <c r="C6896" s="221" t="s">
        <v>11891</v>
      </c>
    </row>
    <row r="6897" spans="1:3" x14ac:dyDescent="0.25">
      <c r="A6897" s="222">
        <v>513154</v>
      </c>
      <c r="B6897" s="223" t="s">
        <v>11892</v>
      </c>
      <c r="C6897" s="221" t="s">
        <v>11893</v>
      </c>
    </row>
    <row r="6898" spans="1:3" x14ac:dyDescent="0.25">
      <c r="A6898" s="222">
        <v>513155</v>
      </c>
      <c r="B6898" s="223" t="s">
        <v>11894</v>
      </c>
      <c r="C6898" s="221" t="s">
        <v>11895</v>
      </c>
    </row>
    <row r="6899" spans="1:3" x14ac:dyDescent="0.25">
      <c r="A6899" s="222">
        <v>513156</v>
      </c>
      <c r="B6899" s="223" t="s">
        <v>11896</v>
      </c>
      <c r="C6899" s="221" t="s">
        <v>11897</v>
      </c>
    </row>
    <row r="6900" spans="1:3" x14ac:dyDescent="0.25">
      <c r="A6900" s="222">
        <v>513157</v>
      </c>
      <c r="B6900" s="223" t="s">
        <v>11898</v>
      </c>
      <c r="C6900" s="221" t="s">
        <v>11899</v>
      </c>
    </row>
    <row r="6901" spans="1:3" x14ac:dyDescent="0.25">
      <c r="A6901" s="222">
        <v>513158</v>
      </c>
      <c r="B6901" s="223" t="s">
        <v>11900</v>
      </c>
      <c r="C6901" s="221" t="s">
        <v>11901</v>
      </c>
    </row>
    <row r="6902" spans="1:3" x14ac:dyDescent="0.25">
      <c r="A6902" s="222">
        <v>513159</v>
      </c>
      <c r="B6902" s="223" t="s">
        <v>11902</v>
      </c>
      <c r="C6902" s="221" t="s">
        <v>11903</v>
      </c>
    </row>
    <row r="6903" spans="1:3" x14ac:dyDescent="0.25">
      <c r="A6903" s="222">
        <v>513160</v>
      </c>
      <c r="B6903" s="223" t="s">
        <v>11904</v>
      </c>
      <c r="C6903" s="221" t="s">
        <v>11905</v>
      </c>
    </row>
    <row r="6904" spans="1:3" x14ac:dyDescent="0.25">
      <c r="A6904" s="222">
        <v>513161</v>
      </c>
      <c r="B6904" s="223" t="s">
        <v>11906</v>
      </c>
      <c r="C6904" s="221" t="s">
        <v>11907</v>
      </c>
    </row>
    <row r="6905" spans="1:3" x14ac:dyDescent="0.25">
      <c r="A6905" s="222">
        <v>513162</v>
      </c>
      <c r="B6905" s="223" t="s">
        <v>11908</v>
      </c>
      <c r="C6905" s="221" t="s">
        <v>11909</v>
      </c>
    </row>
    <row r="6906" spans="1:3" x14ac:dyDescent="0.25">
      <c r="A6906" s="222">
        <v>513163</v>
      </c>
      <c r="B6906" s="223" t="s">
        <v>11910</v>
      </c>
      <c r="C6906" s="221" t="s">
        <v>11911</v>
      </c>
    </row>
    <row r="6907" spans="1:3" x14ac:dyDescent="0.25">
      <c r="A6907" s="222">
        <v>513164</v>
      </c>
      <c r="B6907" s="223" t="s">
        <v>11912</v>
      </c>
      <c r="C6907" s="221" t="s">
        <v>11913</v>
      </c>
    </row>
    <row r="6908" spans="1:3" x14ac:dyDescent="0.25">
      <c r="A6908" s="222">
        <v>513165</v>
      </c>
      <c r="B6908" s="223" t="s">
        <v>11914</v>
      </c>
      <c r="C6908" s="221" t="s">
        <v>11915</v>
      </c>
    </row>
    <row r="6909" spans="1:3" x14ac:dyDescent="0.25">
      <c r="A6909" s="222">
        <v>513166</v>
      </c>
      <c r="B6909" s="223" t="s">
        <v>11916</v>
      </c>
      <c r="C6909" s="221" t="s">
        <v>11917</v>
      </c>
    </row>
    <row r="6910" spans="1:3" x14ac:dyDescent="0.25">
      <c r="A6910" s="222">
        <v>513167</v>
      </c>
      <c r="B6910" s="223" t="s">
        <v>11918</v>
      </c>
      <c r="C6910" s="221" t="s">
        <v>11919</v>
      </c>
    </row>
    <row r="6911" spans="1:3" x14ac:dyDescent="0.25">
      <c r="A6911" s="222">
        <v>513169</v>
      </c>
      <c r="B6911" s="223" t="s">
        <v>11920</v>
      </c>
      <c r="C6911" s="221" t="s">
        <v>11921</v>
      </c>
    </row>
    <row r="6912" spans="1:3" x14ac:dyDescent="0.25">
      <c r="A6912" s="222">
        <v>513170</v>
      </c>
      <c r="B6912" s="223" t="s">
        <v>11922</v>
      </c>
      <c r="C6912" s="221" t="s">
        <v>11923</v>
      </c>
    </row>
    <row r="6913" spans="1:3" x14ac:dyDescent="0.25">
      <c r="A6913" s="222">
        <v>513171</v>
      </c>
      <c r="B6913" s="223" t="s">
        <v>11924</v>
      </c>
      <c r="C6913" s="221" t="s">
        <v>11925</v>
      </c>
    </row>
    <row r="6914" spans="1:3" x14ac:dyDescent="0.25">
      <c r="A6914" s="222">
        <v>513172</v>
      </c>
      <c r="B6914" s="223" t="s">
        <v>11926</v>
      </c>
      <c r="C6914" s="221" t="s">
        <v>11927</v>
      </c>
    </row>
    <row r="6915" spans="1:3" x14ac:dyDescent="0.25">
      <c r="A6915" s="222">
        <v>513173</v>
      </c>
      <c r="B6915" s="223" t="s">
        <v>11928</v>
      </c>
      <c r="C6915" s="221" t="s">
        <v>11929</v>
      </c>
    </row>
    <row r="6916" spans="1:3" x14ac:dyDescent="0.25">
      <c r="A6916" s="222">
        <v>513174</v>
      </c>
      <c r="B6916" s="223" t="s">
        <v>11930</v>
      </c>
      <c r="C6916" s="221" t="s">
        <v>11931</v>
      </c>
    </row>
    <row r="6917" spans="1:3" x14ac:dyDescent="0.25">
      <c r="A6917" s="222">
        <v>513175</v>
      </c>
      <c r="B6917" s="223" t="s">
        <v>11932</v>
      </c>
      <c r="C6917" s="221" t="s">
        <v>11933</v>
      </c>
    </row>
    <row r="6918" spans="1:3" x14ac:dyDescent="0.25">
      <c r="A6918" s="222">
        <v>513176</v>
      </c>
      <c r="B6918" s="223" t="s">
        <v>11934</v>
      </c>
      <c r="C6918" s="221" t="s">
        <v>11935</v>
      </c>
    </row>
    <row r="6919" spans="1:3" x14ac:dyDescent="0.25">
      <c r="A6919" s="222">
        <v>520001</v>
      </c>
      <c r="B6919" s="223" t="s">
        <v>11936</v>
      </c>
      <c r="C6919" s="221" t="s">
        <v>11937</v>
      </c>
    </row>
    <row r="6920" spans="1:3" x14ac:dyDescent="0.25">
      <c r="A6920" s="222">
        <v>520001</v>
      </c>
      <c r="B6920" s="223" t="s">
        <v>11936</v>
      </c>
      <c r="C6920" s="221" t="s">
        <v>11938</v>
      </c>
    </row>
    <row r="6921" spans="1:3" x14ac:dyDescent="0.25">
      <c r="A6921" s="222">
        <v>520002</v>
      </c>
      <c r="B6921" s="223" t="s">
        <v>11939</v>
      </c>
      <c r="C6921" s="221" t="s">
        <v>11940</v>
      </c>
    </row>
    <row r="6922" spans="1:3" x14ac:dyDescent="0.25">
      <c r="A6922" s="222">
        <v>520002</v>
      </c>
      <c r="B6922" s="223" t="s">
        <v>11939</v>
      </c>
      <c r="C6922" s="221" t="s">
        <v>11941</v>
      </c>
    </row>
    <row r="6923" spans="1:3" x14ac:dyDescent="0.25">
      <c r="A6923" s="222">
        <v>520003</v>
      </c>
      <c r="B6923" s="223" t="s">
        <v>11942</v>
      </c>
      <c r="C6923" s="221" t="s">
        <v>11943</v>
      </c>
    </row>
    <row r="6924" spans="1:3" x14ac:dyDescent="0.25">
      <c r="A6924" s="222">
        <v>520003</v>
      </c>
      <c r="B6924" s="223" t="s">
        <v>11942</v>
      </c>
      <c r="C6924" s="221" t="s">
        <v>11944</v>
      </c>
    </row>
    <row r="6925" spans="1:3" x14ac:dyDescent="0.25">
      <c r="A6925" s="222">
        <v>520004</v>
      </c>
      <c r="B6925" s="223" t="s">
        <v>11945</v>
      </c>
      <c r="C6925" s="221" t="s">
        <v>11946</v>
      </c>
    </row>
    <row r="6926" spans="1:3" x14ac:dyDescent="0.25">
      <c r="A6926" s="222">
        <v>520004</v>
      </c>
      <c r="B6926" s="223" t="s">
        <v>11945</v>
      </c>
      <c r="C6926" s="221" t="s">
        <v>11947</v>
      </c>
    </row>
    <row r="6927" spans="1:3" x14ac:dyDescent="0.25">
      <c r="A6927" s="222">
        <v>520005</v>
      </c>
      <c r="B6927" s="223" t="s">
        <v>11948</v>
      </c>
      <c r="C6927" s="221" t="s">
        <v>11949</v>
      </c>
    </row>
    <row r="6928" spans="1:3" x14ac:dyDescent="0.25">
      <c r="A6928" s="222">
        <v>520005</v>
      </c>
      <c r="B6928" s="223" t="s">
        <v>11948</v>
      </c>
      <c r="C6928" s="221" t="s">
        <v>11950</v>
      </c>
    </row>
    <row r="6929" spans="1:3" x14ac:dyDescent="0.25">
      <c r="A6929" s="222">
        <v>520006</v>
      </c>
      <c r="B6929" s="223" t="s">
        <v>11951</v>
      </c>
      <c r="C6929" s="221" t="s">
        <v>11952</v>
      </c>
    </row>
    <row r="6930" spans="1:3" x14ac:dyDescent="0.25">
      <c r="A6930" s="222">
        <v>520006</v>
      </c>
      <c r="B6930" s="223" t="s">
        <v>11951</v>
      </c>
      <c r="C6930" s="221" t="s">
        <v>11953</v>
      </c>
    </row>
    <row r="6931" spans="1:3" x14ac:dyDescent="0.25">
      <c r="A6931" s="222">
        <v>520007</v>
      </c>
      <c r="B6931" s="223" t="s">
        <v>11954</v>
      </c>
      <c r="C6931" s="221" t="s">
        <v>11955</v>
      </c>
    </row>
    <row r="6932" spans="1:3" x14ac:dyDescent="0.25">
      <c r="A6932" s="222">
        <v>520007</v>
      </c>
      <c r="B6932" s="223" t="s">
        <v>11954</v>
      </c>
      <c r="C6932" s="221" t="s">
        <v>11956</v>
      </c>
    </row>
    <row r="6933" spans="1:3" x14ac:dyDescent="0.25">
      <c r="A6933" s="222">
        <v>520008</v>
      </c>
      <c r="B6933" s="223" t="s">
        <v>11957</v>
      </c>
      <c r="C6933" s="221" t="s">
        <v>11958</v>
      </c>
    </row>
    <row r="6934" spans="1:3" x14ac:dyDescent="0.25">
      <c r="A6934" s="222">
        <v>520008</v>
      </c>
      <c r="B6934" s="223" t="s">
        <v>11957</v>
      </c>
      <c r="C6934" s="221" t="s">
        <v>11959</v>
      </c>
    </row>
    <row r="6935" spans="1:3" x14ac:dyDescent="0.25">
      <c r="A6935" s="222">
        <v>520009</v>
      </c>
      <c r="B6935" s="223" t="s">
        <v>11960</v>
      </c>
      <c r="C6935" s="221" t="s">
        <v>11961</v>
      </c>
    </row>
    <row r="6936" spans="1:3" x14ac:dyDescent="0.25">
      <c r="A6936" s="222">
        <v>520009</v>
      </c>
      <c r="B6936" s="223" t="s">
        <v>11960</v>
      </c>
      <c r="C6936" s="221" t="s">
        <v>11962</v>
      </c>
    </row>
    <row r="6937" spans="1:3" x14ac:dyDescent="0.25">
      <c r="A6937" s="222">
        <v>520010</v>
      </c>
      <c r="B6937" s="223" t="s">
        <v>11963</v>
      </c>
      <c r="C6937" s="221" t="s">
        <v>11964</v>
      </c>
    </row>
    <row r="6938" spans="1:3" x14ac:dyDescent="0.25">
      <c r="A6938" s="222">
        <v>520010</v>
      </c>
      <c r="B6938" s="223" t="s">
        <v>11963</v>
      </c>
      <c r="C6938" s="221" t="s">
        <v>11965</v>
      </c>
    </row>
    <row r="6939" spans="1:3" x14ac:dyDescent="0.25">
      <c r="A6939" s="222">
        <v>520011</v>
      </c>
      <c r="B6939" s="223" t="s">
        <v>11966</v>
      </c>
      <c r="C6939" s="221" t="s">
        <v>11967</v>
      </c>
    </row>
    <row r="6940" spans="1:3" x14ac:dyDescent="0.25">
      <c r="A6940" s="222">
        <v>520011</v>
      </c>
      <c r="B6940" s="223" t="s">
        <v>11966</v>
      </c>
      <c r="C6940" s="221" t="s">
        <v>11968</v>
      </c>
    </row>
    <row r="6941" spans="1:3" x14ac:dyDescent="0.25">
      <c r="A6941" s="222">
        <v>520012</v>
      </c>
      <c r="B6941" s="223" t="s">
        <v>11969</v>
      </c>
      <c r="C6941" s="221" t="s">
        <v>11970</v>
      </c>
    </row>
    <row r="6942" spans="1:3" x14ac:dyDescent="0.25">
      <c r="A6942" s="222">
        <v>520012</v>
      </c>
      <c r="B6942" s="223" t="s">
        <v>11969</v>
      </c>
      <c r="C6942" s="221" t="s">
        <v>11971</v>
      </c>
    </row>
    <row r="6943" spans="1:3" x14ac:dyDescent="0.25">
      <c r="A6943" s="222">
        <v>520013</v>
      </c>
      <c r="B6943" s="223" t="s">
        <v>11972</v>
      </c>
      <c r="C6943" s="221" t="s">
        <v>11973</v>
      </c>
    </row>
    <row r="6944" spans="1:3" x14ac:dyDescent="0.25">
      <c r="A6944" s="222">
        <v>520013</v>
      </c>
      <c r="B6944" s="223" t="s">
        <v>11972</v>
      </c>
      <c r="C6944" s="221" t="s">
        <v>11974</v>
      </c>
    </row>
    <row r="6945" spans="1:3" x14ac:dyDescent="0.25">
      <c r="A6945" s="222">
        <v>520014</v>
      </c>
      <c r="B6945" s="223" t="s">
        <v>11975</v>
      </c>
      <c r="C6945" s="221" t="s">
        <v>11976</v>
      </c>
    </row>
    <row r="6946" spans="1:3" x14ac:dyDescent="0.25">
      <c r="A6946" s="222">
        <v>520014</v>
      </c>
      <c r="B6946" s="223" t="s">
        <v>11975</v>
      </c>
      <c r="C6946" s="221" t="s">
        <v>11977</v>
      </c>
    </row>
    <row r="6947" spans="1:3" x14ac:dyDescent="0.25">
      <c r="A6947" s="222">
        <v>520015</v>
      </c>
      <c r="B6947" s="223" t="s">
        <v>11978</v>
      </c>
      <c r="C6947" s="221" t="s">
        <v>11979</v>
      </c>
    </row>
    <row r="6948" spans="1:3" x14ac:dyDescent="0.25">
      <c r="A6948" s="222">
        <v>520015</v>
      </c>
      <c r="B6948" s="223" t="s">
        <v>11978</v>
      </c>
      <c r="C6948" s="221" t="s">
        <v>11980</v>
      </c>
    </row>
    <row r="6949" spans="1:3" x14ac:dyDescent="0.25">
      <c r="A6949" s="222">
        <v>520016</v>
      </c>
      <c r="B6949" s="223" t="s">
        <v>11981</v>
      </c>
      <c r="C6949" s="221" t="s">
        <v>11982</v>
      </c>
    </row>
    <row r="6950" spans="1:3" x14ac:dyDescent="0.25">
      <c r="A6950" s="222">
        <v>520016</v>
      </c>
      <c r="B6950" s="223" t="s">
        <v>11981</v>
      </c>
      <c r="C6950" s="221" t="s">
        <v>11983</v>
      </c>
    </row>
    <row r="6951" spans="1:3" x14ac:dyDescent="0.25">
      <c r="A6951" s="222">
        <v>520017</v>
      </c>
      <c r="B6951" s="223" t="s">
        <v>11984</v>
      </c>
      <c r="C6951" s="221" t="s">
        <v>11985</v>
      </c>
    </row>
    <row r="6952" spans="1:3" x14ac:dyDescent="0.25">
      <c r="A6952" s="222">
        <v>520017</v>
      </c>
      <c r="B6952" s="223" t="s">
        <v>11984</v>
      </c>
      <c r="C6952" s="221" t="s">
        <v>11986</v>
      </c>
    </row>
    <row r="6953" spans="1:3" x14ac:dyDescent="0.25">
      <c r="A6953" s="222">
        <v>520018</v>
      </c>
      <c r="B6953" s="223" t="s">
        <v>11987</v>
      </c>
      <c r="C6953" s="221" t="s">
        <v>11988</v>
      </c>
    </row>
    <row r="6954" spans="1:3" x14ac:dyDescent="0.25">
      <c r="A6954" s="222">
        <v>520018</v>
      </c>
      <c r="B6954" s="223" t="s">
        <v>11987</v>
      </c>
      <c r="C6954" s="221" t="s">
        <v>11989</v>
      </c>
    </row>
    <row r="6955" spans="1:3" x14ac:dyDescent="0.25">
      <c r="A6955" s="222">
        <v>520019</v>
      </c>
      <c r="B6955" s="223" t="s">
        <v>11990</v>
      </c>
      <c r="C6955" s="221" t="s">
        <v>11991</v>
      </c>
    </row>
    <row r="6956" spans="1:3" x14ac:dyDescent="0.25">
      <c r="A6956" s="222">
        <v>520019</v>
      </c>
      <c r="B6956" s="223" t="s">
        <v>11990</v>
      </c>
      <c r="C6956" s="221" t="s">
        <v>11992</v>
      </c>
    </row>
    <row r="6957" spans="1:3" x14ac:dyDescent="0.25">
      <c r="A6957" s="222">
        <v>520020</v>
      </c>
      <c r="B6957" s="223" t="s">
        <v>11993</v>
      </c>
      <c r="C6957" s="221" t="s">
        <v>11994</v>
      </c>
    </row>
    <row r="6958" spans="1:3" x14ac:dyDescent="0.25">
      <c r="A6958" s="222">
        <v>520020</v>
      </c>
      <c r="B6958" s="223" t="s">
        <v>11993</v>
      </c>
      <c r="C6958" s="221" t="s">
        <v>11995</v>
      </c>
    </row>
    <row r="6959" spans="1:3" x14ac:dyDescent="0.25">
      <c r="A6959" s="222">
        <v>520021</v>
      </c>
      <c r="B6959" s="223" t="s">
        <v>11996</v>
      </c>
      <c r="C6959" s="221" t="s">
        <v>11997</v>
      </c>
    </row>
    <row r="6960" spans="1:3" x14ac:dyDescent="0.25">
      <c r="A6960" s="222">
        <v>520021</v>
      </c>
      <c r="B6960" s="223" t="s">
        <v>11996</v>
      </c>
      <c r="C6960" s="221" t="s">
        <v>11998</v>
      </c>
    </row>
    <row r="6961" spans="1:3" x14ac:dyDescent="0.25">
      <c r="A6961" s="222">
        <v>520022</v>
      </c>
      <c r="B6961" s="223" t="s">
        <v>11999</v>
      </c>
      <c r="C6961" s="221" t="s">
        <v>12000</v>
      </c>
    </row>
    <row r="6962" spans="1:3" x14ac:dyDescent="0.25">
      <c r="A6962" s="222">
        <v>520022</v>
      </c>
      <c r="B6962" s="223" t="s">
        <v>11999</v>
      </c>
      <c r="C6962" s="221" t="s">
        <v>12001</v>
      </c>
    </row>
    <row r="6963" spans="1:3" x14ac:dyDescent="0.25">
      <c r="A6963" s="222">
        <v>520023</v>
      </c>
      <c r="B6963" s="223" t="s">
        <v>12002</v>
      </c>
      <c r="C6963" s="221" t="s">
        <v>12003</v>
      </c>
    </row>
    <row r="6964" spans="1:3" x14ac:dyDescent="0.25">
      <c r="A6964" s="222">
        <v>520023</v>
      </c>
      <c r="B6964" s="223" t="s">
        <v>12002</v>
      </c>
      <c r="C6964" s="221" t="s">
        <v>12004</v>
      </c>
    </row>
    <row r="6965" spans="1:3" x14ac:dyDescent="0.25">
      <c r="A6965" s="222">
        <v>520024</v>
      </c>
      <c r="B6965" s="223" t="s">
        <v>12005</v>
      </c>
      <c r="C6965" s="221" t="s">
        <v>12006</v>
      </c>
    </row>
    <row r="6966" spans="1:3" x14ac:dyDescent="0.25">
      <c r="A6966" s="222">
        <v>520024</v>
      </c>
      <c r="B6966" s="223" t="s">
        <v>12005</v>
      </c>
      <c r="C6966" s="221" t="s">
        <v>12007</v>
      </c>
    </row>
    <row r="6967" spans="1:3" x14ac:dyDescent="0.25">
      <c r="A6967" s="222">
        <v>520025</v>
      </c>
      <c r="B6967" s="223" t="s">
        <v>12008</v>
      </c>
      <c r="C6967" s="221" t="s">
        <v>12009</v>
      </c>
    </row>
    <row r="6968" spans="1:3" x14ac:dyDescent="0.25">
      <c r="A6968" s="222">
        <v>520025</v>
      </c>
      <c r="B6968" s="223" t="s">
        <v>12008</v>
      </c>
      <c r="C6968" s="221" t="s">
        <v>12010</v>
      </c>
    </row>
    <row r="6969" spans="1:3" x14ac:dyDescent="0.25">
      <c r="A6969" s="222">
        <v>520026</v>
      </c>
      <c r="B6969" s="223" t="s">
        <v>12011</v>
      </c>
      <c r="C6969" s="221" t="s">
        <v>12012</v>
      </c>
    </row>
    <row r="6970" spans="1:3" x14ac:dyDescent="0.25">
      <c r="A6970" s="222">
        <v>520026</v>
      </c>
      <c r="B6970" s="223" t="s">
        <v>12011</v>
      </c>
      <c r="C6970" s="221" t="s">
        <v>12013</v>
      </c>
    </row>
    <row r="6971" spans="1:3" x14ac:dyDescent="0.25">
      <c r="A6971" s="222">
        <v>520027</v>
      </c>
      <c r="B6971" s="223" t="s">
        <v>12014</v>
      </c>
      <c r="C6971" s="221" t="s">
        <v>12015</v>
      </c>
    </row>
    <row r="6972" spans="1:3" x14ac:dyDescent="0.25">
      <c r="A6972" s="222">
        <v>520027</v>
      </c>
      <c r="B6972" s="223" t="s">
        <v>12014</v>
      </c>
      <c r="C6972" s="221" t="s">
        <v>12016</v>
      </c>
    </row>
    <row r="6973" spans="1:3" x14ac:dyDescent="0.25">
      <c r="A6973" s="222">
        <v>520028</v>
      </c>
      <c r="B6973" s="223" t="s">
        <v>12017</v>
      </c>
      <c r="C6973" s="221" t="s">
        <v>12018</v>
      </c>
    </row>
    <row r="6974" spans="1:3" x14ac:dyDescent="0.25">
      <c r="A6974" s="222">
        <v>520028</v>
      </c>
      <c r="B6974" s="223" t="s">
        <v>12017</v>
      </c>
      <c r="C6974" s="221" t="s">
        <v>12019</v>
      </c>
    </row>
    <row r="6975" spans="1:3" x14ac:dyDescent="0.25">
      <c r="A6975" s="222">
        <v>520029</v>
      </c>
      <c r="B6975" s="223" t="s">
        <v>12020</v>
      </c>
      <c r="C6975" s="221" t="s">
        <v>12021</v>
      </c>
    </row>
    <row r="6976" spans="1:3" x14ac:dyDescent="0.25">
      <c r="A6976" s="222">
        <v>520029</v>
      </c>
      <c r="B6976" s="223" t="s">
        <v>12020</v>
      </c>
      <c r="C6976" s="221" t="s">
        <v>12022</v>
      </c>
    </row>
    <row r="6977" spans="1:3" x14ac:dyDescent="0.25">
      <c r="A6977" s="222">
        <v>520034</v>
      </c>
      <c r="B6977" s="223" t="s">
        <v>52</v>
      </c>
      <c r="C6977" s="221" t="s">
        <v>12023</v>
      </c>
    </row>
    <row r="6978" spans="1:3" x14ac:dyDescent="0.25">
      <c r="A6978" s="222">
        <v>520035</v>
      </c>
      <c r="B6978" s="223" t="s">
        <v>53</v>
      </c>
      <c r="C6978" s="221" t="s">
        <v>12024</v>
      </c>
    </row>
    <row r="6979" spans="1:3" x14ac:dyDescent="0.25">
      <c r="A6979" s="222">
        <v>520036</v>
      </c>
      <c r="B6979" s="223" t="s">
        <v>54</v>
      </c>
      <c r="C6979" s="221" t="s">
        <v>12025</v>
      </c>
    </row>
    <row r="6980" spans="1:3" x14ac:dyDescent="0.25">
      <c r="A6980" s="222">
        <v>520037</v>
      </c>
      <c r="B6980" s="223" t="s">
        <v>55</v>
      </c>
      <c r="C6980" s="221" t="s">
        <v>12026</v>
      </c>
    </row>
    <row r="6981" spans="1:3" x14ac:dyDescent="0.25">
      <c r="A6981" s="222">
        <v>520038</v>
      </c>
      <c r="B6981" s="223" t="s">
        <v>56</v>
      </c>
      <c r="C6981" s="221" t="s">
        <v>12027</v>
      </c>
    </row>
    <row r="6982" spans="1:3" x14ac:dyDescent="0.25">
      <c r="A6982" s="222">
        <v>520039</v>
      </c>
      <c r="B6982" s="223" t="s">
        <v>12028</v>
      </c>
      <c r="C6982" s="221" t="s">
        <v>12029</v>
      </c>
    </row>
    <row r="6983" spans="1:3" x14ac:dyDescent="0.25">
      <c r="A6983" s="222">
        <v>520040</v>
      </c>
      <c r="B6983" s="223" t="s">
        <v>12030</v>
      </c>
      <c r="C6983" s="221" t="s">
        <v>12031</v>
      </c>
    </row>
    <row r="6984" spans="1:3" x14ac:dyDescent="0.25">
      <c r="A6984" s="222">
        <v>520041</v>
      </c>
      <c r="B6984" s="223" t="s">
        <v>12032</v>
      </c>
      <c r="C6984" s="221" t="s">
        <v>12033</v>
      </c>
    </row>
    <row r="6985" spans="1:3" x14ac:dyDescent="0.25">
      <c r="A6985" s="222">
        <v>520042</v>
      </c>
      <c r="B6985" s="223" t="s">
        <v>12034</v>
      </c>
      <c r="C6985" s="221" t="s">
        <v>12035</v>
      </c>
    </row>
    <row r="6986" spans="1:3" x14ac:dyDescent="0.25">
      <c r="A6986" s="222">
        <v>520043</v>
      </c>
      <c r="B6986" s="223" t="s">
        <v>12036</v>
      </c>
      <c r="C6986" s="221" t="s">
        <v>12037</v>
      </c>
    </row>
    <row r="6987" spans="1:3" x14ac:dyDescent="0.25">
      <c r="A6987" s="222">
        <v>520056</v>
      </c>
      <c r="B6987" s="223" t="s">
        <v>12038</v>
      </c>
      <c r="C6987" s="221" t="s">
        <v>12039</v>
      </c>
    </row>
    <row r="6988" spans="1:3" x14ac:dyDescent="0.25">
      <c r="A6988" s="222">
        <v>520057</v>
      </c>
      <c r="B6988" s="223" t="s">
        <v>12040</v>
      </c>
      <c r="C6988" s="221" t="s">
        <v>12041</v>
      </c>
    </row>
    <row r="6989" spans="1:3" x14ac:dyDescent="0.25">
      <c r="A6989" s="222">
        <v>520060</v>
      </c>
      <c r="B6989" s="223" t="s">
        <v>12042</v>
      </c>
      <c r="C6989" s="221" t="s">
        <v>12043</v>
      </c>
    </row>
    <row r="6990" spans="1:3" x14ac:dyDescent="0.25">
      <c r="A6990" s="222">
        <v>520063</v>
      </c>
      <c r="B6990" s="223" t="s">
        <v>12044</v>
      </c>
      <c r="C6990" s="221" t="s">
        <v>12045</v>
      </c>
    </row>
    <row r="6991" spans="1:3" x14ac:dyDescent="0.25">
      <c r="A6991" s="222">
        <v>520064</v>
      </c>
      <c r="B6991" s="223" t="s">
        <v>12046</v>
      </c>
      <c r="C6991" s="221" t="s">
        <v>12047</v>
      </c>
    </row>
    <row r="6992" spans="1:3" x14ac:dyDescent="0.25">
      <c r="A6992" s="222">
        <v>520067</v>
      </c>
      <c r="B6992" s="223" t="s">
        <v>12048</v>
      </c>
      <c r="C6992" s="221" t="s">
        <v>12049</v>
      </c>
    </row>
    <row r="6993" spans="1:3" x14ac:dyDescent="0.25">
      <c r="A6993" s="222">
        <v>520069</v>
      </c>
      <c r="B6993" s="223" t="s">
        <v>12050</v>
      </c>
      <c r="C6993" s="221" t="s">
        <v>12051</v>
      </c>
    </row>
    <row r="6994" spans="1:3" x14ac:dyDescent="0.25">
      <c r="A6994" s="222">
        <v>520072</v>
      </c>
      <c r="B6994" s="223" t="s">
        <v>12052</v>
      </c>
      <c r="C6994" s="221" t="s">
        <v>12053</v>
      </c>
    </row>
    <row r="6995" spans="1:3" x14ac:dyDescent="0.25">
      <c r="A6995" s="222">
        <v>520073</v>
      </c>
      <c r="B6995" s="223" t="s">
        <v>12054</v>
      </c>
      <c r="C6995" s="221" t="s">
        <v>12055</v>
      </c>
    </row>
    <row r="6996" spans="1:3" x14ac:dyDescent="0.25">
      <c r="A6996" s="222">
        <v>520074</v>
      </c>
      <c r="B6996" s="223" t="s">
        <v>12056</v>
      </c>
      <c r="C6996" s="221" t="s">
        <v>12057</v>
      </c>
    </row>
    <row r="6997" spans="1:3" x14ac:dyDescent="0.25">
      <c r="A6997" s="222">
        <v>520082</v>
      </c>
      <c r="B6997" s="223" t="s">
        <v>12058</v>
      </c>
      <c r="C6997" s="221" t="s">
        <v>12059</v>
      </c>
    </row>
    <row r="6998" spans="1:3" x14ac:dyDescent="0.25">
      <c r="A6998" s="222">
        <v>520083</v>
      </c>
      <c r="B6998" s="223" t="s">
        <v>12060</v>
      </c>
      <c r="C6998" s="221" t="s">
        <v>12061</v>
      </c>
    </row>
    <row r="6999" spans="1:3" x14ac:dyDescent="0.25">
      <c r="A6999" s="222">
        <v>520084</v>
      </c>
      <c r="B6999" s="223" t="s">
        <v>12062</v>
      </c>
      <c r="C6999" s="221" t="s">
        <v>12063</v>
      </c>
    </row>
    <row r="7000" spans="1:3" x14ac:dyDescent="0.25">
      <c r="A7000" s="222">
        <v>520085</v>
      </c>
      <c r="B7000" s="223" t="s">
        <v>12064</v>
      </c>
      <c r="C7000" s="221" t="s">
        <v>12065</v>
      </c>
    </row>
    <row r="7001" spans="1:3" x14ac:dyDescent="0.25">
      <c r="A7001" s="222">
        <v>520086</v>
      </c>
      <c r="B7001" s="223" t="s">
        <v>12066</v>
      </c>
      <c r="C7001" s="221" t="s">
        <v>12067</v>
      </c>
    </row>
    <row r="7002" spans="1:3" x14ac:dyDescent="0.25">
      <c r="A7002" s="222">
        <v>520087</v>
      </c>
      <c r="B7002" s="223" t="s">
        <v>12068</v>
      </c>
      <c r="C7002" s="221" t="s">
        <v>12069</v>
      </c>
    </row>
    <row r="7003" spans="1:3" x14ac:dyDescent="0.25">
      <c r="A7003" s="222">
        <v>520088</v>
      </c>
      <c r="B7003" s="223" t="s">
        <v>12070</v>
      </c>
      <c r="C7003" s="221" t="s">
        <v>12071</v>
      </c>
    </row>
    <row r="7004" spans="1:3" x14ac:dyDescent="0.25">
      <c r="A7004" s="222">
        <v>520089</v>
      </c>
      <c r="B7004" s="223" t="s">
        <v>12072</v>
      </c>
      <c r="C7004" s="221" t="s">
        <v>12073</v>
      </c>
    </row>
    <row r="7005" spans="1:3" x14ac:dyDescent="0.25">
      <c r="A7005" s="222">
        <v>520090</v>
      </c>
      <c r="B7005" s="223" t="s">
        <v>734</v>
      </c>
      <c r="C7005" s="221" t="s">
        <v>12074</v>
      </c>
    </row>
    <row r="7006" spans="1:3" x14ac:dyDescent="0.25">
      <c r="A7006" s="222">
        <v>520098</v>
      </c>
      <c r="B7006" s="223" t="s">
        <v>12075</v>
      </c>
      <c r="C7006" s="221" t="s">
        <v>12076</v>
      </c>
    </row>
    <row r="7007" spans="1:3" x14ac:dyDescent="0.25">
      <c r="A7007" s="222">
        <v>520099</v>
      </c>
      <c r="B7007" s="223" t="s">
        <v>12077</v>
      </c>
      <c r="C7007" s="221" t="s">
        <v>12078</v>
      </c>
    </row>
    <row r="7008" spans="1:3" x14ac:dyDescent="0.25">
      <c r="A7008" s="222">
        <v>520100</v>
      </c>
      <c r="B7008" s="223" t="s">
        <v>12079</v>
      </c>
      <c r="C7008" s="221" t="s">
        <v>12080</v>
      </c>
    </row>
    <row r="7009" spans="1:3" x14ac:dyDescent="0.25">
      <c r="A7009" s="222">
        <v>520101</v>
      </c>
      <c r="B7009" s="223" t="s">
        <v>742</v>
      </c>
      <c r="C7009" s="221" t="s">
        <v>12081</v>
      </c>
    </row>
    <row r="7010" spans="1:3" x14ac:dyDescent="0.25">
      <c r="A7010" s="222">
        <v>520102</v>
      </c>
      <c r="B7010" s="223" t="s">
        <v>12082</v>
      </c>
      <c r="C7010" s="221" t="s">
        <v>12083</v>
      </c>
    </row>
    <row r="7011" spans="1:3" x14ac:dyDescent="0.25">
      <c r="A7011" s="222">
        <v>520104</v>
      </c>
      <c r="B7011" s="223" t="s">
        <v>12084</v>
      </c>
      <c r="C7011" s="221" t="s">
        <v>12085</v>
      </c>
    </row>
    <row r="7012" spans="1:3" x14ac:dyDescent="0.25">
      <c r="A7012" s="222">
        <v>520105</v>
      </c>
      <c r="B7012" s="223" t="s">
        <v>12086</v>
      </c>
      <c r="C7012" s="221" t="s">
        <v>12087</v>
      </c>
    </row>
    <row r="7013" spans="1:3" x14ac:dyDescent="0.25">
      <c r="A7013" s="222">
        <v>520114</v>
      </c>
      <c r="B7013" s="223" t="s">
        <v>12088</v>
      </c>
      <c r="C7013" s="221" t="s">
        <v>12089</v>
      </c>
    </row>
    <row r="7014" spans="1:3" x14ac:dyDescent="0.25">
      <c r="A7014" s="222">
        <v>520115</v>
      </c>
      <c r="B7014" s="223" t="s">
        <v>12077</v>
      </c>
      <c r="C7014" s="221" t="s">
        <v>12090</v>
      </c>
    </row>
    <row r="7015" spans="1:3" x14ac:dyDescent="0.25">
      <c r="A7015" s="222">
        <v>520116</v>
      </c>
      <c r="B7015" s="223" t="s">
        <v>12079</v>
      </c>
      <c r="C7015" s="221" t="s">
        <v>12091</v>
      </c>
    </row>
    <row r="7016" spans="1:3" x14ac:dyDescent="0.25">
      <c r="A7016" s="222">
        <v>530001</v>
      </c>
      <c r="B7016" s="223" t="s">
        <v>12092</v>
      </c>
      <c r="C7016" s="221" t="s">
        <v>12093</v>
      </c>
    </row>
    <row r="7017" spans="1:3" x14ac:dyDescent="0.25">
      <c r="A7017" s="222">
        <v>530001</v>
      </c>
      <c r="B7017" s="223" t="s">
        <v>12092</v>
      </c>
      <c r="C7017" s="221" t="s">
        <v>12094</v>
      </c>
    </row>
    <row r="7018" spans="1:3" x14ac:dyDescent="0.25">
      <c r="A7018" s="222">
        <v>530002</v>
      </c>
      <c r="B7018" s="223" t="s">
        <v>12095</v>
      </c>
      <c r="C7018" s="221" t="s">
        <v>12096</v>
      </c>
    </row>
    <row r="7019" spans="1:3" x14ac:dyDescent="0.25">
      <c r="A7019" s="222">
        <v>530002</v>
      </c>
      <c r="B7019" s="223" t="s">
        <v>12095</v>
      </c>
      <c r="C7019" s="221" t="s">
        <v>12097</v>
      </c>
    </row>
    <row r="7020" spans="1:3" x14ac:dyDescent="0.25">
      <c r="A7020" s="222">
        <v>530003</v>
      </c>
      <c r="B7020" s="223" t="s">
        <v>12098</v>
      </c>
      <c r="C7020" s="221" t="s">
        <v>12099</v>
      </c>
    </row>
    <row r="7021" spans="1:3" x14ac:dyDescent="0.25">
      <c r="A7021" s="222">
        <v>530003</v>
      </c>
      <c r="B7021" s="223" t="s">
        <v>12098</v>
      </c>
      <c r="C7021" s="221" t="s">
        <v>12100</v>
      </c>
    </row>
    <row r="7022" spans="1:3" x14ac:dyDescent="0.25">
      <c r="A7022" s="222">
        <v>530004</v>
      </c>
      <c r="B7022" s="223" t="s">
        <v>12101</v>
      </c>
      <c r="C7022" s="221" t="s">
        <v>12102</v>
      </c>
    </row>
    <row r="7023" spans="1:3" x14ac:dyDescent="0.25">
      <c r="A7023" s="222">
        <v>530004</v>
      </c>
      <c r="B7023" s="223" t="s">
        <v>12101</v>
      </c>
      <c r="C7023" s="221" t="s">
        <v>12103</v>
      </c>
    </row>
    <row r="7024" spans="1:3" x14ac:dyDescent="0.25">
      <c r="A7024" s="222">
        <v>530005</v>
      </c>
      <c r="B7024" s="223" t="s">
        <v>12104</v>
      </c>
      <c r="C7024" s="221" t="s">
        <v>12105</v>
      </c>
    </row>
    <row r="7025" spans="1:3" x14ac:dyDescent="0.25">
      <c r="A7025" s="222">
        <v>530005</v>
      </c>
      <c r="B7025" s="223" t="s">
        <v>12104</v>
      </c>
      <c r="C7025" s="221" t="s">
        <v>12106</v>
      </c>
    </row>
    <row r="7026" spans="1:3" x14ac:dyDescent="0.25">
      <c r="A7026" s="222">
        <v>530006</v>
      </c>
      <c r="B7026" s="223" t="s">
        <v>12107</v>
      </c>
      <c r="C7026" s="221" t="s">
        <v>12108</v>
      </c>
    </row>
    <row r="7027" spans="1:3" x14ac:dyDescent="0.25">
      <c r="A7027" s="222">
        <v>530006</v>
      </c>
      <c r="B7027" s="223" t="s">
        <v>12107</v>
      </c>
      <c r="C7027" s="221" t="s">
        <v>12109</v>
      </c>
    </row>
    <row r="7028" spans="1:3" x14ac:dyDescent="0.25">
      <c r="A7028" s="222">
        <v>530007</v>
      </c>
      <c r="B7028" s="223" t="s">
        <v>12110</v>
      </c>
      <c r="C7028" s="221" t="s">
        <v>12111</v>
      </c>
    </row>
    <row r="7029" spans="1:3" x14ac:dyDescent="0.25">
      <c r="A7029" s="222">
        <v>530007</v>
      </c>
      <c r="B7029" s="223" t="s">
        <v>12110</v>
      </c>
      <c r="C7029" s="221" t="s">
        <v>12112</v>
      </c>
    </row>
    <row r="7030" spans="1:3" x14ac:dyDescent="0.25">
      <c r="A7030" s="222">
        <v>530008</v>
      </c>
      <c r="B7030" s="223" t="s">
        <v>12113</v>
      </c>
      <c r="C7030" s="221" t="s">
        <v>12114</v>
      </c>
    </row>
    <row r="7031" spans="1:3" x14ac:dyDescent="0.25">
      <c r="A7031" s="222">
        <v>530008</v>
      </c>
      <c r="B7031" s="223" t="s">
        <v>12113</v>
      </c>
      <c r="C7031" s="221" t="s">
        <v>12115</v>
      </c>
    </row>
    <row r="7032" spans="1:3" x14ac:dyDescent="0.25">
      <c r="A7032" s="222">
        <v>530009</v>
      </c>
      <c r="B7032" s="223" t="s">
        <v>12116</v>
      </c>
      <c r="C7032" s="221" t="s">
        <v>12117</v>
      </c>
    </row>
    <row r="7033" spans="1:3" x14ac:dyDescent="0.25">
      <c r="A7033" s="222">
        <v>530009</v>
      </c>
      <c r="B7033" s="223" t="s">
        <v>12116</v>
      </c>
      <c r="C7033" s="221" t="s">
        <v>12118</v>
      </c>
    </row>
    <row r="7034" spans="1:3" x14ac:dyDescent="0.25">
      <c r="A7034" s="222">
        <v>530010</v>
      </c>
      <c r="B7034" s="223" t="s">
        <v>12119</v>
      </c>
      <c r="C7034" s="221" t="s">
        <v>12120</v>
      </c>
    </row>
    <row r="7035" spans="1:3" x14ac:dyDescent="0.25">
      <c r="A7035" s="222">
        <v>530010</v>
      </c>
      <c r="B7035" s="223" t="s">
        <v>12119</v>
      </c>
      <c r="C7035" s="221" t="s">
        <v>12121</v>
      </c>
    </row>
    <row r="7036" spans="1:3" x14ac:dyDescent="0.25">
      <c r="A7036" s="222">
        <v>530011</v>
      </c>
      <c r="B7036" s="223" t="s">
        <v>12122</v>
      </c>
      <c r="C7036" s="221" t="s">
        <v>12123</v>
      </c>
    </row>
    <row r="7037" spans="1:3" x14ac:dyDescent="0.25">
      <c r="A7037" s="222">
        <v>530011</v>
      </c>
      <c r="B7037" s="223" t="s">
        <v>12122</v>
      </c>
      <c r="C7037" s="221" t="s">
        <v>12124</v>
      </c>
    </row>
    <row r="7038" spans="1:3" x14ac:dyDescent="0.25">
      <c r="A7038" s="222">
        <v>530012</v>
      </c>
      <c r="B7038" s="223" t="s">
        <v>12125</v>
      </c>
      <c r="C7038" s="221" t="s">
        <v>12126</v>
      </c>
    </row>
    <row r="7039" spans="1:3" x14ac:dyDescent="0.25">
      <c r="A7039" s="222">
        <v>530012</v>
      </c>
      <c r="B7039" s="223" t="s">
        <v>12125</v>
      </c>
      <c r="C7039" s="221" t="s">
        <v>12127</v>
      </c>
    </row>
    <row r="7040" spans="1:3" x14ac:dyDescent="0.25">
      <c r="A7040" s="222">
        <v>530013</v>
      </c>
      <c r="B7040" s="223" t="s">
        <v>12128</v>
      </c>
      <c r="C7040" s="221" t="s">
        <v>12129</v>
      </c>
    </row>
    <row r="7041" spans="1:3" x14ac:dyDescent="0.25">
      <c r="A7041" s="222">
        <v>530014</v>
      </c>
      <c r="B7041" s="223" t="s">
        <v>12130</v>
      </c>
      <c r="C7041" s="221" t="s">
        <v>12131</v>
      </c>
    </row>
    <row r="7042" spans="1:3" x14ac:dyDescent="0.25">
      <c r="A7042" s="222">
        <v>530015</v>
      </c>
      <c r="B7042" s="223" t="s">
        <v>12132</v>
      </c>
      <c r="C7042" s="221" t="s">
        <v>12133</v>
      </c>
    </row>
    <row r="7043" spans="1:3" x14ac:dyDescent="0.25">
      <c r="A7043" s="222">
        <v>530016</v>
      </c>
      <c r="B7043" s="223" t="s">
        <v>12134</v>
      </c>
      <c r="C7043" s="221" t="s">
        <v>12135</v>
      </c>
    </row>
    <row r="7044" spans="1:3" x14ac:dyDescent="0.25">
      <c r="A7044" s="222">
        <v>530017</v>
      </c>
      <c r="B7044" s="223" t="s">
        <v>12136</v>
      </c>
      <c r="C7044" s="221" t="s">
        <v>12137</v>
      </c>
    </row>
    <row r="7045" spans="1:3" x14ac:dyDescent="0.25">
      <c r="A7045" s="222">
        <v>530018</v>
      </c>
      <c r="B7045" s="223" t="s">
        <v>12138</v>
      </c>
      <c r="C7045" s="221" t="s">
        <v>12139</v>
      </c>
    </row>
    <row r="7046" spans="1:3" x14ac:dyDescent="0.25">
      <c r="A7046" s="222">
        <v>530019</v>
      </c>
      <c r="B7046" s="223" t="s">
        <v>12140</v>
      </c>
      <c r="C7046" s="221" t="s">
        <v>12141</v>
      </c>
    </row>
    <row r="7047" spans="1:3" x14ac:dyDescent="0.25">
      <c r="A7047" s="222">
        <v>530020</v>
      </c>
      <c r="B7047" s="223" t="s">
        <v>12142</v>
      </c>
      <c r="C7047" s="221" t="s">
        <v>12143</v>
      </c>
    </row>
    <row r="7048" spans="1:3" x14ac:dyDescent="0.25">
      <c r="A7048" s="222">
        <v>530021</v>
      </c>
      <c r="B7048" s="223" t="s">
        <v>12144</v>
      </c>
      <c r="C7048" s="221" t="s">
        <v>12145</v>
      </c>
    </row>
    <row r="7049" spans="1:3" x14ac:dyDescent="0.25">
      <c r="A7049" s="222">
        <v>530022</v>
      </c>
      <c r="B7049" s="223" t="s">
        <v>12146</v>
      </c>
      <c r="C7049" s="221" t="s">
        <v>12147</v>
      </c>
    </row>
    <row r="7050" spans="1:3" x14ac:dyDescent="0.25">
      <c r="A7050" s="222">
        <v>530023</v>
      </c>
      <c r="B7050" s="223" t="s">
        <v>12148</v>
      </c>
      <c r="C7050" s="221" t="s">
        <v>12149</v>
      </c>
    </row>
    <row r="7051" spans="1:3" x14ac:dyDescent="0.25">
      <c r="A7051" s="222">
        <v>530024</v>
      </c>
      <c r="B7051" s="223" t="s">
        <v>12150</v>
      </c>
      <c r="C7051" s="221" t="s">
        <v>12151</v>
      </c>
    </row>
    <row r="7052" spans="1:3" x14ac:dyDescent="0.25">
      <c r="A7052" s="222">
        <v>530030</v>
      </c>
      <c r="B7052" s="223" t="s">
        <v>12152</v>
      </c>
      <c r="C7052" s="221" t="s">
        <v>12153</v>
      </c>
    </row>
    <row r="7053" spans="1:3" x14ac:dyDescent="0.25">
      <c r="A7053" s="222">
        <v>530031</v>
      </c>
      <c r="B7053" s="223" t="s">
        <v>12154</v>
      </c>
      <c r="C7053" s="221" t="s">
        <v>12155</v>
      </c>
    </row>
    <row r="7054" spans="1:3" x14ac:dyDescent="0.25">
      <c r="A7054" s="222">
        <v>530032</v>
      </c>
      <c r="B7054" s="223" t="s">
        <v>12156</v>
      </c>
      <c r="C7054" s="221" t="s">
        <v>12157</v>
      </c>
    </row>
    <row r="7055" spans="1:3" x14ac:dyDescent="0.25">
      <c r="A7055" s="222">
        <v>530034</v>
      </c>
      <c r="B7055" s="223" t="s">
        <v>12158</v>
      </c>
      <c r="C7055" s="221" t="s">
        <v>12159</v>
      </c>
    </row>
    <row r="7056" spans="1:3" x14ac:dyDescent="0.25">
      <c r="A7056" s="222">
        <v>530035</v>
      </c>
      <c r="B7056" s="223" t="s">
        <v>12138</v>
      </c>
      <c r="C7056" s="221" t="s">
        <v>12160</v>
      </c>
    </row>
    <row r="7057" spans="1:3" x14ac:dyDescent="0.25">
      <c r="A7057" s="222">
        <v>530036</v>
      </c>
      <c r="B7057" s="223" t="s">
        <v>12161</v>
      </c>
      <c r="C7057" s="221" t="s">
        <v>12162</v>
      </c>
    </row>
    <row r="7058" spans="1:3" x14ac:dyDescent="0.25">
      <c r="A7058" s="222">
        <v>530037</v>
      </c>
      <c r="B7058" s="223" t="s">
        <v>12163</v>
      </c>
      <c r="C7058" s="221" t="s">
        <v>12164</v>
      </c>
    </row>
    <row r="7059" spans="1:3" x14ac:dyDescent="0.25">
      <c r="A7059" s="222">
        <v>530038</v>
      </c>
      <c r="B7059" s="223" t="s">
        <v>12165</v>
      </c>
      <c r="C7059" s="221" t="s">
        <v>12166</v>
      </c>
    </row>
    <row r="7060" spans="1:3" x14ac:dyDescent="0.25">
      <c r="A7060" s="222">
        <v>540001</v>
      </c>
      <c r="B7060" s="223" t="s">
        <v>12167</v>
      </c>
      <c r="C7060" s="221" t="s">
        <v>12168</v>
      </c>
    </row>
    <row r="7061" spans="1:3" x14ac:dyDescent="0.25">
      <c r="A7061" s="222">
        <v>540001</v>
      </c>
      <c r="B7061" s="223" t="s">
        <v>12167</v>
      </c>
      <c r="C7061" s="221" t="s">
        <v>12169</v>
      </c>
    </row>
    <row r="7062" spans="1:3" x14ac:dyDescent="0.25">
      <c r="A7062" s="222">
        <v>540002</v>
      </c>
      <c r="B7062" s="223" t="s">
        <v>12170</v>
      </c>
      <c r="C7062" s="221" t="s">
        <v>12171</v>
      </c>
    </row>
    <row r="7063" spans="1:3" x14ac:dyDescent="0.25">
      <c r="A7063" s="222">
        <v>540002</v>
      </c>
      <c r="B7063" s="223" t="s">
        <v>12170</v>
      </c>
      <c r="C7063" s="221" t="s">
        <v>12172</v>
      </c>
    </row>
    <row r="7064" spans="1:3" x14ac:dyDescent="0.25">
      <c r="A7064" s="222">
        <v>540003</v>
      </c>
      <c r="B7064" s="223" t="s">
        <v>12173</v>
      </c>
      <c r="C7064" s="221" t="s">
        <v>12174</v>
      </c>
    </row>
    <row r="7065" spans="1:3" x14ac:dyDescent="0.25">
      <c r="A7065" s="222">
        <v>540003</v>
      </c>
      <c r="B7065" s="223" t="s">
        <v>12173</v>
      </c>
      <c r="C7065" s="221" t="s">
        <v>12175</v>
      </c>
    </row>
    <row r="7066" spans="1:3" x14ac:dyDescent="0.25">
      <c r="A7066" s="222">
        <v>540004</v>
      </c>
      <c r="B7066" s="223" t="s">
        <v>12176</v>
      </c>
      <c r="C7066" s="221" t="s">
        <v>12177</v>
      </c>
    </row>
    <row r="7067" spans="1:3" x14ac:dyDescent="0.25">
      <c r="A7067" s="222">
        <v>540004</v>
      </c>
      <c r="B7067" s="223" t="s">
        <v>12176</v>
      </c>
      <c r="C7067" s="221" t="s">
        <v>12178</v>
      </c>
    </row>
    <row r="7068" spans="1:3" x14ac:dyDescent="0.25">
      <c r="A7068" s="222">
        <v>540005</v>
      </c>
      <c r="B7068" s="223" t="s">
        <v>12179</v>
      </c>
      <c r="C7068" s="221" t="s">
        <v>12180</v>
      </c>
    </row>
    <row r="7069" spans="1:3" x14ac:dyDescent="0.25">
      <c r="A7069" s="222">
        <v>540005</v>
      </c>
      <c r="B7069" s="223" t="s">
        <v>12179</v>
      </c>
      <c r="C7069" s="221" t="s">
        <v>12181</v>
      </c>
    </row>
    <row r="7070" spans="1:3" x14ac:dyDescent="0.25">
      <c r="A7070" s="222">
        <v>540006</v>
      </c>
      <c r="B7070" s="223" t="s">
        <v>12182</v>
      </c>
      <c r="C7070" s="221" t="s">
        <v>12183</v>
      </c>
    </row>
    <row r="7071" spans="1:3" x14ac:dyDescent="0.25">
      <c r="A7071" s="222">
        <v>540006</v>
      </c>
      <c r="B7071" s="223" t="s">
        <v>12182</v>
      </c>
      <c r="C7071" s="221" t="s">
        <v>12184</v>
      </c>
    </row>
    <row r="7072" spans="1:3" x14ac:dyDescent="0.25">
      <c r="A7072" s="222">
        <v>540007</v>
      </c>
      <c r="B7072" s="223" t="s">
        <v>12185</v>
      </c>
      <c r="C7072" s="221" t="s">
        <v>12186</v>
      </c>
    </row>
    <row r="7073" spans="1:3" x14ac:dyDescent="0.25">
      <c r="A7073" s="222">
        <v>540007</v>
      </c>
      <c r="B7073" s="223" t="s">
        <v>12185</v>
      </c>
      <c r="C7073" s="221" t="s">
        <v>12187</v>
      </c>
    </row>
    <row r="7074" spans="1:3" x14ac:dyDescent="0.25">
      <c r="A7074" s="222">
        <v>540008</v>
      </c>
      <c r="B7074" s="223" t="s">
        <v>12188</v>
      </c>
      <c r="C7074" s="221" t="s">
        <v>12189</v>
      </c>
    </row>
    <row r="7075" spans="1:3" x14ac:dyDescent="0.25">
      <c r="A7075" s="222">
        <v>540008</v>
      </c>
      <c r="B7075" s="223" t="s">
        <v>12188</v>
      </c>
      <c r="C7075" s="221" t="s">
        <v>12190</v>
      </c>
    </row>
    <row r="7076" spans="1:3" x14ac:dyDescent="0.25">
      <c r="A7076" s="222">
        <v>540009</v>
      </c>
      <c r="B7076" s="223" t="s">
        <v>12191</v>
      </c>
      <c r="C7076" s="221" t="s">
        <v>12192</v>
      </c>
    </row>
    <row r="7077" spans="1:3" x14ac:dyDescent="0.25">
      <c r="A7077" s="222">
        <v>540009</v>
      </c>
      <c r="B7077" s="223" t="s">
        <v>12191</v>
      </c>
      <c r="C7077" s="221" t="s">
        <v>12193</v>
      </c>
    </row>
    <row r="7078" spans="1:3" x14ac:dyDescent="0.25">
      <c r="A7078" s="222">
        <v>540010</v>
      </c>
      <c r="B7078" s="223" t="s">
        <v>12194</v>
      </c>
      <c r="C7078" s="221" t="s">
        <v>12195</v>
      </c>
    </row>
    <row r="7079" spans="1:3" x14ac:dyDescent="0.25">
      <c r="A7079" s="222">
        <v>540010</v>
      </c>
      <c r="B7079" s="223" t="s">
        <v>12194</v>
      </c>
      <c r="C7079" s="221" t="s">
        <v>12196</v>
      </c>
    </row>
    <row r="7080" spans="1:3" x14ac:dyDescent="0.25">
      <c r="A7080" s="222">
        <v>540011</v>
      </c>
      <c r="B7080" s="223" t="s">
        <v>12197</v>
      </c>
      <c r="C7080" s="221" t="s">
        <v>12198</v>
      </c>
    </row>
    <row r="7081" spans="1:3" x14ac:dyDescent="0.25">
      <c r="A7081" s="222">
        <v>540011</v>
      </c>
      <c r="B7081" s="223" t="s">
        <v>12197</v>
      </c>
      <c r="C7081" s="221" t="s">
        <v>12199</v>
      </c>
    </row>
    <row r="7082" spans="1:3" x14ac:dyDescent="0.25">
      <c r="A7082" s="222">
        <v>540012</v>
      </c>
      <c r="B7082" s="223" t="s">
        <v>12200</v>
      </c>
      <c r="C7082" s="221" t="s">
        <v>12201</v>
      </c>
    </row>
    <row r="7083" spans="1:3" x14ac:dyDescent="0.25">
      <c r="A7083" s="222">
        <v>540012</v>
      </c>
      <c r="B7083" s="223" t="s">
        <v>12200</v>
      </c>
      <c r="C7083" s="221" t="s">
        <v>12202</v>
      </c>
    </row>
    <row r="7084" spans="1:3" x14ac:dyDescent="0.25">
      <c r="A7084" s="222">
        <v>540013</v>
      </c>
      <c r="B7084" s="223" t="s">
        <v>12203</v>
      </c>
      <c r="C7084" s="221" t="s">
        <v>12204</v>
      </c>
    </row>
    <row r="7085" spans="1:3" x14ac:dyDescent="0.25">
      <c r="A7085" s="222">
        <v>540013</v>
      </c>
      <c r="B7085" s="223" t="s">
        <v>12203</v>
      </c>
      <c r="C7085" s="221" t="s">
        <v>12205</v>
      </c>
    </row>
    <row r="7086" spans="1:3" x14ac:dyDescent="0.25">
      <c r="A7086" s="222">
        <v>540014</v>
      </c>
      <c r="B7086" s="223" t="s">
        <v>12206</v>
      </c>
      <c r="C7086" s="221" t="s">
        <v>12207</v>
      </c>
    </row>
    <row r="7087" spans="1:3" x14ac:dyDescent="0.25">
      <c r="A7087" s="222">
        <v>540014</v>
      </c>
      <c r="B7087" s="223" t="s">
        <v>12206</v>
      </c>
      <c r="C7087" s="221" t="s">
        <v>12207</v>
      </c>
    </row>
    <row r="7088" spans="1:3" x14ac:dyDescent="0.25">
      <c r="A7088" s="222">
        <v>540014</v>
      </c>
      <c r="B7088" s="223" t="s">
        <v>12206</v>
      </c>
      <c r="C7088" s="221" t="s">
        <v>12208</v>
      </c>
    </row>
    <row r="7089" spans="1:3" x14ac:dyDescent="0.25">
      <c r="A7089" s="222">
        <v>540015</v>
      </c>
      <c r="B7089" s="223" t="s">
        <v>12209</v>
      </c>
      <c r="C7089" s="221" t="s">
        <v>12210</v>
      </c>
    </row>
    <row r="7090" spans="1:3" x14ac:dyDescent="0.25">
      <c r="A7090" s="222">
        <v>540015</v>
      </c>
      <c r="B7090" s="223" t="s">
        <v>12209</v>
      </c>
      <c r="C7090" s="221" t="s">
        <v>12210</v>
      </c>
    </row>
    <row r="7091" spans="1:3" x14ac:dyDescent="0.25">
      <c r="A7091" s="222">
        <v>540015</v>
      </c>
      <c r="B7091" s="223" t="s">
        <v>12209</v>
      </c>
      <c r="C7091" s="221" t="s">
        <v>12211</v>
      </c>
    </row>
    <row r="7092" spans="1:3" x14ac:dyDescent="0.25">
      <c r="A7092" s="222">
        <v>540016</v>
      </c>
      <c r="B7092" s="223" t="s">
        <v>12212</v>
      </c>
      <c r="C7092" s="221" t="s">
        <v>12213</v>
      </c>
    </row>
    <row r="7093" spans="1:3" x14ac:dyDescent="0.25">
      <c r="A7093" s="222">
        <v>540016</v>
      </c>
      <c r="B7093" s="223" t="s">
        <v>12212</v>
      </c>
      <c r="C7093" s="221" t="s">
        <v>12213</v>
      </c>
    </row>
    <row r="7094" spans="1:3" x14ac:dyDescent="0.25">
      <c r="A7094" s="222">
        <v>540016</v>
      </c>
      <c r="B7094" s="223" t="s">
        <v>12212</v>
      </c>
      <c r="C7094" s="221" t="s">
        <v>12214</v>
      </c>
    </row>
    <row r="7095" spans="1:3" x14ac:dyDescent="0.25">
      <c r="A7095" s="222">
        <v>540017</v>
      </c>
      <c r="B7095" s="223" t="s">
        <v>12215</v>
      </c>
      <c r="C7095" s="221" t="s">
        <v>12216</v>
      </c>
    </row>
    <row r="7096" spans="1:3" x14ac:dyDescent="0.25">
      <c r="A7096" s="222">
        <v>540017</v>
      </c>
      <c r="B7096" s="223" t="s">
        <v>12215</v>
      </c>
      <c r="C7096" s="221" t="s">
        <v>12217</v>
      </c>
    </row>
    <row r="7097" spans="1:3" x14ac:dyDescent="0.25">
      <c r="A7097" s="222">
        <v>540018</v>
      </c>
      <c r="B7097" s="223" t="s">
        <v>12218</v>
      </c>
      <c r="C7097" s="221" t="s">
        <v>12219</v>
      </c>
    </row>
    <row r="7098" spans="1:3" x14ac:dyDescent="0.25">
      <c r="A7098" s="222">
        <v>540018</v>
      </c>
      <c r="B7098" s="223" t="s">
        <v>12218</v>
      </c>
      <c r="C7098" s="221" t="s">
        <v>12220</v>
      </c>
    </row>
    <row r="7099" spans="1:3" x14ac:dyDescent="0.25">
      <c r="A7099" s="222">
        <v>540019</v>
      </c>
      <c r="B7099" s="223" t="s">
        <v>12221</v>
      </c>
      <c r="C7099" s="221" t="s">
        <v>12222</v>
      </c>
    </row>
    <row r="7100" spans="1:3" x14ac:dyDescent="0.25">
      <c r="A7100" s="222">
        <v>540019</v>
      </c>
      <c r="B7100" s="223" t="s">
        <v>12221</v>
      </c>
      <c r="C7100" s="221" t="s">
        <v>12223</v>
      </c>
    </row>
    <row r="7101" spans="1:3" x14ac:dyDescent="0.25">
      <c r="A7101" s="222">
        <v>540020</v>
      </c>
      <c r="B7101" s="223" t="s">
        <v>12224</v>
      </c>
      <c r="C7101" s="221" t="s">
        <v>12225</v>
      </c>
    </row>
    <row r="7102" spans="1:3" x14ac:dyDescent="0.25">
      <c r="A7102" s="222">
        <v>540020</v>
      </c>
      <c r="B7102" s="223" t="s">
        <v>12224</v>
      </c>
      <c r="C7102" s="221" t="s">
        <v>12226</v>
      </c>
    </row>
    <row r="7103" spans="1:3" x14ac:dyDescent="0.25">
      <c r="A7103" s="222">
        <v>540021</v>
      </c>
      <c r="B7103" s="223" t="s">
        <v>12227</v>
      </c>
      <c r="C7103" s="221" t="s">
        <v>12228</v>
      </c>
    </row>
    <row r="7104" spans="1:3" x14ac:dyDescent="0.25">
      <c r="A7104" s="222">
        <v>540021</v>
      </c>
      <c r="B7104" s="223" t="s">
        <v>12227</v>
      </c>
      <c r="C7104" s="221" t="s">
        <v>12229</v>
      </c>
    </row>
    <row r="7105" spans="1:3" x14ac:dyDescent="0.25">
      <c r="A7105" s="222">
        <v>540022</v>
      </c>
      <c r="B7105" s="223" t="s">
        <v>12230</v>
      </c>
      <c r="C7105" s="221" t="s">
        <v>12231</v>
      </c>
    </row>
    <row r="7106" spans="1:3" x14ac:dyDescent="0.25">
      <c r="A7106" s="222">
        <v>540022</v>
      </c>
      <c r="B7106" s="223" t="s">
        <v>12230</v>
      </c>
      <c r="C7106" s="221" t="s">
        <v>12232</v>
      </c>
    </row>
    <row r="7107" spans="1:3" x14ac:dyDescent="0.25">
      <c r="A7107" s="222">
        <v>540023</v>
      </c>
      <c r="B7107" s="223" t="s">
        <v>12233</v>
      </c>
      <c r="C7107" s="221" t="s">
        <v>12234</v>
      </c>
    </row>
    <row r="7108" spans="1:3" x14ac:dyDescent="0.25">
      <c r="A7108" s="222">
        <v>540023</v>
      </c>
      <c r="B7108" s="223" t="s">
        <v>12233</v>
      </c>
      <c r="C7108" s="221" t="s">
        <v>12235</v>
      </c>
    </row>
    <row r="7109" spans="1:3" x14ac:dyDescent="0.25">
      <c r="A7109" s="222">
        <v>540024</v>
      </c>
      <c r="B7109" s="223" t="s">
        <v>12236</v>
      </c>
      <c r="C7109" s="221" t="s">
        <v>12237</v>
      </c>
    </row>
    <row r="7110" spans="1:3" x14ac:dyDescent="0.25">
      <c r="A7110" s="222">
        <v>540024</v>
      </c>
      <c r="B7110" s="223" t="s">
        <v>12236</v>
      </c>
      <c r="C7110" s="221" t="s">
        <v>12238</v>
      </c>
    </row>
    <row r="7111" spans="1:3" x14ac:dyDescent="0.25">
      <c r="A7111" s="222">
        <v>540025</v>
      </c>
      <c r="B7111" s="223" t="s">
        <v>12239</v>
      </c>
      <c r="C7111" s="221" t="s">
        <v>12240</v>
      </c>
    </row>
    <row r="7112" spans="1:3" x14ac:dyDescent="0.25">
      <c r="A7112" s="222">
        <v>540025</v>
      </c>
      <c r="B7112" s="223" t="s">
        <v>12239</v>
      </c>
      <c r="C7112" s="221" t="s">
        <v>12241</v>
      </c>
    </row>
    <row r="7113" spans="1:3" x14ac:dyDescent="0.25">
      <c r="A7113" s="222">
        <v>540026</v>
      </c>
      <c r="B7113" s="223" t="s">
        <v>12242</v>
      </c>
      <c r="C7113" s="221" t="s">
        <v>12243</v>
      </c>
    </row>
    <row r="7114" spans="1:3" x14ac:dyDescent="0.25">
      <c r="A7114" s="222">
        <v>540026</v>
      </c>
      <c r="B7114" s="223" t="s">
        <v>12242</v>
      </c>
      <c r="C7114" s="221" t="s">
        <v>12244</v>
      </c>
    </row>
    <row r="7115" spans="1:3" x14ac:dyDescent="0.25">
      <c r="A7115" s="222">
        <v>540027</v>
      </c>
      <c r="B7115" s="223" t="s">
        <v>12245</v>
      </c>
      <c r="C7115" s="221" t="s">
        <v>12246</v>
      </c>
    </row>
    <row r="7116" spans="1:3" x14ac:dyDescent="0.25">
      <c r="A7116" s="222">
        <v>540027</v>
      </c>
      <c r="B7116" s="223" t="s">
        <v>12245</v>
      </c>
      <c r="C7116" s="221" t="s">
        <v>12247</v>
      </c>
    </row>
    <row r="7117" spans="1:3" x14ac:dyDescent="0.25">
      <c r="A7117" s="222">
        <v>540028</v>
      </c>
      <c r="B7117" s="223" t="s">
        <v>12248</v>
      </c>
      <c r="C7117" s="221" t="s">
        <v>12249</v>
      </c>
    </row>
    <row r="7118" spans="1:3" x14ac:dyDescent="0.25">
      <c r="A7118" s="222">
        <v>540028</v>
      </c>
      <c r="B7118" s="223" t="s">
        <v>12248</v>
      </c>
      <c r="C7118" s="221" t="s">
        <v>12250</v>
      </c>
    </row>
    <row r="7119" spans="1:3" x14ac:dyDescent="0.25">
      <c r="A7119" s="222">
        <v>540029</v>
      </c>
      <c r="B7119" s="223" t="s">
        <v>12251</v>
      </c>
      <c r="C7119" s="221" t="s">
        <v>12252</v>
      </c>
    </row>
    <row r="7120" spans="1:3" x14ac:dyDescent="0.25">
      <c r="A7120" s="222">
        <v>540029</v>
      </c>
      <c r="B7120" s="223" t="s">
        <v>12251</v>
      </c>
      <c r="C7120" s="221" t="s">
        <v>12253</v>
      </c>
    </row>
    <row r="7121" spans="1:3" x14ac:dyDescent="0.25">
      <c r="A7121" s="222">
        <v>540030</v>
      </c>
      <c r="B7121" s="223" t="s">
        <v>12254</v>
      </c>
      <c r="C7121" s="221" t="s">
        <v>12255</v>
      </c>
    </row>
    <row r="7122" spans="1:3" x14ac:dyDescent="0.25">
      <c r="A7122" s="222">
        <v>540030</v>
      </c>
      <c r="B7122" s="223" t="s">
        <v>12254</v>
      </c>
      <c r="C7122" s="221" t="s">
        <v>12256</v>
      </c>
    </row>
    <row r="7123" spans="1:3" x14ac:dyDescent="0.25">
      <c r="A7123" s="222">
        <v>540031</v>
      </c>
      <c r="B7123" s="223" t="s">
        <v>12257</v>
      </c>
      <c r="C7123" s="221" t="s">
        <v>12258</v>
      </c>
    </row>
    <row r="7124" spans="1:3" x14ac:dyDescent="0.25">
      <c r="A7124" s="222">
        <v>540031</v>
      </c>
      <c r="B7124" s="223" t="s">
        <v>12257</v>
      </c>
      <c r="C7124" s="221" t="s">
        <v>12259</v>
      </c>
    </row>
    <row r="7125" spans="1:3" x14ac:dyDescent="0.25">
      <c r="A7125" s="222">
        <v>540032</v>
      </c>
      <c r="B7125" s="223" t="s">
        <v>12260</v>
      </c>
      <c r="C7125" s="221" t="s">
        <v>12261</v>
      </c>
    </row>
    <row r="7126" spans="1:3" x14ac:dyDescent="0.25">
      <c r="A7126" s="222">
        <v>540032</v>
      </c>
      <c r="B7126" s="223" t="s">
        <v>12260</v>
      </c>
      <c r="C7126" s="221" t="s">
        <v>12262</v>
      </c>
    </row>
    <row r="7127" spans="1:3" x14ac:dyDescent="0.25">
      <c r="A7127" s="222">
        <v>540033</v>
      </c>
      <c r="B7127" s="223" t="s">
        <v>12263</v>
      </c>
      <c r="C7127" s="221" t="s">
        <v>12264</v>
      </c>
    </row>
    <row r="7128" spans="1:3" x14ac:dyDescent="0.25">
      <c r="A7128" s="222">
        <v>540033</v>
      </c>
      <c r="B7128" s="223" t="s">
        <v>12263</v>
      </c>
      <c r="C7128" s="221" t="s">
        <v>12265</v>
      </c>
    </row>
    <row r="7129" spans="1:3" x14ac:dyDescent="0.25">
      <c r="A7129" s="222">
        <v>540034</v>
      </c>
      <c r="B7129" s="223" t="s">
        <v>12266</v>
      </c>
      <c r="C7129" s="221" t="s">
        <v>12267</v>
      </c>
    </row>
    <row r="7130" spans="1:3" x14ac:dyDescent="0.25">
      <c r="A7130" s="222">
        <v>540034</v>
      </c>
      <c r="B7130" s="223" t="s">
        <v>12266</v>
      </c>
      <c r="C7130" s="221" t="s">
        <v>12268</v>
      </c>
    </row>
    <row r="7131" spans="1:3" x14ac:dyDescent="0.25">
      <c r="A7131" s="222">
        <v>540035</v>
      </c>
      <c r="B7131" s="223" t="s">
        <v>12269</v>
      </c>
      <c r="C7131" s="221" t="s">
        <v>12270</v>
      </c>
    </row>
    <row r="7132" spans="1:3" x14ac:dyDescent="0.25">
      <c r="A7132" s="222">
        <v>540035</v>
      </c>
      <c r="B7132" s="223" t="s">
        <v>12269</v>
      </c>
      <c r="C7132" s="221" t="s">
        <v>12271</v>
      </c>
    </row>
    <row r="7133" spans="1:3" x14ac:dyDescent="0.25">
      <c r="A7133" s="222">
        <v>540036</v>
      </c>
      <c r="B7133" s="223" t="s">
        <v>12273</v>
      </c>
      <c r="C7133" s="221" t="s">
        <v>12272</v>
      </c>
    </row>
    <row r="7134" spans="1:3" x14ac:dyDescent="0.25">
      <c r="A7134" s="222">
        <v>540038</v>
      </c>
      <c r="B7134" s="223" t="s">
        <v>12275</v>
      </c>
      <c r="C7134" s="221" t="s">
        <v>12274</v>
      </c>
    </row>
    <row r="7135" spans="1:3" x14ac:dyDescent="0.25">
      <c r="A7135" s="222">
        <v>540039</v>
      </c>
      <c r="B7135" s="223" t="s">
        <v>12277</v>
      </c>
      <c r="C7135" s="221" t="s">
        <v>12276</v>
      </c>
    </row>
    <row r="7136" spans="1:3" x14ac:dyDescent="0.25">
      <c r="A7136" s="222">
        <v>540041</v>
      </c>
      <c r="B7136" s="223" t="s">
        <v>12278</v>
      </c>
      <c r="C7136" s="221" t="s">
        <v>12279</v>
      </c>
    </row>
    <row r="7137" spans="1:3" x14ac:dyDescent="0.25">
      <c r="A7137" s="222">
        <v>540042</v>
      </c>
      <c r="B7137" s="223" t="s">
        <v>12280</v>
      </c>
      <c r="C7137" s="221" t="s">
        <v>12281</v>
      </c>
    </row>
    <row r="7138" spans="1:3" x14ac:dyDescent="0.25">
      <c r="A7138" s="222">
        <v>540043</v>
      </c>
      <c r="B7138" s="223" t="s">
        <v>12282</v>
      </c>
      <c r="C7138" s="221" t="s">
        <v>12283</v>
      </c>
    </row>
    <row r="7139" spans="1:3" x14ac:dyDescent="0.25">
      <c r="A7139" s="222">
        <v>540044</v>
      </c>
      <c r="B7139" s="223" t="s">
        <v>12284</v>
      </c>
      <c r="C7139" s="221" t="s">
        <v>12285</v>
      </c>
    </row>
    <row r="7140" spans="1:3" x14ac:dyDescent="0.25">
      <c r="A7140" s="222">
        <v>540049</v>
      </c>
      <c r="B7140" s="223" t="s">
        <v>12286</v>
      </c>
      <c r="C7140" s="221" t="s">
        <v>12287</v>
      </c>
    </row>
    <row r="7141" spans="1:3" x14ac:dyDescent="0.25">
      <c r="A7141" s="222">
        <v>540051</v>
      </c>
      <c r="B7141" s="223" t="s">
        <v>12288</v>
      </c>
      <c r="C7141" s="221" t="s">
        <v>12289</v>
      </c>
    </row>
    <row r="7142" spans="1:3" x14ac:dyDescent="0.25">
      <c r="A7142" s="222">
        <v>540052</v>
      </c>
      <c r="B7142" s="223" t="s">
        <v>12290</v>
      </c>
      <c r="C7142" s="221" t="s">
        <v>12291</v>
      </c>
    </row>
    <row r="7143" spans="1:3" x14ac:dyDescent="0.25">
      <c r="A7143" s="222">
        <v>540056</v>
      </c>
      <c r="B7143" s="223" t="s">
        <v>28</v>
      </c>
      <c r="C7143" s="221" t="s">
        <v>12292</v>
      </c>
    </row>
    <row r="7144" spans="1:3" x14ac:dyDescent="0.25">
      <c r="A7144" s="222">
        <v>540057</v>
      </c>
      <c r="B7144" s="223" t="s">
        <v>29</v>
      </c>
      <c r="C7144" s="221" t="s">
        <v>12293</v>
      </c>
    </row>
    <row r="7145" spans="1:3" x14ac:dyDescent="0.25">
      <c r="A7145" s="222">
        <v>540058</v>
      </c>
      <c r="B7145" s="223" t="s">
        <v>12294</v>
      </c>
      <c r="C7145" s="221" t="s">
        <v>12295</v>
      </c>
    </row>
    <row r="7146" spans="1:3" x14ac:dyDescent="0.25">
      <c r="A7146" s="222">
        <v>540059</v>
      </c>
      <c r="B7146" s="223" t="s">
        <v>12296</v>
      </c>
      <c r="C7146" s="221" t="s">
        <v>12297</v>
      </c>
    </row>
    <row r="7147" spans="1:3" x14ac:dyDescent="0.25">
      <c r="A7147" s="222">
        <v>540060</v>
      </c>
      <c r="B7147" s="223" t="s">
        <v>12298</v>
      </c>
      <c r="C7147" s="221" t="s">
        <v>12299</v>
      </c>
    </row>
    <row r="7148" spans="1:3" x14ac:dyDescent="0.25">
      <c r="A7148" s="222">
        <v>540064</v>
      </c>
      <c r="B7148" s="223" t="s">
        <v>12300</v>
      </c>
      <c r="C7148" s="221" t="s">
        <v>12301</v>
      </c>
    </row>
    <row r="7149" spans="1:3" x14ac:dyDescent="0.25">
      <c r="A7149" s="222">
        <v>540074</v>
      </c>
      <c r="B7149" s="223" t="s">
        <v>12302</v>
      </c>
      <c r="C7149" s="221" t="s">
        <v>12303</v>
      </c>
    </row>
    <row r="7150" spans="1:3" x14ac:dyDescent="0.25">
      <c r="A7150" s="222">
        <v>540075</v>
      </c>
      <c r="B7150" s="223" t="s">
        <v>12304</v>
      </c>
      <c r="C7150" s="221" t="s">
        <v>12305</v>
      </c>
    </row>
    <row r="7151" spans="1:3" x14ac:dyDescent="0.25">
      <c r="A7151" s="222">
        <v>540076</v>
      </c>
      <c r="B7151" s="223" t="s">
        <v>12306</v>
      </c>
      <c r="C7151" s="221" t="s">
        <v>12307</v>
      </c>
    </row>
    <row r="7152" spans="1:3" x14ac:dyDescent="0.25">
      <c r="A7152" s="222">
        <v>540077</v>
      </c>
      <c r="B7152" s="223" t="s">
        <v>12308</v>
      </c>
      <c r="C7152" s="221" t="s">
        <v>12309</v>
      </c>
    </row>
    <row r="7153" spans="1:3" x14ac:dyDescent="0.25">
      <c r="A7153" s="222">
        <v>540079</v>
      </c>
      <c r="B7153" s="223" t="s">
        <v>12310</v>
      </c>
      <c r="C7153" s="221" t="s">
        <v>12311</v>
      </c>
    </row>
    <row r="7154" spans="1:3" x14ac:dyDescent="0.25">
      <c r="A7154" s="222">
        <v>540080</v>
      </c>
      <c r="B7154" s="223" t="s">
        <v>12312</v>
      </c>
      <c r="C7154" s="221" t="s">
        <v>12313</v>
      </c>
    </row>
    <row r="7155" spans="1:3" x14ac:dyDescent="0.25">
      <c r="A7155" s="222">
        <v>540082</v>
      </c>
      <c r="B7155" s="223" t="s">
        <v>12314</v>
      </c>
      <c r="C7155" s="221" t="s">
        <v>12315</v>
      </c>
    </row>
    <row r="7156" spans="1:3" x14ac:dyDescent="0.25">
      <c r="A7156" s="222">
        <v>540083</v>
      </c>
      <c r="B7156" s="223" t="s">
        <v>12316</v>
      </c>
      <c r="C7156" s="221" t="s">
        <v>12317</v>
      </c>
    </row>
    <row r="7157" spans="1:3" x14ac:dyDescent="0.25">
      <c r="A7157" s="222">
        <v>540084</v>
      </c>
      <c r="B7157" s="223" t="s">
        <v>12318</v>
      </c>
      <c r="C7157" s="221" t="s">
        <v>12319</v>
      </c>
    </row>
    <row r="7158" spans="1:3" x14ac:dyDescent="0.25">
      <c r="A7158" s="222">
        <v>540085</v>
      </c>
      <c r="B7158" s="223" t="s">
        <v>12320</v>
      </c>
      <c r="C7158" s="221" t="s">
        <v>12321</v>
      </c>
    </row>
    <row r="7159" spans="1:3" x14ac:dyDescent="0.25">
      <c r="A7159" s="222">
        <v>540086</v>
      </c>
      <c r="B7159" s="223" t="s">
        <v>12322</v>
      </c>
      <c r="C7159" s="221" t="s">
        <v>12323</v>
      </c>
    </row>
    <row r="7160" spans="1:3" x14ac:dyDescent="0.25">
      <c r="A7160" s="222">
        <v>540087</v>
      </c>
      <c r="B7160" s="223" t="s">
        <v>741</v>
      </c>
      <c r="C7160" s="221" t="s">
        <v>12324</v>
      </c>
    </row>
    <row r="7161" spans="1:3" x14ac:dyDescent="0.25">
      <c r="A7161" s="222">
        <v>550001</v>
      </c>
      <c r="B7161" s="223" t="s">
        <v>12325</v>
      </c>
      <c r="C7161" s="221" t="s">
        <v>12326</v>
      </c>
    </row>
    <row r="7162" spans="1:3" x14ac:dyDescent="0.25">
      <c r="A7162" s="222">
        <v>550001</v>
      </c>
      <c r="B7162" s="223" t="s">
        <v>12325</v>
      </c>
      <c r="C7162" s="221" t="s">
        <v>12327</v>
      </c>
    </row>
    <row r="7163" spans="1:3" x14ac:dyDescent="0.25">
      <c r="A7163" s="222">
        <v>550002</v>
      </c>
      <c r="B7163" s="223" t="s">
        <v>12328</v>
      </c>
      <c r="C7163" s="221" t="s">
        <v>12329</v>
      </c>
    </row>
    <row r="7164" spans="1:3" x14ac:dyDescent="0.25">
      <c r="A7164" s="222">
        <v>550002</v>
      </c>
      <c r="B7164" s="223" t="s">
        <v>12328</v>
      </c>
      <c r="C7164" s="221" t="s">
        <v>12330</v>
      </c>
    </row>
    <row r="7165" spans="1:3" x14ac:dyDescent="0.25">
      <c r="A7165" s="222">
        <v>550003</v>
      </c>
      <c r="B7165" s="223" t="s">
        <v>12331</v>
      </c>
      <c r="C7165" s="221" t="s">
        <v>12332</v>
      </c>
    </row>
    <row r="7166" spans="1:3" x14ac:dyDescent="0.25">
      <c r="A7166" s="222">
        <v>550003</v>
      </c>
      <c r="B7166" s="223" t="s">
        <v>12331</v>
      </c>
      <c r="C7166" s="221" t="s">
        <v>12333</v>
      </c>
    </row>
    <row r="7167" spans="1:3" x14ac:dyDescent="0.25">
      <c r="A7167" s="222">
        <v>550004</v>
      </c>
      <c r="B7167" s="223" t="s">
        <v>12334</v>
      </c>
      <c r="C7167" s="221" t="s">
        <v>12335</v>
      </c>
    </row>
    <row r="7168" spans="1:3" x14ac:dyDescent="0.25">
      <c r="A7168" s="222">
        <v>550004</v>
      </c>
      <c r="B7168" s="223" t="s">
        <v>12334</v>
      </c>
      <c r="C7168" s="221" t="s">
        <v>12336</v>
      </c>
    </row>
    <row r="7169" spans="1:3" x14ac:dyDescent="0.25">
      <c r="A7169" s="222">
        <v>550005</v>
      </c>
      <c r="B7169" s="223" t="s">
        <v>12337</v>
      </c>
      <c r="C7169" s="221" t="s">
        <v>12338</v>
      </c>
    </row>
    <row r="7170" spans="1:3" x14ac:dyDescent="0.25">
      <c r="A7170" s="222">
        <v>550005</v>
      </c>
      <c r="B7170" s="223" t="s">
        <v>12337</v>
      </c>
      <c r="C7170" s="221" t="s">
        <v>12339</v>
      </c>
    </row>
    <row r="7171" spans="1:3" x14ac:dyDescent="0.25">
      <c r="A7171" s="222">
        <v>550006</v>
      </c>
      <c r="B7171" s="223" t="s">
        <v>12340</v>
      </c>
      <c r="C7171" s="221" t="s">
        <v>12341</v>
      </c>
    </row>
    <row r="7172" spans="1:3" x14ac:dyDescent="0.25">
      <c r="A7172" s="222">
        <v>550006</v>
      </c>
      <c r="B7172" s="223" t="s">
        <v>12340</v>
      </c>
      <c r="C7172" s="221" t="s">
        <v>12342</v>
      </c>
    </row>
    <row r="7173" spans="1:3" x14ac:dyDescent="0.25">
      <c r="A7173" s="222">
        <v>550007</v>
      </c>
      <c r="B7173" s="223" t="s">
        <v>12343</v>
      </c>
      <c r="C7173" s="221" t="s">
        <v>12344</v>
      </c>
    </row>
    <row r="7174" spans="1:3" x14ac:dyDescent="0.25">
      <c r="A7174" s="222">
        <v>550007</v>
      </c>
      <c r="B7174" s="223" t="s">
        <v>12343</v>
      </c>
      <c r="C7174" s="221" t="s">
        <v>12345</v>
      </c>
    </row>
    <row r="7175" spans="1:3" x14ac:dyDescent="0.25">
      <c r="A7175" s="222">
        <v>550008</v>
      </c>
      <c r="B7175" s="223" t="s">
        <v>12346</v>
      </c>
      <c r="C7175" s="221" t="s">
        <v>12347</v>
      </c>
    </row>
    <row r="7176" spans="1:3" x14ac:dyDescent="0.25">
      <c r="A7176" s="222">
        <v>550008</v>
      </c>
      <c r="B7176" s="223" t="s">
        <v>12346</v>
      </c>
      <c r="C7176" s="221" t="s">
        <v>12348</v>
      </c>
    </row>
    <row r="7177" spans="1:3" x14ac:dyDescent="0.25">
      <c r="A7177" s="222">
        <v>550009</v>
      </c>
      <c r="B7177" s="223" t="s">
        <v>12349</v>
      </c>
      <c r="C7177" s="221" t="s">
        <v>12350</v>
      </c>
    </row>
    <row r="7178" spans="1:3" x14ac:dyDescent="0.25">
      <c r="A7178" s="222">
        <v>550009</v>
      </c>
      <c r="B7178" s="223" t="s">
        <v>12349</v>
      </c>
      <c r="C7178" s="221" t="s">
        <v>12351</v>
      </c>
    </row>
    <row r="7179" spans="1:3" x14ac:dyDescent="0.25">
      <c r="A7179" s="222">
        <v>550010</v>
      </c>
      <c r="B7179" s="223" t="s">
        <v>12352</v>
      </c>
      <c r="C7179" s="221" t="s">
        <v>12353</v>
      </c>
    </row>
    <row r="7180" spans="1:3" x14ac:dyDescent="0.25">
      <c r="A7180" s="222">
        <v>550010</v>
      </c>
      <c r="B7180" s="223" t="s">
        <v>12352</v>
      </c>
      <c r="C7180" s="221" t="s">
        <v>12354</v>
      </c>
    </row>
    <row r="7181" spans="1:3" x14ac:dyDescent="0.25">
      <c r="A7181" s="222">
        <v>550011</v>
      </c>
      <c r="B7181" s="223" t="s">
        <v>12355</v>
      </c>
      <c r="C7181" s="221" t="s">
        <v>12356</v>
      </c>
    </row>
    <row r="7182" spans="1:3" x14ac:dyDescent="0.25">
      <c r="A7182" s="222">
        <v>550012</v>
      </c>
      <c r="B7182" s="223" t="s">
        <v>12357</v>
      </c>
      <c r="C7182" s="221" t="s">
        <v>12358</v>
      </c>
    </row>
    <row r="7183" spans="1:3" x14ac:dyDescent="0.25">
      <c r="A7183" s="222">
        <v>550012</v>
      </c>
      <c r="B7183" s="223" t="s">
        <v>12357</v>
      </c>
      <c r="C7183" s="221" t="s">
        <v>12359</v>
      </c>
    </row>
    <row r="7184" spans="1:3" x14ac:dyDescent="0.25">
      <c r="A7184" s="222">
        <v>550013</v>
      </c>
      <c r="B7184" s="223" t="s">
        <v>12360</v>
      </c>
      <c r="C7184" s="221" t="s">
        <v>12361</v>
      </c>
    </row>
    <row r="7185" spans="1:3" x14ac:dyDescent="0.25">
      <c r="A7185" s="222">
        <v>550013</v>
      </c>
      <c r="B7185" s="223" t="s">
        <v>12360</v>
      </c>
      <c r="C7185" s="221" t="s">
        <v>12362</v>
      </c>
    </row>
    <row r="7186" spans="1:3" x14ac:dyDescent="0.25">
      <c r="A7186" s="222">
        <v>550014</v>
      </c>
      <c r="B7186" s="223" t="s">
        <v>12363</v>
      </c>
      <c r="C7186" s="221" t="s">
        <v>12364</v>
      </c>
    </row>
    <row r="7187" spans="1:3" x14ac:dyDescent="0.25">
      <c r="A7187" s="222">
        <v>550014</v>
      </c>
      <c r="B7187" s="223" t="s">
        <v>12363</v>
      </c>
      <c r="C7187" s="221" t="s">
        <v>12365</v>
      </c>
    </row>
    <row r="7188" spans="1:3" x14ac:dyDescent="0.25">
      <c r="A7188" s="222">
        <v>550015</v>
      </c>
      <c r="B7188" s="223" t="s">
        <v>12366</v>
      </c>
      <c r="C7188" s="221" t="s">
        <v>12367</v>
      </c>
    </row>
    <row r="7189" spans="1:3" x14ac:dyDescent="0.25">
      <c r="A7189" s="222">
        <v>550015</v>
      </c>
      <c r="B7189" s="223" t="s">
        <v>12366</v>
      </c>
      <c r="C7189" s="221" t="s">
        <v>12368</v>
      </c>
    </row>
    <row r="7190" spans="1:3" x14ac:dyDescent="0.25">
      <c r="A7190" s="222">
        <v>550016</v>
      </c>
      <c r="B7190" s="223" t="s">
        <v>12369</v>
      </c>
      <c r="C7190" s="221" t="s">
        <v>12370</v>
      </c>
    </row>
    <row r="7191" spans="1:3" x14ac:dyDescent="0.25">
      <c r="A7191" s="222">
        <v>550016</v>
      </c>
      <c r="B7191" s="223" t="s">
        <v>12369</v>
      </c>
      <c r="C7191" s="221" t="s">
        <v>12371</v>
      </c>
    </row>
    <row r="7192" spans="1:3" x14ac:dyDescent="0.25">
      <c r="A7192" s="222">
        <v>550017</v>
      </c>
      <c r="B7192" s="223" t="s">
        <v>12372</v>
      </c>
      <c r="C7192" s="221" t="s">
        <v>12373</v>
      </c>
    </row>
    <row r="7193" spans="1:3" x14ac:dyDescent="0.25">
      <c r="A7193" s="222">
        <v>550017</v>
      </c>
      <c r="B7193" s="223" t="s">
        <v>12372</v>
      </c>
      <c r="C7193" s="221" t="s">
        <v>12374</v>
      </c>
    </row>
    <row r="7194" spans="1:3" x14ac:dyDescent="0.25">
      <c r="A7194" s="222">
        <v>550018</v>
      </c>
      <c r="B7194" s="223" t="s">
        <v>12376</v>
      </c>
      <c r="C7194" s="221" t="s">
        <v>12375</v>
      </c>
    </row>
    <row r="7195" spans="1:3" x14ac:dyDescent="0.25">
      <c r="A7195" s="222">
        <v>550020</v>
      </c>
      <c r="B7195" s="223" t="s">
        <v>12377</v>
      </c>
      <c r="C7195" s="221" t="s">
        <v>12378</v>
      </c>
    </row>
    <row r="7196" spans="1:3" x14ac:dyDescent="0.25">
      <c r="A7196" s="222">
        <v>550025</v>
      </c>
      <c r="B7196" s="223" t="s">
        <v>12379</v>
      </c>
      <c r="C7196" s="221" t="s">
        <v>12380</v>
      </c>
    </row>
    <row r="7197" spans="1:3" x14ac:dyDescent="0.25">
      <c r="A7197" s="222">
        <v>550026</v>
      </c>
      <c r="B7197" s="223" t="s">
        <v>12381</v>
      </c>
      <c r="C7197" s="221" t="s">
        <v>12382</v>
      </c>
    </row>
    <row r="7198" spans="1:3" x14ac:dyDescent="0.25">
      <c r="A7198" s="222">
        <v>550027</v>
      </c>
      <c r="B7198" s="223" t="s">
        <v>12383</v>
      </c>
      <c r="C7198" s="221" t="s">
        <v>12384</v>
      </c>
    </row>
    <row r="7199" spans="1:3" x14ac:dyDescent="0.25">
      <c r="A7199" s="222">
        <v>550028</v>
      </c>
      <c r="B7199" s="223" t="s">
        <v>12385</v>
      </c>
      <c r="C7199" s="221" t="s">
        <v>12386</v>
      </c>
    </row>
    <row r="7200" spans="1:3" x14ac:dyDescent="0.25">
      <c r="A7200" s="222">
        <v>550029</v>
      </c>
      <c r="B7200" s="223" t="s">
        <v>12387</v>
      </c>
      <c r="C7200" s="221" t="s">
        <v>12388</v>
      </c>
    </row>
    <row r="7201" spans="1:3" x14ac:dyDescent="0.25">
      <c r="A7201" s="222">
        <v>550034</v>
      </c>
      <c r="B7201" s="223" t="s">
        <v>12389</v>
      </c>
      <c r="C7201" s="221" t="s">
        <v>12390</v>
      </c>
    </row>
    <row r="7202" spans="1:3" x14ac:dyDescent="0.25">
      <c r="A7202" s="222">
        <v>550035</v>
      </c>
      <c r="B7202" s="223" t="s">
        <v>12391</v>
      </c>
      <c r="C7202" s="221" t="s">
        <v>12392</v>
      </c>
    </row>
    <row r="7203" spans="1:3" x14ac:dyDescent="0.25">
      <c r="A7203" s="222">
        <v>550036</v>
      </c>
      <c r="B7203" s="223" t="s">
        <v>12393</v>
      </c>
      <c r="C7203" s="221" t="s">
        <v>12394</v>
      </c>
    </row>
    <row r="7204" spans="1:3" x14ac:dyDescent="0.25">
      <c r="A7204" s="222">
        <v>550037</v>
      </c>
      <c r="B7204" s="223" t="s">
        <v>12395</v>
      </c>
      <c r="C7204" s="221" t="s">
        <v>12396</v>
      </c>
    </row>
    <row r="7205" spans="1:3" x14ac:dyDescent="0.25">
      <c r="A7205" s="222">
        <v>550038</v>
      </c>
      <c r="B7205" s="223" t="s">
        <v>12397</v>
      </c>
      <c r="C7205" s="221" t="s">
        <v>12398</v>
      </c>
    </row>
    <row r="7206" spans="1:3" x14ac:dyDescent="0.25">
      <c r="A7206" s="222">
        <v>550039</v>
      </c>
      <c r="B7206" s="223" t="s">
        <v>12399</v>
      </c>
      <c r="C7206" s="221" t="s">
        <v>12400</v>
      </c>
    </row>
    <row r="7207" spans="1:3" x14ac:dyDescent="0.25">
      <c r="A7207" s="222">
        <v>550040</v>
      </c>
      <c r="B7207" s="223" t="s">
        <v>12401</v>
      </c>
      <c r="C7207" s="221" t="s">
        <v>12402</v>
      </c>
    </row>
    <row r="7208" spans="1:3" x14ac:dyDescent="0.25">
      <c r="A7208" s="222">
        <v>550041</v>
      </c>
      <c r="B7208" s="223" t="s">
        <v>12403</v>
      </c>
      <c r="C7208" s="221" t="s">
        <v>12404</v>
      </c>
    </row>
    <row r="7209" spans="1:3" x14ac:dyDescent="0.25">
      <c r="A7209" s="222">
        <v>550042</v>
      </c>
      <c r="B7209" s="223" t="s">
        <v>12405</v>
      </c>
      <c r="C7209" s="221" t="s">
        <v>12406</v>
      </c>
    </row>
    <row r="7210" spans="1:3" x14ac:dyDescent="0.25">
      <c r="A7210" s="222">
        <v>550043</v>
      </c>
      <c r="B7210" s="223" t="s">
        <v>12407</v>
      </c>
      <c r="C7210" s="221" t="s">
        <v>12408</v>
      </c>
    </row>
    <row r="7211" spans="1:3" x14ac:dyDescent="0.25">
      <c r="A7211" s="222">
        <v>550044</v>
      </c>
      <c r="B7211" s="223" t="s">
        <v>12409</v>
      </c>
      <c r="C7211" s="221" t="s">
        <v>12410</v>
      </c>
    </row>
    <row r="7212" spans="1:3" x14ac:dyDescent="0.25">
      <c r="A7212" s="222">
        <v>550045</v>
      </c>
      <c r="B7212" s="223" t="s">
        <v>12411</v>
      </c>
      <c r="C7212" s="221" t="s">
        <v>12412</v>
      </c>
    </row>
    <row r="7213" spans="1:3" x14ac:dyDescent="0.25">
      <c r="A7213" s="222">
        <v>550046</v>
      </c>
      <c r="B7213" s="223" t="s">
        <v>12413</v>
      </c>
      <c r="C7213" s="221" t="s">
        <v>12414</v>
      </c>
    </row>
    <row r="7214" spans="1:3" x14ac:dyDescent="0.25">
      <c r="A7214" s="222">
        <v>550047</v>
      </c>
      <c r="B7214" s="223" t="s">
        <v>12415</v>
      </c>
      <c r="C7214" s="221" t="s">
        <v>12416</v>
      </c>
    </row>
    <row r="7215" spans="1:3" x14ac:dyDescent="0.25">
      <c r="A7215" s="222">
        <v>550048</v>
      </c>
      <c r="B7215" s="223" t="s">
        <v>12417</v>
      </c>
      <c r="C7215" s="221" t="s">
        <v>12418</v>
      </c>
    </row>
    <row r="7216" spans="1:3" x14ac:dyDescent="0.25">
      <c r="A7216" s="222">
        <v>550049</v>
      </c>
      <c r="B7216" s="223" t="s">
        <v>12419</v>
      </c>
      <c r="C7216" s="221" t="s">
        <v>12420</v>
      </c>
    </row>
    <row r="7217" spans="1:3" x14ac:dyDescent="0.25">
      <c r="A7217" s="222">
        <v>550050</v>
      </c>
      <c r="B7217" s="223" t="s">
        <v>12421</v>
      </c>
      <c r="C7217" s="221" t="s">
        <v>12422</v>
      </c>
    </row>
    <row r="7218" spans="1:3" x14ac:dyDescent="0.25">
      <c r="A7218" s="222">
        <v>550051</v>
      </c>
      <c r="B7218" s="223" t="s">
        <v>12423</v>
      </c>
      <c r="C7218" s="221" t="s">
        <v>12424</v>
      </c>
    </row>
    <row r="7219" spans="1:3" x14ac:dyDescent="0.25">
      <c r="A7219" s="222">
        <v>550052</v>
      </c>
      <c r="B7219" s="223" t="s">
        <v>12425</v>
      </c>
      <c r="C7219" s="221" t="s">
        <v>12426</v>
      </c>
    </row>
    <row r="7220" spans="1:3" x14ac:dyDescent="0.25">
      <c r="A7220" s="222">
        <v>550055</v>
      </c>
      <c r="B7220" s="223" t="s">
        <v>12427</v>
      </c>
      <c r="C7220" s="221" t="s">
        <v>12428</v>
      </c>
    </row>
    <row r="7221" spans="1:3" x14ac:dyDescent="0.25">
      <c r="A7221" s="222">
        <v>550056</v>
      </c>
      <c r="B7221" s="223" t="s">
        <v>12429</v>
      </c>
      <c r="C7221" s="221" t="s">
        <v>12430</v>
      </c>
    </row>
    <row r="7222" spans="1:3" x14ac:dyDescent="0.25">
      <c r="A7222" s="222">
        <v>550057</v>
      </c>
      <c r="B7222" s="223" t="s">
        <v>12431</v>
      </c>
      <c r="C7222" s="221" t="s">
        <v>12432</v>
      </c>
    </row>
    <row r="7223" spans="1:3" x14ac:dyDescent="0.25">
      <c r="A7223" s="222">
        <v>550058</v>
      </c>
      <c r="B7223" s="223" t="s">
        <v>12433</v>
      </c>
      <c r="C7223" s="221" t="s">
        <v>12434</v>
      </c>
    </row>
    <row r="7224" spans="1:3" x14ac:dyDescent="0.25">
      <c r="A7224" s="222">
        <v>550063</v>
      </c>
      <c r="B7224" s="223" t="s">
        <v>12435</v>
      </c>
      <c r="C7224" s="221" t="s">
        <v>12436</v>
      </c>
    </row>
    <row r="7225" spans="1:3" x14ac:dyDescent="0.25">
      <c r="A7225" s="222">
        <v>550064</v>
      </c>
      <c r="B7225" s="223" t="s">
        <v>12437</v>
      </c>
      <c r="C7225" s="221" t="s">
        <v>12438</v>
      </c>
    </row>
    <row r="7226" spans="1:3" x14ac:dyDescent="0.25">
      <c r="A7226" s="222">
        <v>550065</v>
      </c>
      <c r="B7226" s="223" t="s">
        <v>12439</v>
      </c>
      <c r="C7226" s="221" t="s">
        <v>12440</v>
      </c>
    </row>
    <row r="7227" spans="1:3" x14ac:dyDescent="0.25">
      <c r="A7227" s="222">
        <v>550075</v>
      </c>
      <c r="B7227" s="223" t="s">
        <v>12441</v>
      </c>
      <c r="C7227" s="221" t="s">
        <v>12442</v>
      </c>
    </row>
    <row r="7228" spans="1:3" x14ac:dyDescent="0.25">
      <c r="A7228" s="222">
        <v>550076</v>
      </c>
      <c r="B7228" s="223" t="s">
        <v>12443</v>
      </c>
      <c r="C7228" s="221" t="s">
        <v>12444</v>
      </c>
    </row>
    <row r="7229" spans="1:3" x14ac:dyDescent="0.25">
      <c r="A7229" s="222">
        <v>550077</v>
      </c>
      <c r="B7229" s="223" t="s">
        <v>12445</v>
      </c>
      <c r="C7229" s="221" t="s">
        <v>12446</v>
      </c>
    </row>
    <row r="7230" spans="1:3" x14ac:dyDescent="0.25">
      <c r="A7230" s="222">
        <v>550078</v>
      </c>
      <c r="B7230" s="223" t="s">
        <v>12407</v>
      </c>
      <c r="C7230" s="221" t="s">
        <v>12447</v>
      </c>
    </row>
    <row r="7231" spans="1:3" x14ac:dyDescent="0.25">
      <c r="A7231" s="222">
        <v>550079</v>
      </c>
      <c r="B7231" s="223" t="s">
        <v>12409</v>
      </c>
      <c r="C7231" s="221" t="s">
        <v>12448</v>
      </c>
    </row>
    <row r="7232" spans="1:3" x14ac:dyDescent="0.25">
      <c r="A7232" s="222">
        <v>550080</v>
      </c>
      <c r="B7232" s="223" t="s">
        <v>12411</v>
      </c>
      <c r="C7232" s="221" t="s">
        <v>12449</v>
      </c>
    </row>
    <row r="7233" spans="1:3" x14ac:dyDescent="0.25">
      <c r="A7233" s="222">
        <v>550081</v>
      </c>
      <c r="B7233" s="223" t="s">
        <v>12450</v>
      </c>
      <c r="C7233" s="221" t="s">
        <v>12451</v>
      </c>
    </row>
    <row r="7234" spans="1:3" x14ac:dyDescent="0.25">
      <c r="A7234" s="222">
        <v>550082</v>
      </c>
      <c r="B7234" s="223" t="s">
        <v>12452</v>
      </c>
      <c r="C7234" s="221" t="s">
        <v>12453</v>
      </c>
    </row>
    <row r="7235" spans="1:3" x14ac:dyDescent="0.25">
      <c r="A7235" s="222">
        <v>550083</v>
      </c>
      <c r="B7235" s="223" t="s">
        <v>12454</v>
      </c>
      <c r="C7235" s="221" t="s">
        <v>12455</v>
      </c>
    </row>
    <row r="7236" spans="1:3" x14ac:dyDescent="0.25">
      <c r="A7236" s="222">
        <v>550084</v>
      </c>
      <c r="B7236" s="223" t="s">
        <v>12456</v>
      </c>
      <c r="C7236" s="221" t="s">
        <v>12457</v>
      </c>
    </row>
    <row r="7237" spans="1:3" x14ac:dyDescent="0.25">
      <c r="A7237" s="222">
        <v>550085</v>
      </c>
      <c r="B7237" s="223" t="s">
        <v>12458</v>
      </c>
      <c r="C7237" s="221" t="s">
        <v>12459</v>
      </c>
    </row>
    <row r="7238" spans="1:3" x14ac:dyDescent="0.25">
      <c r="A7238" s="222">
        <v>550086</v>
      </c>
      <c r="B7238" s="223" t="s">
        <v>12435</v>
      </c>
      <c r="C7238" s="221" t="s">
        <v>12460</v>
      </c>
    </row>
    <row r="7239" spans="1:3" x14ac:dyDescent="0.25">
      <c r="A7239" s="222">
        <v>700001</v>
      </c>
      <c r="B7239" s="223" t="s">
        <v>12461</v>
      </c>
      <c r="C7239" s="221" t="s">
        <v>12462</v>
      </c>
    </row>
    <row r="7240" spans="1:3" x14ac:dyDescent="0.25">
      <c r="A7240" s="222">
        <v>700001</v>
      </c>
      <c r="B7240" s="223" t="s">
        <v>12461</v>
      </c>
      <c r="C7240" s="221" t="s">
        <v>12463</v>
      </c>
    </row>
    <row r="7241" spans="1:3" x14ac:dyDescent="0.25">
      <c r="A7241" s="222">
        <v>700002</v>
      </c>
      <c r="B7241" s="223" t="s">
        <v>12464</v>
      </c>
      <c r="C7241" s="221" t="s">
        <v>12465</v>
      </c>
    </row>
    <row r="7242" spans="1:3" x14ac:dyDescent="0.25">
      <c r="A7242" s="222">
        <v>700002</v>
      </c>
      <c r="B7242" s="223" t="s">
        <v>12464</v>
      </c>
      <c r="C7242" s="221" t="s">
        <v>12466</v>
      </c>
    </row>
    <row r="7243" spans="1:3" x14ac:dyDescent="0.25">
      <c r="A7243" s="222">
        <v>700003</v>
      </c>
      <c r="B7243" s="223" t="s">
        <v>12467</v>
      </c>
      <c r="C7243" s="221" t="s">
        <v>12468</v>
      </c>
    </row>
    <row r="7244" spans="1:3" x14ac:dyDescent="0.25">
      <c r="A7244" s="222">
        <v>700003</v>
      </c>
      <c r="B7244" s="223" t="s">
        <v>12467</v>
      </c>
      <c r="C7244" s="221" t="s">
        <v>12469</v>
      </c>
    </row>
    <row r="7245" spans="1:3" x14ac:dyDescent="0.25">
      <c r="A7245" s="222">
        <v>700004</v>
      </c>
      <c r="B7245" s="223" t="s">
        <v>12470</v>
      </c>
      <c r="C7245" s="221" t="s">
        <v>12471</v>
      </c>
    </row>
    <row r="7246" spans="1:3" x14ac:dyDescent="0.25">
      <c r="A7246" s="222">
        <v>700004</v>
      </c>
      <c r="B7246" s="223" t="s">
        <v>12470</v>
      </c>
      <c r="C7246" s="221" t="s">
        <v>12472</v>
      </c>
    </row>
    <row r="7247" spans="1:3" x14ac:dyDescent="0.25">
      <c r="A7247" s="222">
        <v>700005</v>
      </c>
      <c r="B7247" s="223" t="s">
        <v>12473</v>
      </c>
      <c r="C7247" s="221" t="s">
        <v>12474</v>
      </c>
    </row>
    <row r="7248" spans="1:3" x14ac:dyDescent="0.25">
      <c r="A7248" s="222">
        <v>700005</v>
      </c>
      <c r="B7248" s="223" t="s">
        <v>12473</v>
      </c>
      <c r="C7248" s="221" t="s">
        <v>12475</v>
      </c>
    </row>
    <row r="7249" spans="1:3" x14ac:dyDescent="0.25">
      <c r="A7249" s="222">
        <v>700006</v>
      </c>
      <c r="B7249" s="223" t="s">
        <v>12476</v>
      </c>
      <c r="C7249" s="221" t="s">
        <v>12477</v>
      </c>
    </row>
    <row r="7250" spans="1:3" x14ac:dyDescent="0.25">
      <c r="A7250" s="222">
        <v>700006</v>
      </c>
      <c r="B7250" s="223" t="s">
        <v>12476</v>
      </c>
      <c r="C7250" s="221" t="s">
        <v>12478</v>
      </c>
    </row>
    <row r="7251" spans="1:3" x14ac:dyDescent="0.25">
      <c r="A7251" s="222">
        <v>700007</v>
      </c>
      <c r="B7251" s="223" t="s">
        <v>12479</v>
      </c>
      <c r="C7251" s="221" t="s">
        <v>12480</v>
      </c>
    </row>
    <row r="7252" spans="1:3" x14ac:dyDescent="0.25">
      <c r="A7252" s="222">
        <v>700007</v>
      </c>
      <c r="B7252" s="223" t="s">
        <v>12479</v>
      </c>
      <c r="C7252" s="221" t="s">
        <v>12481</v>
      </c>
    </row>
    <row r="7253" spans="1:3" x14ac:dyDescent="0.25">
      <c r="A7253" s="222">
        <v>700008</v>
      </c>
      <c r="B7253" s="223" t="s">
        <v>12482</v>
      </c>
      <c r="C7253" s="221" t="s">
        <v>12483</v>
      </c>
    </row>
    <row r="7254" spans="1:3" x14ac:dyDescent="0.25">
      <c r="A7254" s="222">
        <v>700008</v>
      </c>
      <c r="B7254" s="223" t="s">
        <v>12482</v>
      </c>
      <c r="C7254" s="221" t="s">
        <v>12484</v>
      </c>
    </row>
    <row r="7255" spans="1:3" x14ac:dyDescent="0.25">
      <c r="A7255" s="222">
        <v>700009</v>
      </c>
      <c r="B7255" s="223" t="s">
        <v>12485</v>
      </c>
      <c r="C7255" s="221" t="s">
        <v>12486</v>
      </c>
    </row>
    <row r="7256" spans="1:3" x14ac:dyDescent="0.25">
      <c r="A7256" s="222">
        <v>700009</v>
      </c>
      <c r="B7256" s="223" t="s">
        <v>12485</v>
      </c>
      <c r="C7256" s="221" t="s">
        <v>12487</v>
      </c>
    </row>
    <row r="7257" spans="1:3" x14ac:dyDescent="0.25">
      <c r="A7257" s="222">
        <v>700010</v>
      </c>
      <c r="B7257" s="223" t="s">
        <v>12488</v>
      </c>
      <c r="C7257" s="221" t="s">
        <v>12489</v>
      </c>
    </row>
    <row r="7258" spans="1:3" x14ac:dyDescent="0.25">
      <c r="A7258" s="222">
        <v>700010</v>
      </c>
      <c r="B7258" s="223" t="s">
        <v>12488</v>
      </c>
      <c r="C7258" s="221" t="s">
        <v>12490</v>
      </c>
    </row>
    <row r="7259" spans="1:3" x14ac:dyDescent="0.25">
      <c r="A7259" s="222">
        <v>700011</v>
      </c>
      <c r="B7259" s="223" t="s">
        <v>12491</v>
      </c>
      <c r="C7259" s="221" t="s">
        <v>12492</v>
      </c>
    </row>
    <row r="7260" spans="1:3" x14ac:dyDescent="0.25">
      <c r="A7260" s="222">
        <v>700011</v>
      </c>
      <c r="B7260" s="223" t="s">
        <v>12491</v>
      </c>
      <c r="C7260" s="221" t="s">
        <v>12493</v>
      </c>
    </row>
    <row r="7261" spans="1:3" x14ac:dyDescent="0.25">
      <c r="A7261" s="222">
        <v>700012</v>
      </c>
      <c r="B7261" s="223" t="s">
        <v>12494</v>
      </c>
      <c r="C7261" s="221" t="s">
        <v>12495</v>
      </c>
    </row>
    <row r="7262" spans="1:3" x14ac:dyDescent="0.25">
      <c r="A7262" s="222">
        <v>700012</v>
      </c>
      <c r="B7262" s="223" t="s">
        <v>12494</v>
      </c>
      <c r="C7262" s="221" t="s">
        <v>12496</v>
      </c>
    </row>
    <row r="7263" spans="1:3" x14ac:dyDescent="0.25">
      <c r="A7263" s="222">
        <v>700013</v>
      </c>
      <c r="B7263" s="223" t="s">
        <v>12497</v>
      </c>
      <c r="C7263" s="221" t="s">
        <v>12498</v>
      </c>
    </row>
    <row r="7264" spans="1:3" x14ac:dyDescent="0.25">
      <c r="A7264" s="222">
        <v>700013</v>
      </c>
      <c r="B7264" s="223" t="s">
        <v>12497</v>
      </c>
      <c r="C7264" s="221" t="s">
        <v>12499</v>
      </c>
    </row>
    <row r="7265" spans="1:3" x14ac:dyDescent="0.25">
      <c r="A7265" s="222">
        <v>700014</v>
      </c>
      <c r="B7265" s="223" t="s">
        <v>12500</v>
      </c>
      <c r="C7265" s="221" t="s">
        <v>12501</v>
      </c>
    </row>
    <row r="7266" spans="1:3" x14ac:dyDescent="0.25">
      <c r="A7266" s="222">
        <v>700014</v>
      </c>
      <c r="B7266" s="223" t="s">
        <v>12500</v>
      </c>
      <c r="C7266" s="221" t="s">
        <v>12502</v>
      </c>
    </row>
    <row r="7267" spans="1:3" x14ac:dyDescent="0.25">
      <c r="A7267" s="222">
        <v>700015</v>
      </c>
      <c r="B7267" s="223" t="s">
        <v>12503</v>
      </c>
      <c r="C7267" s="221" t="s">
        <v>12504</v>
      </c>
    </row>
    <row r="7268" spans="1:3" x14ac:dyDescent="0.25">
      <c r="A7268" s="222">
        <v>700015</v>
      </c>
      <c r="B7268" s="223" t="s">
        <v>12503</v>
      </c>
      <c r="C7268" s="221" t="s">
        <v>12505</v>
      </c>
    </row>
    <row r="7269" spans="1:3" x14ac:dyDescent="0.25">
      <c r="A7269" s="222">
        <v>700016</v>
      </c>
      <c r="B7269" s="223" t="s">
        <v>12506</v>
      </c>
      <c r="C7269" s="221" t="s">
        <v>12507</v>
      </c>
    </row>
    <row r="7270" spans="1:3" x14ac:dyDescent="0.25">
      <c r="A7270" s="222">
        <v>700016</v>
      </c>
      <c r="B7270" s="223" t="s">
        <v>12506</v>
      </c>
      <c r="C7270" s="221" t="s">
        <v>12508</v>
      </c>
    </row>
    <row r="7271" spans="1:3" x14ac:dyDescent="0.25">
      <c r="A7271" s="222">
        <v>700017</v>
      </c>
      <c r="B7271" s="223" t="s">
        <v>12509</v>
      </c>
      <c r="C7271" s="221" t="s">
        <v>12510</v>
      </c>
    </row>
    <row r="7272" spans="1:3" x14ac:dyDescent="0.25">
      <c r="A7272" s="222">
        <v>700017</v>
      </c>
      <c r="B7272" s="223" t="s">
        <v>12509</v>
      </c>
      <c r="C7272" s="221" t="s">
        <v>12511</v>
      </c>
    </row>
    <row r="7273" spans="1:3" x14ac:dyDescent="0.25">
      <c r="A7273" s="222">
        <v>700018</v>
      </c>
      <c r="B7273" s="223" t="s">
        <v>12512</v>
      </c>
      <c r="C7273" s="221" t="s">
        <v>12513</v>
      </c>
    </row>
    <row r="7274" spans="1:3" x14ac:dyDescent="0.25">
      <c r="A7274" s="222">
        <v>700018</v>
      </c>
      <c r="B7274" s="223" t="s">
        <v>12512</v>
      </c>
      <c r="C7274" s="221" t="s">
        <v>12514</v>
      </c>
    </row>
    <row r="7275" spans="1:3" x14ac:dyDescent="0.25">
      <c r="A7275" s="222">
        <v>700019</v>
      </c>
      <c r="B7275" s="223" t="s">
        <v>12515</v>
      </c>
      <c r="C7275" s="221" t="s">
        <v>12516</v>
      </c>
    </row>
    <row r="7276" spans="1:3" x14ac:dyDescent="0.25">
      <c r="A7276" s="222">
        <v>700019</v>
      </c>
      <c r="B7276" s="223" t="s">
        <v>12515</v>
      </c>
      <c r="C7276" s="221" t="s">
        <v>12517</v>
      </c>
    </row>
    <row r="7277" spans="1:3" x14ac:dyDescent="0.25">
      <c r="A7277" s="222">
        <v>700020</v>
      </c>
      <c r="B7277" s="223" t="s">
        <v>12518</v>
      </c>
      <c r="C7277" s="221" t="s">
        <v>12519</v>
      </c>
    </row>
    <row r="7278" spans="1:3" x14ac:dyDescent="0.25">
      <c r="A7278" s="222">
        <v>700020</v>
      </c>
      <c r="B7278" s="223" t="s">
        <v>12518</v>
      </c>
      <c r="C7278" s="221" t="s">
        <v>12520</v>
      </c>
    </row>
    <row r="7279" spans="1:3" x14ac:dyDescent="0.25">
      <c r="A7279" s="222">
        <v>700021</v>
      </c>
      <c r="B7279" s="223" t="s">
        <v>12521</v>
      </c>
      <c r="C7279" s="221" t="s">
        <v>12522</v>
      </c>
    </row>
    <row r="7280" spans="1:3" x14ac:dyDescent="0.25">
      <c r="A7280" s="222">
        <v>700021</v>
      </c>
      <c r="B7280" s="223" t="s">
        <v>12521</v>
      </c>
      <c r="C7280" s="221" t="s">
        <v>12523</v>
      </c>
    </row>
    <row r="7281" spans="1:3" x14ac:dyDescent="0.25">
      <c r="A7281" s="222">
        <v>700022</v>
      </c>
      <c r="B7281" s="223" t="s">
        <v>12524</v>
      </c>
      <c r="C7281" s="221" t="s">
        <v>12525</v>
      </c>
    </row>
    <row r="7282" spans="1:3" x14ac:dyDescent="0.25">
      <c r="A7282" s="222">
        <v>700022</v>
      </c>
      <c r="B7282" s="223" t="s">
        <v>12524</v>
      </c>
      <c r="C7282" s="221" t="s">
        <v>12526</v>
      </c>
    </row>
    <row r="7283" spans="1:3" x14ac:dyDescent="0.25">
      <c r="A7283" s="222">
        <v>700023</v>
      </c>
      <c r="B7283" s="223" t="s">
        <v>12527</v>
      </c>
      <c r="C7283" s="221" t="s">
        <v>12528</v>
      </c>
    </row>
    <row r="7284" spans="1:3" x14ac:dyDescent="0.25">
      <c r="A7284" s="222">
        <v>700023</v>
      </c>
      <c r="B7284" s="223" t="s">
        <v>12527</v>
      </c>
      <c r="C7284" s="221" t="s">
        <v>12529</v>
      </c>
    </row>
    <row r="7285" spans="1:3" x14ac:dyDescent="0.25">
      <c r="A7285" s="222">
        <v>700024</v>
      </c>
      <c r="B7285" s="223" t="s">
        <v>12530</v>
      </c>
      <c r="C7285" s="221" t="s">
        <v>12531</v>
      </c>
    </row>
    <row r="7286" spans="1:3" x14ac:dyDescent="0.25">
      <c r="A7286" s="222">
        <v>700024</v>
      </c>
      <c r="B7286" s="223" t="s">
        <v>12530</v>
      </c>
      <c r="C7286" s="221" t="s">
        <v>12532</v>
      </c>
    </row>
    <row r="7287" spans="1:3" x14ac:dyDescent="0.25">
      <c r="A7287" s="222">
        <v>700025</v>
      </c>
      <c r="B7287" s="223" t="s">
        <v>12533</v>
      </c>
      <c r="C7287" s="221" t="s">
        <v>12534</v>
      </c>
    </row>
    <row r="7288" spans="1:3" x14ac:dyDescent="0.25">
      <c r="A7288" s="222">
        <v>700025</v>
      </c>
      <c r="B7288" s="223" t="s">
        <v>12533</v>
      </c>
      <c r="C7288" s="221" t="s">
        <v>12535</v>
      </c>
    </row>
    <row r="7289" spans="1:3" x14ac:dyDescent="0.25">
      <c r="A7289" s="222">
        <v>700026</v>
      </c>
      <c r="B7289" s="223" t="s">
        <v>12536</v>
      </c>
      <c r="C7289" s="221" t="s">
        <v>12537</v>
      </c>
    </row>
    <row r="7290" spans="1:3" x14ac:dyDescent="0.25">
      <c r="A7290" s="222">
        <v>700026</v>
      </c>
      <c r="B7290" s="223" t="s">
        <v>12536</v>
      </c>
      <c r="C7290" s="221" t="s">
        <v>12538</v>
      </c>
    </row>
    <row r="7291" spans="1:3" x14ac:dyDescent="0.25">
      <c r="A7291" s="222">
        <v>700027</v>
      </c>
      <c r="B7291" s="223" t="s">
        <v>12539</v>
      </c>
      <c r="C7291" s="221" t="s">
        <v>12540</v>
      </c>
    </row>
    <row r="7292" spans="1:3" x14ac:dyDescent="0.25">
      <c r="A7292" s="222">
        <v>700027</v>
      </c>
      <c r="B7292" s="223" t="s">
        <v>12539</v>
      </c>
      <c r="C7292" s="221" t="s">
        <v>12541</v>
      </c>
    </row>
    <row r="7293" spans="1:3" x14ac:dyDescent="0.25">
      <c r="A7293" s="222">
        <v>700028</v>
      </c>
      <c r="B7293" s="223" t="s">
        <v>12542</v>
      </c>
      <c r="C7293" s="221" t="s">
        <v>12543</v>
      </c>
    </row>
    <row r="7294" spans="1:3" x14ac:dyDescent="0.25">
      <c r="A7294" s="222">
        <v>700028</v>
      </c>
      <c r="B7294" s="223" t="s">
        <v>12542</v>
      </c>
      <c r="C7294" s="221" t="s">
        <v>12544</v>
      </c>
    </row>
    <row r="7295" spans="1:3" x14ac:dyDescent="0.25">
      <c r="A7295" s="222">
        <v>700029</v>
      </c>
      <c r="B7295" s="223" t="s">
        <v>12545</v>
      </c>
      <c r="C7295" s="221" t="s">
        <v>12546</v>
      </c>
    </row>
    <row r="7296" spans="1:3" x14ac:dyDescent="0.25">
      <c r="A7296" s="222">
        <v>700029</v>
      </c>
      <c r="B7296" s="223" t="s">
        <v>12545</v>
      </c>
      <c r="C7296" s="221" t="s">
        <v>12547</v>
      </c>
    </row>
    <row r="7297" spans="1:3" x14ac:dyDescent="0.25">
      <c r="A7297" s="222">
        <v>700030</v>
      </c>
      <c r="B7297" s="223" t="s">
        <v>12548</v>
      </c>
      <c r="C7297" s="221" t="s">
        <v>12549</v>
      </c>
    </row>
    <row r="7298" spans="1:3" x14ac:dyDescent="0.25">
      <c r="A7298" s="222">
        <v>700030</v>
      </c>
      <c r="B7298" s="223" t="s">
        <v>12548</v>
      </c>
      <c r="C7298" s="221" t="s">
        <v>12550</v>
      </c>
    </row>
    <row r="7299" spans="1:3" x14ac:dyDescent="0.25">
      <c r="A7299" s="222">
        <v>700031</v>
      </c>
      <c r="B7299" s="223" t="s">
        <v>12551</v>
      </c>
      <c r="C7299" s="221" t="s">
        <v>12552</v>
      </c>
    </row>
    <row r="7300" spans="1:3" x14ac:dyDescent="0.25">
      <c r="A7300" s="222">
        <v>700031</v>
      </c>
      <c r="B7300" s="223" t="s">
        <v>12551</v>
      </c>
      <c r="C7300" s="221" t="s">
        <v>12553</v>
      </c>
    </row>
    <row r="7301" spans="1:3" x14ac:dyDescent="0.25">
      <c r="A7301" s="222">
        <v>700032</v>
      </c>
      <c r="B7301" s="223" t="s">
        <v>12554</v>
      </c>
      <c r="C7301" s="221" t="s">
        <v>12555</v>
      </c>
    </row>
    <row r="7302" spans="1:3" x14ac:dyDescent="0.25">
      <c r="A7302" s="222">
        <v>700032</v>
      </c>
      <c r="B7302" s="223" t="s">
        <v>12554</v>
      </c>
      <c r="C7302" s="221" t="s">
        <v>12556</v>
      </c>
    </row>
    <row r="7303" spans="1:3" x14ac:dyDescent="0.25">
      <c r="A7303" s="222">
        <v>700033</v>
      </c>
      <c r="B7303" s="223" t="s">
        <v>12557</v>
      </c>
      <c r="C7303" s="221" t="s">
        <v>12558</v>
      </c>
    </row>
    <row r="7304" spans="1:3" x14ac:dyDescent="0.25">
      <c r="A7304" s="222">
        <v>700033</v>
      </c>
      <c r="B7304" s="223" t="s">
        <v>12557</v>
      </c>
      <c r="C7304" s="221" t="s">
        <v>12559</v>
      </c>
    </row>
    <row r="7305" spans="1:3" x14ac:dyDescent="0.25">
      <c r="A7305" s="222">
        <v>700034</v>
      </c>
      <c r="B7305" s="223" t="s">
        <v>12560</v>
      </c>
      <c r="C7305" s="221" t="s">
        <v>12561</v>
      </c>
    </row>
    <row r="7306" spans="1:3" x14ac:dyDescent="0.25">
      <c r="A7306" s="222">
        <v>700034</v>
      </c>
      <c r="B7306" s="223" t="s">
        <v>12560</v>
      </c>
      <c r="C7306" s="221" t="s">
        <v>12562</v>
      </c>
    </row>
    <row r="7307" spans="1:3" x14ac:dyDescent="0.25">
      <c r="A7307" s="222">
        <v>700035</v>
      </c>
      <c r="B7307" s="223" t="s">
        <v>12563</v>
      </c>
      <c r="C7307" s="221" t="s">
        <v>12564</v>
      </c>
    </row>
    <row r="7308" spans="1:3" x14ac:dyDescent="0.25">
      <c r="A7308" s="222">
        <v>700035</v>
      </c>
      <c r="B7308" s="223" t="s">
        <v>12563</v>
      </c>
      <c r="C7308" s="221" t="s">
        <v>12565</v>
      </c>
    </row>
    <row r="7309" spans="1:3" x14ac:dyDescent="0.25">
      <c r="A7309" s="222">
        <v>700036</v>
      </c>
      <c r="B7309" s="223" t="s">
        <v>12566</v>
      </c>
      <c r="C7309" s="221" t="s">
        <v>12567</v>
      </c>
    </row>
    <row r="7310" spans="1:3" x14ac:dyDescent="0.25">
      <c r="A7310" s="222">
        <v>700036</v>
      </c>
      <c r="B7310" s="223" t="s">
        <v>12566</v>
      </c>
      <c r="C7310" s="221" t="s">
        <v>12568</v>
      </c>
    </row>
    <row r="7311" spans="1:3" x14ac:dyDescent="0.25">
      <c r="A7311" s="222">
        <v>700037</v>
      </c>
      <c r="B7311" s="223" t="s">
        <v>12569</v>
      </c>
      <c r="C7311" s="221" t="s">
        <v>12570</v>
      </c>
    </row>
    <row r="7312" spans="1:3" x14ac:dyDescent="0.25">
      <c r="A7312" s="222">
        <v>700037</v>
      </c>
      <c r="B7312" s="223" t="s">
        <v>12569</v>
      </c>
      <c r="C7312" s="221" t="s">
        <v>12571</v>
      </c>
    </row>
    <row r="7313" spans="1:3" x14ac:dyDescent="0.25">
      <c r="A7313" s="222">
        <v>700038</v>
      </c>
      <c r="B7313" s="223" t="s">
        <v>12572</v>
      </c>
      <c r="C7313" s="221" t="s">
        <v>12573</v>
      </c>
    </row>
    <row r="7314" spans="1:3" x14ac:dyDescent="0.25">
      <c r="A7314" s="222">
        <v>700038</v>
      </c>
      <c r="B7314" s="223" t="s">
        <v>12572</v>
      </c>
      <c r="C7314" s="221" t="s">
        <v>12574</v>
      </c>
    </row>
    <row r="7315" spans="1:3" x14ac:dyDescent="0.25">
      <c r="A7315" s="222">
        <v>700039</v>
      </c>
      <c r="B7315" s="223" t="s">
        <v>12575</v>
      </c>
      <c r="C7315" s="221" t="s">
        <v>12576</v>
      </c>
    </row>
    <row r="7316" spans="1:3" x14ac:dyDescent="0.25">
      <c r="A7316" s="222">
        <v>700039</v>
      </c>
      <c r="B7316" s="223" t="s">
        <v>12575</v>
      </c>
      <c r="C7316" s="221" t="s">
        <v>12577</v>
      </c>
    </row>
    <row r="7317" spans="1:3" x14ac:dyDescent="0.25">
      <c r="A7317" s="222">
        <v>700040</v>
      </c>
      <c r="B7317" s="223" t="s">
        <v>12578</v>
      </c>
      <c r="C7317" s="221" t="s">
        <v>12579</v>
      </c>
    </row>
    <row r="7318" spans="1:3" x14ac:dyDescent="0.25">
      <c r="A7318" s="222">
        <v>700040</v>
      </c>
      <c r="B7318" s="223" t="s">
        <v>12578</v>
      </c>
      <c r="C7318" s="221" t="s">
        <v>12580</v>
      </c>
    </row>
    <row r="7319" spans="1:3" x14ac:dyDescent="0.25">
      <c r="A7319" s="222">
        <v>700041</v>
      </c>
      <c r="B7319" s="223" t="s">
        <v>12581</v>
      </c>
      <c r="C7319" s="221" t="s">
        <v>12582</v>
      </c>
    </row>
    <row r="7320" spans="1:3" x14ac:dyDescent="0.25">
      <c r="A7320" s="222">
        <v>700041</v>
      </c>
      <c r="B7320" s="223" t="s">
        <v>12581</v>
      </c>
      <c r="C7320" s="221" t="s">
        <v>12583</v>
      </c>
    </row>
    <row r="7321" spans="1:3" x14ac:dyDescent="0.25">
      <c r="A7321" s="222">
        <v>700042</v>
      </c>
      <c r="B7321" s="223" t="s">
        <v>12584</v>
      </c>
      <c r="C7321" s="221" t="s">
        <v>12585</v>
      </c>
    </row>
    <row r="7322" spans="1:3" x14ac:dyDescent="0.25">
      <c r="A7322" s="222">
        <v>700042</v>
      </c>
      <c r="B7322" s="223" t="s">
        <v>12584</v>
      </c>
      <c r="C7322" s="221" t="s">
        <v>12586</v>
      </c>
    </row>
    <row r="7323" spans="1:3" x14ac:dyDescent="0.25">
      <c r="A7323" s="222">
        <v>700043</v>
      </c>
      <c r="B7323" s="223" t="s">
        <v>12587</v>
      </c>
      <c r="C7323" s="221" t="s">
        <v>12588</v>
      </c>
    </row>
    <row r="7324" spans="1:3" x14ac:dyDescent="0.25">
      <c r="A7324" s="222">
        <v>700043</v>
      </c>
      <c r="B7324" s="223" t="s">
        <v>12587</v>
      </c>
      <c r="C7324" s="221" t="s">
        <v>12589</v>
      </c>
    </row>
    <row r="7325" spans="1:3" x14ac:dyDescent="0.25">
      <c r="A7325" s="222">
        <v>700044</v>
      </c>
      <c r="B7325" s="223" t="s">
        <v>12590</v>
      </c>
      <c r="C7325" s="221" t="s">
        <v>12591</v>
      </c>
    </row>
    <row r="7326" spans="1:3" x14ac:dyDescent="0.25">
      <c r="A7326" s="222">
        <v>700044</v>
      </c>
      <c r="B7326" s="223" t="s">
        <v>12590</v>
      </c>
      <c r="C7326" s="221" t="s">
        <v>12592</v>
      </c>
    </row>
    <row r="7327" spans="1:3" x14ac:dyDescent="0.25">
      <c r="A7327" s="222">
        <v>700045</v>
      </c>
      <c r="B7327" s="223" t="s">
        <v>12593</v>
      </c>
      <c r="C7327" s="221" t="s">
        <v>12594</v>
      </c>
    </row>
    <row r="7328" spans="1:3" x14ac:dyDescent="0.25">
      <c r="A7328" s="222">
        <v>700045</v>
      </c>
      <c r="B7328" s="223" t="s">
        <v>12593</v>
      </c>
      <c r="C7328" s="221" t="s">
        <v>12595</v>
      </c>
    </row>
    <row r="7329" spans="1:3" x14ac:dyDescent="0.25">
      <c r="A7329" s="222">
        <v>700046</v>
      </c>
      <c r="B7329" s="223" t="s">
        <v>12596</v>
      </c>
      <c r="C7329" s="221" t="s">
        <v>12597</v>
      </c>
    </row>
    <row r="7330" spans="1:3" x14ac:dyDescent="0.25">
      <c r="A7330" s="222">
        <v>700046</v>
      </c>
      <c r="B7330" s="223" t="s">
        <v>12596</v>
      </c>
      <c r="C7330" s="221" t="s">
        <v>12598</v>
      </c>
    </row>
    <row r="7331" spans="1:3" x14ac:dyDescent="0.25">
      <c r="A7331" s="222">
        <v>700047</v>
      </c>
      <c r="B7331" s="223" t="s">
        <v>12599</v>
      </c>
      <c r="C7331" s="221" t="s">
        <v>12600</v>
      </c>
    </row>
    <row r="7332" spans="1:3" x14ac:dyDescent="0.25">
      <c r="A7332" s="222">
        <v>700047</v>
      </c>
      <c r="B7332" s="223" t="s">
        <v>12599</v>
      </c>
      <c r="C7332" s="221" t="s">
        <v>12601</v>
      </c>
    </row>
    <row r="7333" spans="1:3" x14ac:dyDescent="0.25">
      <c r="A7333" s="222">
        <v>700048</v>
      </c>
      <c r="B7333" s="223" t="s">
        <v>12602</v>
      </c>
      <c r="C7333" s="221" t="s">
        <v>12603</v>
      </c>
    </row>
    <row r="7334" spans="1:3" x14ac:dyDescent="0.25">
      <c r="A7334" s="222">
        <v>700048</v>
      </c>
      <c r="B7334" s="223" t="s">
        <v>12602</v>
      </c>
      <c r="C7334" s="221" t="s">
        <v>12604</v>
      </c>
    </row>
    <row r="7335" spans="1:3" x14ac:dyDescent="0.25">
      <c r="A7335" s="222">
        <v>700049</v>
      </c>
      <c r="B7335" s="223" t="s">
        <v>12605</v>
      </c>
      <c r="C7335" s="221" t="s">
        <v>12606</v>
      </c>
    </row>
    <row r="7336" spans="1:3" x14ac:dyDescent="0.25">
      <c r="A7336" s="222">
        <v>700049</v>
      </c>
      <c r="B7336" s="223" t="s">
        <v>12605</v>
      </c>
      <c r="C7336" s="221" t="s">
        <v>12607</v>
      </c>
    </row>
    <row r="7337" spans="1:3" x14ac:dyDescent="0.25">
      <c r="A7337" s="222">
        <v>700050</v>
      </c>
      <c r="B7337" s="223" t="s">
        <v>12608</v>
      </c>
      <c r="C7337" s="221" t="s">
        <v>12609</v>
      </c>
    </row>
    <row r="7338" spans="1:3" x14ac:dyDescent="0.25">
      <c r="A7338" s="222">
        <v>700050</v>
      </c>
      <c r="B7338" s="223" t="s">
        <v>12608</v>
      </c>
      <c r="C7338" s="221" t="s">
        <v>12610</v>
      </c>
    </row>
    <row r="7339" spans="1:3" x14ac:dyDescent="0.25">
      <c r="A7339" s="222">
        <v>700051</v>
      </c>
      <c r="B7339" s="223" t="s">
        <v>12611</v>
      </c>
      <c r="C7339" s="221" t="s">
        <v>12612</v>
      </c>
    </row>
    <row r="7340" spans="1:3" x14ac:dyDescent="0.25">
      <c r="A7340" s="222">
        <v>700051</v>
      </c>
      <c r="B7340" s="223" t="s">
        <v>12611</v>
      </c>
      <c r="C7340" s="221" t="s">
        <v>12613</v>
      </c>
    </row>
    <row r="7341" spans="1:3" x14ac:dyDescent="0.25">
      <c r="A7341" s="222">
        <v>700052</v>
      </c>
      <c r="B7341" s="223" t="s">
        <v>12614</v>
      </c>
      <c r="C7341" s="221" t="s">
        <v>12615</v>
      </c>
    </row>
    <row r="7342" spans="1:3" x14ac:dyDescent="0.25">
      <c r="A7342" s="222">
        <v>700052</v>
      </c>
      <c r="B7342" s="223" t="s">
        <v>12614</v>
      </c>
      <c r="C7342" s="221" t="s">
        <v>12616</v>
      </c>
    </row>
    <row r="7343" spans="1:3" x14ac:dyDescent="0.25">
      <c r="A7343" s="222">
        <v>700053</v>
      </c>
      <c r="B7343" s="223" t="s">
        <v>12617</v>
      </c>
      <c r="C7343" s="221" t="s">
        <v>12618</v>
      </c>
    </row>
    <row r="7344" spans="1:3" x14ac:dyDescent="0.25">
      <c r="A7344" s="222">
        <v>700053</v>
      </c>
      <c r="B7344" s="223" t="s">
        <v>12617</v>
      </c>
      <c r="C7344" s="221" t="s">
        <v>12619</v>
      </c>
    </row>
    <row r="7345" spans="1:3" x14ac:dyDescent="0.25">
      <c r="A7345" s="222">
        <v>700054</v>
      </c>
      <c r="B7345" s="223" t="s">
        <v>12620</v>
      </c>
      <c r="C7345" s="221" t="s">
        <v>12621</v>
      </c>
    </row>
    <row r="7346" spans="1:3" x14ac:dyDescent="0.25">
      <c r="A7346" s="222">
        <v>700054</v>
      </c>
      <c r="B7346" s="223" t="s">
        <v>12620</v>
      </c>
      <c r="C7346" s="221" t="s">
        <v>12622</v>
      </c>
    </row>
    <row r="7347" spans="1:3" x14ac:dyDescent="0.25">
      <c r="A7347" s="222">
        <v>700055</v>
      </c>
      <c r="B7347" s="223" t="s">
        <v>12623</v>
      </c>
      <c r="C7347" s="221" t="s">
        <v>12624</v>
      </c>
    </row>
    <row r="7348" spans="1:3" x14ac:dyDescent="0.25">
      <c r="A7348" s="222">
        <v>700055</v>
      </c>
      <c r="B7348" s="223" t="s">
        <v>12623</v>
      </c>
      <c r="C7348" s="221" t="s">
        <v>12625</v>
      </c>
    </row>
    <row r="7349" spans="1:3" x14ac:dyDescent="0.25">
      <c r="A7349" s="222">
        <v>700056</v>
      </c>
      <c r="B7349" s="223" t="s">
        <v>12626</v>
      </c>
      <c r="C7349" s="221" t="s">
        <v>12627</v>
      </c>
    </row>
    <row r="7350" spans="1:3" x14ac:dyDescent="0.25">
      <c r="A7350" s="222">
        <v>700056</v>
      </c>
      <c r="B7350" s="223" t="s">
        <v>12626</v>
      </c>
      <c r="C7350" s="221" t="s">
        <v>12628</v>
      </c>
    </row>
    <row r="7351" spans="1:3" x14ac:dyDescent="0.25">
      <c r="A7351" s="222">
        <v>700057</v>
      </c>
      <c r="B7351" s="223" t="s">
        <v>12629</v>
      </c>
      <c r="C7351" s="221" t="s">
        <v>12630</v>
      </c>
    </row>
    <row r="7352" spans="1:3" x14ac:dyDescent="0.25">
      <c r="A7352" s="222">
        <v>700057</v>
      </c>
      <c r="B7352" s="223" t="s">
        <v>12629</v>
      </c>
      <c r="C7352" s="221" t="s">
        <v>12631</v>
      </c>
    </row>
    <row r="7353" spans="1:3" x14ac:dyDescent="0.25">
      <c r="A7353" s="222">
        <v>700058</v>
      </c>
      <c r="B7353" s="223" t="s">
        <v>12632</v>
      </c>
      <c r="C7353" s="221" t="s">
        <v>12633</v>
      </c>
    </row>
    <row r="7354" spans="1:3" x14ac:dyDescent="0.25">
      <c r="A7354" s="222">
        <v>700058</v>
      </c>
      <c r="B7354" s="223" t="s">
        <v>12632</v>
      </c>
      <c r="C7354" s="221" t="s">
        <v>12634</v>
      </c>
    </row>
    <row r="7355" spans="1:3" x14ac:dyDescent="0.25">
      <c r="A7355" s="222">
        <v>700059</v>
      </c>
      <c r="B7355" s="223" t="s">
        <v>12635</v>
      </c>
      <c r="C7355" s="221" t="s">
        <v>12636</v>
      </c>
    </row>
    <row r="7356" spans="1:3" x14ac:dyDescent="0.25">
      <c r="A7356" s="222">
        <v>700059</v>
      </c>
      <c r="B7356" s="223" t="s">
        <v>12635</v>
      </c>
      <c r="C7356" s="221" t="s">
        <v>12637</v>
      </c>
    </row>
    <row r="7357" spans="1:3" x14ac:dyDescent="0.25">
      <c r="A7357" s="222">
        <v>700060</v>
      </c>
      <c r="B7357" s="223" t="s">
        <v>12638</v>
      </c>
      <c r="C7357" s="221" t="s">
        <v>12639</v>
      </c>
    </row>
    <row r="7358" spans="1:3" x14ac:dyDescent="0.25">
      <c r="A7358" s="222">
        <v>700060</v>
      </c>
      <c r="B7358" s="223" t="s">
        <v>12638</v>
      </c>
      <c r="C7358" s="221" t="s">
        <v>12640</v>
      </c>
    </row>
    <row r="7359" spans="1:3" x14ac:dyDescent="0.25">
      <c r="A7359" s="222">
        <v>700061</v>
      </c>
      <c r="B7359" s="223" t="s">
        <v>12641</v>
      </c>
      <c r="C7359" s="221" t="s">
        <v>12642</v>
      </c>
    </row>
    <row r="7360" spans="1:3" x14ac:dyDescent="0.25">
      <c r="A7360" s="222">
        <v>700061</v>
      </c>
      <c r="B7360" s="223" t="s">
        <v>12641</v>
      </c>
      <c r="C7360" s="221" t="s">
        <v>12643</v>
      </c>
    </row>
    <row r="7361" spans="1:3" x14ac:dyDescent="0.25">
      <c r="A7361" s="222">
        <v>700062</v>
      </c>
      <c r="B7361" s="223" t="s">
        <v>12644</v>
      </c>
      <c r="C7361" s="221" t="s">
        <v>12645</v>
      </c>
    </row>
    <row r="7362" spans="1:3" x14ac:dyDescent="0.25">
      <c r="A7362" s="222">
        <v>700062</v>
      </c>
      <c r="B7362" s="223" t="s">
        <v>12644</v>
      </c>
      <c r="C7362" s="221" t="s">
        <v>12646</v>
      </c>
    </row>
    <row r="7363" spans="1:3" x14ac:dyDescent="0.25">
      <c r="A7363" s="222">
        <v>700063</v>
      </c>
      <c r="B7363" s="223" t="s">
        <v>12647</v>
      </c>
      <c r="C7363" s="221" t="s">
        <v>12648</v>
      </c>
    </row>
    <row r="7364" spans="1:3" x14ac:dyDescent="0.25">
      <c r="A7364" s="222">
        <v>700063</v>
      </c>
      <c r="B7364" s="223" t="s">
        <v>12647</v>
      </c>
      <c r="C7364" s="221" t="s">
        <v>12649</v>
      </c>
    </row>
    <row r="7365" spans="1:3" x14ac:dyDescent="0.25">
      <c r="A7365" s="222">
        <v>700064</v>
      </c>
      <c r="B7365" s="223" t="s">
        <v>12650</v>
      </c>
      <c r="C7365" s="221" t="s">
        <v>12651</v>
      </c>
    </row>
    <row r="7366" spans="1:3" x14ac:dyDescent="0.25">
      <c r="A7366" s="222">
        <v>700064</v>
      </c>
      <c r="B7366" s="223" t="s">
        <v>12650</v>
      </c>
      <c r="C7366" s="221" t="s">
        <v>12652</v>
      </c>
    </row>
    <row r="7367" spans="1:3" x14ac:dyDescent="0.25">
      <c r="A7367" s="222">
        <v>700065</v>
      </c>
      <c r="B7367" s="223" t="s">
        <v>12653</v>
      </c>
      <c r="C7367" s="221" t="s">
        <v>12654</v>
      </c>
    </row>
    <row r="7368" spans="1:3" x14ac:dyDescent="0.25">
      <c r="A7368" s="222">
        <v>700065</v>
      </c>
      <c r="B7368" s="223" t="s">
        <v>12653</v>
      </c>
      <c r="C7368" s="221" t="s">
        <v>12655</v>
      </c>
    </row>
    <row r="7369" spans="1:3" x14ac:dyDescent="0.25">
      <c r="A7369" s="222">
        <v>700066</v>
      </c>
      <c r="B7369" s="223" t="s">
        <v>12656</v>
      </c>
      <c r="C7369" s="221" t="s">
        <v>12657</v>
      </c>
    </row>
    <row r="7370" spans="1:3" x14ac:dyDescent="0.25">
      <c r="A7370" s="222">
        <v>700066</v>
      </c>
      <c r="B7370" s="223" t="s">
        <v>12656</v>
      </c>
      <c r="C7370" s="221" t="s">
        <v>12658</v>
      </c>
    </row>
    <row r="7371" spans="1:3" x14ac:dyDescent="0.25">
      <c r="A7371" s="222">
        <v>700067</v>
      </c>
      <c r="B7371" s="223" t="s">
        <v>12659</v>
      </c>
      <c r="C7371" s="221" t="s">
        <v>12660</v>
      </c>
    </row>
    <row r="7372" spans="1:3" x14ac:dyDescent="0.25">
      <c r="A7372" s="222">
        <v>700067</v>
      </c>
      <c r="B7372" s="223" t="s">
        <v>12659</v>
      </c>
      <c r="C7372" s="221" t="s">
        <v>12661</v>
      </c>
    </row>
    <row r="7373" spans="1:3" x14ac:dyDescent="0.25">
      <c r="A7373" s="222">
        <v>700068</v>
      </c>
      <c r="B7373" s="223" t="s">
        <v>12662</v>
      </c>
      <c r="C7373" s="221" t="s">
        <v>12663</v>
      </c>
    </row>
    <row r="7374" spans="1:3" x14ac:dyDescent="0.25">
      <c r="A7374" s="222">
        <v>700068</v>
      </c>
      <c r="B7374" s="223" t="s">
        <v>12662</v>
      </c>
      <c r="C7374" s="221" t="s">
        <v>12664</v>
      </c>
    </row>
    <row r="7375" spans="1:3" x14ac:dyDescent="0.25">
      <c r="A7375" s="222">
        <v>700069</v>
      </c>
      <c r="B7375" s="223" t="s">
        <v>12665</v>
      </c>
      <c r="C7375" s="221" t="s">
        <v>12666</v>
      </c>
    </row>
    <row r="7376" spans="1:3" x14ac:dyDescent="0.25">
      <c r="A7376" s="222">
        <v>700069</v>
      </c>
      <c r="B7376" s="223" t="s">
        <v>12665</v>
      </c>
      <c r="C7376" s="221" t="s">
        <v>12667</v>
      </c>
    </row>
    <row r="7377" spans="1:3" x14ac:dyDescent="0.25">
      <c r="A7377" s="222">
        <v>700070</v>
      </c>
      <c r="B7377" s="223" t="s">
        <v>12668</v>
      </c>
      <c r="C7377" s="221" t="s">
        <v>12669</v>
      </c>
    </row>
    <row r="7378" spans="1:3" x14ac:dyDescent="0.25">
      <c r="A7378" s="222">
        <v>700070</v>
      </c>
      <c r="B7378" s="223" t="s">
        <v>12668</v>
      </c>
      <c r="C7378" s="221" t="s">
        <v>12670</v>
      </c>
    </row>
    <row r="7379" spans="1:3" x14ac:dyDescent="0.25">
      <c r="A7379" s="222">
        <v>700071</v>
      </c>
      <c r="B7379" s="223" t="s">
        <v>12671</v>
      </c>
      <c r="C7379" s="221" t="s">
        <v>12672</v>
      </c>
    </row>
    <row r="7380" spans="1:3" x14ac:dyDescent="0.25">
      <c r="A7380" s="222">
        <v>700071</v>
      </c>
      <c r="B7380" s="223" t="s">
        <v>12671</v>
      </c>
      <c r="C7380" s="221" t="s">
        <v>12673</v>
      </c>
    </row>
    <row r="7381" spans="1:3" x14ac:dyDescent="0.25">
      <c r="A7381" s="222">
        <v>700072</v>
      </c>
      <c r="B7381" s="223" t="s">
        <v>12674</v>
      </c>
      <c r="C7381" s="221" t="s">
        <v>12675</v>
      </c>
    </row>
    <row r="7382" spans="1:3" x14ac:dyDescent="0.25">
      <c r="A7382" s="222">
        <v>700072</v>
      </c>
      <c r="B7382" s="223" t="s">
        <v>12674</v>
      </c>
      <c r="C7382" s="221" t="s">
        <v>12676</v>
      </c>
    </row>
    <row r="7383" spans="1:3" x14ac:dyDescent="0.25">
      <c r="A7383" s="222">
        <v>700073</v>
      </c>
      <c r="B7383" s="223" t="s">
        <v>12677</v>
      </c>
      <c r="C7383" s="221" t="s">
        <v>12678</v>
      </c>
    </row>
    <row r="7384" spans="1:3" x14ac:dyDescent="0.25">
      <c r="A7384" s="222">
        <v>700073</v>
      </c>
      <c r="B7384" s="223" t="s">
        <v>12677</v>
      </c>
      <c r="C7384" s="221" t="s">
        <v>12679</v>
      </c>
    </row>
    <row r="7385" spans="1:3" x14ac:dyDescent="0.25">
      <c r="A7385" s="222">
        <v>700074</v>
      </c>
      <c r="B7385" s="223" t="s">
        <v>12680</v>
      </c>
      <c r="C7385" s="221" t="s">
        <v>12681</v>
      </c>
    </row>
    <row r="7386" spans="1:3" x14ac:dyDescent="0.25">
      <c r="A7386" s="222">
        <v>700074</v>
      </c>
      <c r="B7386" s="223" t="s">
        <v>12680</v>
      </c>
      <c r="C7386" s="221" t="s">
        <v>12682</v>
      </c>
    </row>
    <row r="7387" spans="1:3" x14ac:dyDescent="0.25">
      <c r="A7387" s="222">
        <v>700075</v>
      </c>
      <c r="B7387" s="223" t="s">
        <v>12683</v>
      </c>
      <c r="C7387" s="221" t="s">
        <v>12684</v>
      </c>
    </row>
    <row r="7388" spans="1:3" x14ac:dyDescent="0.25">
      <c r="A7388" s="222">
        <v>700075</v>
      </c>
      <c r="B7388" s="223" t="s">
        <v>12683</v>
      </c>
      <c r="C7388" s="221" t="s">
        <v>12685</v>
      </c>
    </row>
    <row r="7389" spans="1:3" x14ac:dyDescent="0.25">
      <c r="A7389" s="222">
        <v>700076</v>
      </c>
      <c r="B7389" s="223" t="s">
        <v>12686</v>
      </c>
      <c r="C7389" s="221" t="s">
        <v>12687</v>
      </c>
    </row>
    <row r="7390" spans="1:3" x14ac:dyDescent="0.25">
      <c r="A7390" s="222">
        <v>700076</v>
      </c>
      <c r="B7390" s="223" t="s">
        <v>12686</v>
      </c>
      <c r="C7390" s="221" t="s">
        <v>12688</v>
      </c>
    </row>
    <row r="7391" spans="1:3" x14ac:dyDescent="0.25">
      <c r="A7391" s="222">
        <v>700077</v>
      </c>
      <c r="B7391" s="223" t="s">
        <v>12689</v>
      </c>
      <c r="C7391" s="221" t="s">
        <v>12690</v>
      </c>
    </row>
    <row r="7392" spans="1:3" x14ac:dyDescent="0.25">
      <c r="A7392" s="222">
        <v>700077</v>
      </c>
      <c r="B7392" s="223" t="s">
        <v>12689</v>
      </c>
      <c r="C7392" s="221" t="s">
        <v>12691</v>
      </c>
    </row>
    <row r="7393" spans="1:3" x14ac:dyDescent="0.25">
      <c r="A7393" s="222">
        <v>700078</v>
      </c>
      <c r="B7393" s="223" t="s">
        <v>12692</v>
      </c>
      <c r="C7393" s="221" t="s">
        <v>12693</v>
      </c>
    </row>
    <row r="7394" spans="1:3" x14ac:dyDescent="0.25">
      <c r="A7394" s="222">
        <v>700078</v>
      </c>
      <c r="B7394" s="223" t="s">
        <v>12692</v>
      </c>
      <c r="C7394" s="221" t="s">
        <v>12694</v>
      </c>
    </row>
    <row r="7395" spans="1:3" x14ac:dyDescent="0.25">
      <c r="A7395" s="222">
        <v>700079</v>
      </c>
      <c r="B7395" s="223" t="s">
        <v>12695</v>
      </c>
      <c r="C7395" s="221" t="s">
        <v>12696</v>
      </c>
    </row>
    <row r="7396" spans="1:3" x14ac:dyDescent="0.25">
      <c r="A7396" s="222">
        <v>700079</v>
      </c>
      <c r="B7396" s="223" t="s">
        <v>12695</v>
      </c>
      <c r="C7396" s="221" t="s">
        <v>12697</v>
      </c>
    </row>
    <row r="7397" spans="1:3" x14ac:dyDescent="0.25">
      <c r="A7397" s="222">
        <v>700080</v>
      </c>
      <c r="B7397" s="223" t="s">
        <v>12698</v>
      </c>
      <c r="C7397" s="221" t="s">
        <v>12699</v>
      </c>
    </row>
    <row r="7398" spans="1:3" x14ac:dyDescent="0.25">
      <c r="A7398" s="222">
        <v>700080</v>
      </c>
      <c r="B7398" s="223" t="s">
        <v>12698</v>
      </c>
      <c r="C7398" s="221" t="s">
        <v>12700</v>
      </c>
    </row>
    <row r="7399" spans="1:3" x14ac:dyDescent="0.25">
      <c r="A7399" s="222">
        <v>700081</v>
      </c>
      <c r="B7399" s="223" t="s">
        <v>12701</v>
      </c>
      <c r="C7399" s="221" t="s">
        <v>12702</v>
      </c>
    </row>
    <row r="7400" spans="1:3" x14ac:dyDescent="0.25">
      <c r="A7400" s="222">
        <v>700081</v>
      </c>
      <c r="B7400" s="223" t="s">
        <v>12701</v>
      </c>
      <c r="C7400" s="221" t="s">
        <v>12703</v>
      </c>
    </row>
    <row r="7401" spans="1:3" x14ac:dyDescent="0.25">
      <c r="A7401" s="222">
        <v>700082</v>
      </c>
      <c r="B7401" s="223" t="s">
        <v>12704</v>
      </c>
      <c r="C7401" s="221" t="s">
        <v>12705</v>
      </c>
    </row>
    <row r="7402" spans="1:3" x14ac:dyDescent="0.25">
      <c r="A7402" s="222">
        <v>700082</v>
      </c>
      <c r="B7402" s="223" t="s">
        <v>12704</v>
      </c>
      <c r="C7402" s="221" t="s">
        <v>12706</v>
      </c>
    </row>
    <row r="7403" spans="1:3" x14ac:dyDescent="0.25">
      <c r="A7403" s="222">
        <v>700083</v>
      </c>
      <c r="B7403" s="223" t="s">
        <v>12707</v>
      </c>
      <c r="C7403" s="221" t="s">
        <v>12708</v>
      </c>
    </row>
    <row r="7404" spans="1:3" x14ac:dyDescent="0.25">
      <c r="A7404" s="222">
        <v>700083</v>
      </c>
      <c r="B7404" s="223" t="s">
        <v>12707</v>
      </c>
      <c r="C7404" s="221" t="s">
        <v>12709</v>
      </c>
    </row>
    <row r="7405" spans="1:3" x14ac:dyDescent="0.25">
      <c r="A7405" s="222">
        <v>700084</v>
      </c>
      <c r="B7405" s="223" t="s">
        <v>12710</v>
      </c>
      <c r="C7405" s="221" t="s">
        <v>12711</v>
      </c>
    </row>
    <row r="7406" spans="1:3" x14ac:dyDescent="0.25">
      <c r="A7406" s="222">
        <v>700084</v>
      </c>
      <c r="B7406" s="223" t="s">
        <v>12710</v>
      </c>
      <c r="C7406" s="221" t="s">
        <v>12712</v>
      </c>
    </row>
    <row r="7407" spans="1:3" x14ac:dyDescent="0.25">
      <c r="A7407" s="222">
        <v>700085</v>
      </c>
      <c r="B7407" s="223" t="s">
        <v>12713</v>
      </c>
      <c r="C7407" s="221" t="s">
        <v>12714</v>
      </c>
    </row>
    <row r="7408" spans="1:3" x14ac:dyDescent="0.25">
      <c r="A7408" s="222">
        <v>700085</v>
      </c>
      <c r="B7408" s="223" t="s">
        <v>12713</v>
      </c>
      <c r="C7408" s="221" t="s">
        <v>12715</v>
      </c>
    </row>
    <row r="7409" spans="1:3" x14ac:dyDescent="0.25">
      <c r="A7409" s="222">
        <v>700086</v>
      </c>
      <c r="B7409" s="223" t="s">
        <v>12716</v>
      </c>
      <c r="C7409" s="221" t="s">
        <v>12717</v>
      </c>
    </row>
    <row r="7410" spans="1:3" x14ac:dyDescent="0.25">
      <c r="A7410" s="222">
        <v>700086</v>
      </c>
      <c r="B7410" s="223" t="s">
        <v>12716</v>
      </c>
      <c r="C7410" s="221" t="s">
        <v>12718</v>
      </c>
    </row>
    <row r="7411" spans="1:3" x14ac:dyDescent="0.25">
      <c r="A7411" s="222">
        <v>700087</v>
      </c>
      <c r="B7411" s="223" t="s">
        <v>12719</v>
      </c>
      <c r="C7411" s="221" t="s">
        <v>12720</v>
      </c>
    </row>
    <row r="7412" spans="1:3" x14ac:dyDescent="0.25">
      <c r="A7412" s="222">
        <v>700087</v>
      </c>
      <c r="B7412" s="223" t="s">
        <v>12719</v>
      </c>
      <c r="C7412" s="221" t="s">
        <v>12721</v>
      </c>
    </row>
    <row r="7413" spans="1:3" x14ac:dyDescent="0.25">
      <c r="A7413" s="222">
        <v>700088</v>
      </c>
      <c r="B7413" s="223" t="s">
        <v>12722</v>
      </c>
      <c r="C7413" s="221" t="s">
        <v>12723</v>
      </c>
    </row>
    <row r="7414" spans="1:3" x14ac:dyDescent="0.25">
      <c r="A7414" s="222">
        <v>700088</v>
      </c>
      <c r="B7414" s="223" t="s">
        <v>12722</v>
      </c>
      <c r="C7414" s="221" t="s">
        <v>12724</v>
      </c>
    </row>
    <row r="7415" spans="1:3" x14ac:dyDescent="0.25">
      <c r="A7415" s="222">
        <v>700089</v>
      </c>
      <c r="B7415" s="223" t="s">
        <v>12725</v>
      </c>
      <c r="C7415" s="221" t="s">
        <v>12726</v>
      </c>
    </row>
    <row r="7416" spans="1:3" x14ac:dyDescent="0.25">
      <c r="A7416" s="222">
        <v>700089</v>
      </c>
      <c r="B7416" s="223" t="s">
        <v>12725</v>
      </c>
      <c r="C7416" s="221" t="s">
        <v>12727</v>
      </c>
    </row>
    <row r="7417" spans="1:3" x14ac:dyDescent="0.25">
      <c r="A7417" s="222">
        <v>700090</v>
      </c>
      <c r="B7417" s="223" t="s">
        <v>12728</v>
      </c>
      <c r="C7417" s="221" t="s">
        <v>12729</v>
      </c>
    </row>
    <row r="7418" spans="1:3" x14ac:dyDescent="0.25">
      <c r="A7418" s="222">
        <v>700090</v>
      </c>
      <c r="B7418" s="223" t="s">
        <v>12728</v>
      </c>
      <c r="C7418" s="221" t="s">
        <v>12730</v>
      </c>
    </row>
    <row r="7419" spans="1:3" x14ac:dyDescent="0.25">
      <c r="A7419" s="222">
        <v>700091</v>
      </c>
      <c r="B7419" s="223" t="s">
        <v>12731</v>
      </c>
      <c r="C7419" s="221" t="s">
        <v>12732</v>
      </c>
    </row>
    <row r="7420" spans="1:3" x14ac:dyDescent="0.25">
      <c r="A7420" s="222">
        <v>700091</v>
      </c>
      <c r="B7420" s="223" t="s">
        <v>12731</v>
      </c>
      <c r="C7420" s="221" t="s">
        <v>12733</v>
      </c>
    </row>
    <row r="7421" spans="1:3" x14ac:dyDescent="0.25">
      <c r="A7421" s="222">
        <v>700092</v>
      </c>
      <c r="B7421" s="223" t="s">
        <v>12734</v>
      </c>
      <c r="C7421" s="221" t="s">
        <v>12735</v>
      </c>
    </row>
    <row r="7422" spans="1:3" x14ac:dyDescent="0.25">
      <c r="A7422" s="222">
        <v>700092</v>
      </c>
      <c r="B7422" s="223" t="s">
        <v>12734</v>
      </c>
      <c r="C7422" s="221" t="s">
        <v>12736</v>
      </c>
    </row>
    <row r="7423" spans="1:3" x14ac:dyDescent="0.25">
      <c r="A7423" s="222">
        <v>700093</v>
      </c>
      <c r="B7423" s="223" t="s">
        <v>12737</v>
      </c>
      <c r="C7423" s="221" t="s">
        <v>12738</v>
      </c>
    </row>
    <row r="7424" spans="1:3" x14ac:dyDescent="0.25">
      <c r="A7424" s="222">
        <v>700093</v>
      </c>
      <c r="B7424" s="223" t="s">
        <v>12737</v>
      </c>
      <c r="C7424" s="221" t="s">
        <v>12739</v>
      </c>
    </row>
    <row r="7425" spans="1:3" x14ac:dyDescent="0.25">
      <c r="A7425" s="222">
        <v>700094</v>
      </c>
      <c r="B7425" s="223" t="s">
        <v>12740</v>
      </c>
      <c r="C7425" s="221" t="s">
        <v>12741</v>
      </c>
    </row>
    <row r="7426" spans="1:3" x14ac:dyDescent="0.25">
      <c r="A7426" s="222">
        <v>700094</v>
      </c>
      <c r="B7426" s="223" t="s">
        <v>12740</v>
      </c>
      <c r="C7426" s="221" t="s">
        <v>12742</v>
      </c>
    </row>
    <row r="7427" spans="1:3" x14ac:dyDescent="0.25">
      <c r="A7427" s="222">
        <v>700095</v>
      </c>
      <c r="B7427" s="223" t="s">
        <v>12743</v>
      </c>
      <c r="C7427" s="221" t="s">
        <v>12744</v>
      </c>
    </row>
    <row r="7428" spans="1:3" x14ac:dyDescent="0.25">
      <c r="A7428" s="222">
        <v>700095</v>
      </c>
      <c r="B7428" s="223" t="s">
        <v>12743</v>
      </c>
      <c r="C7428" s="221" t="s">
        <v>12745</v>
      </c>
    </row>
    <row r="7429" spans="1:3" x14ac:dyDescent="0.25">
      <c r="A7429" s="222">
        <v>700096</v>
      </c>
      <c r="B7429" s="223" t="s">
        <v>12746</v>
      </c>
      <c r="C7429" s="221" t="s">
        <v>12747</v>
      </c>
    </row>
    <row r="7430" spans="1:3" x14ac:dyDescent="0.25">
      <c r="A7430" s="222">
        <v>700096</v>
      </c>
      <c r="B7430" s="223" t="s">
        <v>12746</v>
      </c>
      <c r="C7430" s="221" t="s">
        <v>12748</v>
      </c>
    </row>
    <row r="7431" spans="1:3" x14ac:dyDescent="0.25">
      <c r="A7431" s="222">
        <v>700097</v>
      </c>
      <c r="B7431" s="223" t="s">
        <v>12749</v>
      </c>
      <c r="C7431" s="221" t="s">
        <v>12750</v>
      </c>
    </row>
    <row r="7432" spans="1:3" x14ac:dyDescent="0.25">
      <c r="A7432" s="222">
        <v>700097</v>
      </c>
      <c r="B7432" s="223" t="s">
        <v>12749</v>
      </c>
      <c r="C7432" s="221" t="s">
        <v>12751</v>
      </c>
    </row>
    <row r="7433" spans="1:3" x14ac:dyDescent="0.25">
      <c r="A7433" s="222">
        <v>700098</v>
      </c>
      <c r="B7433" s="223" t="s">
        <v>12752</v>
      </c>
      <c r="C7433" s="221" t="s">
        <v>12753</v>
      </c>
    </row>
    <row r="7434" spans="1:3" x14ac:dyDescent="0.25">
      <c r="A7434" s="222">
        <v>700098</v>
      </c>
      <c r="B7434" s="223" t="s">
        <v>12752</v>
      </c>
      <c r="C7434" s="221" t="s">
        <v>12754</v>
      </c>
    </row>
    <row r="7435" spans="1:3" x14ac:dyDescent="0.25">
      <c r="A7435" s="222">
        <v>700099</v>
      </c>
      <c r="B7435" s="223" t="s">
        <v>12755</v>
      </c>
      <c r="C7435" s="221" t="s">
        <v>12756</v>
      </c>
    </row>
    <row r="7436" spans="1:3" x14ac:dyDescent="0.25">
      <c r="A7436" s="222">
        <v>700099</v>
      </c>
      <c r="B7436" s="223" t="s">
        <v>12755</v>
      </c>
      <c r="C7436" s="221" t="s">
        <v>12757</v>
      </c>
    </row>
    <row r="7437" spans="1:3" x14ac:dyDescent="0.25">
      <c r="A7437" s="222">
        <v>700100</v>
      </c>
      <c r="B7437" s="223" t="s">
        <v>12758</v>
      </c>
      <c r="C7437" s="221" t="s">
        <v>12759</v>
      </c>
    </row>
    <row r="7438" spans="1:3" x14ac:dyDescent="0.25">
      <c r="A7438" s="222">
        <v>700100</v>
      </c>
      <c r="B7438" s="223" t="s">
        <v>12758</v>
      </c>
      <c r="C7438" s="221" t="s">
        <v>12760</v>
      </c>
    </row>
    <row r="7439" spans="1:3" x14ac:dyDescent="0.25">
      <c r="A7439" s="222">
        <v>700101</v>
      </c>
      <c r="B7439" s="223" t="s">
        <v>12761</v>
      </c>
      <c r="C7439" s="221" t="s">
        <v>12762</v>
      </c>
    </row>
    <row r="7440" spans="1:3" x14ac:dyDescent="0.25">
      <c r="A7440" s="222">
        <v>700101</v>
      </c>
      <c r="B7440" s="223" t="s">
        <v>12761</v>
      </c>
      <c r="C7440" s="221" t="s">
        <v>12763</v>
      </c>
    </row>
    <row r="7441" spans="1:3" x14ac:dyDescent="0.25">
      <c r="A7441" s="222">
        <v>700102</v>
      </c>
      <c r="B7441" s="223" t="s">
        <v>12764</v>
      </c>
      <c r="C7441" s="221" t="s">
        <v>12765</v>
      </c>
    </row>
    <row r="7442" spans="1:3" x14ac:dyDescent="0.25">
      <c r="A7442" s="222">
        <v>700102</v>
      </c>
      <c r="B7442" s="223" t="s">
        <v>12764</v>
      </c>
      <c r="C7442" s="221" t="s">
        <v>12766</v>
      </c>
    </row>
    <row r="7443" spans="1:3" x14ac:dyDescent="0.25">
      <c r="A7443" s="222">
        <v>700103</v>
      </c>
      <c r="B7443" s="223" t="s">
        <v>12767</v>
      </c>
      <c r="C7443" s="221" t="s">
        <v>12768</v>
      </c>
    </row>
    <row r="7444" spans="1:3" x14ac:dyDescent="0.25">
      <c r="A7444" s="222">
        <v>700103</v>
      </c>
      <c r="B7444" s="223" t="s">
        <v>12767</v>
      </c>
      <c r="C7444" s="221" t="s">
        <v>12769</v>
      </c>
    </row>
    <row r="7445" spans="1:3" x14ac:dyDescent="0.25">
      <c r="A7445" s="222">
        <v>700104</v>
      </c>
      <c r="B7445" s="223" t="s">
        <v>12770</v>
      </c>
      <c r="C7445" s="221" t="s">
        <v>12771</v>
      </c>
    </row>
    <row r="7446" spans="1:3" x14ac:dyDescent="0.25">
      <c r="A7446" s="222">
        <v>700104</v>
      </c>
      <c r="B7446" s="223" t="s">
        <v>12770</v>
      </c>
      <c r="C7446" s="221" t="s">
        <v>12772</v>
      </c>
    </row>
    <row r="7447" spans="1:3" x14ac:dyDescent="0.25">
      <c r="A7447" s="222">
        <v>700105</v>
      </c>
      <c r="B7447" s="223" t="s">
        <v>12773</v>
      </c>
      <c r="C7447" s="221" t="s">
        <v>12774</v>
      </c>
    </row>
    <row r="7448" spans="1:3" x14ac:dyDescent="0.25">
      <c r="A7448" s="222">
        <v>700105</v>
      </c>
      <c r="B7448" s="223" t="s">
        <v>12773</v>
      </c>
      <c r="C7448" s="221" t="s">
        <v>12775</v>
      </c>
    </row>
    <row r="7449" spans="1:3" x14ac:dyDescent="0.25">
      <c r="A7449" s="222">
        <v>700106</v>
      </c>
      <c r="B7449" s="223" t="s">
        <v>12776</v>
      </c>
      <c r="C7449" s="221" t="s">
        <v>12777</v>
      </c>
    </row>
    <row r="7450" spans="1:3" x14ac:dyDescent="0.25">
      <c r="A7450" s="222">
        <v>700106</v>
      </c>
      <c r="B7450" s="223" t="s">
        <v>12776</v>
      </c>
      <c r="C7450" s="221" t="s">
        <v>12778</v>
      </c>
    </row>
    <row r="7451" spans="1:3" x14ac:dyDescent="0.25">
      <c r="A7451" s="222">
        <v>700187</v>
      </c>
      <c r="B7451" s="223" t="s">
        <v>12779</v>
      </c>
      <c r="C7451" s="221" t="s">
        <v>12780</v>
      </c>
    </row>
    <row r="7452" spans="1:3" x14ac:dyDescent="0.25">
      <c r="A7452" s="222">
        <v>700187</v>
      </c>
      <c r="B7452" s="223" t="s">
        <v>12779</v>
      </c>
      <c r="C7452" s="221" t="s">
        <v>12781</v>
      </c>
    </row>
    <row r="7453" spans="1:3" x14ac:dyDescent="0.25">
      <c r="A7453" s="222">
        <v>700188</v>
      </c>
      <c r="B7453" s="223" t="s">
        <v>12782</v>
      </c>
      <c r="C7453" s="221" t="s">
        <v>12783</v>
      </c>
    </row>
    <row r="7454" spans="1:3" x14ac:dyDescent="0.25">
      <c r="A7454" s="222">
        <v>700188</v>
      </c>
      <c r="B7454" s="223" t="s">
        <v>12782</v>
      </c>
      <c r="C7454" s="221" t="s">
        <v>12784</v>
      </c>
    </row>
    <row r="7455" spans="1:3" x14ac:dyDescent="0.25">
      <c r="A7455" s="222">
        <v>700189</v>
      </c>
      <c r="B7455" s="223" t="s">
        <v>12785</v>
      </c>
      <c r="C7455" s="221" t="s">
        <v>12786</v>
      </c>
    </row>
    <row r="7456" spans="1:3" x14ac:dyDescent="0.25">
      <c r="A7456" s="222">
        <v>700189</v>
      </c>
      <c r="B7456" s="223" t="s">
        <v>12785</v>
      </c>
      <c r="C7456" s="221" t="s">
        <v>12787</v>
      </c>
    </row>
    <row r="7457" spans="1:3" x14ac:dyDescent="0.25">
      <c r="A7457" s="222">
        <v>700190</v>
      </c>
      <c r="B7457" s="223" t="s">
        <v>12788</v>
      </c>
      <c r="C7457" s="221" t="s">
        <v>12789</v>
      </c>
    </row>
    <row r="7458" spans="1:3" x14ac:dyDescent="0.25">
      <c r="A7458" s="222">
        <v>700190</v>
      </c>
      <c r="B7458" s="223" t="s">
        <v>12788</v>
      </c>
      <c r="C7458" s="221" t="s">
        <v>12790</v>
      </c>
    </row>
    <row r="7459" spans="1:3" x14ac:dyDescent="0.25">
      <c r="A7459" s="222">
        <v>700191</v>
      </c>
      <c r="B7459" s="223" t="s">
        <v>12791</v>
      </c>
      <c r="C7459" s="221" t="s">
        <v>12792</v>
      </c>
    </row>
    <row r="7460" spans="1:3" x14ac:dyDescent="0.25">
      <c r="A7460" s="222">
        <v>700191</v>
      </c>
      <c r="B7460" s="223" t="s">
        <v>12791</v>
      </c>
      <c r="C7460" s="221" t="s">
        <v>12793</v>
      </c>
    </row>
    <row r="7461" spans="1:3" x14ac:dyDescent="0.25">
      <c r="A7461" s="222">
        <v>700192</v>
      </c>
      <c r="B7461" s="223" t="s">
        <v>12794</v>
      </c>
      <c r="C7461" s="221" t="s">
        <v>12795</v>
      </c>
    </row>
    <row r="7462" spans="1:3" x14ac:dyDescent="0.25">
      <c r="A7462" s="222">
        <v>700192</v>
      </c>
      <c r="B7462" s="223" t="s">
        <v>12794</v>
      </c>
      <c r="C7462" s="221" t="s">
        <v>12796</v>
      </c>
    </row>
    <row r="7463" spans="1:3" x14ac:dyDescent="0.25">
      <c r="A7463" s="222">
        <v>700193</v>
      </c>
      <c r="B7463" s="223" t="s">
        <v>12797</v>
      </c>
      <c r="C7463" s="221" t="s">
        <v>12798</v>
      </c>
    </row>
    <row r="7464" spans="1:3" x14ac:dyDescent="0.25">
      <c r="A7464" s="222">
        <v>700193</v>
      </c>
      <c r="B7464" s="223" t="s">
        <v>12797</v>
      </c>
      <c r="C7464" s="221" t="s">
        <v>12799</v>
      </c>
    </row>
    <row r="7465" spans="1:3" x14ac:dyDescent="0.25">
      <c r="A7465" s="222">
        <v>700194</v>
      </c>
      <c r="B7465" s="223" t="s">
        <v>12800</v>
      </c>
      <c r="C7465" s="221" t="s">
        <v>12801</v>
      </c>
    </row>
    <row r="7466" spans="1:3" x14ac:dyDescent="0.25">
      <c r="A7466" s="222">
        <v>700194</v>
      </c>
      <c r="B7466" s="223" t="s">
        <v>12800</v>
      </c>
      <c r="C7466" s="221" t="s">
        <v>12802</v>
      </c>
    </row>
    <row r="7467" spans="1:3" x14ac:dyDescent="0.25">
      <c r="A7467" s="222">
        <v>700195</v>
      </c>
      <c r="B7467" s="223" t="s">
        <v>12803</v>
      </c>
      <c r="C7467" s="221" t="s">
        <v>12804</v>
      </c>
    </row>
    <row r="7468" spans="1:3" x14ac:dyDescent="0.25">
      <c r="A7468" s="222">
        <v>700195</v>
      </c>
      <c r="B7468" s="223" t="s">
        <v>12803</v>
      </c>
      <c r="C7468" s="221" t="s">
        <v>12805</v>
      </c>
    </row>
    <row r="7469" spans="1:3" x14ac:dyDescent="0.25">
      <c r="A7469" s="222">
        <v>700196</v>
      </c>
      <c r="B7469" s="223" t="s">
        <v>12806</v>
      </c>
      <c r="C7469" s="221" t="s">
        <v>12807</v>
      </c>
    </row>
    <row r="7470" spans="1:3" x14ac:dyDescent="0.25">
      <c r="A7470" s="222">
        <v>700196</v>
      </c>
      <c r="B7470" s="223" t="s">
        <v>12806</v>
      </c>
      <c r="C7470" s="221" t="s">
        <v>12808</v>
      </c>
    </row>
    <row r="7471" spans="1:3" x14ac:dyDescent="0.25">
      <c r="A7471" s="222">
        <v>700197</v>
      </c>
      <c r="B7471" s="223" t="s">
        <v>12809</v>
      </c>
      <c r="C7471" s="221" t="s">
        <v>12810</v>
      </c>
    </row>
    <row r="7472" spans="1:3" x14ac:dyDescent="0.25">
      <c r="A7472" s="222">
        <v>700197</v>
      </c>
      <c r="B7472" s="223" t="s">
        <v>12809</v>
      </c>
      <c r="C7472" s="221" t="s">
        <v>12811</v>
      </c>
    </row>
    <row r="7473" spans="1:3" x14ac:dyDescent="0.25">
      <c r="A7473" s="222">
        <v>700198</v>
      </c>
      <c r="B7473" s="223" t="s">
        <v>12812</v>
      </c>
      <c r="C7473" s="221" t="s">
        <v>12813</v>
      </c>
    </row>
    <row r="7474" spans="1:3" x14ac:dyDescent="0.25">
      <c r="A7474" s="222">
        <v>700198</v>
      </c>
      <c r="B7474" s="223" t="s">
        <v>12812</v>
      </c>
      <c r="C7474" s="221" t="s">
        <v>12814</v>
      </c>
    </row>
    <row r="7475" spans="1:3" x14ac:dyDescent="0.25">
      <c r="A7475" s="222">
        <v>700199</v>
      </c>
      <c r="B7475" s="223" t="s">
        <v>12815</v>
      </c>
      <c r="C7475" s="221" t="s">
        <v>12816</v>
      </c>
    </row>
    <row r="7476" spans="1:3" x14ac:dyDescent="0.25">
      <c r="A7476" s="222">
        <v>700199</v>
      </c>
      <c r="B7476" s="223" t="s">
        <v>12815</v>
      </c>
      <c r="C7476" s="221" t="s">
        <v>12817</v>
      </c>
    </row>
    <row r="7477" spans="1:3" x14ac:dyDescent="0.25">
      <c r="A7477" s="222">
        <v>700200</v>
      </c>
      <c r="B7477" s="223" t="s">
        <v>12818</v>
      </c>
      <c r="C7477" s="221" t="s">
        <v>12819</v>
      </c>
    </row>
    <row r="7478" spans="1:3" x14ac:dyDescent="0.25">
      <c r="A7478" s="222">
        <v>700200</v>
      </c>
      <c r="B7478" s="223" t="s">
        <v>12818</v>
      </c>
      <c r="C7478" s="221" t="s">
        <v>12820</v>
      </c>
    </row>
    <row r="7479" spans="1:3" x14ac:dyDescent="0.25">
      <c r="A7479" s="222">
        <v>700201</v>
      </c>
      <c r="B7479" s="223" t="s">
        <v>12821</v>
      </c>
      <c r="C7479" s="221" t="s">
        <v>12822</v>
      </c>
    </row>
    <row r="7480" spans="1:3" x14ac:dyDescent="0.25">
      <c r="A7480" s="222">
        <v>700201</v>
      </c>
      <c r="B7480" s="223" t="s">
        <v>12821</v>
      </c>
      <c r="C7480" s="221" t="s">
        <v>12823</v>
      </c>
    </row>
    <row r="7481" spans="1:3" x14ac:dyDescent="0.25">
      <c r="A7481" s="222">
        <v>700202</v>
      </c>
      <c r="B7481" s="223" t="s">
        <v>12824</v>
      </c>
      <c r="C7481" s="221" t="s">
        <v>12825</v>
      </c>
    </row>
    <row r="7482" spans="1:3" x14ac:dyDescent="0.25">
      <c r="A7482" s="222">
        <v>700202</v>
      </c>
      <c r="B7482" s="223" t="s">
        <v>12824</v>
      </c>
      <c r="C7482" s="221" t="s">
        <v>12826</v>
      </c>
    </row>
    <row r="7483" spans="1:3" x14ac:dyDescent="0.25">
      <c r="A7483" s="222">
        <v>700203</v>
      </c>
      <c r="B7483" s="223" t="s">
        <v>12827</v>
      </c>
      <c r="C7483" s="221" t="s">
        <v>12828</v>
      </c>
    </row>
    <row r="7484" spans="1:3" x14ac:dyDescent="0.25">
      <c r="A7484" s="222">
        <v>700203</v>
      </c>
      <c r="B7484" s="223" t="s">
        <v>12827</v>
      </c>
      <c r="C7484" s="221" t="s">
        <v>12829</v>
      </c>
    </row>
    <row r="7485" spans="1:3" x14ac:dyDescent="0.25">
      <c r="A7485" s="222">
        <v>700204</v>
      </c>
      <c r="B7485" s="223" t="s">
        <v>12830</v>
      </c>
      <c r="C7485" s="221" t="s">
        <v>12831</v>
      </c>
    </row>
    <row r="7486" spans="1:3" x14ac:dyDescent="0.25">
      <c r="A7486" s="222">
        <v>700204</v>
      </c>
      <c r="B7486" s="223" t="s">
        <v>12830</v>
      </c>
      <c r="C7486" s="221" t="s">
        <v>12832</v>
      </c>
    </row>
    <row r="7487" spans="1:3" x14ac:dyDescent="0.25">
      <c r="A7487" s="222">
        <v>700205</v>
      </c>
      <c r="B7487" s="223" t="s">
        <v>12833</v>
      </c>
      <c r="C7487" s="221" t="s">
        <v>12834</v>
      </c>
    </row>
    <row r="7488" spans="1:3" x14ac:dyDescent="0.25">
      <c r="A7488" s="222">
        <v>700205</v>
      </c>
      <c r="B7488" s="223" t="s">
        <v>12833</v>
      </c>
      <c r="C7488" s="221" t="s">
        <v>12835</v>
      </c>
    </row>
    <row r="7489" spans="1:3" x14ac:dyDescent="0.25">
      <c r="A7489" s="222">
        <v>700206</v>
      </c>
      <c r="B7489" s="223" t="s">
        <v>12836</v>
      </c>
      <c r="C7489" s="221" t="s">
        <v>12837</v>
      </c>
    </row>
    <row r="7490" spans="1:3" x14ac:dyDescent="0.25">
      <c r="A7490" s="222">
        <v>700206</v>
      </c>
      <c r="B7490" s="223" t="s">
        <v>12836</v>
      </c>
      <c r="C7490" s="221" t="s">
        <v>12838</v>
      </c>
    </row>
    <row r="7491" spans="1:3" x14ac:dyDescent="0.25">
      <c r="A7491" s="222">
        <v>700207</v>
      </c>
      <c r="B7491" s="223" t="s">
        <v>12839</v>
      </c>
      <c r="C7491" s="221" t="s">
        <v>12840</v>
      </c>
    </row>
    <row r="7492" spans="1:3" x14ac:dyDescent="0.25">
      <c r="A7492" s="222">
        <v>700207</v>
      </c>
      <c r="B7492" s="223" t="s">
        <v>12839</v>
      </c>
      <c r="C7492" s="221" t="s">
        <v>12841</v>
      </c>
    </row>
    <row r="7493" spans="1:3" x14ac:dyDescent="0.25">
      <c r="A7493" s="222">
        <v>700208</v>
      </c>
      <c r="B7493" s="223" t="s">
        <v>12842</v>
      </c>
      <c r="C7493" s="221" t="s">
        <v>12843</v>
      </c>
    </row>
    <row r="7494" spans="1:3" x14ac:dyDescent="0.25">
      <c r="A7494" s="222">
        <v>700208</v>
      </c>
      <c r="B7494" s="223" t="s">
        <v>12842</v>
      </c>
      <c r="C7494" s="221" t="s">
        <v>12844</v>
      </c>
    </row>
    <row r="7495" spans="1:3" x14ac:dyDescent="0.25">
      <c r="A7495" s="222">
        <v>700209</v>
      </c>
      <c r="B7495" s="223" t="s">
        <v>12845</v>
      </c>
      <c r="C7495" s="221" t="s">
        <v>12846</v>
      </c>
    </row>
    <row r="7496" spans="1:3" x14ac:dyDescent="0.25">
      <c r="A7496" s="222">
        <v>700209</v>
      </c>
      <c r="B7496" s="223" t="s">
        <v>12845</v>
      </c>
      <c r="C7496" s="221" t="s">
        <v>12847</v>
      </c>
    </row>
    <row r="7497" spans="1:3" x14ac:dyDescent="0.25">
      <c r="A7497" s="222">
        <v>700210</v>
      </c>
      <c r="B7497" s="223" t="s">
        <v>12848</v>
      </c>
      <c r="C7497" s="221" t="s">
        <v>12849</v>
      </c>
    </row>
    <row r="7498" spans="1:3" x14ac:dyDescent="0.25">
      <c r="A7498" s="222">
        <v>700210</v>
      </c>
      <c r="B7498" s="223" t="s">
        <v>12848</v>
      </c>
      <c r="C7498" s="221" t="s">
        <v>12850</v>
      </c>
    </row>
    <row r="7499" spans="1:3" x14ac:dyDescent="0.25">
      <c r="A7499" s="222">
        <v>700211</v>
      </c>
      <c r="B7499" s="223" t="s">
        <v>12851</v>
      </c>
      <c r="C7499" s="221" t="s">
        <v>12852</v>
      </c>
    </row>
    <row r="7500" spans="1:3" x14ac:dyDescent="0.25">
      <c r="A7500" s="222">
        <v>700211</v>
      </c>
      <c r="B7500" s="223" t="s">
        <v>12851</v>
      </c>
      <c r="C7500" s="221" t="s">
        <v>12853</v>
      </c>
    </row>
    <row r="7501" spans="1:3" x14ac:dyDescent="0.25">
      <c r="A7501" s="222">
        <v>700212</v>
      </c>
      <c r="B7501" s="223" t="s">
        <v>12854</v>
      </c>
      <c r="C7501" s="221" t="s">
        <v>12855</v>
      </c>
    </row>
    <row r="7502" spans="1:3" x14ac:dyDescent="0.25">
      <c r="A7502" s="222">
        <v>700212</v>
      </c>
      <c r="B7502" s="223" t="s">
        <v>12854</v>
      </c>
      <c r="C7502" s="221" t="s">
        <v>12856</v>
      </c>
    </row>
    <row r="7503" spans="1:3" x14ac:dyDescent="0.25">
      <c r="A7503" s="222">
        <v>700213</v>
      </c>
      <c r="B7503" s="223" t="s">
        <v>12857</v>
      </c>
      <c r="C7503" s="221" t="s">
        <v>12858</v>
      </c>
    </row>
    <row r="7504" spans="1:3" x14ac:dyDescent="0.25">
      <c r="A7504" s="222">
        <v>700213</v>
      </c>
      <c r="B7504" s="223" t="s">
        <v>12857</v>
      </c>
      <c r="C7504" s="221" t="s">
        <v>12859</v>
      </c>
    </row>
    <row r="7505" spans="1:3" x14ac:dyDescent="0.25">
      <c r="A7505" s="222">
        <v>700214</v>
      </c>
      <c r="B7505" s="223" t="s">
        <v>12860</v>
      </c>
      <c r="C7505" s="221" t="s">
        <v>12861</v>
      </c>
    </row>
    <row r="7506" spans="1:3" x14ac:dyDescent="0.25">
      <c r="A7506" s="222">
        <v>700214</v>
      </c>
      <c r="B7506" s="223" t="s">
        <v>12860</v>
      </c>
      <c r="C7506" s="221" t="s">
        <v>12862</v>
      </c>
    </row>
    <row r="7507" spans="1:3" x14ac:dyDescent="0.25">
      <c r="A7507" s="222">
        <v>700215</v>
      </c>
      <c r="B7507" s="223" t="s">
        <v>12863</v>
      </c>
      <c r="C7507" s="221" t="s">
        <v>12864</v>
      </c>
    </row>
    <row r="7508" spans="1:3" x14ac:dyDescent="0.25">
      <c r="A7508" s="222">
        <v>700215</v>
      </c>
      <c r="B7508" s="223" t="s">
        <v>12863</v>
      </c>
      <c r="C7508" s="221" t="s">
        <v>12865</v>
      </c>
    </row>
    <row r="7509" spans="1:3" x14ac:dyDescent="0.25">
      <c r="A7509" s="222">
        <v>700216</v>
      </c>
      <c r="B7509" s="223" t="s">
        <v>12866</v>
      </c>
      <c r="C7509" s="221" t="s">
        <v>12867</v>
      </c>
    </row>
    <row r="7510" spans="1:3" x14ac:dyDescent="0.25">
      <c r="A7510" s="222">
        <v>700216</v>
      </c>
      <c r="B7510" s="223" t="s">
        <v>12866</v>
      </c>
      <c r="C7510" s="221" t="s">
        <v>12868</v>
      </c>
    </row>
    <row r="7511" spans="1:3" x14ac:dyDescent="0.25">
      <c r="A7511" s="222">
        <v>700217</v>
      </c>
      <c r="B7511" s="223" t="s">
        <v>12869</v>
      </c>
      <c r="C7511" s="221" t="s">
        <v>12870</v>
      </c>
    </row>
    <row r="7512" spans="1:3" x14ac:dyDescent="0.25">
      <c r="A7512" s="222">
        <v>700217</v>
      </c>
      <c r="B7512" s="223" t="s">
        <v>12869</v>
      </c>
      <c r="C7512" s="221" t="s">
        <v>12871</v>
      </c>
    </row>
    <row r="7513" spans="1:3" x14ac:dyDescent="0.25">
      <c r="A7513" s="222">
        <v>700218</v>
      </c>
      <c r="B7513" s="223" t="s">
        <v>12872</v>
      </c>
      <c r="C7513" s="221" t="s">
        <v>12873</v>
      </c>
    </row>
    <row r="7514" spans="1:3" x14ac:dyDescent="0.25">
      <c r="A7514" s="222">
        <v>700218</v>
      </c>
      <c r="B7514" s="223" t="s">
        <v>12872</v>
      </c>
      <c r="C7514" s="221" t="s">
        <v>12874</v>
      </c>
    </row>
    <row r="7515" spans="1:3" x14ac:dyDescent="0.25">
      <c r="A7515" s="222">
        <v>700219</v>
      </c>
      <c r="B7515" s="223" t="s">
        <v>12875</v>
      </c>
      <c r="C7515" s="221" t="s">
        <v>12876</v>
      </c>
    </row>
    <row r="7516" spans="1:3" x14ac:dyDescent="0.25">
      <c r="A7516" s="222">
        <v>700219</v>
      </c>
      <c r="B7516" s="223" t="s">
        <v>12875</v>
      </c>
      <c r="C7516" s="221" t="s">
        <v>12877</v>
      </c>
    </row>
    <row r="7517" spans="1:3" x14ac:dyDescent="0.25">
      <c r="A7517" s="222">
        <v>700220</v>
      </c>
      <c r="B7517" s="223" t="s">
        <v>12878</v>
      </c>
      <c r="C7517" s="221" t="s">
        <v>12879</v>
      </c>
    </row>
    <row r="7518" spans="1:3" x14ac:dyDescent="0.25">
      <c r="A7518" s="222">
        <v>700220</v>
      </c>
      <c r="B7518" s="223" t="s">
        <v>12878</v>
      </c>
      <c r="C7518" s="221" t="s">
        <v>12880</v>
      </c>
    </row>
    <row r="7519" spans="1:3" x14ac:dyDescent="0.25">
      <c r="A7519" s="222">
        <v>700221</v>
      </c>
      <c r="B7519" s="223" t="s">
        <v>12881</v>
      </c>
      <c r="C7519" s="221" t="s">
        <v>12882</v>
      </c>
    </row>
    <row r="7520" spans="1:3" x14ac:dyDescent="0.25">
      <c r="A7520" s="222">
        <v>700221</v>
      </c>
      <c r="B7520" s="223" t="s">
        <v>12881</v>
      </c>
      <c r="C7520" s="221" t="s">
        <v>12883</v>
      </c>
    </row>
    <row r="7521" spans="1:3" x14ac:dyDescent="0.25">
      <c r="A7521" s="222">
        <v>700222</v>
      </c>
      <c r="B7521" s="223" t="s">
        <v>12884</v>
      </c>
      <c r="C7521" s="221" t="s">
        <v>12885</v>
      </c>
    </row>
    <row r="7522" spans="1:3" x14ac:dyDescent="0.25">
      <c r="A7522" s="222">
        <v>700222</v>
      </c>
      <c r="B7522" s="223" t="s">
        <v>12884</v>
      </c>
      <c r="C7522" s="221" t="s">
        <v>12886</v>
      </c>
    </row>
    <row r="7523" spans="1:3" x14ac:dyDescent="0.25">
      <c r="A7523" s="222">
        <v>700223</v>
      </c>
      <c r="B7523" s="223" t="s">
        <v>12887</v>
      </c>
      <c r="C7523" s="221" t="s">
        <v>12888</v>
      </c>
    </row>
    <row r="7524" spans="1:3" x14ac:dyDescent="0.25">
      <c r="A7524" s="222">
        <v>700223</v>
      </c>
      <c r="B7524" s="223" t="s">
        <v>12887</v>
      </c>
      <c r="C7524" s="221" t="s">
        <v>12889</v>
      </c>
    </row>
    <row r="7525" spans="1:3" x14ac:dyDescent="0.25">
      <c r="A7525" s="222">
        <v>700224</v>
      </c>
      <c r="B7525" s="223" t="s">
        <v>12890</v>
      </c>
      <c r="C7525" s="221" t="s">
        <v>12891</v>
      </c>
    </row>
    <row r="7526" spans="1:3" x14ac:dyDescent="0.25">
      <c r="A7526" s="222">
        <v>700224</v>
      </c>
      <c r="B7526" s="223" t="s">
        <v>12890</v>
      </c>
      <c r="C7526" s="221" t="s">
        <v>12892</v>
      </c>
    </row>
    <row r="7527" spans="1:3" x14ac:dyDescent="0.25">
      <c r="A7527" s="222">
        <v>700225</v>
      </c>
      <c r="B7527" s="223" t="s">
        <v>12893</v>
      </c>
      <c r="C7527" s="221" t="s">
        <v>12894</v>
      </c>
    </row>
    <row r="7528" spans="1:3" x14ac:dyDescent="0.25">
      <c r="A7528" s="222">
        <v>700225</v>
      </c>
      <c r="B7528" s="223" t="s">
        <v>12893</v>
      </c>
      <c r="C7528" s="221" t="s">
        <v>12895</v>
      </c>
    </row>
    <row r="7529" spans="1:3" x14ac:dyDescent="0.25">
      <c r="A7529" s="222">
        <v>700226</v>
      </c>
      <c r="B7529" s="223" t="s">
        <v>12896</v>
      </c>
      <c r="C7529" s="221" t="s">
        <v>12897</v>
      </c>
    </row>
    <row r="7530" spans="1:3" x14ac:dyDescent="0.25">
      <c r="A7530" s="222">
        <v>700226</v>
      </c>
      <c r="B7530" s="223" t="s">
        <v>12896</v>
      </c>
      <c r="C7530" s="221" t="s">
        <v>12898</v>
      </c>
    </row>
    <row r="7531" spans="1:3" x14ac:dyDescent="0.25">
      <c r="A7531" s="222">
        <v>700227</v>
      </c>
      <c r="B7531" s="223" t="s">
        <v>12899</v>
      </c>
      <c r="C7531" s="221" t="s">
        <v>12900</v>
      </c>
    </row>
    <row r="7532" spans="1:3" x14ac:dyDescent="0.25">
      <c r="A7532" s="222">
        <v>700227</v>
      </c>
      <c r="B7532" s="223" t="s">
        <v>12899</v>
      </c>
      <c r="C7532" s="221" t="s">
        <v>12901</v>
      </c>
    </row>
    <row r="7533" spans="1:3" x14ac:dyDescent="0.25">
      <c r="A7533" s="222">
        <v>700228</v>
      </c>
      <c r="B7533" s="223" t="s">
        <v>12902</v>
      </c>
      <c r="C7533" s="221" t="s">
        <v>12903</v>
      </c>
    </row>
    <row r="7534" spans="1:3" x14ac:dyDescent="0.25">
      <c r="A7534" s="222">
        <v>700228</v>
      </c>
      <c r="B7534" s="223" t="s">
        <v>12902</v>
      </c>
      <c r="C7534" s="221" t="s">
        <v>12904</v>
      </c>
    </row>
    <row r="7535" spans="1:3" x14ac:dyDescent="0.25">
      <c r="A7535" s="222">
        <v>700229</v>
      </c>
      <c r="B7535" s="223" t="s">
        <v>12905</v>
      </c>
      <c r="C7535" s="221" t="s">
        <v>12906</v>
      </c>
    </row>
    <row r="7536" spans="1:3" x14ac:dyDescent="0.25">
      <c r="A7536" s="222">
        <v>700229</v>
      </c>
      <c r="B7536" s="223" t="s">
        <v>12905</v>
      </c>
      <c r="C7536" s="221" t="s">
        <v>12907</v>
      </c>
    </row>
    <row r="7537" spans="1:3" x14ac:dyDescent="0.25">
      <c r="A7537" s="222">
        <v>700230</v>
      </c>
      <c r="B7537" s="223" t="s">
        <v>12908</v>
      </c>
      <c r="C7537" s="221" t="s">
        <v>12909</v>
      </c>
    </row>
    <row r="7538" spans="1:3" x14ac:dyDescent="0.25">
      <c r="A7538" s="222">
        <v>700230</v>
      </c>
      <c r="B7538" s="223" t="s">
        <v>12908</v>
      </c>
      <c r="C7538" s="221" t="s">
        <v>12910</v>
      </c>
    </row>
    <row r="7539" spans="1:3" x14ac:dyDescent="0.25">
      <c r="A7539" s="222">
        <v>700231</v>
      </c>
      <c r="B7539" s="223" t="s">
        <v>12911</v>
      </c>
      <c r="C7539" s="221" t="s">
        <v>12912</v>
      </c>
    </row>
    <row r="7540" spans="1:3" x14ac:dyDescent="0.25">
      <c r="A7540" s="222">
        <v>700231</v>
      </c>
      <c r="B7540" s="223" t="s">
        <v>12911</v>
      </c>
      <c r="C7540" s="221" t="s">
        <v>12913</v>
      </c>
    </row>
    <row r="7541" spans="1:3" x14ac:dyDescent="0.25">
      <c r="A7541" s="222">
        <v>700232</v>
      </c>
      <c r="B7541" s="223" t="s">
        <v>12914</v>
      </c>
      <c r="C7541" s="221" t="s">
        <v>12915</v>
      </c>
    </row>
    <row r="7542" spans="1:3" x14ac:dyDescent="0.25">
      <c r="A7542" s="222">
        <v>700232</v>
      </c>
      <c r="B7542" s="223" t="s">
        <v>12914</v>
      </c>
      <c r="C7542" s="221" t="s">
        <v>12916</v>
      </c>
    </row>
    <row r="7543" spans="1:3" x14ac:dyDescent="0.25">
      <c r="A7543" s="222">
        <v>700233</v>
      </c>
      <c r="B7543" s="223" t="s">
        <v>12917</v>
      </c>
      <c r="C7543" s="221" t="s">
        <v>12918</v>
      </c>
    </row>
    <row r="7544" spans="1:3" x14ac:dyDescent="0.25">
      <c r="A7544" s="222">
        <v>700233</v>
      </c>
      <c r="B7544" s="223" t="s">
        <v>12917</v>
      </c>
      <c r="C7544" s="221" t="s">
        <v>12919</v>
      </c>
    </row>
    <row r="7545" spans="1:3" x14ac:dyDescent="0.25">
      <c r="A7545" s="222">
        <v>700234</v>
      </c>
      <c r="B7545" s="223" t="s">
        <v>12920</v>
      </c>
      <c r="C7545" s="221" t="s">
        <v>12921</v>
      </c>
    </row>
    <row r="7546" spans="1:3" x14ac:dyDescent="0.25">
      <c r="A7546" s="222">
        <v>700234</v>
      </c>
      <c r="B7546" s="223" t="s">
        <v>12920</v>
      </c>
      <c r="C7546" s="221" t="s">
        <v>12922</v>
      </c>
    </row>
    <row r="7547" spans="1:3" x14ac:dyDescent="0.25">
      <c r="A7547" s="222">
        <v>700235</v>
      </c>
      <c r="B7547" s="223" t="s">
        <v>12923</v>
      </c>
      <c r="C7547" s="221" t="s">
        <v>12924</v>
      </c>
    </row>
    <row r="7548" spans="1:3" x14ac:dyDescent="0.25">
      <c r="A7548" s="222">
        <v>700235</v>
      </c>
      <c r="B7548" s="223" t="s">
        <v>12923</v>
      </c>
      <c r="C7548" s="221" t="s">
        <v>12925</v>
      </c>
    </row>
    <row r="7549" spans="1:3" x14ac:dyDescent="0.25">
      <c r="A7549" s="222">
        <v>700236</v>
      </c>
      <c r="B7549" s="223" t="s">
        <v>12926</v>
      </c>
      <c r="C7549" s="221" t="s">
        <v>12927</v>
      </c>
    </row>
    <row r="7550" spans="1:3" x14ac:dyDescent="0.25">
      <c r="A7550" s="222">
        <v>700236</v>
      </c>
      <c r="B7550" s="223" t="s">
        <v>12926</v>
      </c>
      <c r="C7550" s="221" t="s">
        <v>12928</v>
      </c>
    </row>
    <row r="7551" spans="1:3" x14ac:dyDescent="0.25">
      <c r="A7551" s="222">
        <v>700237</v>
      </c>
      <c r="B7551" s="223" t="s">
        <v>12929</v>
      </c>
      <c r="C7551" s="221" t="s">
        <v>12930</v>
      </c>
    </row>
    <row r="7552" spans="1:3" x14ac:dyDescent="0.25">
      <c r="A7552" s="222">
        <v>700237</v>
      </c>
      <c r="B7552" s="223" t="s">
        <v>12929</v>
      </c>
      <c r="C7552" s="221" t="s">
        <v>12931</v>
      </c>
    </row>
    <row r="7553" spans="1:3" x14ac:dyDescent="0.25">
      <c r="A7553" s="222">
        <v>700238</v>
      </c>
      <c r="B7553" s="223" t="s">
        <v>12932</v>
      </c>
      <c r="C7553" s="221" t="s">
        <v>12933</v>
      </c>
    </row>
    <row r="7554" spans="1:3" x14ac:dyDescent="0.25">
      <c r="A7554" s="222">
        <v>700238</v>
      </c>
      <c r="B7554" s="223" t="s">
        <v>12932</v>
      </c>
      <c r="C7554" s="221" t="s">
        <v>12934</v>
      </c>
    </row>
    <row r="7555" spans="1:3" x14ac:dyDescent="0.25">
      <c r="A7555" s="222">
        <v>700239</v>
      </c>
      <c r="B7555" s="223" t="s">
        <v>12935</v>
      </c>
      <c r="C7555" s="221" t="s">
        <v>12936</v>
      </c>
    </row>
    <row r="7556" spans="1:3" x14ac:dyDescent="0.25">
      <c r="A7556" s="222">
        <v>700239</v>
      </c>
      <c r="B7556" s="223" t="s">
        <v>12935</v>
      </c>
      <c r="C7556" s="221" t="s">
        <v>12937</v>
      </c>
    </row>
    <row r="7557" spans="1:3" x14ac:dyDescent="0.25">
      <c r="A7557" s="222">
        <v>700240</v>
      </c>
      <c r="B7557" s="223" t="s">
        <v>12938</v>
      </c>
      <c r="C7557" s="221" t="s">
        <v>12939</v>
      </c>
    </row>
    <row r="7558" spans="1:3" x14ac:dyDescent="0.25">
      <c r="A7558" s="222">
        <v>700240</v>
      </c>
      <c r="B7558" s="223" t="s">
        <v>12938</v>
      </c>
      <c r="C7558" s="221" t="s">
        <v>12940</v>
      </c>
    </row>
    <row r="7559" spans="1:3" x14ac:dyDescent="0.25">
      <c r="A7559" s="222">
        <v>700241</v>
      </c>
      <c r="B7559" s="223" t="s">
        <v>12941</v>
      </c>
      <c r="C7559" s="221" t="s">
        <v>12942</v>
      </c>
    </row>
    <row r="7560" spans="1:3" x14ac:dyDescent="0.25">
      <c r="A7560" s="222">
        <v>700241</v>
      </c>
      <c r="B7560" s="223" t="s">
        <v>12941</v>
      </c>
      <c r="C7560" s="221" t="s">
        <v>12943</v>
      </c>
    </row>
    <row r="7561" spans="1:3" x14ac:dyDescent="0.25">
      <c r="A7561" s="222">
        <v>700242</v>
      </c>
      <c r="B7561" s="223" t="s">
        <v>12944</v>
      </c>
      <c r="C7561" s="221" t="s">
        <v>12945</v>
      </c>
    </row>
    <row r="7562" spans="1:3" x14ac:dyDescent="0.25">
      <c r="A7562" s="222">
        <v>700242</v>
      </c>
      <c r="B7562" s="223" t="s">
        <v>12944</v>
      </c>
      <c r="C7562" s="221" t="s">
        <v>12946</v>
      </c>
    </row>
    <row r="7563" spans="1:3" x14ac:dyDescent="0.25">
      <c r="A7563" s="222">
        <v>700243</v>
      </c>
      <c r="B7563" s="223" t="s">
        <v>12947</v>
      </c>
      <c r="C7563" s="221" t="s">
        <v>12948</v>
      </c>
    </row>
    <row r="7564" spans="1:3" x14ac:dyDescent="0.25">
      <c r="A7564" s="222">
        <v>700243</v>
      </c>
      <c r="B7564" s="223" t="s">
        <v>12947</v>
      </c>
      <c r="C7564" s="221" t="s">
        <v>12949</v>
      </c>
    </row>
    <row r="7565" spans="1:3" x14ac:dyDescent="0.25">
      <c r="A7565" s="222">
        <v>700244</v>
      </c>
      <c r="B7565" s="223" t="s">
        <v>12950</v>
      </c>
      <c r="C7565" s="221" t="s">
        <v>12951</v>
      </c>
    </row>
    <row r="7566" spans="1:3" x14ac:dyDescent="0.25">
      <c r="A7566" s="222">
        <v>700244</v>
      </c>
      <c r="B7566" s="223" t="s">
        <v>12950</v>
      </c>
      <c r="C7566" s="221" t="s">
        <v>12952</v>
      </c>
    </row>
    <row r="7567" spans="1:3" x14ac:dyDescent="0.25">
      <c r="A7567" s="222">
        <v>700245</v>
      </c>
      <c r="B7567" s="223" t="s">
        <v>12953</v>
      </c>
      <c r="C7567" s="221" t="s">
        <v>12954</v>
      </c>
    </row>
    <row r="7568" spans="1:3" x14ac:dyDescent="0.25">
      <c r="A7568" s="222">
        <v>700245</v>
      </c>
      <c r="B7568" s="223" t="s">
        <v>12953</v>
      </c>
      <c r="C7568" s="221" t="s">
        <v>12955</v>
      </c>
    </row>
    <row r="7569" spans="1:3" x14ac:dyDescent="0.25">
      <c r="A7569" s="222">
        <v>700246</v>
      </c>
      <c r="B7569" s="223" t="s">
        <v>12956</v>
      </c>
      <c r="C7569" s="221" t="s">
        <v>12957</v>
      </c>
    </row>
    <row r="7570" spans="1:3" x14ac:dyDescent="0.25">
      <c r="A7570" s="222">
        <v>700246</v>
      </c>
      <c r="B7570" s="223" t="s">
        <v>12956</v>
      </c>
      <c r="C7570" s="221" t="s">
        <v>12958</v>
      </c>
    </row>
    <row r="7571" spans="1:3" x14ac:dyDescent="0.25">
      <c r="A7571" s="222">
        <v>700247</v>
      </c>
      <c r="B7571" s="223" t="s">
        <v>12959</v>
      </c>
      <c r="C7571" s="221" t="s">
        <v>12960</v>
      </c>
    </row>
    <row r="7572" spans="1:3" x14ac:dyDescent="0.25">
      <c r="A7572" s="222">
        <v>700247</v>
      </c>
      <c r="B7572" s="223" t="s">
        <v>12959</v>
      </c>
      <c r="C7572" s="221" t="s">
        <v>12961</v>
      </c>
    </row>
    <row r="7573" spans="1:3" x14ac:dyDescent="0.25">
      <c r="A7573" s="222">
        <v>700248</v>
      </c>
      <c r="B7573" s="223" t="s">
        <v>12962</v>
      </c>
      <c r="C7573" s="221" t="s">
        <v>12963</v>
      </c>
    </row>
    <row r="7574" spans="1:3" x14ac:dyDescent="0.25">
      <c r="A7574" s="222">
        <v>700248</v>
      </c>
      <c r="B7574" s="223" t="s">
        <v>12962</v>
      </c>
      <c r="C7574" s="221" t="s">
        <v>12964</v>
      </c>
    </row>
    <row r="7575" spans="1:3" x14ac:dyDescent="0.25">
      <c r="A7575" s="222">
        <v>700249</v>
      </c>
      <c r="B7575" s="223" t="s">
        <v>12965</v>
      </c>
      <c r="C7575" s="221" t="s">
        <v>12966</v>
      </c>
    </row>
    <row r="7576" spans="1:3" x14ac:dyDescent="0.25">
      <c r="A7576" s="222">
        <v>700249</v>
      </c>
      <c r="B7576" s="223" t="s">
        <v>12965</v>
      </c>
      <c r="C7576" s="221" t="s">
        <v>12967</v>
      </c>
    </row>
    <row r="7577" spans="1:3" x14ac:dyDescent="0.25">
      <c r="A7577" s="222">
        <v>700250</v>
      </c>
      <c r="B7577" s="223" t="s">
        <v>12968</v>
      </c>
      <c r="C7577" s="221" t="s">
        <v>12969</v>
      </c>
    </row>
    <row r="7578" spans="1:3" x14ac:dyDescent="0.25">
      <c r="A7578" s="222">
        <v>700250</v>
      </c>
      <c r="B7578" s="223" t="s">
        <v>12968</v>
      </c>
      <c r="C7578" s="221" t="s">
        <v>12970</v>
      </c>
    </row>
    <row r="7579" spans="1:3" x14ac:dyDescent="0.25">
      <c r="A7579" s="222">
        <v>700251</v>
      </c>
      <c r="B7579" s="223" t="s">
        <v>12971</v>
      </c>
      <c r="C7579" s="221" t="s">
        <v>12972</v>
      </c>
    </row>
    <row r="7580" spans="1:3" x14ac:dyDescent="0.25">
      <c r="A7580" s="222">
        <v>700251</v>
      </c>
      <c r="B7580" s="223" t="s">
        <v>12971</v>
      </c>
      <c r="C7580" s="221" t="s">
        <v>12973</v>
      </c>
    </row>
    <row r="7581" spans="1:3" x14ac:dyDescent="0.25">
      <c r="A7581" s="222">
        <v>700252</v>
      </c>
      <c r="B7581" s="223" t="s">
        <v>12974</v>
      </c>
      <c r="C7581" s="221" t="s">
        <v>12975</v>
      </c>
    </row>
    <row r="7582" spans="1:3" x14ac:dyDescent="0.25">
      <c r="A7582" s="222">
        <v>700252</v>
      </c>
      <c r="B7582" s="223" t="s">
        <v>12974</v>
      </c>
      <c r="C7582" s="221" t="s">
        <v>12976</v>
      </c>
    </row>
    <row r="7583" spans="1:3" x14ac:dyDescent="0.25">
      <c r="A7583" s="222">
        <v>700253</v>
      </c>
      <c r="B7583" s="223" t="s">
        <v>12977</v>
      </c>
      <c r="C7583" s="221" t="s">
        <v>12978</v>
      </c>
    </row>
    <row r="7584" spans="1:3" x14ac:dyDescent="0.25">
      <c r="A7584" s="222">
        <v>700253</v>
      </c>
      <c r="B7584" s="223" t="s">
        <v>12977</v>
      </c>
      <c r="C7584" s="221" t="s">
        <v>12979</v>
      </c>
    </row>
    <row r="7585" spans="1:3" x14ac:dyDescent="0.25">
      <c r="A7585" s="222">
        <v>700254</v>
      </c>
      <c r="B7585" s="223" t="s">
        <v>12980</v>
      </c>
      <c r="C7585" s="221" t="s">
        <v>12981</v>
      </c>
    </row>
    <row r="7586" spans="1:3" x14ac:dyDescent="0.25">
      <c r="A7586" s="222">
        <v>700254</v>
      </c>
      <c r="B7586" s="223" t="s">
        <v>12980</v>
      </c>
      <c r="C7586" s="221" t="s">
        <v>12982</v>
      </c>
    </row>
    <row r="7587" spans="1:3" x14ac:dyDescent="0.25">
      <c r="A7587" s="222">
        <v>700255</v>
      </c>
      <c r="B7587" s="223" t="s">
        <v>12983</v>
      </c>
      <c r="C7587" s="221" t="s">
        <v>12984</v>
      </c>
    </row>
    <row r="7588" spans="1:3" x14ac:dyDescent="0.25">
      <c r="A7588" s="222">
        <v>700255</v>
      </c>
      <c r="B7588" s="223" t="s">
        <v>12983</v>
      </c>
      <c r="C7588" s="221" t="s">
        <v>12985</v>
      </c>
    </row>
    <row r="7589" spans="1:3" x14ac:dyDescent="0.25">
      <c r="A7589" s="222">
        <v>700256</v>
      </c>
      <c r="B7589" s="223" t="s">
        <v>12986</v>
      </c>
      <c r="C7589" s="221" t="s">
        <v>12987</v>
      </c>
    </row>
    <row r="7590" spans="1:3" x14ac:dyDescent="0.25">
      <c r="A7590" s="222">
        <v>700256</v>
      </c>
      <c r="B7590" s="223" t="s">
        <v>12986</v>
      </c>
      <c r="C7590" s="221" t="s">
        <v>12988</v>
      </c>
    </row>
    <row r="7591" spans="1:3" x14ac:dyDescent="0.25">
      <c r="A7591" s="222">
        <v>700257</v>
      </c>
      <c r="B7591" s="223" t="s">
        <v>12989</v>
      </c>
      <c r="C7591" s="221" t="s">
        <v>12990</v>
      </c>
    </row>
    <row r="7592" spans="1:3" x14ac:dyDescent="0.25">
      <c r="A7592" s="222">
        <v>700257</v>
      </c>
      <c r="B7592" s="223" t="s">
        <v>12989</v>
      </c>
      <c r="C7592" s="221" t="s">
        <v>12991</v>
      </c>
    </row>
    <row r="7593" spans="1:3" x14ac:dyDescent="0.25">
      <c r="A7593" s="222">
        <v>700258</v>
      </c>
      <c r="B7593" s="223" t="s">
        <v>12992</v>
      </c>
      <c r="C7593" s="221" t="s">
        <v>12993</v>
      </c>
    </row>
    <row r="7594" spans="1:3" x14ac:dyDescent="0.25">
      <c r="A7594" s="222">
        <v>700258</v>
      </c>
      <c r="B7594" s="223" t="s">
        <v>12992</v>
      </c>
      <c r="C7594" s="221" t="s">
        <v>12994</v>
      </c>
    </row>
    <row r="7595" spans="1:3" x14ac:dyDescent="0.25">
      <c r="A7595" s="222">
        <v>700259</v>
      </c>
      <c r="B7595" s="223" t="s">
        <v>12995</v>
      </c>
      <c r="C7595" s="221" t="s">
        <v>12996</v>
      </c>
    </row>
    <row r="7596" spans="1:3" x14ac:dyDescent="0.25">
      <c r="A7596" s="222">
        <v>700259</v>
      </c>
      <c r="B7596" s="223" t="s">
        <v>12995</v>
      </c>
      <c r="C7596" s="221" t="s">
        <v>12997</v>
      </c>
    </row>
    <row r="7597" spans="1:3" x14ac:dyDescent="0.25">
      <c r="A7597" s="222">
        <v>700260</v>
      </c>
      <c r="B7597" s="223" t="s">
        <v>12998</v>
      </c>
      <c r="C7597" s="221" t="s">
        <v>12999</v>
      </c>
    </row>
    <row r="7598" spans="1:3" x14ac:dyDescent="0.25">
      <c r="A7598" s="222">
        <v>700260</v>
      </c>
      <c r="B7598" s="223" t="s">
        <v>12998</v>
      </c>
      <c r="C7598" s="221" t="s">
        <v>13000</v>
      </c>
    </row>
    <row r="7599" spans="1:3" x14ac:dyDescent="0.25">
      <c r="A7599" s="222">
        <v>700261</v>
      </c>
      <c r="B7599" s="223" t="s">
        <v>13001</v>
      </c>
      <c r="C7599" s="221" t="s">
        <v>13002</v>
      </c>
    </row>
    <row r="7600" spans="1:3" x14ac:dyDescent="0.25">
      <c r="A7600" s="222">
        <v>700261</v>
      </c>
      <c r="B7600" s="223" t="s">
        <v>13001</v>
      </c>
      <c r="C7600" s="221" t="s">
        <v>13003</v>
      </c>
    </row>
    <row r="7601" spans="1:3" x14ac:dyDescent="0.25">
      <c r="A7601" s="222">
        <v>700262</v>
      </c>
      <c r="B7601" s="223" t="s">
        <v>13004</v>
      </c>
      <c r="C7601" s="221" t="s">
        <v>13005</v>
      </c>
    </row>
    <row r="7602" spans="1:3" x14ac:dyDescent="0.25">
      <c r="A7602" s="222">
        <v>700262</v>
      </c>
      <c r="B7602" s="223" t="s">
        <v>13004</v>
      </c>
      <c r="C7602" s="221" t="s">
        <v>13006</v>
      </c>
    </row>
    <row r="7603" spans="1:3" x14ac:dyDescent="0.25">
      <c r="A7603" s="222">
        <v>700263</v>
      </c>
      <c r="B7603" s="223" t="s">
        <v>13007</v>
      </c>
      <c r="C7603" s="221" t="s">
        <v>13008</v>
      </c>
    </row>
    <row r="7604" spans="1:3" x14ac:dyDescent="0.25">
      <c r="A7604" s="222">
        <v>700263</v>
      </c>
      <c r="B7604" s="223" t="s">
        <v>13007</v>
      </c>
      <c r="C7604" s="221" t="s">
        <v>13009</v>
      </c>
    </row>
    <row r="7605" spans="1:3" x14ac:dyDescent="0.25">
      <c r="A7605" s="222">
        <v>700264</v>
      </c>
      <c r="B7605" s="223" t="s">
        <v>13010</v>
      </c>
      <c r="C7605" s="221" t="s">
        <v>13011</v>
      </c>
    </row>
    <row r="7606" spans="1:3" x14ac:dyDescent="0.25">
      <c r="A7606" s="222">
        <v>700264</v>
      </c>
      <c r="B7606" s="223" t="s">
        <v>13010</v>
      </c>
      <c r="C7606" s="221" t="s">
        <v>13012</v>
      </c>
    </row>
    <row r="7607" spans="1:3" x14ac:dyDescent="0.25">
      <c r="A7607" s="222">
        <v>700265</v>
      </c>
      <c r="B7607" s="223" t="s">
        <v>13013</v>
      </c>
      <c r="C7607" s="221" t="s">
        <v>13014</v>
      </c>
    </row>
    <row r="7608" spans="1:3" x14ac:dyDescent="0.25">
      <c r="A7608" s="222">
        <v>700265</v>
      </c>
      <c r="B7608" s="223" t="s">
        <v>13013</v>
      </c>
      <c r="C7608" s="221" t="s">
        <v>13015</v>
      </c>
    </row>
    <row r="7609" spans="1:3" x14ac:dyDescent="0.25">
      <c r="A7609" s="222">
        <v>700266</v>
      </c>
      <c r="B7609" s="223" t="s">
        <v>13016</v>
      </c>
      <c r="C7609" s="221" t="s">
        <v>13017</v>
      </c>
    </row>
    <row r="7610" spans="1:3" x14ac:dyDescent="0.25">
      <c r="A7610" s="222">
        <v>700266</v>
      </c>
      <c r="B7610" s="223" t="s">
        <v>13016</v>
      </c>
      <c r="C7610" s="221" t="s">
        <v>13018</v>
      </c>
    </row>
    <row r="7611" spans="1:3" x14ac:dyDescent="0.25">
      <c r="A7611" s="222">
        <v>700267</v>
      </c>
      <c r="B7611" s="223" t="s">
        <v>13019</v>
      </c>
      <c r="C7611" s="221" t="s">
        <v>13020</v>
      </c>
    </row>
    <row r="7612" spans="1:3" x14ac:dyDescent="0.25">
      <c r="A7612" s="222">
        <v>700267</v>
      </c>
      <c r="B7612" s="223" t="s">
        <v>13019</v>
      </c>
      <c r="C7612" s="221" t="s">
        <v>13021</v>
      </c>
    </row>
    <row r="7613" spans="1:3" x14ac:dyDescent="0.25">
      <c r="A7613" s="222">
        <v>700268</v>
      </c>
      <c r="B7613" s="223" t="s">
        <v>13022</v>
      </c>
      <c r="C7613" s="221" t="s">
        <v>13023</v>
      </c>
    </row>
    <row r="7614" spans="1:3" x14ac:dyDescent="0.25">
      <c r="A7614" s="222">
        <v>700268</v>
      </c>
      <c r="B7614" s="223" t="s">
        <v>13022</v>
      </c>
      <c r="C7614" s="221" t="s">
        <v>13024</v>
      </c>
    </row>
    <row r="7615" spans="1:3" x14ac:dyDescent="0.25">
      <c r="A7615" s="222">
        <v>700269</v>
      </c>
      <c r="B7615" s="223" t="s">
        <v>13025</v>
      </c>
      <c r="C7615" s="221" t="s">
        <v>13026</v>
      </c>
    </row>
    <row r="7616" spans="1:3" x14ac:dyDescent="0.25">
      <c r="A7616" s="222">
        <v>700269</v>
      </c>
      <c r="B7616" s="223" t="s">
        <v>13025</v>
      </c>
      <c r="C7616" s="221" t="s">
        <v>13027</v>
      </c>
    </row>
    <row r="7617" spans="1:3" x14ac:dyDescent="0.25">
      <c r="A7617" s="222">
        <v>700270</v>
      </c>
      <c r="B7617" s="223" t="s">
        <v>13028</v>
      </c>
      <c r="C7617" s="221" t="s">
        <v>13029</v>
      </c>
    </row>
    <row r="7618" spans="1:3" x14ac:dyDescent="0.25">
      <c r="A7618" s="222">
        <v>700270</v>
      </c>
      <c r="B7618" s="223" t="s">
        <v>13028</v>
      </c>
      <c r="C7618" s="221" t="s">
        <v>13030</v>
      </c>
    </row>
    <row r="7619" spans="1:3" x14ac:dyDescent="0.25">
      <c r="A7619" s="222">
        <v>700271</v>
      </c>
      <c r="B7619" s="223" t="s">
        <v>13031</v>
      </c>
      <c r="C7619" s="221" t="s">
        <v>13032</v>
      </c>
    </row>
    <row r="7620" spans="1:3" x14ac:dyDescent="0.25">
      <c r="A7620" s="222">
        <v>700271</v>
      </c>
      <c r="B7620" s="223" t="s">
        <v>13031</v>
      </c>
      <c r="C7620" s="221" t="s">
        <v>13033</v>
      </c>
    </row>
    <row r="7621" spans="1:3" x14ac:dyDescent="0.25">
      <c r="A7621" s="222">
        <v>700272</v>
      </c>
      <c r="B7621" s="223" t="s">
        <v>13034</v>
      </c>
      <c r="C7621" s="221" t="s">
        <v>13035</v>
      </c>
    </row>
    <row r="7622" spans="1:3" x14ac:dyDescent="0.25">
      <c r="A7622" s="222">
        <v>700272</v>
      </c>
      <c r="B7622" s="223" t="s">
        <v>13034</v>
      </c>
      <c r="C7622" s="221" t="s">
        <v>13036</v>
      </c>
    </row>
    <row r="7623" spans="1:3" x14ac:dyDescent="0.25">
      <c r="A7623" s="222">
        <v>700273</v>
      </c>
      <c r="B7623" s="223" t="s">
        <v>13037</v>
      </c>
      <c r="C7623" s="221" t="s">
        <v>13038</v>
      </c>
    </row>
    <row r="7624" spans="1:3" x14ac:dyDescent="0.25">
      <c r="A7624" s="222">
        <v>700273</v>
      </c>
      <c r="B7624" s="223" t="s">
        <v>13037</v>
      </c>
      <c r="C7624" s="221" t="s">
        <v>13039</v>
      </c>
    </row>
    <row r="7625" spans="1:3" x14ac:dyDescent="0.25">
      <c r="A7625" s="222">
        <v>700274</v>
      </c>
      <c r="B7625" s="223" t="s">
        <v>13040</v>
      </c>
      <c r="C7625" s="221" t="s">
        <v>13041</v>
      </c>
    </row>
    <row r="7626" spans="1:3" x14ac:dyDescent="0.25">
      <c r="A7626" s="222">
        <v>700274</v>
      </c>
      <c r="B7626" s="223" t="s">
        <v>13040</v>
      </c>
      <c r="C7626" s="221" t="s">
        <v>13042</v>
      </c>
    </row>
    <row r="7627" spans="1:3" x14ac:dyDescent="0.25">
      <c r="A7627" s="222">
        <v>700275</v>
      </c>
      <c r="B7627" s="223" t="s">
        <v>13043</v>
      </c>
      <c r="C7627" s="221" t="s">
        <v>13044</v>
      </c>
    </row>
    <row r="7628" spans="1:3" x14ac:dyDescent="0.25">
      <c r="A7628" s="222">
        <v>700275</v>
      </c>
      <c r="B7628" s="223" t="s">
        <v>13043</v>
      </c>
      <c r="C7628" s="221" t="s">
        <v>13045</v>
      </c>
    </row>
    <row r="7629" spans="1:3" x14ac:dyDescent="0.25">
      <c r="A7629" s="222">
        <v>700276</v>
      </c>
      <c r="B7629" s="223" t="s">
        <v>13046</v>
      </c>
      <c r="C7629" s="221" t="s">
        <v>13047</v>
      </c>
    </row>
    <row r="7630" spans="1:3" x14ac:dyDescent="0.25">
      <c r="A7630" s="222">
        <v>700276</v>
      </c>
      <c r="B7630" s="223" t="s">
        <v>13046</v>
      </c>
      <c r="C7630" s="221" t="s">
        <v>13048</v>
      </c>
    </row>
    <row r="7631" spans="1:3" x14ac:dyDescent="0.25">
      <c r="A7631" s="222">
        <v>700286</v>
      </c>
      <c r="B7631" s="223" t="s">
        <v>13049</v>
      </c>
      <c r="C7631" s="221" t="s">
        <v>13050</v>
      </c>
    </row>
    <row r="7632" spans="1:3" x14ac:dyDescent="0.25">
      <c r="A7632" s="222">
        <v>700286</v>
      </c>
      <c r="B7632" s="223" t="s">
        <v>13049</v>
      </c>
      <c r="C7632" s="221" t="s">
        <v>13051</v>
      </c>
    </row>
    <row r="7633" spans="1:3" x14ac:dyDescent="0.25">
      <c r="A7633" s="222">
        <v>700287</v>
      </c>
      <c r="B7633" s="223" t="s">
        <v>13052</v>
      </c>
      <c r="C7633" s="221" t="s">
        <v>13053</v>
      </c>
    </row>
    <row r="7634" spans="1:3" x14ac:dyDescent="0.25">
      <c r="A7634" s="222">
        <v>700287</v>
      </c>
      <c r="B7634" s="223" t="s">
        <v>13052</v>
      </c>
      <c r="C7634" s="221" t="s">
        <v>13054</v>
      </c>
    </row>
    <row r="7635" spans="1:3" x14ac:dyDescent="0.25">
      <c r="A7635" s="222">
        <v>700290</v>
      </c>
      <c r="B7635" s="223" t="s">
        <v>13055</v>
      </c>
      <c r="C7635" s="221" t="s">
        <v>13056</v>
      </c>
    </row>
    <row r="7636" spans="1:3" x14ac:dyDescent="0.25">
      <c r="A7636" s="222">
        <v>700290</v>
      </c>
      <c r="B7636" s="223" t="s">
        <v>13055</v>
      </c>
      <c r="C7636" s="221" t="s">
        <v>13057</v>
      </c>
    </row>
    <row r="7637" spans="1:3" x14ac:dyDescent="0.25">
      <c r="A7637" s="222">
        <v>700295</v>
      </c>
      <c r="B7637" s="223" t="s">
        <v>13058</v>
      </c>
      <c r="C7637" s="221" t="s">
        <v>13059</v>
      </c>
    </row>
    <row r="7638" spans="1:3" x14ac:dyDescent="0.25">
      <c r="A7638" s="222">
        <v>700295</v>
      </c>
      <c r="B7638" s="223" t="s">
        <v>13058</v>
      </c>
      <c r="C7638" s="221" t="s">
        <v>13060</v>
      </c>
    </row>
    <row r="7639" spans="1:3" x14ac:dyDescent="0.25">
      <c r="A7639" s="222">
        <v>700296</v>
      </c>
      <c r="B7639" s="223" t="s">
        <v>13061</v>
      </c>
      <c r="C7639" s="221" t="s">
        <v>13062</v>
      </c>
    </row>
    <row r="7640" spans="1:3" x14ac:dyDescent="0.25">
      <c r="A7640" s="222">
        <v>700296</v>
      </c>
      <c r="B7640" s="223" t="s">
        <v>13061</v>
      </c>
      <c r="C7640" s="221" t="s">
        <v>13063</v>
      </c>
    </row>
    <row r="7641" spans="1:3" x14ac:dyDescent="0.25">
      <c r="A7641" s="222">
        <v>700297</v>
      </c>
      <c r="B7641" s="223" t="s">
        <v>13064</v>
      </c>
      <c r="C7641" s="221" t="s">
        <v>13065</v>
      </c>
    </row>
    <row r="7642" spans="1:3" x14ac:dyDescent="0.25">
      <c r="A7642" s="222">
        <v>700297</v>
      </c>
      <c r="B7642" s="223" t="s">
        <v>13064</v>
      </c>
      <c r="C7642" s="221" t="s">
        <v>13066</v>
      </c>
    </row>
    <row r="7643" spans="1:3" x14ac:dyDescent="0.25">
      <c r="A7643" s="222">
        <v>700298</v>
      </c>
      <c r="B7643" s="223" t="s">
        <v>13067</v>
      </c>
      <c r="C7643" s="221" t="s">
        <v>13068</v>
      </c>
    </row>
    <row r="7644" spans="1:3" x14ac:dyDescent="0.25">
      <c r="A7644" s="222">
        <v>700298</v>
      </c>
      <c r="B7644" s="223" t="s">
        <v>13067</v>
      </c>
      <c r="C7644" s="221" t="s">
        <v>13069</v>
      </c>
    </row>
    <row r="7645" spans="1:3" x14ac:dyDescent="0.25">
      <c r="A7645" s="222">
        <v>700299</v>
      </c>
      <c r="B7645" s="223" t="s">
        <v>13070</v>
      </c>
      <c r="C7645" s="221" t="s">
        <v>13071</v>
      </c>
    </row>
    <row r="7646" spans="1:3" x14ac:dyDescent="0.25">
      <c r="A7646" s="222">
        <v>700299</v>
      </c>
      <c r="B7646" s="223" t="s">
        <v>13070</v>
      </c>
      <c r="C7646" s="221" t="s">
        <v>13072</v>
      </c>
    </row>
    <row r="7647" spans="1:3" x14ac:dyDescent="0.25">
      <c r="A7647" s="222">
        <v>700300</v>
      </c>
      <c r="B7647" s="223" t="s">
        <v>13073</v>
      </c>
      <c r="C7647" s="221" t="s">
        <v>13074</v>
      </c>
    </row>
    <row r="7648" spans="1:3" x14ac:dyDescent="0.25">
      <c r="A7648" s="222">
        <v>700300</v>
      </c>
      <c r="B7648" s="223" t="s">
        <v>13073</v>
      </c>
      <c r="C7648" s="221" t="s">
        <v>13075</v>
      </c>
    </row>
    <row r="7649" spans="1:3" x14ac:dyDescent="0.25">
      <c r="A7649" s="222">
        <v>700301</v>
      </c>
      <c r="B7649" s="223" t="s">
        <v>13076</v>
      </c>
      <c r="C7649" s="221" t="s">
        <v>13077</v>
      </c>
    </row>
    <row r="7650" spans="1:3" x14ac:dyDescent="0.25">
      <c r="A7650" s="222">
        <v>700301</v>
      </c>
      <c r="B7650" s="223" t="s">
        <v>13076</v>
      </c>
      <c r="C7650" s="221" t="s">
        <v>13078</v>
      </c>
    </row>
    <row r="7651" spans="1:3" x14ac:dyDescent="0.25">
      <c r="A7651" s="222">
        <v>700302</v>
      </c>
      <c r="B7651" s="223" t="s">
        <v>13079</v>
      </c>
      <c r="C7651" s="221" t="s">
        <v>13080</v>
      </c>
    </row>
    <row r="7652" spans="1:3" x14ac:dyDescent="0.25">
      <c r="A7652" s="222">
        <v>700302</v>
      </c>
      <c r="B7652" s="223" t="s">
        <v>13079</v>
      </c>
      <c r="C7652" s="221" t="s">
        <v>13081</v>
      </c>
    </row>
    <row r="7653" spans="1:3" x14ac:dyDescent="0.25">
      <c r="A7653" s="222">
        <v>700303</v>
      </c>
      <c r="B7653" s="223" t="s">
        <v>13082</v>
      </c>
      <c r="C7653" s="221" t="s">
        <v>13083</v>
      </c>
    </row>
    <row r="7654" spans="1:3" x14ac:dyDescent="0.25">
      <c r="A7654" s="222">
        <v>700303</v>
      </c>
      <c r="B7654" s="223" t="s">
        <v>13082</v>
      </c>
      <c r="C7654" s="221" t="s">
        <v>13084</v>
      </c>
    </row>
    <row r="7655" spans="1:3" x14ac:dyDescent="0.25">
      <c r="A7655" s="222">
        <v>700304</v>
      </c>
      <c r="B7655" s="223" t="s">
        <v>13085</v>
      </c>
      <c r="C7655" s="221" t="s">
        <v>13086</v>
      </c>
    </row>
    <row r="7656" spans="1:3" x14ac:dyDescent="0.25">
      <c r="A7656" s="222">
        <v>700304</v>
      </c>
      <c r="B7656" s="223" t="s">
        <v>13085</v>
      </c>
      <c r="C7656" s="221" t="s">
        <v>13087</v>
      </c>
    </row>
    <row r="7657" spans="1:3" x14ac:dyDescent="0.25">
      <c r="A7657" s="222">
        <v>700305</v>
      </c>
      <c r="B7657" s="223" t="s">
        <v>13088</v>
      </c>
      <c r="C7657" s="221" t="s">
        <v>13089</v>
      </c>
    </row>
    <row r="7658" spans="1:3" x14ac:dyDescent="0.25">
      <c r="A7658" s="222">
        <v>700305</v>
      </c>
      <c r="B7658" s="223" t="s">
        <v>13088</v>
      </c>
      <c r="C7658" s="221" t="s">
        <v>13090</v>
      </c>
    </row>
    <row r="7659" spans="1:3" x14ac:dyDescent="0.25">
      <c r="A7659" s="222">
        <v>700306</v>
      </c>
      <c r="B7659" s="223" t="s">
        <v>13091</v>
      </c>
      <c r="C7659" s="221" t="s">
        <v>13092</v>
      </c>
    </row>
    <row r="7660" spans="1:3" x14ac:dyDescent="0.25">
      <c r="A7660" s="222">
        <v>700306</v>
      </c>
      <c r="B7660" s="223" t="s">
        <v>13091</v>
      </c>
      <c r="C7660" s="221" t="s">
        <v>13093</v>
      </c>
    </row>
    <row r="7661" spans="1:3" x14ac:dyDescent="0.25">
      <c r="A7661" s="222">
        <v>700307</v>
      </c>
      <c r="B7661" s="223" t="s">
        <v>13094</v>
      </c>
      <c r="C7661" s="221" t="s">
        <v>13095</v>
      </c>
    </row>
    <row r="7662" spans="1:3" x14ac:dyDescent="0.25">
      <c r="A7662" s="222">
        <v>700307</v>
      </c>
      <c r="B7662" s="223" t="s">
        <v>13094</v>
      </c>
      <c r="C7662" s="221" t="s">
        <v>13096</v>
      </c>
    </row>
    <row r="7663" spans="1:3" x14ac:dyDescent="0.25">
      <c r="A7663" s="222">
        <v>700308</v>
      </c>
      <c r="B7663" s="223" t="s">
        <v>13097</v>
      </c>
      <c r="C7663" s="221" t="s">
        <v>13098</v>
      </c>
    </row>
    <row r="7664" spans="1:3" x14ac:dyDescent="0.25">
      <c r="A7664" s="222">
        <v>700308</v>
      </c>
      <c r="B7664" s="223" t="s">
        <v>13097</v>
      </c>
      <c r="C7664" s="221" t="s">
        <v>13099</v>
      </c>
    </row>
    <row r="7665" spans="1:3" x14ac:dyDescent="0.25">
      <c r="A7665" s="222">
        <v>700309</v>
      </c>
      <c r="B7665" s="223" t="s">
        <v>13100</v>
      </c>
      <c r="C7665" s="221" t="s">
        <v>13101</v>
      </c>
    </row>
    <row r="7666" spans="1:3" x14ac:dyDescent="0.25">
      <c r="A7666" s="222">
        <v>700309</v>
      </c>
      <c r="B7666" s="223" t="s">
        <v>13100</v>
      </c>
      <c r="C7666" s="221" t="s">
        <v>13102</v>
      </c>
    </row>
    <row r="7667" spans="1:3" x14ac:dyDescent="0.25">
      <c r="A7667" s="222">
        <v>700310</v>
      </c>
      <c r="B7667" s="223" t="s">
        <v>13103</v>
      </c>
      <c r="C7667" s="221" t="s">
        <v>13104</v>
      </c>
    </row>
    <row r="7668" spans="1:3" x14ac:dyDescent="0.25">
      <c r="A7668" s="222">
        <v>700310</v>
      </c>
      <c r="B7668" s="223" t="s">
        <v>13103</v>
      </c>
      <c r="C7668" s="221" t="s">
        <v>13105</v>
      </c>
    </row>
    <row r="7669" spans="1:3" x14ac:dyDescent="0.25">
      <c r="A7669" s="222">
        <v>700311</v>
      </c>
      <c r="B7669" s="223" t="s">
        <v>13106</v>
      </c>
      <c r="C7669" s="221" t="s">
        <v>13107</v>
      </c>
    </row>
    <row r="7670" spans="1:3" x14ac:dyDescent="0.25">
      <c r="A7670" s="222">
        <v>700311</v>
      </c>
      <c r="B7670" s="223" t="s">
        <v>13106</v>
      </c>
      <c r="C7670" s="221" t="s">
        <v>13108</v>
      </c>
    </row>
    <row r="7671" spans="1:3" x14ac:dyDescent="0.25">
      <c r="A7671" s="222">
        <v>700312</v>
      </c>
      <c r="B7671" s="223" t="s">
        <v>13109</v>
      </c>
      <c r="C7671" s="221" t="s">
        <v>13110</v>
      </c>
    </row>
    <row r="7672" spans="1:3" x14ac:dyDescent="0.25">
      <c r="A7672" s="222">
        <v>700312</v>
      </c>
      <c r="B7672" s="223" t="s">
        <v>13109</v>
      </c>
      <c r="C7672" s="221" t="s">
        <v>13111</v>
      </c>
    </row>
    <row r="7673" spans="1:3" x14ac:dyDescent="0.25">
      <c r="A7673" s="222">
        <v>700313</v>
      </c>
      <c r="B7673" s="223" t="s">
        <v>13112</v>
      </c>
      <c r="C7673" s="221" t="s">
        <v>13113</v>
      </c>
    </row>
    <row r="7674" spans="1:3" x14ac:dyDescent="0.25">
      <c r="A7674" s="222">
        <v>700313</v>
      </c>
      <c r="B7674" s="223" t="s">
        <v>13112</v>
      </c>
      <c r="C7674" s="221" t="s">
        <v>13114</v>
      </c>
    </row>
    <row r="7675" spans="1:3" x14ac:dyDescent="0.25">
      <c r="A7675" s="222">
        <v>700314</v>
      </c>
      <c r="B7675" s="223" t="s">
        <v>13115</v>
      </c>
      <c r="C7675" s="221" t="s">
        <v>13116</v>
      </c>
    </row>
    <row r="7676" spans="1:3" x14ac:dyDescent="0.25">
      <c r="A7676" s="222">
        <v>700314</v>
      </c>
      <c r="B7676" s="223" t="s">
        <v>13115</v>
      </c>
      <c r="C7676" s="221" t="s">
        <v>13117</v>
      </c>
    </row>
    <row r="7677" spans="1:3" x14ac:dyDescent="0.25">
      <c r="A7677" s="222">
        <v>700315</v>
      </c>
      <c r="B7677" s="223" t="s">
        <v>13118</v>
      </c>
      <c r="C7677" s="221" t="s">
        <v>13119</v>
      </c>
    </row>
    <row r="7678" spans="1:3" x14ac:dyDescent="0.25">
      <c r="A7678" s="222">
        <v>700315</v>
      </c>
      <c r="B7678" s="223" t="s">
        <v>13118</v>
      </c>
      <c r="C7678" s="221" t="s">
        <v>13120</v>
      </c>
    </row>
    <row r="7679" spans="1:3" x14ac:dyDescent="0.25">
      <c r="A7679" s="222">
        <v>700316</v>
      </c>
      <c r="B7679" s="223" t="s">
        <v>13121</v>
      </c>
      <c r="C7679" s="221" t="s">
        <v>13122</v>
      </c>
    </row>
    <row r="7680" spans="1:3" x14ac:dyDescent="0.25">
      <c r="A7680" s="222">
        <v>700316</v>
      </c>
      <c r="B7680" s="223" t="s">
        <v>13121</v>
      </c>
      <c r="C7680" s="221" t="s">
        <v>13123</v>
      </c>
    </row>
    <row r="7681" spans="1:3" x14ac:dyDescent="0.25">
      <c r="A7681" s="222">
        <v>700317</v>
      </c>
      <c r="B7681" s="223" t="s">
        <v>13124</v>
      </c>
      <c r="C7681" s="221" t="s">
        <v>13125</v>
      </c>
    </row>
    <row r="7682" spans="1:3" x14ac:dyDescent="0.25">
      <c r="A7682" s="222">
        <v>700317</v>
      </c>
      <c r="B7682" s="223" t="s">
        <v>13124</v>
      </c>
      <c r="C7682" s="221" t="s">
        <v>13126</v>
      </c>
    </row>
    <row r="7683" spans="1:3" x14ac:dyDescent="0.25">
      <c r="A7683" s="222">
        <v>700318</v>
      </c>
      <c r="B7683" s="223" t="s">
        <v>13127</v>
      </c>
      <c r="C7683" s="221" t="s">
        <v>13128</v>
      </c>
    </row>
    <row r="7684" spans="1:3" x14ac:dyDescent="0.25">
      <c r="A7684" s="222">
        <v>700318</v>
      </c>
      <c r="B7684" s="223" t="s">
        <v>13127</v>
      </c>
      <c r="C7684" s="221" t="s">
        <v>13129</v>
      </c>
    </row>
    <row r="7685" spans="1:3" x14ac:dyDescent="0.25">
      <c r="A7685" s="222">
        <v>700319</v>
      </c>
      <c r="B7685" s="223" t="s">
        <v>13130</v>
      </c>
      <c r="C7685" s="221" t="s">
        <v>13131</v>
      </c>
    </row>
    <row r="7686" spans="1:3" x14ac:dyDescent="0.25">
      <c r="A7686" s="222">
        <v>700319</v>
      </c>
      <c r="B7686" s="223" t="s">
        <v>13130</v>
      </c>
      <c r="C7686" s="221" t="s">
        <v>13132</v>
      </c>
    </row>
    <row r="7687" spans="1:3" x14ac:dyDescent="0.25">
      <c r="A7687" s="222">
        <v>700320</v>
      </c>
      <c r="B7687" s="223" t="s">
        <v>13133</v>
      </c>
      <c r="C7687" s="221" t="s">
        <v>13134</v>
      </c>
    </row>
    <row r="7688" spans="1:3" x14ac:dyDescent="0.25">
      <c r="A7688" s="222">
        <v>700320</v>
      </c>
      <c r="B7688" s="223" t="s">
        <v>13133</v>
      </c>
      <c r="C7688" s="221" t="s">
        <v>13135</v>
      </c>
    </row>
    <row r="7689" spans="1:3" x14ac:dyDescent="0.25">
      <c r="A7689" s="222">
        <v>700321</v>
      </c>
      <c r="B7689" s="223" t="s">
        <v>13136</v>
      </c>
      <c r="C7689" s="221" t="s">
        <v>13137</v>
      </c>
    </row>
    <row r="7690" spans="1:3" x14ac:dyDescent="0.25">
      <c r="A7690" s="222">
        <v>700321</v>
      </c>
      <c r="B7690" s="223" t="s">
        <v>13136</v>
      </c>
      <c r="C7690" s="221" t="s">
        <v>13138</v>
      </c>
    </row>
    <row r="7691" spans="1:3" x14ac:dyDescent="0.25">
      <c r="A7691" s="222">
        <v>700322</v>
      </c>
      <c r="B7691" s="223" t="s">
        <v>13139</v>
      </c>
      <c r="C7691" s="221" t="s">
        <v>13140</v>
      </c>
    </row>
    <row r="7692" spans="1:3" x14ac:dyDescent="0.25">
      <c r="A7692" s="222">
        <v>700322</v>
      </c>
      <c r="B7692" s="223" t="s">
        <v>13139</v>
      </c>
      <c r="C7692" s="221" t="s">
        <v>13141</v>
      </c>
    </row>
    <row r="7693" spans="1:3" x14ac:dyDescent="0.25">
      <c r="A7693" s="222">
        <v>700323</v>
      </c>
      <c r="B7693" s="223" t="s">
        <v>13142</v>
      </c>
      <c r="C7693" s="221" t="s">
        <v>13143</v>
      </c>
    </row>
    <row r="7694" spans="1:3" x14ac:dyDescent="0.25">
      <c r="A7694" s="222">
        <v>700323</v>
      </c>
      <c r="B7694" s="223" t="s">
        <v>13142</v>
      </c>
      <c r="C7694" s="221" t="s">
        <v>13144</v>
      </c>
    </row>
    <row r="7695" spans="1:3" x14ac:dyDescent="0.25">
      <c r="A7695" s="222">
        <v>700324</v>
      </c>
      <c r="B7695" s="223" t="s">
        <v>13145</v>
      </c>
      <c r="C7695" s="221" t="s">
        <v>13146</v>
      </c>
    </row>
    <row r="7696" spans="1:3" x14ac:dyDescent="0.25">
      <c r="A7696" s="222">
        <v>700324</v>
      </c>
      <c r="B7696" s="223" t="s">
        <v>13145</v>
      </c>
      <c r="C7696" s="221" t="s">
        <v>13147</v>
      </c>
    </row>
    <row r="7697" spans="1:3" x14ac:dyDescent="0.25">
      <c r="A7697" s="222">
        <v>700325</v>
      </c>
      <c r="B7697" s="223" t="s">
        <v>13148</v>
      </c>
      <c r="C7697" s="221" t="s">
        <v>13149</v>
      </c>
    </row>
    <row r="7698" spans="1:3" x14ac:dyDescent="0.25">
      <c r="A7698" s="222">
        <v>700325</v>
      </c>
      <c r="B7698" s="223" t="s">
        <v>13148</v>
      </c>
      <c r="C7698" s="221" t="s">
        <v>13150</v>
      </c>
    </row>
    <row r="7699" spans="1:3" x14ac:dyDescent="0.25">
      <c r="A7699" s="222">
        <v>700326</v>
      </c>
      <c r="B7699" s="223" t="s">
        <v>13151</v>
      </c>
      <c r="C7699" s="221" t="s">
        <v>13152</v>
      </c>
    </row>
    <row r="7700" spans="1:3" x14ac:dyDescent="0.25">
      <c r="A7700" s="222">
        <v>700326</v>
      </c>
      <c r="B7700" s="223" t="s">
        <v>13151</v>
      </c>
      <c r="C7700" s="221" t="s">
        <v>13153</v>
      </c>
    </row>
    <row r="7701" spans="1:3" x14ac:dyDescent="0.25">
      <c r="A7701" s="222">
        <v>700327</v>
      </c>
      <c r="B7701" s="223" t="s">
        <v>13154</v>
      </c>
      <c r="C7701" s="221" t="s">
        <v>13155</v>
      </c>
    </row>
    <row r="7702" spans="1:3" x14ac:dyDescent="0.25">
      <c r="A7702" s="222">
        <v>700327</v>
      </c>
      <c r="B7702" s="223" t="s">
        <v>13154</v>
      </c>
      <c r="C7702" s="221" t="s">
        <v>13156</v>
      </c>
    </row>
    <row r="7703" spans="1:3" x14ac:dyDescent="0.25">
      <c r="A7703" s="222">
        <v>700328</v>
      </c>
      <c r="B7703" s="223" t="s">
        <v>13157</v>
      </c>
      <c r="C7703" s="221" t="s">
        <v>13158</v>
      </c>
    </row>
    <row r="7704" spans="1:3" x14ac:dyDescent="0.25">
      <c r="A7704" s="222">
        <v>700328</v>
      </c>
      <c r="B7704" s="223" t="s">
        <v>13157</v>
      </c>
      <c r="C7704" s="221" t="s">
        <v>13159</v>
      </c>
    </row>
    <row r="7705" spans="1:3" x14ac:dyDescent="0.25">
      <c r="A7705" s="222">
        <v>700329</v>
      </c>
      <c r="B7705" s="223" t="s">
        <v>13160</v>
      </c>
      <c r="C7705" s="221" t="s">
        <v>13161</v>
      </c>
    </row>
    <row r="7706" spans="1:3" x14ac:dyDescent="0.25">
      <c r="A7706" s="222">
        <v>700329</v>
      </c>
      <c r="B7706" s="223" t="s">
        <v>13160</v>
      </c>
      <c r="C7706" s="221" t="s">
        <v>13162</v>
      </c>
    </row>
    <row r="7707" spans="1:3" x14ac:dyDescent="0.25">
      <c r="A7707" s="222">
        <v>700330</v>
      </c>
      <c r="B7707" s="223" t="s">
        <v>13163</v>
      </c>
      <c r="C7707" s="221" t="s">
        <v>13164</v>
      </c>
    </row>
    <row r="7708" spans="1:3" x14ac:dyDescent="0.25">
      <c r="A7708" s="222">
        <v>700330</v>
      </c>
      <c r="B7708" s="223" t="s">
        <v>13163</v>
      </c>
      <c r="C7708" s="221" t="s">
        <v>13165</v>
      </c>
    </row>
    <row r="7709" spans="1:3" x14ac:dyDescent="0.25">
      <c r="A7709" s="222">
        <v>700331</v>
      </c>
      <c r="B7709" s="223" t="s">
        <v>13166</v>
      </c>
      <c r="C7709" s="221" t="s">
        <v>13167</v>
      </c>
    </row>
    <row r="7710" spans="1:3" x14ac:dyDescent="0.25">
      <c r="A7710" s="222">
        <v>700331</v>
      </c>
      <c r="B7710" s="223" t="s">
        <v>13166</v>
      </c>
      <c r="C7710" s="221" t="s">
        <v>13168</v>
      </c>
    </row>
    <row r="7711" spans="1:3" x14ac:dyDescent="0.25">
      <c r="A7711" s="222">
        <v>700332</v>
      </c>
      <c r="B7711" s="223" t="s">
        <v>13169</v>
      </c>
      <c r="C7711" s="221" t="s">
        <v>13170</v>
      </c>
    </row>
    <row r="7712" spans="1:3" x14ac:dyDescent="0.25">
      <c r="A7712" s="222">
        <v>700332</v>
      </c>
      <c r="B7712" s="223" t="s">
        <v>13169</v>
      </c>
      <c r="C7712" s="221" t="s">
        <v>13171</v>
      </c>
    </row>
    <row r="7713" spans="1:3" x14ac:dyDescent="0.25">
      <c r="A7713" s="222">
        <v>700333</v>
      </c>
      <c r="B7713" s="223" t="s">
        <v>13172</v>
      </c>
      <c r="C7713" s="221" t="s">
        <v>13173</v>
      </c>
    </row>
    <row r="7714" spans="1:3" x14ac:dyDescent="0.25">
      <c r="A7714" s="222">
        <v>700333</v>
      </c>
      <c r="B7714" s="223" t="s">
        <v>13172</v>
      </c>
      <c r="C7714" s="221" t="s">
        <v>13174</v>
      </c>
    </row>
    <row r="7715" spans="1:3" x14ac:dyDescent="0.25">
      <c r="A7715" s="222">
        <v>700334</v>
      </c>
      <c r="B7715" s="223" t="s">
        <v>13175</v>
      </c>
      <c r="C7715" s="221" t="s">
        <v>13176</v>
      </c>
    </row>
    <row r="7716" spans="1:3" x14ac:dyDescent="0.25">
      <c r="A7716" s="222">
        <v>700334</v>
      </c>
      <c r="B7716" s="223" t="s">
        <v>13175</v>
      </c>
      <c r="C7716" s="221" t="s">
        <v>13177</v>
      </c>
    </row>
    <row r="7717" spans="1:3" x14ac:dyDescent="0.25">
      <c r="A7717" s="222">
        <v>700335</v>
      </c>
      <c r="B7717" s="223" t="s">
        <v>13178</v>
      </c>
      <c r="C7717" s="221" t="s">
        <v>13179</v>
      </c>
    </row>
    <row r="7718" spans="1:3" x14ac:dyDescent="0.25">
      <c r="A7718" s="222">
        <v>700335</v>
      </c>
      <c r="B7718" s="223" t="s">
        <v>13178</v>
      </c>
      <c r="C7718" s="221" t="s">
        <v>13180</v>
      </c>
    </row>
    <row r="7719" spans="1:3" x14ac:dyDescent="0.25">
      <c r="A7719" s="222">
        <v>700336</v>
      </c>
      <c r="B7719" s="223" t="s">
        <v>13181</v>
      </c>
      <c r="C7719" s="221" t="s">
        <v>13182</v>
      </c>
    </row>
    <row r="7720" spans="1:3" x14ac:dyDescent="0.25">
      <c r="A7720" s="222">
        <v>700336</v>
      </c>
      <c r="B7720" s="223" t="s">
        <v>13181</v>
      </c>
      <c r="C7720" s="221" t="s">
        <v>13183</v>
      </c>
    </row>
    <row r="7721" spans="1:3" x14ac:dyDescent="0.25">
      <c r="A7721" s="222">
        <v>700337</v>
      </c>
      <c r="B7721" s="223" t="s">
        <v>13184</v>
      </c>
      <c r="C7721" s="221" t="s">
        <v>13185</v>
      </c>
    </row>
    <row r="7722" spans="1:3" x14ac:dyDescent="0.25">
      <c r="A7722" s="222">
        <v>700337</v>
      </c>
      <c r="B7722" s="223" t="s">
        <v>13184</v>
      </c>
      <c r="C7722" s="221" t="s">
        <v>13186</v>
      </c>
    </row>
    <row r="7723" spans="1:3" x14ac:dyDescent="0.25">
      <c r="A7723" s="222">
        <v>700342</v>
      </c>
      <c r="B7723" s="223" t="s">
        <v>13187</v>
      </c>
      <c r="C7723" s="221" t="s">
        <v>13188</v>
      </c>
    </row>
    <row r="7724" spans="1:3" x14ac:dyDescent="0.25">
      <c r="A7724" s="222">
        <v>700342</v>
      </c>
      <c r="B7724" s="223" t="s">
        <v>13187</v>
      </c>
      <c r="C7724" s="221" t="s">
        <v>13189</v>
      </c>
    </row>
    <row r="7725" spans="1:3" x14ac:dyDescent="0.25">
      <c r="A7725" s="222">
        <v>700343</v>
      </c>
      <c r="B7725" s="223" t="s">
        <v>13190</v>
      </c>
      <c r="C7725" s="221" t="s">
        <v>13191</v>
      </c>
    </row>
    <row r="7726" spans="1:3" x14ac:dyDescent="0.25">
      <c r="A7726" s="222">
        <v>700343</v>
      </c>
      <c r="B7726" s="223" t="s">
        <v>13190</v>
      </c>
      <c r="C7726" s="221" t="s">
        <v>13192</v>
      </c>
    </row>
    <row r="7727" spans="1:3" x14ac:dyDescent="0.25">
      <c r="A7727" s="222">
        <v>700344</v>
      </c>
      <c r="B7727" s="223" t="s">
        <v>13193</v>
      </c>
      <c r="C7727" s="221" t="s">
        <v>13194</v>
      </c>
    </row>
    <row r="7728" spans="1:3" x14ac:dyDescent="0.25">
      <c r="A7728" s="222">
        <v>700344</v>
      </c>
      <c r="B7728" s="223" t="s">
        <v>13193</v>
      </c>
      <c r="C7728" s="221" t="s">
        <v>13195</v>
      </c>
    </row>
    <row r="7729" spans="1:3" x14ac:dyDescent="0.25">
      <c r="A7729" s="222">
        <v>700346</v>
      </c>
      <c r="B7729" s="223" t="s">
        <v>13196</v>
      </c>
      <c r="C7729" s="221" t="s">
        <v>13197</v>
      </c>
    </row>
    <row r="7730" spans="1:3" x14ac:dyDescent="0.25">
      <c r="A7730" s="222">
        <v>700346</v>
      </c>
      <c r="B7730" s="223" t="s">
        <v>13196</v>
      </c>
      <c r="C7730" s="221" t="s">
        <v>13198</v>
      </c>
    </row>
    <row r="7731" spans="1:3" x14ac:dyDescent="0.25">
      <c r="A7731" s="222">
        <v>700347</v>
      </c>
      <c r="B7731" s="223" t="s">
        <v>13199</v>
      </c>
      <c r="C7731" s="221" t="s">
        <v>13200</v>
      </c>
    </row>
    <row r="7732" spans="1:3" x14ac:dyDescent="0.25">
      <c r="A7732" s="222">
        <v>700347</v>
      </c>
      <c r="B7732" s="223" t="s">
        <v>13199</v>
      </c>
      <c r="C7732" s="221" t="s">
        <v>13201</v>
      </c>
    </row>
    <row r="7733" spans="1:3" x14ac:dyDescent="0.25">
      <c r="A7733" s="222">
        <v>700348</v>
      </c>
      <c r="B7733" s="223" t="s">
        <v>13202</v>
      </c>
      <c r="C7733" s="221" t="s">
        <v>13203</v>
      </c>
    </row>
    <row r="7734" spans="1:3" x14ac:dyDescent="0.25">
      <c r="A7734" s="222">
        <v>700348</v>
      </c>
      <c r="B7734" s="223" t="s">
        <v>13202</v>
      </c>
      <c r="C7734" s="221" t="s">
        <v>13204</v>
      </c>
    </row>
    <row r="7735" spans="1:3" x14ac:dyDescent="0.25">
      <c r="A7735" s="222">
        <v>700351</v>
      </c>
      <c r="B7735" s="223" t="s">
        <v>13205</v>
      </c>
      <c r="C7735" s="221" t="s">
        <v>13206</v>
      </c>
    </row>
    <row r="7736" spans="1:3" x14ac:dyDescent="0.25">
      <c r="A7736" s="222">
        <v>700351</v>
      </c>
      <c r="B7736" s="223" t="s">
        <v>13205</v>
      </c>
      <c r="C7736" s="221" t="s">
        <v>13207</v>
      </c>
    </row>
    <row r="7737" spans="1:3" x14ac:dyDescent="0.25">
      <c r="A7737" s="222">
        <v>700352</v>
      </c>
      <c r="B7737" s="223" t="s">
        <v>13208</v>
      </c>
      <c r="C7737" s="221" t="s">
        <v>13209</v>
      </c>
    </row>
    <row r="7738" spans="1:3" x14ac:dyDescent="0.25">
      <c r="A7738" s="222">
        <v>700353</v>
      </c>
      <c r="B7738" s="223" t="s">
        <v>13210</v>
      </c>
      <c r="C7738" s="221" t="s">
        <v>13211</v>
      </c>
    </row>
    <row r="7739" spans="1:3" x14ac:dyDescent="0.25">
      <c r="A7739" s="222">
        <v>700353</v>
      </c>
      <c r="B7739" s="223" t="s">
        <v>13210</v>
      </c>
      <c r="C7739" s="221" t="s">
        <v>13212</v>
      </c>
    </row>
    <row r="7740" spans="1:3" x14ac:dyDescent="0.25">
      <c r="A7740" s="222">
        <v>700354</v>
      </c>
      <c r="B7740" s="223" t="s">
        <v>13213</v>
      </c>
      <c r="C7740" s="221" t="s">
        <v>13214</v>
      </c>
    </row>
    <row r="7741" spans="1:3" x14ac:dyDescent="0.25">
      <c r="A7741" s="222">
        <v>700354</v>
      </c>
      <c r="B7741" s="223" t="s">
        <v>13213</v>
      </c>
      <c r="C7741" s="221" t="s">
        <v>13215</v>
      </c>
    </row>
    <row r="7742" spans="1:3" x14ac:dyDescent="0.25">
      <c r="A7742" s="222">
        <v>700355</v>
      </c>
      <c r="B7742" s="223" t="s">
        <v>13216</v>
      </c>
      <c r="C7742" s="221" t="s">
        <v>13217</v>
      </c>
    </row>
    <row r="7743" spans="1:3" x14ac:dyDescent="0.25">
      <c r="A7743" s="222">
        <v>700355</v>
      </c>
      <c r="B7743" s="223" t="s">
        <v>13216</v>
      </c>
      <c r="C7743" s="221" t="s">
        <v>13218</v>
      </c>
    </row>
    <row r="7744" spans="1:3" x14ac:dyDescent="0.25">
      <c r="A7744" s="222">
        <v>700356</v>
      </c>
      <c r="B7744" s="223" t="s">
        <v>13219</v>
      </c>
      <c r="C7744" s="221" t="s">
        <v>13220</v>
      </c>
    </row>
    <row r="7745" spans="1:3" x14ac:dyDescent="0.25">
      <c r="A7745" s="222">
        <v>700356</v>
      </c>
      <c r="B7745" s="223" t="s">
        <v>13219</v>
      </c>
      <c r="C7745" s="221" t="s">
        <v>13221</v>
      </c>
    </row>
    <row r="7746" spans="1:3" x14ac:dyDescent="0.25">
      <c r="A7746" s="222">
        <v>700357</v>
      </c>
      <c r="B7746" s="223" t="s">
        <v>13222</v>
      </c>
      <c r="C7746" s="221" t="s">
        <v>13223</v>
      </c>
    </row>
    <row r="7747" spans="1:3" x14ac:dyDescent="0.25">
      <c r="A7747" s="222">
        <v>700357</v>
      </c>
      <c r="B7747" s="223" t="s">
        <v>13222</v>
      </c>
      <c r="C7747" s="221" t="s">
        <v>13224</v>
      </c>
    </row>
    <row r="7748" spans="1:3" x14ac:dyDescent="0.25">
      <c r="A7748" s="222">
        <v>700358</v>
      </c>
      <c r="B7748" s="223" t="s">
        <v>13225</v>
      </c>
      <c r="C7748" s="221" t="s">
        <v>13226</v>
      </c>
    </row>
    <row r="7749" spans="1:3" x14ac:dyDescent="0.25">
      <c r="A7749" s="222">
        <v>700358</v>
      </c>
      <c r="B7749" s="223" t="s">
        <v>13225</v>
      </c>
      <c r="C7749" s="221" t="s">
        <v>13227</v>
      </c>
    </row>
    <row r="7750" spans="1:3" x14ac:dyDescent="0.25">
      <c r="A7750" s="222">
        <v>700359</v>
      </c>
      <c r="B7750" s="223" t="s">
        <v>13228</v>
      </c>
      <c r="C7750" s="221" t="s">
        <v>13229</v>
      </c>
    </row>
    <row r="7751" spans="1:3" x14ac:dyDescent="0.25">
      <c r="A7751" s="222">
        <v>700359</v>
      </c>
      <c r="B7751" s="223" t="s">
        <v>13228</v>
      </c>
      <c r="C7751" s="221" t="s">
        <v>13230</v>
      </c>
    </row>
    <row r="7752" spans="1:3" x14ac:dyDescent="0.25">
      <c r="A7752" s="222">
        <v>700360</v>
      </c>
      <c r="B7752" s="223" t="s">
        <v>13231</v>
      </c>
      <c r="C7752" s="221" t="s">
        <v>13232</v>
      </c>
    </row>
    <row r="7753" spans="1:3" x14ac:dyDescent="0.25">
      <c r="A7753" s="222">
        <v>700360</v>
      </c>
      <c r="B7753" s="223" t="s">
        <v>13231</v>
      </c>
      <c r="C7753" s="221" t="s">
        <v>13233</v>
      </c>
    </row>
    <row r="7754" spans="1:3" x14ac:dyDescent="0.25">
      <c r="A7754" s="222">
        <v>700361</v>
      </c>
      <c r="B7754" s="223" t="s">
        <v>13234</v>
      </c>
      <c r="C7754" s="221" t="s">
        <v>13235</v>
      </c>
    </row>
    <row r="7755" spans="1:3" x14ac:dyDescent="0.25">
      <c r="A7755" s="222">
        <v>700361</v>
      </c>
      <c r="B7755" s="223" t="s">
        <v>13234</v>
      </c>
      <c r="C7755" s="221" t="s">
        <v>13236</v>
      </c>
    </row>
    <row r="7756" spans="1:3" x14ac:dyDescent="0.25">
      <c r="A7756" s="222">
        <v>700362</v>
      </c>
      <c r="B7756" s="223" t="s">
        <v>13237</v>
      </c>
      <c r="C7756" s="221" t="s">
        <v>13238</v>
      </c>
    </row>
    <row r="7757" spans="1:3" x14ac:dyDescent="0.25">
      <c r="A7757" s="222">
        <v>700362</v>
      </c>
      <c r="B7757" s="223" t="s">
        <v>13237</v>
      </c>
      <c r="C7757" s="221" t="s">
        <v>13239</v>
      </c>
    </row>
    <row r="7758" spans="1:3" x14ac:dyDescent="0.25">
      <c r="A7758" s="222">
        <v>700363</v>
      </c>
      <c r="B7758" s="223" t="s">
        <v>13240</v>
      </c>
      <c r="C7758" s="221" t="s">
        <v>13241</v>
      </c>
    </row>
    <row r="7759" spans="1:3" x14ac:dyDescent="0.25">
      <c r="A7759" s="222">
        <v>700363</v>
      </c>
      <c r="B7759" s="223" t="s">
        <v>13240</v>
      </c>
      <c r="C7759" s="221" t="s">
        <v>13242</v>
      </c>
    </row>
    <row r="7760" spans="1:3" x14ac:dyDescent="0.25">
      <c r="A7760" s="222">
        <v>700364</v>
      </c>
      <c r="B7760" s="223" t="s">
        <v>13243</v>
      </c>
      <c r="C7760" s="221" t="s">
        <v>13244</v>
      </c>
    </row>
    <row r="7761" spans="1:3" x14ac:dyDescent="0.25">
      <c r="A7761" s="222">
        <v>700364</v>
      </c>
      <c r="B7761" s="223" t="s">
        <v>13243</v>
      </c>
      <c r="C7761" s="221" t="s">
        <v>13245</v>
      </c>
    </row>
    <row r="7762" spans="1:3" x14ac:dyDescent="0.25">
      <c r="A7762" s="222">
        <v>700365</v>
      </c>
      <c r="B7762" s="223" t="s">
        <v>13246</v>
      </c>
      <c r="C7762" s="221" t="s">
        <v>13247</v>
      </c>
    </row>
    <row r="7763" spans="1:3" x14ac:dyDescent="0.25">
      <c r="A7763" s="222">
        <v>700365</v>
      </c>
      <c r="B7763" s="223" t="s">
        <v>13246</v>
      </c>
      <c r="C7763" s="221" t="s">
        <v>13248</v>
      </c>
    </row>
    <row r="7764" spans="1:3" x14ac:dyDescent="0.25">
      <c r="A7764" s="222">
        <v>700366</v>
      </c>
      <c r="B7764" s="223" t="s">
        <v>13249</v>
      </c>
      <c r="C7764" s="221" t="s">
        <v>13250</v>
      </c>
    </row>
    <row r="7765" spans="1:3" x14ac:dyDescent="0.25">
      <c r="A7765" s="222">
        <v>700366</v>
      </c>
      <c r="B7765" s="223" t="s">
        <v>13249</v>
      </c>
      <c r="C7765" s="221" t="s">
        <v>13251</v>
      </c>
    </row>
    <row r="7766" spans="1:3" x14ac:dyDescent="0.25">
      <c r="A7766" s="222">
        <v>700367</v>
      </c>
      <c r="B7766" s="223" t="s">
        <v>13252</v>
      </c>
      <c r="C7766" s="221" t="s">
        <v>13253</v>
      </c>
    </row>
    <row r="7767" spans="1:3" x14ac:dyDescent="0.25">
      <c r="A7767" s="222">
        <v>700367</v>
      </c>
      <c r="B7767" s="223" t="s">
        <v>13252</v>
      </c>
      <c r="C7767" s="221" t="s">
        <v>13254</v>
      </c>
    </row>
    <row r="7768" spans="1:3" x14ac:dyDescent="0.25">
      <c r="A7768" s="222">
        <v>700368</v>
      </c>
      <c r="B7768" s="223" t="s">
        <v>13255</v>
      </c>
      <c r="C7768" s="221" t="s">
        <v>13256</v>
      </c>
    </row>
    <row r="7769" spans="1:3" x14ac:dyDescent="0.25">
      <c r="A7769" s="222">
        <v>700368</v>
      </c>
      <c r="B7769" s="223" t="s">
        <v>13255</v>
      </c>
      <c r="C7769" s="221" t="s">
        <v>13257</v>
      </c>
    </row>
    <row r="7770" spans="1:3" x14ac:dyDescent="0.25">
      <c r="A7770" s="222">
        <v>700369</v>
      </c>
      <c r="B7770" s="223" t="s">
        <v>13258</v>
      </c>
      <c r="C7770" s="221" t="s">
        <v>13259</v>
      </c>
    </row>
    <row r="7771" spans="1:3" x14ac:dyDescent="0.25">
      <c r="A7771" s="222">
        <v>700369</v>
      </c>
      <c r="B7771" s="223" t="s">
        <v>13258</v>
      </c>
      <c r="C7771" s="221" t="s">
        <v>13260</v>
      </c>
    </row>
    <row r="7772" spans="1:3" x14ac:dyDescent="0.25">
      <c r="A7772" s="222">
        <v>700370</v>
      </c>
      <c r="B7772" s="223" t="s">
        <v>13261</v>
      </c>
      <c r="C7772" s="221" t="s">
        <v>13262</v>
      </c>
    </row>
    <row r="7773" spans="1:3" x14ac:dyDescent="0.25">
      <c r="A7773" s="222">
        <v>700370</v>
      </c>
      <c r="B7773" s="223" t="s">
        <v>13261</v>
      </c>
      <c r="C7773" s="221" t="s">
        <v>13263</v>
      </c>
    </row>
    <row r="7774" spans="1:3" x14ac:dyDescent="0.25">
      <c r="A7774" s="222">
        <v>700371</v>
      </c>
      <c r="B7774" s="223" t="s">
        <v>13264</v>
      </c>
      <c r="C7774" s="221" t="s">
        <v>13265</v>
      </c>
    </row>
    <row r="7775" spans="1:3" x14ac:dyDescent="0.25">
      <c r="A7775" s="222">
        <v>700372</v>
      </c>
      <c r="B7775" s="223" t="s">
        <v>13266</v>
      </c>
      <c r="C7775" s="221" t="s">
        <v>13267</v>
      </c>
    </row>
    <row r="7776" spans="1:3" x14ac:dyDescent="0.25">
      <c r="A7776" s="222">
        <v>700373</v>
      </c>
      <c r="B7776" s="223" t="s">
        <v>13268</v>
      </c>
      <c r="C7776" s="221" t="s">
        <v>13269</v>
      </c>
    </row>
    <row r="7777" spans="1:3" x14ac:dyDescent="0.25">
      <c r="A7777" s="222">
        <v>700374</v>
      </c>
      <c r="B7777" s="223" t="s">
        <v>13270</v>
      </c>
      <c r="C7777" s="221" t="s">
        <v>13271</v>
      </c>
    </row>
    <row r="7778" spans="1:3" x14ac:dyDescent="0.25">
      <c r="A7778" s="222">
        <v>700375</v>
      </c>
      <c r="B7778" s="223" t="s">
        <v>13272</v>
      </c>
      <c r="C7778" s="221" t="s">
        <v>13273</v>
      </c>
    </row>
    <row r="7779" spans="1:3" x14ac:dyDescent="0.25">
      <c r="A7779" s="222">
        <v>700376</v>
      </c>
      <c r="B7779" s="223" t="s">
        <v>13274</v>
      </c>
      <c r="C7779" s="221" t="s">
        <v>13275</v>
      </c>
    </row>
    <row r="7780" spans="1:3" x14ac:dyDescent="0.25">
      <c r="A7780" s="222">
        <v>700377</v>
      </c>
      <c r="B7780" s="223" t="s">
        <v>13276</v>
      </c>
      <c r="C7780" s="221" t="s">
        <v>13277</v>
      </c>
    </row>
    <row r="7781" spans="1:3" x14ac:dyDescent="0.25">
      <c r="A7781" s="222">
        <v>700378</v>
      </c>
      <c r="B7781" s="223" t="s">
        <v>13278</v>
      </c>
      <c r="C7781" s="221" t="s">
        <v>13279</v>
      </c>
    </row>
    <row r="7782" spans="1:3" x14ac:dyDescent="0.25">
      <c r="A7782" s="222">
        <v>700379</v>
      </c>
      <c r="B7782" s="223" t="s">
        <v>13280</v>
      </c>
      <c r="C7782" s="221" t="s">
        <v>13281</v>
      </c>
    </row>
    <row r="7783" spans="1:3" x14ac:dyDescent="0.25">
      <c r="A7783" s="222">
        <v>700380</v>
      </c>
      <c r="B7783" s="223" t="s">
        <v>13282</v>
      </c>
      <c r="C7783" s="221" t="s">
        <v>13283</v>
      </c>
    </row>
    <row r="7784" spans="1:3" x14ac:dyDescent="0.25">
      <c r="A7784" s="222">
        <v>700381</v>
      </c>
      <c r="B7784" s="223" t="s">
        <v>13284</v>
      </c>
      <c r="C7784" s="221" t="s">
        <v>13285</v>
      </c>
    </row>
    <row r="7785" spans="1:3" x14ac:dyDescent="0.25">
      <c r="A7785" s="222">
        <v>700382</v>
      </c>
      <c r="B7785" s="223" t="s">
        <v>13286</v>
      </c>
      <c r="C7785" s="221" t="s">
        <v>13287</v>
      </c>
    </row>
    <row r="7786" spans="1:3" x14ac:dyDescent="0.25">
      <c r="A7786" s="222">
        <v>700383</v>
      </c>
      <c r="B7786" s="223" t="s">
        <v>13288</v>
      </c>
      <c r="C7786" s="221" t="s">
        <v>13289</v>
      </c>
    </row>
    <row r="7787" spans="1:3" x14ac:dyDescent="0.25">
      <c r="A7787" s="222">
        <v>700384</v>
      </c>
      <c r="B7787" s="223" t="s">
        <v>13290</v>
      </c>
      <c r="C7787" s="221" t="s">
        <v>13291</v>
      </c>
    </row>
    <row r="7788" spans="1:3" x14ac:dyDescent="0.25">
      <c r="A7788" s="222">
        <v>700385</v>
      </c>
      <c r="B7788" s="223" t="s">
        <v>13292</v>
      </c>
      <c r="C7788" s="221" t="s">
        <v>13293</v>
      </c>
    </row>
    <row r="7789" spans="1:3" x14ac:dyDescent="0.25">
      <c r="A7789" s="222">
        <v>700386</v>
      </c>
      <c r="B7789" s="223" t="s">
        <v>13294</v>
      </c>
      <c r="C7789" s="221" t="s">
        <v>13295</v>
      </c>
    </row>
    <row r="7790" spans="1:3" x14ac:dyDescent="0.25">
      <c r="A7790" s="222">
        <v>700387</v>
      </c>
      <c r="B7790" s="223" t="s">
        <v>13296</v>
      </c>
      <c r="C7790" s="221" t="s">
        <v>13297</v>
      </c>
    </row>
    <row r="7791" spans="1:3" x14ac:dyDescent="0.25">
      <c r="A7791" s="222">
        <v>700388</v>
      </c>
      <c r="B7791" s="223" t="s">
        <v>13298</v>
      </c>
      <c r="C7791" s="221" t="s">
        <v>13299</v>
      </c>
    </row>
    <row r="7792" spans="1:3" x14ac:dyDescent="0.25">
      <c r="A7792" s="222">
        <v>700389</v>
      </c>
      <c r="B7792" s="223" t="s">
        <v>13300</v>
      </c>
      <c r="C7792" s="221" t="s">
        <v>13301</v>
      </c>
    </row>
    <row r="7793" spans="1:3" x14ac:dyDescent="0.25">
      <c r="A7793" s="222">
        <v>700390</v>
      </c>
      <c r="B7793" s="223" t="s">
        <v>13302</v>
      </c>
      <c r="C7793" s="221" t="s">
        <v>13303</v>
      </c>
    </row>
    <row r="7794" spans="1:3" x14ac:dyDescent="0.25">
      <c r="A7794" s="222">
        <v>700391</v>
      </c>
      <c r="B7794" s="223" t="s">
        <v>13304</v>
      </c>
      <c r="C7794" s="221" t="s">
        <v>13305</v>
      </c>
    </row>
    <row r="7795" spans="1:3" x14ac:dyDescent="0.25">
      <c r="A7795" s="222">
        <v>700392</v>
      </c>
      <c r="B7795" s="223" t="s">
        <v>13306</v>
      </c>
      <c r="C7795" s="221" t="s">
        <v>13307</v>
      </c>
    </row>
    <row r="7796" spans="1:3" x14ac:dyDescent="0.25">
      <c r="A7796" s="222">
        <v>700393</v>
      </c>
      <c r="B7796" s="223" t="s">
        <v>13308</v>
      </c>
      <c r="C7796" s="221" t="s">
        <v>13309</v>
      </c>
    </row>
    <row r="7797" spans="1:3" x14ac:dyDescent="0.25">
      <c r="A7797" s="222">
        <v>700394</v>
      </c>
      <c r="B7797" s="223" t="s">
        <v>13310</v>
      </c>
      <c r="C7797" s="221" t="s">
        <v>13311</v>
      </c>
    </row>
    <row r="7798" spans="1:3" x14ac:dyDescent="0.25">
      <c r="A7798" s="222">
        <v>700395</v>
      </c>
      <c r="B7798" s="223" t="s">
        <v>13312</v>
      </c>
      <c r="C7798" s="221" t="s">
        <v>13313</v>
      </c>
    </row>
    <row r="7799" spans="1:3" x14ac:dyDescent="0.25">
      <c r="A7799" s="222">
        <v>700396</v>
      </c>
      <c r="B7799" s="223" t="s">
        <v>13314</v>
      </c>
      <c r="C7799" s="221" t="s">
        <v>13315</v>
      </c>
    </row>
    <row r="7800" spans="1:3" x14ac:dyDescent="0.25">
      <c r="A7800" s="222">
        <v>700397</v>
      </c>
      <c r="B7800" s="223" t="s">
        <v>13316</v>
      </c>
      <c r="C7800" s="221" t="s">
        <v>13317</v>
      </c>
    </row>
    <row r="7801" spans="1:3" x14ac:dyDescent="0.25">
      <c r="A7801" s="222">
        <v>700398</v>
      </c>
      <c r="B7801" s="223" t="s">
        <v>13318</v>
      </c>
      <c r="C7801" s="221" t="s">
        <v>13319</v>
      </c>
    </row>
    <row r="7802" spans="1:3" x14ac:dyDescent="0.25">
      <c r="A7802" s="222">
        <v>700399</v>
      </c>
      <c r="B7802" s="223" t="s">
        <v>13320</v>
      </c>
      <c r="C7802" s="221" t="s">
        <v>13321</v>
      </c>
    </row>
    <row r="7803" spans="1:3" x14ac:dyDescent="0.25">
      <c r="A7803" s="222">
        <v>700400</v>
      </c>
      <c r="B7803" s="223" t="s">
        <v>13322</v>
      </c>
      <c r="C7803" s="221" t="s">
        <v>13323</v>
      </c>
    </row>
    <row r="7804" spans="1:3" x14ac:dyDescent="0.25">
      <c r="A7804" s="222">
        <v>700401</v>
      </c>
      <c r="B7804" s="223" t="s">
        <v>13324</v>
      </c>
      <c r="C7804" s="221" t="s">
        <v>13325</v>
      </c>
    </row>
    <row r="7805" spans="1:3" x14ac:dyDescent="0.25">
      <c r="A7805" s="222">
        <v>700402</v>
      </c>
      <c r="B7805" s="223" t="s">
        <v>13326</v>
      </c>
      <c r="C7805" s="221" t="s">
        <v>13327</v>
      </c>
    </row>
    <row r="7806" spans="1:3" x14ac:dyDescent="0.25">
      <c r="A7806" s="222">
        <v>700403</v>
      </c>
      <c r="B7806" s="223" t="s">
        <v>13328</v>
      </c>
      <c r="C7806" s="221" t="s">
        <v>13329</v>
      </c>
    </row>
    <row r="7807" spans="1:3" x14ac:dyDescent="0.25">
      <c r="A7807" s="222">
        <v>700404</v>
      </c>
      <c r="B7807" s="223" t="s">
        <v>13330</v>
      </c>
      <c r="C7807" s="221" t="s">
        <v>13331</v>
      </c>
    </row>
    <row r="7808" spans="1:3" x14ac:dyDescent="0.25">
      <c r="A7808" s="222">
        <v>700405</v>
      </c>
      <c r="B7808" s="223" t="s">
        <v>13332</v>
      </c>
      <c r="C7808" s="221" t="s">
        <v>13333</v>
      </c>
    </row>
    <row r="7809" spans="1:3" x14ac:dyDescent="0.25">
      <c r="A7809" s="222">
        <v>700406</v>
      </c>
      <c r="B7809" s="223" t="s">
        <v>13334</v>
      </c>
      <c r="C7809" s="221" t="s">
        <v>13335</v>
      </c>
    </row>
    <row r="7810" spans="1:3" x14ac:dyDescent="0.25">
      <c r="A7810" s="222">
        <v>700407</v>
      </c>
      <c r="B7810" s="223" t="s">
        <v>13336</v>
      </c>
      <c r="C7810" s="221" t="s">
        <v>13337</v>
      </c>
    </row>
    <row r="7811" spans="1:3" x14ac:dyDescent="0.25">
      <c r="A7811" s="222">
        <v>700408</v>
      </c>
      <c r="B7811" s="223" t="s">
        <v>13338</v>
      </c>
      <c r="C7811" s="221" t="s">
        <v>13339</v>
      </c>
    </row>
    <row r="7812" spans="1:3" x14ac:dyDescent="0.25">
      <c r="A7812" s="222">
        <v>700409</v>
      </c>
      <c r="B7812" s="223" t="s">
        <v>13340</v>
      </c>
      <c r="C7812" s="221" t="s">
        <v>13341</v>
      </c>
    </row>
    <row r="7813" spans="1:3" x14ac:dyDescent="0.25">
      <c r="A7813" s="222">
        <v>700410</v>
      </c>
      <c r="B7813" s="223" t="s">
        <v>13342</v>
      </c>
      <c r="C7813" s="221" t="s">
        <v>13343</v>
      </c>
    </row>
    <row r="7814" spans="1:3" x14ac:dyDescent="0.25">
      <c r="A7814" s="222">
        <v>700411</v>
      </c>
      <c r="B7814" s="223" t="s">
        <v>13344</v>
      </c>
      <c r="C7814" s="221" t="s">
        <v>13345</v>
      </c>
    </row>
    <row r="7815" spans="1:3" x14ac:dyDescent="0.25">
      <c r="A7815" s="222">
        <v>700412</v>
      </c>
      <c r="B7815" s="223" t="s">
        <v>13346</v>
      </c>
      <c r="C7815" s="221" t="s">
        <v>13347</v>
      </c>
    </row>
    <row r="7816" spans="1:3" x14ac:dyDescent="0.25">
      <c r="A7816" s="222">
        <v>700413</v>
      </c>
      <c r="B7816" s="223" t="s">
        <v>13348</v>
      </c>
      <c r="C7816" s="221" t="s">
        <v>13349</v>
      </c>
    </row>
    <row r="7817" spans="1:3" x14ac:dyDescent="0.25">
      <c r="A7817" s="222">
        <v>700414</v>
      </c>
      <c r="B7817" s="223" t="s">
        <v>13350</v>
      </c>
      <c r="C7817" s="221" t="s">
        <v>13351</v>
      </c>
    </row>
    <row r="7818" spans="1:3" x14ac:dyDescent="0.25">
      <c r="A7818" s="222">
        <v>700415</v>
      </c>
      <c r="B7818" s="223" t="s">
        <v>13352</v>
      </c>
      <c r="C7818" s="221" t="s">
        <v>13353</v>
      </c>
    </row>
    <row r="7819" spans="1:3" x14ac:dyDescent="0.25">
      <c r="A7819" s="222">
        <v>700416</v>
      </c>
      <c r="B7819" s="223" t="s">
        <v>13354</v>
      </c>
      <c r="C7819" s="221" t="s">
        <v>13355</v>
      </c>
    </row>
    <row r="7820" spans="1:3" x14ac:dyDescent="0.25">
      <c r="A7820" s="222">
        <v>700417</v>
      </c>
      <c r="B7820" s="223" t="s">
        <v>13356</v>
      </c>
      <c r="C7820" s="221" t="s">
        <v>13357</v>
      </c>
    </row>
    <row r="7821" spans="1:3" x14ac:dyDescent="0.25">
      <c r="A7821" s="222">
        <v>700418</v>
      </c>
      <c r="B7821" s="223" t="s">
        <v>13358</v>
      </c>
      <c r="C7821" s="221" t="s">
        <v>13359</v>
      </c>
    </row>
    <row r="7822" spans="1:3" x14ac:dyDescent="0.25">
      <c r="A7822" s="222">
        <v>700419</v>
      </c>
      <c r="B7822" s="223" t="s">
        <v>13360</v>
      </c>
      <c r="C7822" s="221" t="s">
        <v>13361</v>
      </c>
    </row>
    <row r="7823" spans="1:3" x14ac:dyDescent="0.25">
      <c r="A7823" s="222">
        <v>700420</v>
      </c>
      <c r="B7823" s="223" t="s">
        <v>13362</v>
      </c>
      <c r="C7823" s="221" t="s">
        <v>13363</v>
      </c>
    </row>
    <row r="7824" spans="1:3" x14ac:dyDescent="0.25">
      <c r="A7824" s="222">
        <v>700421</v>
      </c>
      <c r="B7824" s="223" t="s">
        <v>13364</v>
      </c>
      <c r="C7824" s="221" t="s">
        <v>13365</v>
      </c>
    </row>
    <row r="7825" spans="1:3" x14ac:dyDescent="0.25">
      <c r="A7825" s="222">
        <v>700422</v>
      </c>
      <c r="B7825" s="223" t="s">
        <v>13366</v>
      </c>
      <c r="C7825" s="221" t="s">
        <v>13367</v>
      </c>
    </row>
    <row r="7826" spans="1:3" x14ac:dyDescent="0.25">
      <c r="A7826" s="222">
        <v>700423</v>
      </c>
      <c r="B7826" s="223" t="s">
        <v>13368</v>
      </c>
      <c r="C7826" s="221" t="s">
        <v>13369</v>
      </c>
    </row>
    <row r="7827" spans="1:3" x14ac:dyDescent="0.25">
      <c r="A7827" s="222">
        <v>700424</v>
      </c>
      <c r="B7827" s="223" t="s">
        <v>13370</v>
      </c>
      <c r="C7827" s="221" t="s">
        <v>13371</v>
      </c>
    </row>
    <row r="7828" spans="1:3" x14ac:dyDescent="0.25">
      <c r="A7828" s="222">
        <v>700425</v>
      </c>
      <c r="B7828" s="223" t="s">
        <v>13372</v>
      </c>
      <c r="C7828" s="221" t="s">
        <v>13373</v>
      </c>
    </row>
    <row r="7829" spans="1:3" x14ac:dyDescent="0.25">
      <c r="A7829" s="222">
        <v>700426</v>
      </c>
      <c r="B7829" s="223" t="s">
        <v>13374</v>
      </c>
      <c r="C7829" s="221" t="s">
        <v>13375</v>
      </c>
    </row>
    <row r="7830" spans="1:3" x14ac:dyDescent="0.25">
      <c r="A7830" s="222">
        <v>700427</v>
      </c>
      <c r="B7830" s="223" t="s">
        <v>13376</v>
      </c>
      <c r="C7830" s="221" t="s">
        <v>13377</v>
      </c>
    </row>
    <row r="7831" spans="1:3" x14ac:dyDescent="0.25">
      <c r="A7831" s="222">
        <v>700428</v>
      </c>
      <c r="B7831" s="223" t="s">
        <v>13378</v>
      </c>
      <c r="C7831" s="221" t="s">
        <v>13379</v>
      </c>
    </row>
    <row r="7832" spans="1:3" x14ac:dyDescent="0.25">
      <c r="A7832" s="222">
        <v>700429</v>
      </c>
      <c r="B7832" s="223" t="s">
        <v>13380</v>
      </c>
      <c r="C7832" s="221" t="s">
        <v>13381</v>
      </c>
    </row>
    <row r="7833" spans="1:3" x14ac:dyDescent="0.25">
      <c r="A7833" s="222">
        <v>700430</v>
      </c>
      <c r="B7833" s="223" t="s">
        <v>13382</v>
      </c>
      <c r="C7833" s="221" t="s">
        <v>13383</v>
      </c>
    </row>
    <row r="7834" spans="1:3" x14ac:dyDescent="0.25">
      <c r="A7834" s="222">
        <v>700431</v>
      </c>
      <c r="B7834" s="223" t="s">
        <v>13384</v>
      </c>
      <c r="C7834" s="221" t="s">
        <v>13385</v>
      </c>
    </row>
    <row r="7835" spans="1:3" x14ac:dyDescent="0.25">
      <c r="A7835" s="222">
        <v>700432</v>
      </c>
      <c r="B7835" s="223" t="s">
        <v>13386</v>
      </c>
      <c r="C7835" s="221" t="s">
        <v>13387</v>
      </c>
    </row>
    <row r="7836" spans="1:3" x14ac:dyDescent="0.25">
      <c r="A7836" s="222">
        <v>700433</v>
      </c>
      <c r="B7836" s="223" t="s">
        <v>13388</v>
      </c>
      <c r="C7836" s="221" t="s">
        <v>13389</v>
      </c>
    </row>
    <row r="7837" spans="1:3" x14ac:dyDescent="0.25">
      <c r="A7837" s="222">
        <v>700434</v>
      </c>
      <c r="B7837" s="223" t="s">
        <v>13390</v>
      </c>
      <c r="C7837" s="221" t="s">
        <v>13391</v>
      </c>
    </row>
    <row r="7838" spans="1:3" x14ac:dyDescent="0.25">
      <c r="A7838" s="222">
        <v>700435</v>
      </c>
      <c r="B7838" s="223" t="s">
        <v>13392</v>
      </c>
      <c r="C7838" s="221" t="s">
        <v>13393</v>
      </c>
    </row>
    <row r="7839" spans="1:3" x14ac:dyDescent="0.25">
      <c r="A7839" s="222">
        <v>700436</v>
      </c>
      <c r="B7839" s="223" t="s">
        <v>13394</v>
      </c>
      <c r="C7839" s="221" t="s">
        <v>13395</v>
      </c>
    </row>
    <row r="7840" spans="1:3" x14ac:dyDescent="0.25">
      <c r="A7840" s="222">
        <v>700437</v>
      </c>
      <c r="B7840" s="223" t="s">
        <v>13396</v>
      </c>
      <c r="C7840" s="221" t="s">
        <v>13397</v>
      </c>
    </row>
    <row r="7841" spans="1:3" x14ac:dyDescent="0.25">
      <c r="A7841" s="222">
        <v>700438</v>
      </c>
      <c r="B7841" s="223" t="s">
        <v>13398</v>
      </c>
      <c r="C7841" s="221" t="s">
        <v>13399</v>
      </c>
    </row>
    <row r="7842" spans="1:3" x14ac:dyDescent="0.25">
      <c r="A7842" s="222">
        <v>700439</v>
      </c>
      <c r="B7842" s="223" t="s">
        <v>13400</v>
      </c>
      <c r="C7842" s="221" t="s">
        <v>13401</v>
      </c>
    </row>
    <row r="7843" spans="1:3" x14ac:dyDescent="0.25">
      <c r="A7843" s="222">
        <v>700440</v>
      </c>
      <c r="B7843" s="223" t="s">
        <v>13402</v>
      </c>
      <c r="C7843" s="221" t="s">
        <v>13403</v>
      </c>
    </row>
    <row r="7844" spans="1:3" x14ac:dyDescent="0.25">
      <c r="A7844" s="222">
        <v>700441</v>
      </c>
      <c r="B7844" s="223" t="s">
        <v>13404</v>
      </c>
      <c r="C7844" s="221" t="s">
        <v>13405</v>
      </c>
    </row>
    <row r="7845" spans="1:3" x14ac:dyDescent="0.25">
      <c r="A7845" s="222">
        <v>700442</v>
      </c>
      <c r="B7845" s="223" t="s">
        <v>13406</v>
      </c>
      <c r="C7845" s="221" t="s">
        <v>13407</v>
      </c>
    </row>
    <row r="7846" spans="1:3" x14ac:dyDescent="0.25">
      <c r="A7846" s="222">
        <v>700443</v>
      </c>
      <c r="B7846" s="223" t="s">
        <v>13408</v>
      </c>
      <c r="C7846" s="221" t="s">
        <v>13409</v>
      </c>
    </row>
    <row r="7847" spans="1:3" x14ac:dyDescent="0.25">
      <c r="A7847" s="222">
        <v>700444</v>
      </c>
      <c r="B7847" s="223" t="s">
        <v>13410</v>
      </c>
      <c r="C7847" s="221" t="s">
        <v>13411</v>
      </c>
    </row>
    <row r="7848" spans="1:3" x14ac:dyDescent="0.25">
      <c r="A7848" s="222">
        <v>700445</v>
      </c>
      <c r="B7848" s="223" t="s">
        <v>13412</v>
      </c>
      <c r="C7848" s="221" t="s">
        <v>13413</v>
      </c>
    </row>
    <row r="7849" spans="1:3" x14ac:dyDescent="0.25">
      <c r="A7849" s="222">
        <v>700446</v>
      </c>
      <c r="B7849" s="223" t="s">
        <v>13414</v>
      </c>
      <c r="C7849" s="221" t="s">
        <v>13415</v>
      </c>
    </row>
    <row r="7850" spans="1:3" x14ac:dyDescent="0.25">
      <c r="A7850" s="222">
        <v>700447</v>
      </c>
      <c r="B7850" s="223" t="s">
        <v>13416</v>
      </c>
      <c r="C7850" s="221" t="s">
        <v>13417</v>
      </c>
    </row>
    <row r="7851" spans="1:3" x14ac:dyDescent="0.25">
      <c r="A7851" s="222">
        <v>700448</v>
      </c>
      <c r="B7851" s="223" t="s">
        <v>13418</v>
      </c>
      <c r="C7851" s="221" t="s">
        <v>13419</v>
      </c>
    </row>
    <row r="7852" spans="1:3" x14ac:dyDescent="0.25">
      <c r="A7852" s="222">
        <v>700449</v>
      </c>
      <c r="B7852" s="223" t="s">
        <v>13420</v>
      </c>
      <c r="C7852" s="221" t="s">
        <v>13421</v>
      </c>
    </row>
    <row r="7853" spans="1:3" x14ac:dyDescent="0.25">
      <c r="A7853" s="222">
        <v>700450</v>
      </c>
      <c r="B7853" s="223" t="s">
        <v>13422</v>
      </c>
      <c r="C7853" s="221" t="s">
        <v>13423</v>
      </c>
    </row>
    <row r="7854" spans="1:3" x14ac:dyDescent="0.25">
      <c r="A7854" s="222">
        <v>700451</v>
      </c>
      <c r="B7854" s="223" t="s">
        <v>13424</v>
      </c>
      <c r="C7854" s="221" t="s">
        <v>13425</v>
      </c>
    </row>
    <row r="7855" spans="1:3" x14ac:dyDescent="0.25">
      <c r="A7855" s="222">
        <v>700452</v>
      </c>
      <c r="B7855" s="223" t="s">
        <v>13426</v>
      </c>
      <c r="C7855" s="221" t="s">
        <v>13427</v>
      </c>
    </row>
    <row r="7856" spans="1:3" x14ac:dyDescent="0.25">
      <c r="A7856" s="222">
        <v>700453</v>
      </c>
      <c r="B7856" s="223" t="s">
        <v>13428</v>
      </c>
      <c r="C7856" s="221" t="s">
        <v>13429</v>
      </c>
    </row>
    <row r="7857" spans="1:3" x14ac:dyDescent="0.25">
      <c r="A7857" s="222">
        <v>700454</v>
      </c>
      <c r="B7857" s="223" t="s">
        <v>13430</v>
      </c>
      <c r="C7857" s="221" t="s">
        <v>13431</v>
      </c>
    </row>
    <row r="7858" spans="1:3" x14ac:dyDescent="0.25">
      <c r="A7858" s="222">
        <v>700455</v>
      </c>
      <c r="B7858" s="223" t="s">
        <v>13432</v>
      </c>
      <c r="C7858" s="221" t="s">
        <v>13433</v>
      </c>
    </row>
    <row r="7859" spans="1:3" x14ac:dyDescent="0.25">
      <c r="A7859" s="222">
        <v>700456</v>
      </c>
      <c r="B7859" s="223" t="s">
        <v>13434</v>
      </c>
      <c r="C7859" s="221" t="s">
        <v>13435</v>
      </c>
    </row>
    <row r="7860" spans="1:3" x14ac:dyDescent="0.25">
      <c r="A7860" s="222">
        <v>700458</v>
      </c>
      <c r="B7860" s="223" t="s">
        <v>13436</v>
      </c>
      <c r="C7860" s="221" t="s">
        <v>13437</v>
      </c>
    </row>
    <row r="7861" spans="1:3" x14ac:dyDescent="0.25">
      <c r="A7861" s="222">
        <v>700459</v>
      </c>
      <c r="B7861" s="223" t="s">
        <v>13438</v>
      </c>
      <c r="C7861" s="221" t="s">
        <v>13439</v>
      </c>
    </row>
    <row r="7862" spans="1:3" x14ac:dyDescent="0.25">
      <c r="A7862" s="222">
        <v>700461</v>
      </c>
      <c r="B7862" s="223" t="s">
        <v>13440</v>
      </c>
      <c r="C7862" s="221" t="s">
        <v>13441</v>
      </c>
    </row>
    <row r="7863" spans="1:3" x14ac:dyDescent="0.25">
      <c r="A7863" s="222">
        <v>700462</v>
      </c>
      <c r="B7863" s="223" t="s">
        <v>13442</v>
      </c>
      <c r="C7863" s="221" t="s">
        <v>13443</v>
      </c>
    </row>
    <row r="7864" spans="1:3" x14ac:dyDescent="0.25">
      <c r="A7864" s="222">
        <v>700464</v>
      </c>
      <c r="B7864" s="223" t="s">
        <v>13444</v>
      </c>
      <c r="C7864" s="221" t="s">
        <v>13445</v>
      </c>
    </row>
    <row r="7865" spans="1:3" x14ac:dyDescent="0.25">
      <c r="A7865" s="222">
        <v>700473</v>
      </c>
      <c r="B7865" s="223" t="s">
        <v>13446</v>
      </c>
      <c r="C7865" s="221" t="s">
        <v>13447</v>
      </c>
    </row>
    <row r="7866" spans="1:3" x14ac:dyDescent="0.25">
      <c r="A7866" s="222">
        <v>700474</v>
      </c>
      <c r="B7866" s="223" t="s">
        <v>13448</v>
      </c>
      <c r="C7866" s="221" t="s">
        <v>13449</v>
      </c>
    </row>
    <row r="7867" spans="1:3" x14ac:dyDescent="0.25">
      <c r="A7867" s="222">
        <v>700475</v>
      </c>
      <c r="B7867" s="223" t="s">
        <v>13450</v>
      </c>
      <c r="C7867" s="221" t="s">
        <v>13451</v>
      </c>
    </row>
    <row r="7868" spans="1:3" x14ac:dyDescent="0.25">
      <c r="A7868" s="222">
        <v>700476</v>
      </c>
      <c r="B7868" s="223" t="s">
        <v>13452</v>
      </c>
      <c r="C7868" s="221" t="s">
        <v>13453</v>
      </c>
    </row>
    <row r="7869" spans="1:3" x14ac:dyDescent="0.25">
      <c r="A7869" s="222">
        <v>700477</v>
      </c>
      <c r="B7869" s="223" t="s">
        <v>13454</v>
      </c>
      <c r="C7869" s="221" t="s">
        <v>13455</v>
      </c>
    </row>
    <row r="7870" spans="1:3" x14ac:dyDescent="0.25">
      <c r="A7870" s="222">
        <v>700478</v>
      </c>
      <c r="B7870" s="223" t="s">
        <v>13456</v>
      </c>
      <c r="C7870" s="221" t="s">
        <v>13457</v>
      </c>
    </row>
    <row r="7871" spans="1:3" x14ac:dyDescent="0.25">
      <c r="A7871" s="222">
        <v>700479</v>
      </c>
      <c r="B7871" s="223" t="s">
        <v>13458</v>
      </c>
      <c r="C7871" s="221" t="s">
        <v>13459</v>
      </c>
    </row>
    <row r="7872" spans="1:3" x14ac:dyDescent="0.25">
      <c r="A7872" s="222">
        <v>700480</v>
      </c>
      <c r="B7872" s="223" t="s">
        <v>13460</v>
      </c>
      <c r="C7872" s="221" t="s">
        <v>13461</v>
      </c>
    </row>
    <row r="7873" spans="1:3" x14ac:dyDescent="0.25">
      <c r="A7873" s="222">
        <v>700481</v>
      </c>
      <c r="B7873" s="223" t="s">
        <v>13462</v>
      </c>
      <c r="C7873" s="221" t="s">
        <v>13463</v>
      </c>
    </row>
    <row r="7874" spans="1:3" x14ac:dyDescent="0.25">
      <c r="A7874" s="222">
        <v>700482</v>
      </c>
      <c r="B7874" s="223" t="s">
        <v>13464</v>
      </c>
      <c r="C7874" s="221" t="s">
        <v>13465</v>
      </c>
    </row>
    <row r="7875" spans="1:3" x14ac:dyDescent="0.25">
      <c r="A7875" s="222">
        <v>700536</v>
      </c>
      <c r="B7875" s="223" t="s">
        <v>13466</v>
      </c>
      <c r="C7875" s="221" t="s">
        <v>13467</v>
      </c>
    </row>
    <row r="7876" spans="1:3" x14ac:dyDescent="0.25">
      <c r="A7876" s="222">
        <v>700537</v>
      </c>
      <c r="B7876" s="223" t="s">
        <v>13468</v>
      </c>
      <c r="C7876" s="221" t="s">
        <v>13469</v>
      </c>
    </row>
    <row r="7877" spans="1:3" x14ac:dyDescent="0.25">
      <c r="A7877" s="222">
        <v>700538</v>
      </c>
      <c r="B7877" s="223" t="s">
        <v>13470</v>
      </c>
      <c r="C7877" s="221" t="s">
        <v>13471</v>
      </c>
    </row>
    <row r="7878" spans="1:3" x14ac:dyDescent="0.25">
      <c r="A7878" s="222">
        <v>700539</v>
      </c>
      <c r="B7878" s="223" t="s">
        <v>13472</v>
      </c>
      <c r="C7878" s="221" t="s">
        <v>13473</v>
      </c>
    </row>
    <row r="7879" spans="1:3" x14ac:dyDescent="0.25">
      <c r="A7879" s="222">
        <v>700540</v>
      </c>
      <c r="B7879" s="223" t="s">
        <v>13474</v>
      </c>
      <c r="C7879" s="221" t="s">
        <v>13475</v>
      </c>
    </row>
    <row r="7880" spans="1:3" x14ac:dyDescent="0.25">
      <c r="A7880" s="222">
        <v>700541</v>
      </c>
      <c r="B7880" s="223" t="s">
        <v>13476</v>
      </c>
      <c r="C7880" s="221" t="s">
        <v>13477</v>
      </c>
    </row>
    <row r="7881" spans="1:3" x14ac:dyDescent="0.25">
      <c r="A7881" s="222">
        <v>700542</v>
      </c>
      <c r="B7881" s="223" t="s">
        <v>13478</v>
      </c>
      <c r="C7881" s="221" t="s">
        <v>13479</v>
      </c>
    </row>
    <row r="7882" spans="1:3" x14ac:dyDescent="0.25">
      <c r="A7882" s="222">
        <v>700543</v>
      </c>
      <c r="B7882" s="223" t="s">
        <v>13480</v>
      </c>
      <c r="C7882" s="221" t="s">
        <v>13481</v>
      </c>
    </row>
    <row r="7883" spans="1:3" x14ac:dyDescent="0.25">
      <c r="A7883" s="222">
        <v>700544</v>
      </c>
      <c r="B7883" s="223" t="s">
        <v>13482</v>
      </c>
      <c r="C7883" s="221" t="s">
        <v>13483</v>
      </c>
    </row>
    <row r="7884" spans="1:3" x14ac:dyDescent="0.25">
      <c r="A7884" s="222">
        <v>700545</v>
      </c>
      <c r="B7884" s="223" t="s">
        <v>13484</v>
      </c>
      <c r="C7884" s="221" t="s">
        <v>13485</v>
      </c>
    </row>
    <row r="7885" spans="1:3" x14ac:dyDescent="0.25">
      <c r="A7885" s="222">
        <v>700546</v>
      </c>
      <c r="B7885" s="223" t="s">
        <v>13486</v>
      </c>
      <c r="C7885" s="221" t="s">
        <v>13487</v>
      </c>
    </row>
    <row r="7886" spans="1:3" x14ac:dyDescent="0.25">
      <c r="A7886" s="222">
        <v>700547</v>
      </c>
      <c r="B7886" s="223" t="s">
        <v>13488</v>
      </c>
      <c r="C7886" s="221" t="s">
        <v>13489</v>
      </c>
    </row>
    <row r="7887" spans="1:3" x14ac:dyDescent="0.25">
      <c r="A7887" s="222">
        <v>700548</v>
      </c>
      <c r="B7887" s="223" t="s">
        <v>13490</v>
      </c>
      <c r="C7887" s="221" t="s">
        <v>13491</v>
      </c>
    </row>
    <row r="7888" spans="1:3" x14ac:dyDescent="0.25">
      <c r="A7888" s="222">
        <v>700549</v>
      </c>
      <c r="B7888" s="223" t="s">
        <v>13492</v>
      </c>
      <c r="C7888" s="221" t="s">
        <v>13493</v>
      </c>
    </row>
    <row r="7889" spans="1:3" x14ac:dyDescent="0.25">
      <c r="A7889" s="222">
        <v>700550</v>
      </c>
      <c r="B7889" s="223" t="s">
        <v>13494</v>
      </c>
      <c r="C7889" s="221" t="s">
        <v>13495</v>
      </c>
    </row>
    <row r="7890" spans="1:3" x14ac:dyDescent="0.25">
      <c r="A7890" s="222">
        <v>700551</v>
      </c>
      <c r="B7890" s="223" t="s">
        <v>13496</v>
      </c>
      <c r="C7890" s="221" t="s">
        <v>13497</v>
      </c>
    </row>
    <row r="7891" spans="1:3" x14ac:dyDescent="0.25">
      <c r="A7891" s="222">
        <v>700552</v>
      </c>
      <c r="B7891" s="223" t="s">
        <v>13498</v>
      </c>
      <c r="C7891" s="221" t="s">
        <v>13499</v>
      </c>
    </row>
    <row r="7892" spans="1:3" x14ac:dyDescent="0.25">
      <c r="A7892" s="222">
        <v>700553</v>
      </c>
      <c r="B7892" s="223" t="s">
        <v>13500</v>
      </c>
      <c r="C7892" s="221" t="s">
        <v>13501</v>
      </c>
    </row>
    <row r="7893" spans="1:3" x14ac:dyDescent="0.25">
      <c r="A7893" s="222">
        <v>700554</v>
      </c>
      <c r="B7893" s="223" t="s">
        <v>13502</v>
      </c>
      <c r="C7893" s="221" t="s">
        <v>13503</v>
      </c>
    </row>
    <row r="7894" spans="1:3" x14ac:dyDescent="0.25">
      <c r="A7894" s="222">
        <v>700555</v>
      </c>
      <c r="B7894" s="223" t="s">
        <v>13504</v>
      </c>
      <c r="C7894" s="221" t="s">
        <v>13505</v>
      </c>
    </row>
    <row r="7895" spans="1:3" x14ac:dyDescent="0.25">
      <c r="A7895" s="222">
        <v>700556</v>
      </c>
      <c r="B7895" s="223" t="s">
        <v>13506</v>
      </c>
      <c r="C7895" s="221" t="s">
        <v>13507</v>
      </c>
    </row>
    <row r="7896" spans="1:3" x14ac:dyDescent="0.25">
      <c r="A7896" s="222">
        <v>700557</v>
      </c>
      <c r="B7896" s="223" t="s">
        <v>13508</v>
      </c>
      <c r="C7896" s="221" t="s">
        <v>13509</v>
      </c>
    </row>
    <row r="7897" spans="1:3" x14ac:dyDescent="0.25">
      <c r="A7897" s="222">
        <v>700558</v>
      </c>
      <c r="B7897" s="223" t="s">
        <v>13510</v>
      </c>
      <c r="C7897" s="221" t="s">
        <v>13511</v>
      </c>
    </row>
    <row r="7898" spans="1:3" x14ac:dyDescent="0.25">
      <c r="A7898" s="222">
        <v>700559</v>
      </c>
      <c r="B7898" s="223" t="s">
        <v>13512</v>
      </c>
      <c r="C7898" s="221" t="s">
        <v>13513</v>
      </c>
    </row>
    <row r="7899" spans="1:3" x14ac:dyDescent="0.25">
      <c r="A7899" s="222">
        <v>700560</v>
      </c>
      <c r="B7899" s="223" t="s">
        <v>13514</v>
      </c>
      <c r="C7899" s="221" t="s">
        <v>13515</v>
      </c>
    </row>
    <row r="7900" spans="1:3" x14ac:dyDescent="0.25">
      <c r="A7900" s="222">
        <v>700561</v>
      </c>
      <c r="B7900" s="223" t="s">
        <v>13516</v>
      </c>
      <c r="C7900" s="221" t="s">
        <v>13517</v>
      </c>
    </row>
    <row r="7901" spans="1:3" x14ac:dyDescent="0.25">
      <c r="A7901" s="222">
        <v>700562</v>
      </c>
      <c r="B7901" s="223" t="s">
        <v>13518</v>
      </c>
      <c r="C7901" s="221" t="s">
        <v>13519</v>
      </c>
    </row>
    <row r="7902" spans="1:3" x14ac:dyDescent="0.25">
      <c r="A7902" s="222">
        <v>700563</v>
      </c>
      <c r="B7902" s="223" t="s">
        <v>13520</v>
      </c>
      <c r="C7902" s="221" t="s">
        <v>13521</v>
      </c>
    </row>
    <row r="7903" spans="1:3" x14ac:dyDescent="0.25">
      <c r="A7903" s="222">
        <v>700564</v>
      </c>
      <c r="B7903" s="223" t="s">
        <v>13522</v>
      </c>
      <c r="C7903" s="221" t="s">
        <v>13523</v>
      </c>
    </row>
    <row r="7904" spans="1:3" x14ac:dyDescent="0.25">
      <c r="A7904" s="222">
        <v>700565</v>
      </c>
      <c r="B7904" s="223" t="s">
        <v>13524</v>
      </c>
      <c r="C7904" s="221" t="s">
        <v>13525</v>
      </c>
    </row>
    <row r="7905" spans="1:3" x14ac:dyDescent="0.25">
      <c r="A7905" s="222">
        <v>700566</v>
      </c>
      <c r="B7905" s="223" t="s">
        <v>13526</v>
      </c>
      <c r="C7905" s="221" t="s">
        <v>13527</v>
      </c>
    </row>
    <row r="7906" spans="1:3" x14ac:dyDescent="0.25">
      <c r="A7906" s="222">
        <v>700567</v>
      </c>
      <c r="B7906" s="223" t="s">
        <v>13528</v>
      </c>
      <c r="C7906" s="221" t="s">
        <v>13529</v>
      </c>
    </row>
    <row r="7907" spans="1:3" x14ac:dyDescent="0.25">
      <c r="A7907" s="222">
        <v>700568</v>
      </c>
      <c r="B7907" s="223" t="s">
        <v>13530</v>
      </c>
      <c r="C7907" s="221" t="s">
        <v>13531</v>
      </c>
    </row>
    <row r="7908" spans="1:3" x14ac:dyDescent="0.25">
      <c r="A7908" s="222">
        <v>700569</v>
      </c>
      <c r="B7908" s="223" t="s">
        <v>13532</v>
      </c>
      <c r="C7908" s="221" t="s">
        <v>13533</v>
      </c>
    </row>
    <row r="7909" spans="1:3" x14ac:dyDescent="0.25">
      <c r="A7909" s="222">
        <v>700570</v>
      </c>
      <c r="B7909" s="223" t="s">
        <v>13534</v>
      </c>
      <c r="C7909" s="221" t="s">
        <v>13535</v>
      </c>
    </row>
    <row r="7910" spans="1:3" x14ac:dyDescent="0.25">
      <c r="A7910" s="222">
        <v>700571</v>
      </c>
      <c r="B7910" s="223" t="s">
        <v>13536</v>
      </c>
      <c r="C7910" s="221" t="s">
        <v>13537</v>
      </c>
    </row>
    <row r="7911" spans="1:3" x14ac:dyDescent="0.25">
      <c r="A7911" s="222">
        <v>700572</v>
      </c>
      <c r="B7911" s="223" t="s">
        <v>13538</v>
      </c>
      <c r="C7911" s="221" t="s">
        <v>13539</v>
      </c>
    </row>
    <row r="7912" spans="1:3" x14ac:dyDescent="0.25">
      <c r="A7912" s="222">
        <v>700573</v>
      </c>
      <c r="B7912" s="223" t="s">
        <v>13540</v>
      </c>
      <c r="C7912" s="221" t="s">
        <v>13541</v>
      </c>
    </row>
    <row r="7913" spans="1:3" x14ac:dyDescent="0.25">
      <c r="A7913" s="222">
        <v>700574</v>
      </c>
      <c r="B7913" s="223" t="s">
        <v>13542</v>
      </c>
      <c r="C7913" s="221" t="s">
        <v>13543</v>
      </c>
    </row>
    <row r="7914" spans="1:3" x14ac:dyDescent="0.25">
      <c r="A7914" s="222">
        <v>700575</v>
      </c>
      <c r="B7914" s="223" t="s">
        <v>13544</v>
      </c>
      <c r="C7914" s="221" t="s">
        <v>13545</v>
      </c>
    </row>
    <row r="7915" spans="1:3" x14ac:dyDescent="0.25">
      <c r="A7915" s="222">
        <v>700576</v>
      </c>
      <c r="B7915" s="223" t="s">
        <v>13546</v>
      </c>
      <c r="C7915" s="221" t="s">
        <v>13547</v>
      </c>
    </row>
    <row r="7916" spans="1:3" x14ac:dyDescent="0.25">
      <c r="A7916" s="222">
        <v>700577</v>
      </c>
      <c r="B7916" s="223" t="s">
        <v>13548</v>
      </c>
      <c r="C7916" s="221" t="s">
        <v>13549</v>
      </c>
    </row>
    <row r="7917" spans="1:3" x14ac:dyDescent="0.25">
      <c r="A7917" s="222">
        <v>700578</v>
      </c>
      <c r="B7917" s="223" t="s">
        <v>13550</v>
      </c>
      <c r="C7917" s="221" t="s">
        <v>13551</v>
      </c>
    </row>
    <row r="7918" spans="1:3" x14ac:dyDescent="0.25">
      <c r="A7918" s="222">
        <v>700579</v>
      </c>
      <c r="B7918" s="223" t="s">
        <v>13552</v>
      </c>
      <c r="C7918" s="221" t="s">
        <v>13553</v>
      </c>
    </row>
    <row r="7919" spans="1:3" x14ac:dyDescent="0.25">
      <c r="A7919" s="222">
        <v>700580</v>
      </c>
      <c r="B7919" s="223" t="s">
        <v>13554</v>
      </c>
      <c r="C7919" s="221" t="s">
        <v>13555</v>
      </c>
    </row>
    <row r="7920" spans="1:3" x14ac:dyDescent="0.25">
      <c r="A7920" s="222">
        <v>700581</v>
      </c>
      <c r="B7920" s="223" t="s">
        <v>13556</v>
      </c>
      <c r="C7920" s="221" t="s">
        <v>13557</v>
      </c>
    </row>
    <row r="7921" spans="1:3" x14ac:dyDescent="0.25">
      <c r="A7921" s="222">
        <v>700582</v>
      </c>
      <c r="B7921" s="223" t="s">
        <v>13558</v>
      </c>
      <c r="C7921" s="221" t="s">
        <v>13559</v>
      </c>
    </row>
    <row r="7922" spans="1:3" x14ac:dyDescent="0.25">
      <c r="A7922" s="222">
        <v>700583</v>
      </c>
      <c r="B7922" s="223" t="s">
        <v>13560</v>
      </c>
      <c r="C7922" s="221" t="s">
        <v>13561</v>
      </c>
    </row>
    <row r="7923" spans="1:3" x14ac:dyDescent="0.25">
      <c r="A7923" s="222">
        <v>700584</v>
      </c>
      <c r="B7923" s="223" t="s">
        <v>13562</v>
      </c>
      <c r="C7923" s="221" t="s">
        <v>13563</v>
      </c>
    </row>
    <row r="7924" spans="1:3" x14ac:dyDescent="0.25">
      <c r="A7924" s="222">
        <v>700585</v>
      </c>
      <c r="B7924" s="223" t="s">
        <v>13564</v>
      </c>
      <c r="C7924" s="221" t="s">
        <v>13565</v>
      </c>
    </row>
    <row r="7925" spans="1:3" x14ac:dyDescent="0.25">
      <c r="A7925" s="222">
        <v>700586</v>
      </c>
      <c r="B7925" s="223" t="s">
        <v>13566</v>
      </c>
      <c r="C7925" s="221" t="s">
        <v>13567</v>
      </c>
    </row>
    <row r="7926" spans="1:3" x14ac:dyDescent="0.25">
      <c r="A7926" s="222">
        <v>700587</v>
      </c>
      <c r="B7926" s="223" t="s">
        <v>13568</v>
      </c>
      <c r="C7926" s="221" t="s">
        <v>13569</v>
      </c>
    </row>
    <row r="7927" spans="1:3" x14ac:dyDescent="0.25">
      <c r="A7927" s="222">
        <v>700588</v>
      </c>
      <c r="B7927" s="223" t="s">
        <v>13570</v>
      </c>
      <c r="C7927" s="221" t="s">
        <v>13571</v>
      </c>
    </row>
    <row r="7928" spans="1:3" x14ac:dyDescent="0.25">
      <c r="A7928" s="222">
        <v>700589</v>
      </c>
      <c r="B7928" s="223" t="s">
        <v>13572</v>
      </c>
      <c r="C7928" s="221" t="s">
        <v>13573</v>
      </c>
    </row>
    <row r="7929" spans="1:3" x14ac:dyDescent="0.25">
      <c r="A7929" s="222">
        <v>700590</v>
      </c>
      <c r="B7929" s="223" t="s">
        <v>13574</v>
      </c>
      <c r="C7929" s="221" t="s">
        <v>13575</v>
      </c>
    </row>
    <row r="7930" spans="1:3" x14ac:dyDescent="0.25">
      <c r="A7930" s="222">
        <v>700591</v>
      </c>
      <c r="B7930" s="223" t="s">
        <v>13576</v>
      </c>
      <c r="C7930" s="221" t="s">
        <v>13577</v>
      </c>
    </row>
    <row r="7931" spans="1:3" x14ac:dyDescent="0.25">
      <c r="A7931" s="222">
        <v>700592</v>
      </c>
      <c r="B7931" s="223" t="s">
        <v>13578</v>
      </c>
      <c r="C7931" s="221" t="s">
        <v>13579</v>
      </c>
    </row>
    <row r="7932" spans="1:3" x14ac:dyDescent="0.25">
      <c r="A7932" s="222">
        <v>700593</v>
      </c>
      <c r="B7932" s="223" t="s">
        <v>13580</v>
      </c>
      <c r="C7932" s="221" t="s">
        <v>13581</v>
      </c>
    </row>
    <row r="7933" spans="1:3" x14ac:dyDescent="0.25">
      <c r="A7933" s="222">
        <v>700594</v>
      </c>
      <c r="B7933" s="223" t="s">
        <v>13582</v>
      </c>
      <c r="C7933" s="221" t="s">
        <v>13583</v>
      </c>
    </row>
    <row r="7934" spans="1:3" x14ac:dyDescent="0.25">
      <c r="A7934" s="222">
        <v>700595</v>
      </c>
      <c r="B7934" s="223" t="s">
        <v>13584</v>
      </c>
      <c r="C7934" s="221" t="s">
        <v>13585</v>
      </c>
    </row>
    <row r="7935" spans="1:3" x14ac:dyDescent="0.25">
      <c r="A7935" s="222">
        <v>700596</v>
      </c>
      <c r="B7935" s="223" t="s">
        <v>13586</v>
      </c>
      <c r="C7935" s="221" t="s">
        <v>13587</v>
      </c>
    </row>
    <row r="7936" spans="1:3" x14ac:dyDescent="0.25">
      <c r="A7936" s="222">
        <v>700597</v>
      </c>
      <c r="B7936" s="223" t="s">
        <v>13588</v>
      </c>
      <c r="C7936" s="221" t="s">
        <v>13589</v>
      </c>
    </row>
    <row r="7937" spans="1:3" x14ac:dyDescent="0.25">
      <c r="A7937" s="222">
        <v>700598</v>
      </c>
      <c r="B7937" s="223" t="s">
        <v>13590</v>
      </c>
      <c r="C7937" s="221" t="s">
        <v>13591</v>
      </c>
    </row>
    <row r="7938" spans="1:3" x14ac:dyDescent="0.25">
      <c r="A7938" s="222">
        <v>700599</v>
      </c>
      <c r="B7938" s="223" t="s">
        <v>13592</v>
      </c>
      <c r="C7938" s="221" t="s">
        <v>13593</v>
      </c>
    </row>
    <row r="7939" spans="1:3" x14ac:dyDescent="0.25">
      <c r="A7939" s="222">
        <v>700600</v>
      </c>
      <c r="B7939" s="223" t="s">
        <v>13594</v>
      </c>
      <c r="C7939" s="221" t="s">
        <v>13595</v>
      </c>
    </row>
    <row r="7940" spans="1:3" x14ac:dyDescent="0.25">
      <c r="A7940" s="222">
        <v>700601</v>
      </c>
      <c r="B7940" s="223" t="s">
        <v>13596</v>
      </c>
      <c r="C7940" s="221" t="s">
        <v>13597</v>
      </c>
    </row>
    <row r="7941" spans="1:3" x14ac:dyDescent="0.25">
      <c r="A7941" s="222">
        <v>700602</v>
      </c>
      <c r="B7941" s="223" t="s">
        <v>13598</v>
      </c>
      <c r="C7941" s="221" t="s">
        <v>13599</v>
      </c>
    </row>
    <row r="7942" spans="1:3" x14ac:dyDescent="0.25">
      <c r="A7942" s="222">
        <v>700603</v>
      </c>
      <c r="B7942" s="223" t="s">
        <v>13600</v>
      </c>
      <c r="C7942" s="221" t="s">
        <v>13601</v>
      </c>
    </row>
    <row r="7943" spans="1:3" x14ac:dyDescent="0.25">
      <c r="A7943" s="222">
        <v>700604</v>
      </c>
      <c r="B7943" s="223" t="s">
        <v>13602</v>
      </c>
      <c r="C7943" s="221" t="s">
        <v>13603</v>
      </c>
    </row>
    <row r="7944" spans="1:3" x14ac:dyDescent="0.25">
      <c r="A7944" s="222">
        <v>700605</v>
      </c>
      <c r="B7944" s="223" t="s">
        <v>13604</v>
      </c>
      <c r="C7944" s="221" t="s">
        <v>13605</v>
      </c>
    </row>
    <row r="7945" spans="1:3" x14ac:dyDescent="0.25">
      <c r="A7945" s="222">
        <v>700608</v>
      </c>
      <c r="B7945" s="223" t="s">
        <v>13606</v>
      </c>
      <c r="C7945" s="221" t="s">
        <v>13607</v>
      </c>
    </row>
    <row r="7946" spans="1:3" x14ac:dyDescent="0.25">
      <c r="A7946" s="222">
        <v>700610</v>
      </c>
      <c r="B7946" s="223" t="s">
        <v>13608</v>
      </c>
      <c r="C7946" s="221" t="s">
        <v>13609</v>
      </c>
    </row>
    <row r="7947" spans="1:3" x14ac:dyDescent="0.25">
      <c r="A7947" s="222">
        <v>700611</v>
      </c>
      <c r="B7947" s="223" t="s">
        <v>13610</v>
      </c>
      <c r="C7947" s="221" t="s">
        <v>13611</v>
      </c>
    </row>
    <row r="7948" spans="1:3" x14ac:dyDescent="0.25">
      <c r="A7948" s="222">
        <v>700612</v>
      </c>
      <c r="B7948" s="223" t="s">
        <v>13612</v>
      </c>
      <c r="C7948" s="221" t="s">
        <v>13613</v>
      </c>
    </row>
    <row r="7949" spans="1:3" x14ac:dyDescent="0.25">
      <c r="A7949" s="222">
        <v>700613</v>
      </c>
      <c r="B7949" s="223" t="s">
        <v>13614</v>
      </c>
      <c r="C7949" s="221" t="s">
        <v>13615</v>
      </c>
    </row>
    <row r="7950" spans="1:3" x14ac:dyDescent="0.25">
      <c r="A7950" s="222">
        <v>700614</v>
      </c>
      <c r="B7950" s="223" t="s">
        <v>13616</v>
      </c>
      <c r="C7950" s="221" t="s">
        <v>13617</v>
      </c>
    </row>
    <row r="7951" spans="1:3" x14ac:dyDescent="0.25">
      <c r="A7951" s="222">
        <v>700615</v>
      </c>
      <c r="B7951" s="223" t="s">
        <v>13618</v>
      </c>
      <c r="C7951" s="221" t="s">
        <v>13619</v>
      </c>
    </row>
    <row r="7952" spans="1:3" x14ac:dyDescent="0.25">
      <c r="A7952" s="222">
        <v>700616</v>
      </c>
      <c r="B7952" s="223" t="s">
        <v>13620</v>
      </c>
      <c r="C7952" s="221" t="s">
        <v>13621</v>
      </c>
    </row>
    <row r="7953" spans="1:3" x14ac:dyDescent="0.25">
      <c r="A7953" s="222">
        <v>700618</v>
      </c>
      <c r="B7953" s="223" t="s">
        <v>13622</v>
      </c>
      <c r="C7953" s="221" t="s">
        <v>13623</v>
      </c>
    </row>
    <row r="7954" spans="1:3" x14ac:dyDescent="0.25">
      <c r="A7954" s="222">
        <v>700618</v>
      </c>
      <c r="B7954" s="223" t="s">
        <v>13622</v>
      </c>
      <c r="C7954" s="221" t="s">
        <v>13624</v>
      </c>
    </row>
    <row r="7955" spans="1:3" x14ac:dyDescent="0.25">
      <c r="A7955" s="222">
        <v>700618</v>
      </c>
      <c r="B7955" s="223" t="s">
        <v>13622</v>
      </c>
      <c r="C7955" s="221" t="s">
        <v>13625</v>
      </c>
    </row>
    <row r="7956" spans="1:3" x14ac:dyDescent="0.25">
      <c r="A7956" s="222">
        <v>700619</v>
      </c>
      <c r="B7956" s="223" t="s">
        <v>13626</v>
      </c>
      <c r="C7956" s="221" t="s">
        <v>13623</v>
      </c>
    </row>
    <row r="7957" spans="1:3" x14ac:dyDescent="0.25">
      <c r="A7957" s="222">
        <v>700619</v>
      </c>
      <c r="B7957" s="223" t="s">
        <v>13626</v>
      </c>
      <c r="C7957" s="221" t="s">
        <v>13627</v>
      </c>
    </row>
    <row r="7958" spans="1:3" x14ac:dyDescent="0.25">
      <c r="A7958" s="222">
        <v>700619</v>
      </c>
      <c r="B7958" s="223" t="s">
        <v>13626</v>
      </c>
      <c r="C7958" s="221" t="s">
        <v>13628</v>
      </c>
    </row>
    <row r="7959" spans="1:3" x14ac:dyDescent="0.25">
      <c r="A7959" s="222">
        <v>700620</v>
      </c>
      <c r="B7959" s="223" t="s">
        <v>13629</v>
      </c>
      <c r="C7959" s="221" t="s">
        <v>13623</v>
      </c>
    </row>
    <row r="7960" spans="1:3" x14ac:dyDescent="0.25">
      <c r="A7960" s="222">
        <v>700620</v>
      </c>
      <c r="B7960" s="223" t="s">
        <v>13629</v>
      </c>
      <c r="C7960" s="221" t="s">
        <v>13630</v>
      </c>
    </row>
    <row r="7961" spans="1:3" x14ac:dyDescent="0.25">
      <c r="A7961" s="222">
        <v>700620</v>
      </c>
      <c r="B7961" s="223" t="s">
        <v>13629</v>
      </c>
      <c r="C7961" s="221" t="s">
        <v>13631</v>
      </c>
    </row>
    <row r="7962" spans="1:3" x14ac:dyDescent="0.25">
      <c r="A7962" s="222">
        <v>700621</v>
      </c>
      <c r="B7962" s="223" t="s">
        <v>13632</v>
      </c>
      <c r="C7962" s="221" t="s">
        <v>13623</v>
      </c>
    </row>
    <row r="7963" spans="1:3" x14ac:dyDescent="0.25">
      <c r="A7963" s="222">
        <v>700621</v>
      </c>
      <c r="B7963" s="223" t="s">
        <v>13632</v>
      </c>
      <c r="C7963" s="221" t="s">
        <v>13633</v>
      </c>
    </row>
    <row r="7964" spans="1:3" x14ac:dyDescent="0.25">
      <c r="A7964" s="222">
        <v>700621</v>
      </c>
      <c r="B7964" s="223" t="s">
        <v>13632</v>
      </c>
      <c r="C7964" s="221" t="s">
        <v>13634</v>
      </c>
    </row>
    <row r="7965" spans="1:3" x14ac:dyDescent="0.25">
      <c r="A7965" s="222">
        <v>700622</v>
      </c>
      <c r="B7965" s="223" t="s">
        <v>13635</v>
      </c>
      <c r="C7965" s="221" t="s">
        <v>13623</v>
      </c>
    </row>
    <row r="7966" spans="1:3" x14ac:dyDescent="0.25">
      <c r="A7966" s="222">
        <v>700622</v>
      </c>
      <c r="B7966" s="223" t="s">
        <v>13635</v>
      </c>
      <c r="C7966" s="221" t="s">
        <v>13636</v>
      </c>
    </row>
    <row r="7967" spans="1:3" x14ac:dyDescent="0.25">
      <c r="A7967" s="222">
        <v>700622</v>
      </c>
      <c r="B7967" s="223" t="s">
        <v>13635</v>
      </c>
      <c r="C7967" s="221" t="s">
        <v>13637</v>
      </c>
    </row>
    <row r="7968" spans="1:3" x14ac:dyDescent="0.25">
      <c r="A7968" s="222">
        <v>700623</v>
      </c>
      <c r="B7968" s="223" t="s">
        <v>13638</v>
      </c>
      <c r="C7968" s="221" t="s">
        <v>13623</v>
      </c>
    </row>
    <row r="7969" spans="1:3" x14ac:dyDescent="0.25">
      <c r="A7969" s="222">
        <v>700623</v>
      </c>
      <c r="B7969" s="223" t="s">
        <v>13638</v>
      </c>
      <c r="C7969" s="221" t="s">
        <v>13639</v>
      </c>
    </row>
    <row r="7970" spans="1:3" x14ac:dyDescent="0.25">
      <c r="A7970" s="222">
        <v>700623</v>
      </c>
      <c r="B7970" s="223" t="s">
        <v>13638</v>
      </c>
      <c r="C7970" s="221" t="s">
        <v>13640</v>
      </c>
    </row>
    <row r="7971" spans="1:3" x14ac:dyDescent="0.25">
      <c r="A7971" s="222">
        <v>700624</v>
      </c>
      <c r="B7971" s="223" t="s">
        <v>13641</v>
      </c>
      <c r="C7971" s="221" t="s">
        <v>13623</v>
      </c>
    </row>
    <row r="7972" spans="1:3" x14ac:dyDescent="0.25">
      <c r="A7972" s="222">
        <v>700624</v>
      </c>
      <c r="B7972" s="223" t="s">
        <v>13641</v>
      </c>
      <c r="C7972" s="221" t="s">
        <v>13642</v>
      </c>
    </row>
    <row r="7973" spans="1:3" x14ac:dyDescent="0.25">
      <c r="A7973" s="222">
        <v>700624</v>
      </c>
      <c r="B7973" s="223" t="s">
        <v>13641</v>
      </c>
      <c r="C7973" s="221" t="s">
        <v>13643</v>
      </c>
    </row>
    <row r="7974" spans="1:3" x14ac:dyDescent="0.25">
      <c r="A7974" s="222">
        <v>700625</v>
      </c>
      <c r="B7974" s="223" t="s">
        <v>13644</v>
      </c>
      <c r="C7974" s="221" t="s">
        <v>13623</v>
      </c>
    </row>
    <row r="7975" spans="1:3" x14ac:dyDescent="0.25">
      <c r="A7975" s="222">
        <v>700625</v>
      </c>
      <c r="B7975" s="223" t="s">
        <v>13644</v>
      </c>
      <c r="C7975" s="221" t="s">
        <v>13645</v>
      </c>
    </row>
    <row r="7976" spans="1:3" x14ac:dyDescent="0.25">
      <c r="A7976" s="222">
        <v>700625</v>
      </c>
      <c r="B7976" s="223" t="s">
        <v>13644</v>
      </c>
      <c r="C7976" s="221" t="s">
        <v>13646</v>
      </c>
    </row>
    <row r="7977" spans="1:3" x14ac:dyDescent="0.25">
      <c r="A7977" s="222">
        <v>700626</v>
      </c>
      <c r="B7977" s="223" t="s">
        <v>13647</v>
      </c>
      <c r="C7977" s="221" t="s">
        <v>13623</v>
      </c>
    </row>
    <row r="7978" spans="1:3" x14ac:dyDescent="0.25">
      <c r="A7978" s="222">
        <v>700626</v>
      </c>
      <c r="B7978" s="223" t="s">
        <v>13647</v>
      </c>
      <c r="C7978" s="221" t="s">
        <v>13648</v>
      </c>
    </row>
    <row r="7979" spans="1:3" x14ac:dyDescent="0.25">
      <c r="A7979" s="222">
        <v>700626</v>
      </c>
      <c r="B7979" s="223" t="s">
        <v>13647</v>
      </c>
      <c r="C7979" s="221" t="s">
        <v>13649</v>
      </c>
    </row>
    <row r="7980" spans="1:3" x14ac:dyDescent="0.25">
      <c r="A7980" s="222">
        <v>700627</v>
      </c>
      <c r="B7980" s="223" t="s">
        <v>13650</v>
      </c>
      <c r="C7980" s="221" t="s">
        <v>13623</v>
      </c>
    </row>
    <row r="7981" spans="1:3" x14ac:dyDescent="0.25">
      <c r="A7981" s="222">
        <v>700627</v>
      </c>
      <c r="B7981" s="223" t="s">
        <v>13650</v>
      </c>
      <c r="C7981" s="221" t="s">
        <v>13651</v>
      </c>
    </row>
    <row r="7982" spans="1:3" x14ac:dyDescent="0.25">
      <c r="A7982" s="222">
        <v>700627</v>
      </c>
      <c r="B7982" s="223" t="s">
        <v>13650</v>
      </c>
      <c r="C7982" s="221" t="s">
        <v>13652</v>
      </c>
    </row>
    <row r="7983" spans="1:3" x14ac:dyDescent="0.25">
      <c r="A7983" s="222">
        <v>700628</v>
      </c>
      <c r="B7983" s="223" t="s">
        <v>13653</v>
      </c>
      <c r="C7983" s="221" t="s">
        <v>13623</v>
      </c>
    </row>
    <row r="7984" spans="1:3" x14ac:dyDescent="0.25">
      <c r="A7984" s="222">
        <v>700628</v>
      </c>
      <c r="B7984" s="223" t="s">
        <v>13653</v>
      </c>
      <c r="C7984" s="221" t="s">
        <v>13654</v>
      </c>
    </row>
    <row r="7985" spans="1:3" x14ac:dyDescent="0.25">
      <c r="A7985" s="222">
        <v>700628</v>
      </c>
      <c r="B7985" s="223" t="s">
        <v>13653</v>
      </c>
      <c r="C7985" s="221" t="s">
        <v>13655</v>
      </c>
    </row>
    <row r="7986" spans="1:3" x14ac:dyDescent="0.25">
      <c r="A7986" s="222">
        <v>700629</v>
      </c>
      <c r="B7986" s="223" t="s">
        <v>13656</v>
      </c>
      <c r="C7986" s="221" t="s">
        <v>13623</v>
      </c>
    </row>
    <row r="7987" spans="1:3" x14ac:dyDescent="0.25">
      <c r="A7987" s="222">
        <v>700629</v>
      </c>
      <c r="B7987" s="223" t="s">
        <v>13656</v>
      </c>
      <c r="C7987" s="221" t="s">
        <v>13657</v>
      </c>
    </row>
    <row r="7988" spans="1:3" x14ac:dyDescent="0.25">
      <c r="A7988" s="222">
        <v>700629</v>
      </c>
      <c r="B7988" s="223" t="s">
        <v>13656</v>
      </c>
      <c r="C7988" s="221" t="s">
        <v>13658</v>
      </c>
    </row>
    <row r="7989" spans="1:3" x14ac:dyDescent="0.25">
      <c r="A7989" s="222">
        <v>700630</v>
      </c>
      <c r="B7989" s="223" t="s">
        <v>13659</v>
      </c>
      <c r="C7989" s="221" t="s">
        <v>13623</v>
      </c>
    </row>
    <row r="7990" spans="1:3" x14ac:dyDescent="0.25">
      <c r="A7990" s="222">
        <v>700630</v>
      </c>
      <c r="B7990" s="223" t="s">
        <v>13659</v>
      </c>
      <c r="C7990" s="221" t="s">
        <v>13660</v>
      </c>
    </row>
    <row r="7991" spans="1:3" x14ac:dyDescent="0.25">
      <c r="A7991" s="222">
        <v>700630</v>
      </c>
      <c r="B7991" s="223" t="s">
        <v>13659</v>
      </c>
      <c r="C7991" s="221" t="s">
        <v>13661</v>
      </c>
    </row>
    <row r="7992" spans="1:3" x14ac:dyDescent="0.25">
      <c r="A7992" s="222">
        <v>700631</v>
      </c>
      <c r="B7992" s="223" t="s">
        <v>13662</v>
      </c>
      <c r="C7992" s="221" t="s">
        <v>13623</v>
      </c>
    </row>
    <row r="7993" spans="1:3" x14ac:dyDescent="0.25">
      <c r="A7993" s="222">
        <v>700631</v>
      </c>
      <c r="B7993" s="223" t="s">
        <v>13662</v>
      </c>
      <c r="C7993" s="221" t="s">
        <v>13663</v>
      </c>
    </row>
    <row r="7994" spans="1:3" x14ac:dyDescent="0.25">
      <c r="A7994" s="222">
        <v>700631</v>
      </c>
      <c r="B7994" s="223" t="s">
        <v>13662</v>
      </c>
      <c r="C7994" s="221" t="s">
        <v>13664</v>
      </c>
    </row>
    <row r="7995" spans="1:3" x14ac:dyDescent="0.25">
      <c r="A7995" s="222">
        <v>700633</v>
      </c>
      <c r="B7995" s="223" t="s">
        <v>13665</v>
      </c>
      <c r="C7995" s="221" t="s">
        <v>13623</v>
      </c>
    </row>
    <row r="7996" spans="1:3" x14ac:dyDescent="0.25">
      <c r="A7996" s="222">
        <v>700633</v>
      </c>
      <c r="B7996" s="223" t="s">
        <v>13665</v>
      </c>
      <c r="C7996" s="221" t="s">
        <v>13666</v>
      </c>
    </row>
    <row r="7997" spans="1:3" x14ac:dyDescent="0.25">
      <c r="A7997" s="222">
        <v>700633</v>
      </c>
      <c r="B7997" s="223" t="s">
        <v>13665</v>
      </c>
      <c r="C7997" s="221" t="s">
        <v>13667</v>
      </c>
    </row>
    <row r="7998" spans="1:3" x14ac:dyDescent="0.25">
      <c r="A7998" s="222">
        <v>700634</v>
      </c>
      <c r="B7998" s="223" t="s">
        <v>13668</v>
      </c>
      <c r="C7998" s="221" t="s">
        <v>13623</v>
      </c>
    </row>
    <row r="7999" spans="1:3" x14ac:dyDescent="0.25">
      <c r="A7999" s="222">
        <v>700634</v>
      </c>
      <c r="B7999" s="223" t="s">
        <v>13668</v>
      </c>
      <c r="C7999" s="221" t="s">
        <v>13669</v>
      </c>
    </row>
    <row r="8000" spans="1:3" x14ac:dyDescent="0.25">
      <c r="A8000" s="222">
        <v>700634</v>
      </c>
      <c r="B8000" s="223" t="s">
        <v>13668</v>
      </c>
      <c r="C8000" s="221" t="s">
        <v>13670</v>
      </c>
    </row>
    <row r="8001" spans="1:3" x14ac:dyDescent="0.25">
      <c r="A8001" s="222">
        <v>700635</v>
      </c>
      <c r="B8001" s="223" t="s">
        <v>13671</v>
      </c>
      <c r="C8001" s="221" t="s">
        <v>13623</v>
      </c>
    </row>
    <row r="8002" spans="1:3" x14ac:dyDescent="0.25">
      <c r="A8002" s="222">
        <v>700635</v>
      </c>
      <c r="B8002" s="223" t="s">
        <v>13671</v>
      </c>
      <c r="C8002" s="221" t="s">
        <v>13672</v>
      </c>
    </row>
    <row r="8003" spans="1:3" x14ac:dyDescent="0.25">
      <c r="A8003" s="222">
        <v>700635</v>
      </c>
      <c r="B8003" s="223" t="s">
        <v>13671</v>
      </c>
      <c r="C8003" s="221" t="s">
        <v>13673</v>
      </c>
    </row>
    <row r="8004" spans="1:3" x14ac:dyDescent="0.25">
      <c r="A8004" s="222">
        <v>700636</v>
      </c>
      <c r="B8004" s="223" t="s">
        <v>13674</v>
      </c>
      <c r="C8004" s="221" t="s">
        <v>13623</v>
      </c>
    </row>
    <row r="8005" spans="1:3" x14ac:dyDescent="0.25">
      <c r="A8005" s="222">
        <v>700636</v>
      </c>
      <c r="B8005" s="223" t="s">
        <v>13674</v>
      </c>
      <c r="C8005" s="221" t="s">
        <v>13675</v>
      </c>
    </row>
    <row r="8006" spans="1:3" x14ac:dyDescent="0.25">
      <c r="A8006" s="222">
        <v>700636</v>
      </c>
      <c r="B8006" s="223" t="s">
        <v>13674</v>
      </c>
      <c r="C8006" s="221" t="s">
        <v>13676</v>
      </c>
    </row>
    <row r="8007" spans="1:3" x14ac:dyDescent="0.25">
      <c r="A8007" s="222">
        <v>700637</v>
      </c>
      <c r="B8007" s="223" t="s">
        <v>13677</v>
      </c>
      <c r="C8007" s="221" t="s">
        <v>13623</v>
      </c>
    </row>
    <row r="8008" spans="1:3" x14ac:dyDescent="0.25">
      <c r="A8008" s="222">
        <v>700637</v>
      </c>
      <c r="B8008" s="223" t="s">
        <v>13677</v>
      </c>
      <c r="C8008" s="221" t="s">
        <v>13678</v>
      </c>
    </row>
    <row r="8009" spans="1:3" x14ac:dyDescent="0.25">
      <c r="A8009" s="222">
        <v>700637</v>
      </c>
      <c r="B8009" s="223" t="s">
        <v>13677</v>
      </c>
      <c r="C8009" s="221" t="s">
        <v>13679</v>
      </c>
    </row>
    <row r="8010" spans="1:3" x14ac:dyDescent="0.25">
      <c r="A8010" s="222">
        <v>700640</v>
      </c>
      <c r="B8010" s="223" t="s">
        <v>13680</v>
      </c>
      <c r="C8010" s="221" t="s">
        <v>13623</v>
      </c>
    </row>
    <row r="8011" spans="1:3" x14ac:dyDescent="0.25">
      <c r="A8011" s="222">
        <v>700640</v>
      </c>
      <c r="B8011" s="223" t="s">
        <v>13680</v>
      </c>
      <c r="C8011" s="221" t="s">
        <v>13681</v>
      </c>
    </row>
    <row r="8012" spans="1:3" x14ac:dyDescent="0.25">
      <c r="A8012" s="222">
        <v>700640</v>
      </c>
      <c r="B8012" s="223" t="s">
        <v>13680</v>
      </c>
      <c r="C8012" s="221" t="s">
        <v>13682</v>
      </c>
    </row>
    <row r="8013" spans="1:3" x14ac:dyDescent="0.25">
      <c r="A8013" s="222">
        <v>700641</v>
      </c>
      <c r="B8013" s="223" t="s">
        <v>13683</v>
      </c>
      <c r="C8013" s="221" t="s">
        <v>13623</v>
      </c>
    </row>
    <row r="8014" spans="1:3" x14ac:dyDescent="0.25">
      <c r="A8014" s="222">
        <v>700641</v>
      </c>
      <c r="B8014" s="223" t="s">
        <v>13683</v>
      </c>
      <c r="C8014" s="221" t="s">
        <v>13684</v>
      </c>
    </row>
    <row r="8015" spans="1:3" x14ac:dyDescent="0.25">
      <c r="A8015" s="222">
        <v>700641</v>
      </c>
      <c r="B8015" s="223" t="s">
        <v>13683</v>
      </c>
      <c r="C8015" s="221" t="s">
        <v>13685</v>
      </c>
    </row>
    <row r="8016" spans="1:3" x14ac:dyDescent="0.25">
      <c r="A8016" s="222">
        <v>700642</v>
      </c>
      <c r="B8016" s="223" t="s">
        <v>13686</v>
      </c>
      <c r="C8016" s="221" t="s">
        <v>13623</v>
      </c>
    </row>
    <row r="8017" spans="1:3" x14ac:dyDescent="0.25">
      <c r="A8017" s="222">
        <v>700642</v>
      </c>
      <c r="B8017" s="223" t="s">
        <v>13686</v>
      </c>
      <c r="C8017" s="221" t="s">
        <v>13687</v>
      </c>
    </row>
    <row r="8018" spans="1:3" x14ac:dyDescent="0.25">
      <c r="A8018" s="222">
        <v>700642</v>
      </c>
      <c r="B8018" s="223" t="s">
        <v>13686</v>
      </c>
      <c r="C8018" s="221" t="s">
        <v>13688</v>
      </c>
    </row>
    <row r="8019" spans="1:3" x14ac:dyDescent="0.25">
      <c r="A8019" s="222">
        <v>700643</v>
      </c>
      <c r="B8019" s="223" t="s">
        <v>13689</v>
      </c>
      <c r="C8019" s="221" t="s">
        <v>13623</v>
      </c>
    </row>
    <row r="8020" spans="1:3" x14ac:dyDescent="0.25">
      <c r="A8020" s="222">
        <v>700643</v>
      </c>
      <c r="B8020" s="223" t="s">
        <v>13689</v>
      </c>
      <c r="C8020" s="221" t="s">
        <v>13690</v>
      </c>
    </row>
    <row r="8021" spans="1:3" x14ac:dyDescent="0.25">
      <c r="A8021" s="222">
        <v>700643</v>
      </c>
      <c r="B8021" s="223" t="s">
        <v>13689</v>
      </c>
      <c r="C8021" s="221" t="s">
        <v>13691</v>
      </c>
    </row>
    <row r="8022" spans="1:3" x14ac:dyDescent="0.25">
      <c r="A8022" s="222">
        <v>700644</v>
      </c>
      <c r="B8022" s="223" t="s">
        <v>13692</v>
      </c>
      <c r="C8022" s="221" t="s">
        <v>13623</v>
      </c>
    </row>
    <row r="8023" spans="1:3" x14ac:dyDescent="0.25">
      <c r="A8023" s="222">
        <v>700644</v>
      </c>
      <c r="B8023" s="223" t="s">
        <v>13692</v>
      </c>
      <c r="C8023" s="221" t="s">
        <v>13693</v>
      </c>
    </row>
    <row r="8024" spans="1:3" x14ac:dyDescent="0.25">
      <c r="A8024" s="222">
        <v>700644</v>
      </c>
      <c r="B8024" s="223" t="s">
        <v>13692</v>
      </c>
      <c r="C8024" s="221" t="s">
        <v>13694</v>
      </c>
    </row>
    <row r="8025" spans="1:3" x14ac:dyDescent="0.25">
      <c r="A8025" s="222">
        <v>700646</v>
      </c>
      <c r="B8025" s="223" t="s">
        <v>13695</v>
      </c>
      <c r="C8025" s="221" t="s">
        <v>13623</v>
      </c>
    </row>
    <row r="8026" spans="1:3" x14ac:dyDescent="0.25">
      <c r="A8026" s="222">
        <v>700646</v>
      </c>
      <c r="B8026" s="223" t="s">
        <v>13695</v>
      </c>
      <c r="C8026" s="221" t="s">
        <v>13696</v>
      </c>
    </row>
    <row r="8027" spans="1:3" x14ac:dyDescent="0.25">
      <c r="A8027" s="222">
        <v>700646</v>
      </c>
      <c r="B8027" s="223" t="s">
        <v>13695</v>
      </c>
      <c r="C8027" s="221" t="s">
        <v>13697</v>
      </c>
    </row>
    <row r="8028" spans="1:3" x14ac:dyDescent="0.25">
      <c r="A8028" s="222">
        <v>700648</v>
      </c>
      <c r="B8028" s="223" t="s">
        <v>13698</v>
      </c>
      <c r="C8028" s="221" t="s">
        <v>13623</v>
      </c>
    </row>
    <row r="8029" spans="1:3" x14ac:dyDescent="0.25">
      <c r="A8029" s="222">
        <v>700648</v>
      </c>
      <c r="B8029" s="223" t="s">
        <v>13698</v>
      </c>
      <c r="C8029" s="221" t="s">
        <v>13699</v>
      </c>
    </row>
    <row r="8030" spans="1:3" x14ac:dyDescent="0.25">
      <c r="A8030" s="222">
        <v>700648</v>
      </c>
      <c r="B8030" s="223" t="s">
        <v>13698</v>
      </c>
      <c r="C8030" s="221" t="s">
        <v>13700</v>
      </c>
    </row>
    <row r="8031" spans="1:3" x14ac:dyDescent="0.25">
      <c r="A8031" s="222">
        <v>700649</v>
      </c>
      <c r="B8031" s="223" t="s">
        <v>13701</v>
      </c>
      <c r="C8031" s="221" t="s">
        <v>13623</v>
      </c>
    </row>
    <row r="8032" spans="1:3" x14ac:dyDescent="0.25">
      <c r="A8032" s="222">
        <v>700649</v>
      </c>
      <c r="B8032" s="223" t="s">
        <v>13701</v>
      </c>
      <c r="C8032" s="221" t="s">
        <v>13702</v>
      </c>
    </row>
    <row r="8033" spans="1:3" x14ac:dyDescent="0.25">
      <c r="A8033" s="222">
        <v>700649</v>
      </c>
      <c r="B8033" s="223" t="s">
        <v>13701</v>
      </c>
      <c r="C8033" s="221" t="s">
        <v>13703</v>
      </c>
    </row>
    <row r="8034" spans="1:3" x14ac:dyDescent="0.25">
      <c r="A8034" s="222">
        <v>700650</v>
      </c>
      <c r="B8034" s="223" t="s">
        <v>13704</v>
      </c>
      <c r="C8034" s="221" t="s">
        <v>13623</v>
      </c>
    </row>
    <row r="8035" spans="1:3" x14ac:dyDescent="0.25">
      <c r="A8035" s="222">
        <v>700650</v>
      </c>
      <c r="B8035" s="223" t="s">
        <v>13704</v>
      </c>
      <c r="C8035" s="221" t="s">
        <v>13705</v>
      </c>
    </row>
    <row r="8036" spans="1:3" x14ac:dyDescent="0.25">
      <c r="A8036" s="222">
        <v>700650</v>
      </c>
      <c r="B8036" s="223" t="s">
        <v>13704</v>
      </c>
      <c r="C8036" s="221" t="s">
        <v>13706</v>
      </c>
    </row>
    <row r="8037" spans="1:3" x14ac:dyDescent="0.25">
      <c r="A8037" s="222">
        <v>700651</v>
      </c>
      <c r="B8037" s="223" t="s">
        <v>13707</v>
      </c>
      <c r="C8037" s="221" t="s">
        <v>13623</v>
      </c>
    </row>
    <row r="8038" spans="1:3" x14ac:dyDescent="0.25">
      <c r="A8038" s="222">
        <v>700651</v>
      </c>
      <c r="B8038" s="223" t="s">
        <v>13707</v>
      </c>
      <c r="C8038" s="221" t="s">
        <v>13708</v>
      </c>
    </row>
    <row r="8039" spans="1:3" x14ac:dyDescent="0.25">
      <c r="A8039" s="222">
        <v>700651</v>
      </c>
      <c r="B8039" s="223" t="s">
        <v>13707</v>
      </c>
      <c r="C8039" s="221" t="s">
        <v>13709</v>
      </c>
    </row>
    <row r="8040" spans="1:3" x14ac:dyDescent="0.25">
      <c r="A8040" s="222">
        <v>700652</v>
      </c>
      <c r="B8040" s="223" t="s">
        <v>13710</v>
      </c>
      <c r="C8040" s="221" t="s">
        <v>13623</v>
      </c>
    </row>
    <row r="8041" spans="1:3" x14ac:dyDescent="0.25">
      <c r="A8041" s="222">
        <v>700652</v>
      </c>
      <c r="B8041" s="223" t="s">
        <v>13710</v>
      </c>
      <c r="C8041" s="221" t="s">
        <v>13711</v>
      </c>
    </row>
    <row r="8042" spans="1:3" x14ac:dyDescent="0.25">
      <c r="A8042" s="222">
        <v>700652</v>
      </c>
      <c r="B8042" s="223" t="s">
        <v>13710</v>
      </c>
      <c r="C8042" s="221" t="s">
        <v>13712</v>
      </c>
    </row>
    <row r="8043" spans="1:3" x14ac:dyDescent="0.25">
      <c r="A8043" s="222">
        <v>700653</v>
      </c>
      <c r="B8043" s="223" t="s">
        <v>13713</v>
      </c>
      <c r="C8043" s="221" t="s">
        <v>13623</v>
      </c>
    </row>
    <row r="8044" spans="1:3" x14ac:dyDescent="0.25">
      <c r="A8044" s="222">
        <v>700653</v>
      </c>
      <c r="B8044" s="223" t="s">
        <v>13713</v>
      </c>
      <c r="C8044" s="221" t="s">
        <v>13714</v>
      </c>
    </row>
    <row r="8045" spans="1:3" x14ac:dyDescent="0.25">
      <c r="A8045" s="222">
        <v>700653</v>
      </c>
      <c r="B8045" s="223" t="s">
        <v>13713</v>
      </c>
      <c r="C8045" s="221" t="s">
        <v>13715</v>
      </c>
    </row>
    <row r="8046" spans="1:3" x14ac:dyDescent="0.25">
      <c r="A8046" s="222">
        <v>700654</v>
      </c>
      <c r="B8046" s="223" t="s">
        <v>13716</v>
      </c>
      <c r="C8046" s="221" t="s">
        <v>13623</v>
      </c>
    </row>
    <row r="8047" spans="1:3" x14ac:dyDescent="0.25">
      <c r="A8047" s="222">
        <v>700654</v>
      </c>
      <c r="B8047" s="223" t="s">
        <v>13716</v>
      </c>
      <c r="C8047" s="221" t="s">
        <v>13717</v>
      </c>
    </row>
    <row r="8048" spans="1:3" x14ac:dyDescent="0.25">
      <c r="A8048" s="222">
        <v>700654</v>
      </c>
      <c r="B8048" s="223" t="s">
        <v>13716</v>
      </c>
      <c r="C8048" s="221" t="s">
        <v>13718</v>
      </c>
    </row>
    <row r="8049" spans="1:3" x14ac:dyDescent="0.25">
      <c r="A8049" s="222">
        <v>700655</v>
      </c>
      <c r="B8049" s="223" t="s">
        <v>13719</v>
      </c>
      <c r="C8049" s="221" t="s">
        <v>13720</v>
      </c>
    </row>
    <row r="8050" spans="1:3" x14ac:dyDescent="0.25">
      <c r="A8050" s="222">
        <v>700656</v>
      </c>
      <c r="B8050" s="223" t="s">
        <v>13721</v>
      </c>
      <c r="C8050" s="221" t="s">
        <v>13722</v>
      </c>
    </row>
    <row r="8051" spans="1:3" x14ac:dyDescent="0.25">
      <c r="A8051" s="222">
        <v>700657</v>
      </c>
      <c r="B8051" s="223" t="s">
        <v>13723</v>
      </c>
      <c r="C8051" s="221" t="s">
        <v>13724</v>
      </c>
    </row>
    <row r="8052" spans="1:3" x14ac:dyDescent="0.25">
      <c r="A8052" s="222">
        <v>700657</v>
      </c>
      <c r="B8052" s="223" t="s">
        <v>13723</v>
      </c>
      <c r="C8052" s="221" t="s">
        <v>13725</v>
      </c>
    </row>
    <row r="8053" spans="1:3" x14ac:dyDescent="0.25">
      <c r="A8053" s="222">
        <v>700657</v>
      </c>
      <c r="B8053" s="223" t="s">
        <v>13723</v>
      </c>
      <c r="C8053" s="221" t="s">
        <v>13726</v>
      </c>
    </row>
    <row r="8054" spans="1:3" x14ac:dyDescent="0.25">
      <c r="A8054" s="222">
        <v>700658</v>
      </c>
      <c r="B8054" s="223" t="s">
        <v>13727</v>
      </c>
      <c r="C8054" s="221" t="s">
        <v>13728</v>
      </c>
    </row>
    <row r="8055" spans="1:3" x14ac:dyDescent="0.25">
      <c r="A8055" s="222">
        <v>700658</v>
      </c>
      <c r="B8055" s="223" t="s">
        <v>13727</v>
      </c>
      <c r="C8055" s="221" t="s">
        <v>13729</v>
      </c>
    </row>
    <row r="8056" spans="1:3" x14ac:dyDescent="0.25">
      <c r="A8056" s="222">
        <v>700658</v>
      </c>
      <c r="B8056" s="223" t="s">
        <v>13727</v>
      </c>
      <c r="C8056" s="221" t="s">
        <v>13730</v>
      </c>
    </row>
    <row r="8057" spans="1:3" x14ac:dyDescent="0.25">
      <c r="A8057" s="222">
        <v>700659</v>
      </c>
      <c r="B8057" s="223" t="s">
        <v>13731</v>
      </c>
      <c r="C8057" s="221" t="s">
        <v>13732</v>
      </c>
    </row>
    <row r="8058" spans="1:3" x14ac:dyDescent="0.25">
      <c r="A8058" s="222">
        <v>700659</v>
      </c>
      <c r="B8058" s="223" t="s">
        <v>13731</v>
      </c>
      <c r="C8058" s="221" t="s">
        <v>13733</v>
      </c>
    </row>
    <row r="8059" spans="1:3" x14ac:dyDescent="0.25">
      <c r="A8059" s="222">
        <v>700659</v>
      </c>
      <c r="B8059" s="223" t="s">
        <v>13731</v>
      </c>
      <c r="C8059" s="221" t="s">
        <v>13734</v>
      </c>
    </row>
    <row r="8060" spans="1:3" x14ac:dyDescent="0.25">
      <c r="A8060" s="222">
        <v>700660</v>
      </c>
      <c r="B8060" s="223" t="s">
        <v>13735</v>
      </c>
      <c r="C8060" s="221" t="s">
        <v>13736</v>
      </c>
    </row>
    <row r="8061" spans="1:3" x14ac:dyDescent="0.25">
      <c r="A8061" s="222">
        <v>700660</v>
      </c>
      <c r="B8061" s="223" t="s">
        <v>13735</v>
      </c>
      <c r="C8061" s="221" t="s">
        <v>13737</v>
      </c>
    </row>
    <row r="8062" spans="1:3" x14ac:dyDescent="0.25">
      <c r="A8062" s="222">
        <v>700660</v>
      </c>
      <c r="B8062" s="223" t="s">
        <v>13735</v>
      </c>
      <c r="C8062" s="221" t="s">
        <v>13738</v>
      </c>
    </row>
    <row r="8063" spans="1:3" x14ac:dyDescent="0.25">
      <c r="A8063" s="222">
        <v>700661</v>
      </c>
      <c r="B8063" s="223" t="s">
        <v>13739</v>
      </c>
      <c r="C8063" s="221" t="s">
        <v>13740</v>
      </c>
    </row>
    <row r="8064" spans="1:3" x14ac:dyDescent="0.25">
      <c r="A8064" s="222">
        <v>700662</v>
      </c>
      <c r="B8064" s="223" t="s">
        <v>13741</v>
      </c>
      <c r="C8064" s="221" t="s">
        <v>13742</v>
      </c>
    </row>
    <row r="8065" spans="1:3" x14ac:dyDescent="0.25">
      <c r="A8065" s="222">
        <v>700663</v>
      </c>
      <c r="B8065" s="223" t="s">
        <v>13743</v>
      </c>
      <c r="C8065" s="221" t="s">
        <v>13744</v>
      </c>
    </row>
    <row r="8066" spans="1:3" x14ac:dyDescent="0.25">
      <c r="A8066" s="222">
        <v>700664</v>
      </c>
      <c r="B8066" s="223" t="s">
        <v>13745</v>
      </c>
      <c r="C8066" s="221" t="s">
        <v>13746</v>
      </c>
    </row>
    <row r="8067" spans="1:3" x14ac:dyDescent="0.25">
      <c r="A8067" s="222">
        <v>700665</v>
      </c>
      <c r="B8067" s="223" t="s">
        <v>13747</v>
      </c>
      <c r="C8067" s="221" t="s">
        <v>13748</v>
      </c>
    </row>
    <row r="8068" spans="1:3" x14ac:dyDescent="0.25">
      <c r="A8068" s="222">
        <v>700666</v>
      </c>
      <c r="B8068" s="223" t="s">
        <v>13749</v>
      </c>
      <c r="C8068" s="221" t="s">
        <v>13750</v>
      </c>
    </row>
    <row r="8069" spans="1:3" x14ac:dyDescent="0.25">
      <c r="A8069" s="222">
        <v>700667</v>
      </c>
      <c r="B8069" s="223" t="s">
        <v>13751</v>
      </c>
      <c r="C8069" s="221" t="s">
        <v>13752</v>
      </c>
    </row>
    <row r="8070" spans="1:3" x14ac:dyDescent="0.25">
      <c r="A8070" s="222">
        <v>700668</v>
      </c>
      <c r="B8070" s="223" t="s">
        <v>13753</v>
      </c>
      <c r="C8070" s="221" t="s">
        <v>13754</v>
      </c>
    </row>
    <row r="8071" spans="1:3" x14ac:dyDescent="0.25">
      <c r="A8071" s="222">
        <v>700669</v>
      </c>
      <c r="B8071" s="223" t="s">
        <v>13755</v>
      </c>
      <c r="C8071" s="221" t="s">
        <v>13756</v>
      </c>
    </row>
    <row r="8072" spans="1:3" x14ac:dyDescent="0.25">
      <c r="A8072" s="222">
        <v>700670</v>
      </c>
      <c r="B8072" s="223" t="s">
        <v>13757</v>
      </c>
      <c r="C8072" s="221" t="s">
        <v>13758</v>
      </c>
    </row>
    <row r="8073" spans="1:3" x14ac:dyDescent="0.25">
      <c r="A8073" s="222">
        <v>700671</v>
      </c>
      <c r="B8073" s="223" t="s">
        <v>13759</v>
      </c>
      <c r="C8073" s="221" t="s">
        <v>13760</v>
      </c>
    </row>
    <row r="8074" spans="1:3" x14ac:dyDescent="0.25">
      <c r="A8074" s="222">
        <v>700672</v>
      </c>
      <c r="B8074" s="223" t="s">
        <v>13761</v>
      </c>
      <c r="C8074" s="221" t="s">
        <v>13762</v>
      </c>
    </row>
    <row r="8075" spans="1:3" x14ac:dyDescent="0.25">
      <c r="A8075" s="222">
        <v>700673</v>
      </c>
      <c r="B8075" s="223" t="s">
        <v>13763</v>
      </c>
      <c r="C8075" s="221" t="s">
        <v>13764</v>
      </c>
    </row>
    <row r="8076" spans="1:3" x14ac:dyDescent="0.25">
      <c r="A8076" s="222">
        <v>700674</v>
      </c>
      <c r="B8076" s="223" t="s">
        <v>13765</v>
      </c>
      <c r="C8076" s="221" t="s">
        <v>13766</v>
      </c>
    </row>
    <row r="8077" spans="1:3" x14ac:dyDescent="0.25">
      <c r="A8077" s="222">
        <v>700675</v>
      </c>
      <c r="B8077" s="223" t="s">
        <v>13767</v>
      </c>
      <c r="C8077" s="221" t="s">
        <v>13768</v>
      </c>
    </row>
    <row r="8078" spans="1:3" x14ac:dyDescent="0.25">
      <c r="A8078" s="222">
        <v>700676</v>
      </c>
      <c r="B8078" s="223" t="s">
        <v>13769</v>
      </c>
      <c r="C8078" s="221" t="s">
        <v>13770</v>
      </c>
    </row>
    <row r="8079" spans="1:3" x14ac:dyDescent="0.25">
      <c r="A8079" s="222">
        <v>700677</v>
      </c>
      <c r="B8079" s="223" t="s">
        <v>13771</v>
      </c>
      <c r="C8079" s="221" t="s">
        <v>13772</v>
      </c>
    </row>
    <row r="8080" spans="1:3" x14ac:dyDescent="0.25">
      <c r="A8080" s="222">
        <v>700678</v>
      </c>
      <c r="B8080" s="223" t="s">
        <v>13773</v>
      </c>
      <c r="C8080" s="221" t="s">
        <v>13774</v>
      </c>
    </row>
    <row r="8081" spans="1:3" x14ac:dyDescent="0.25">
      <c r="A8081" s="222">
        <v>700679</v>
      </c>
      <c r="B8081" s="223" t="s">
        <v>13775</v>
      </c>
      <c r="C8081" s="221" t="s">
        <v>13776</v>
      </c>
    </row>
    <row r="8082" spans="1:3" x14ac:dyDescent="0.25">
      <c r="A8082" s="222">
        <v>700680</v>
      </c>
      <c r="B8082" s="223" t="s">
        <v>13777</v>
      </c>
      <c r="C8082" s="221" t="s">
        <v>13778</v>
      </c>
    </row>
    <row r="8083" spans="1:3" x14ac:dyDescent="0.25">
      <c r="A8083" s="222">
        <v>700681</v>
      </c>
      <c r="B8083" s="223" t="s">
        <v>13779</v>
      </c>
      <c r="C8083" s="221" t="s">
        <v>13780</v>
      </c>
    </row>
    <row r="8084" spans="1:3" x14ac:dyDescent="0.25">
      <c r="A8084" s="222">
        <v>700682</v>
      </c>
      <c r="B8084" s="223" t="s">
        <v>13781</v>
      </c>
      <c r="C8084" s="221" t="s">
        <v>13782</v>
      </c>
    </row>
    <row r="8085" spans="1:3" x14ac:dyDescent="0.25">
      <c r="A8085" s="222">
        <v>700685</v>
      </c>
      <c r="B8085" s="223" t="s">
        <v>13783</v>
      </c>
      <c r="C8085" s="221" t="s">
        <v>13784</v>
      </c>
    </row>
    <row r="8086" spans="1:3" x14ac:dyDescent="0.25">
      <c r="A8086" s="222">
        <v>700686</v>
      </c>
      <c r="B8086" s="223" t="s">
        <v>13785</v>
      </c>
      <c r="C8086" s="221" t="s">
        <v>13786</v>
      </c>
    </row>
    <row r="8087" spans="1:3" x14ac:dyDescent="0.25">
      <c r="A8087" s="222">
        <v>700687</v>
      </c>
      <c r="B8087" s="223" t="s">
        <v>13787</v>
      </c>
      <c r="C8087" s="221" t="s">
        <v>13788</v>
      </c>
    </row>
    <row r="8088" spans="1:3" x14ac:dyDescent="0.25">
      <c r="A8088" s="222">
        <v>700688</v>
      </c>
      <c r="B8088" s="223" t="s">
        <v>13789</v>
      </c>
      <c r="C8088" s="221" t="s">
        <v>13790</v>
      </c>
    </row>
    <row r="8089" spans="1:3" x14ac:dyDescent="0.25">
      <c r="A8089" s="222">
        <v>700689</v>
      </c>
      <c r="B8089" s="223" t="s">
        <v>13791</v>
      </c>
      <c r="C8089" s="221" t="s">
        <v>13792</v>
      </c>
    </row>
    <row r="8090" spans="1:3" x14ac:dyDescent="0.25">
      <c r="A8090" s="222">
        <v>700690</v>
      </c>
      <c r="B8090" s="223" t="s">
        <v>13793</v>
      </c>
      <c r="C8090" s="221" t="s">
        <v>13794</v>
      </c>
    </row>
    <row r="8091" spans="1:3" x14ac:dyDescent="0.25">
      <c r="A8091" s="222">
        <v>700691</v>
      </c>
      <c r="B8091" s="223" t="s">
        <v>13795</v>
      </c>
      <c r="C8091" s="221" t="s">
        <v>13796</v>
      </c>
    </row>
    <row r="8092" spans="1:3" x14ac:dyDescent="0.25">
      <c r="A8092" s="222">
        <v>700692</v>
      </c>
      <c r="B8092" s="223" t="s">
        <v>13797</v>
      </c>
      <c r="C8092" s="221" t="s">
        <v>13798</v>
      </c>
    </row>
    <row r="8093" spans="1:3" x14ac:dyDescent="0.25">
      <c r="A8093" s="222">
        <v>700693</v>
      </c>
      <c r="B8093" s="223" t="s">
        <v>13799</v>
      </c>
      <c r="C8093" s="221" t="s">
        <v>13800</v>
      </c>
    </row>
    <row r="8094" spans="1:3" x14ac:dyDescent="0.25">
      <c r="A8094" s="222">
        <v>700694</v>
      </c>
      <c r="B8094" s="223" t="s">
        <v>13801</v>
      </c>
      <c r="C8094" s="221" t="s">
        <v>13802</v>
      </c>
    </row>
    <row r="8095" spans="1:3" x14ac:dyDescent="0.25">
      <c r="A8095" s="222">
        <v>700698</v>
      </c>
      <c r="B8095" s="223" t="s">
        <v>13803</v>
      </c>
      <c r="C8095" s="221" t="s">
        <v>13804</v>
      </c>
    </row>
    <row r="8096" spans="1:3" x14ac:dyDescent="0.25">
      <c r="A8096" s="222">
        <v>700699</v>
      </c>
      <c r="B8096" s="223" t="s">
        <v>13805</v>
      </c>
      <c r="C8096" s="221" t="s">
        <v>13806</v>
      </c>
    </row>
    <row r="8097" spans="1:3" x14ac:dyDescent="0.25">
      <c r="A8097" s="222">
        <v>700703</v>
      </c>
      <c r="B8097" s="223" t="s">
        <v>13807</v>
      </c>
      <c r="C8097" s="221" t="s">
        <v>13808</v>
      </c>
    </row>
    <row r="8098" spans="1:3" x14ac:dyDescent="0.25">
      <c r="A8098" s="222">
        <v>700704</v>
      </c>
      <c r="B8098" s="223" t="s">
        <v>13809</v>
      </c>
      <c r="C8098" s="221" t="s">
        <v>13810</v>
      </c>
    </row>
    <row r="8099" spans="1:3" x14ac:dyDescent="0.25">
      <c r="A8099" s="222">
        <v>700705</v>
      </c>
      <c r="B8099" s="223" t="s">
        <v>13811</v>
      </c>
      <c r="C8099" s="221" t="s">
        <v>13812</v>
      </c>
    </row>
    <row r="8100" spans="1:3" x14ac:dyDescent="0.25">
      <c r="A8100" s="222">
        <v>700706</v>
      </c>
      <c r="B8100" s="223" t="s">
        <v>13813</v>
      </c>
      <c r="C8100" s="221" t="s">
        <v>13814</v>
      </c>
    </row>
    <row r="8101" spans="1:3" x14ac:dyDescent="0.25">
      <c r="A8101" s="222">
        <v>700707</v>
      </c>
      <c r="B8101" s="223" t="s">
        <v>13815</v>
      </c>
      <c r="C8101" s="221" t="s">
        <v>13816</v>
      </c>
    </row>
    <row r="8102" spans="1:3" x14ac:dyDescent="0.25">
      <c r="A8102" s="222">
        <v>700708</v>
      </c>
      <c r="B8102" s="223" t="s">
        <v>13817</v>
      </c>
      <c r="C8102" s="221" t="s">
        <v>13818</v>
      </c>
    </row>
    <row r="8103" spans="1:3" x14ac:dyDescent="0.25">
      <c r="A8103" s="222">
        <v>700709</v>
      </c>
      <c r="B8103" s="223" t="s">
        <v>13819</v>
      </c>
      <c r="C8103" s="221" t="s">
        <v>13820</v>
      </c>
    </row>
    <row r="8104" spans="1:3" x14ac:dyDescent="0.25">
      <c r="A8104" s="222">
        <v>700710</v>
      </c>
      <c r="B8104" s="223" t="s">
        <v>13821</v>
      </c>
      <c r="C8104" s="221" t="s">
        <v>13822</v>
      </c>
    </row>
    <row r="8105" spans="1:3" x14ac:dyDescent="0.25">
      <c r="A8105" s="222">
        <v>700711</v>
      </c>
      <c r="B8105" s="223" t="s">
        <v>13823</v>
      </c>
      <c r="C8105" s="221" t="s">
        <v>13824</v>
      </c>
    </row>
    <row r="8106" spans="1:3" x14ac:dyDescent="0.25">
      <c r="A8106" s="222">
        <v>700712</v>
      </c>
      <c r="B8106" s="223" t="s">
        <v>13825</v>
      </c>
      <c r="C8106" s="221" t="s">
        <v>13826</v>
      </c>
    </row>
    <row r="8107" spans="1:3" x14ac:dyDescent="0.25">
      <c r="A8107" s="222">
        <v>700713</v>
      </c>
      <c r="B8107" s="223" t="s">
        <v>13827</v>
      </c>
      <c r="C8107" s="221" t="s">
        <v>13828</v>
      </c>
    </row>
    <row r="8108" spans="1:3" x14ac:dyDescent="0.25">
      <c r="A8108" s="222">
        <v>700714</v>
      </c>
      <c r="B8108" s="223" t="s">
        <v>13829</v>
      </c>
      <c r="C8108" s="221" t="s">
        <v>13830</v>
      </c>
    </row>
    <row r="8109" spans="1:3" x14ac:dyDescent="0.25">
      <c r="A8109" s="222">
        <v>700715</v>
      </c>
      <c r="B8109" s="223" t="s">
        <v>13831</v>
      </c>
      <c r="C8109" s="221" t="s">
        <v>13832</v>
      </c>
    </row>
    <row r="8110" spans="1:3" x14ac:dyDescent="0.25">
      <c r="A8110" s="222">
        <v>700716</v>
      </c>
      <c r="B8110" s="223" t="s">
        <v>13833</v>
      </c>
      <c r="C8110" s="221" t="s">
        <v>13834</v>
      </c>
    </row>
    <row r="8111" spans="1:3" x14ac:dyDescent="0.25">
      <c r="A8111" s="222">
        <v>700717</v>
      </c>
      <c r="B8111" s="223" t="s">
        <v>13835</v>
      </c>
      <c r="C8111" s="221" t="s">
        <v>13836</v>
      </c>
    </row>
    <row r="8112" spans="1:3" x14ac:dyDescent="0.25">
      <c r="A8112" s="222">
        <v>700718</v>
      </c>
      <c r="B8112" s="223" t="s">
        <v>13837</v>
      </c>
      <c r="C8112" s="221" t="s">
        <v>13838</v>
      </c>
    </row>
    <row r="8113" spans="1:3" x14ac:dyDescent="0.25">
      <c r="A8113" s="222">
        <v>700719</v>
      </c>
      <c r="B8113" s="223" t="s">
        <v>13839</v>
      </c>
      <c r="C8113" s="221" t="s">
        <v>13840</v>
      </c>
    </row>
    <row r="8114" spans="1:3" x14ac:dyDescent="0.25">
      <c r="A8114" s="222">
        <v>700720</v>
      </c>
      <c r="B8114" s="223" t="s">
        <v>13841</v>
      </c>
      <c r="C8114" s="221" t="s">
        <v>13842</v>
      </c>
    </row>
    <row r="8115" spans="1:3" x14ac:dyDescent="0.25">
      <c r="A8115" s="222">
        <v>700721</v>
      </c>
      <c r="B8115" s="223" t="s">
        <v>13843</v>
      </c>
      <c r="C8115" s="221" t="s">
        <v>13844</v>
      </c>
    </row>
    <row r="8116" spans="1:3" x14ac:dyDescent="0.25">
      <c r="A8116" s="222">
        <v>700722</v>
      </c>
      <c r="B8116" s="223" t="s">
        <v>13845</v>
      </c>
      <c r="C8116" s="221" t="s">
        <v>13846</v>
      </c>
    </row>
    <row r="8117" spans="1:3" x14ac:dyDescent="0.25">
      <c r="A8117" s="222">
        <v>700723</v>
      </c>
      <c r="B8117" s="223" t="s">
        <v>13847</v>
      </c>
      <c r="C8117" s="221" t="s">
        <v>13848</v>
      </c>
    </row>
    <row r="8118" spans="1:3" x14ac:dyDescent="0.25">
      <c r="A8118" s="222">
        <v>700724</v>
      </c>
      <c r="B8118" s="223" t="s">
        <v>13849</v>
      </c>
      <c r="C8118" s="221" t="s">
        <v>13850</v>
      </c>
    </row>
    <row r="8119" spans="1:3" x14ac:dyDescent="0.25">
      <c r="A8119" s="222">
        <v>700725</v>
      </c>
      <c r="B8119" s="223" t="s">
        <v>13851</v>
      </c>
      <c r="C8119" s="221" t="s">
        <v>13852</v>
      </c>
    </row>
    <row r="8120" spans="1:3" x14ac:dyDescent="0.25">
      <c r="A8120" s="222">
        <v>700726</v>
      </c>
      <c r="B8120" s="223" t="s">
        <v>13853</v>
      </c>
      <c r="C8120" s="221" t="s">
        <v>13854</v>
      </c>
    </row>
    <row r="8121" spans="1:3" x14ac:dyDescent="0.25">
      <c r="A8121" s="222">
        <v>700727</v>
      </c>
      <c r="B8121" s="223" t="s">
        <v>13855</v>
      </c>
      <c r="C8121" s="221" t="s">
        <v>13856</v>
      </c>
    </row>
    <row r="8122" spans="1:3" x14ac:dyDescent="0.25">
      <c r="A8122" s="222">
        <v>700728</v>
      </c>
      <c r="B8122" s="223" t="s">
        <v>13857</v>
      </c>
      <c r="C8122" s="221" t="s">
        <v>13858</v>
      </c>
    </row>
    <row r="8123" spans="1:3" x14ac:dyDescent="0.25">
      <c r="A8123" s="222">
        <v>700729</v>
      </c>
      <c r="B8123" s="223" t="s">
        <v>13859</v>
      </c>
      <c r="C8123" s="221" t="s">
        <v>13860</v>
      </c>
    </row>
    <row r="8124" spans="1:3" x14ac:dyDescent="0.25">
      <c r="A8124" s="222">
        <v>700730</v>
      </c>
      <c r="B8124" s="223" t="s">
        <v>13861</v>
      </c>
      <c r="C8124" s="221" t="s">
        <v>13862</v>
      </c>
    </row>
    <row r="8125" spans="1:3" x14ac:dyDescent="0.25">
      <c r="A8125" s="222">
        <v>700731</v>
      </c>
      <c r="B8125" s="223" t="s">
        <v>13863</v>
      </c>
      <c r="C8125" s="221" t="s">
        <v>13864</v>
      </c>
    </row>
    <row r="8126" spans="1:3" x14ac:dyDescent="0.25">
      <c r="A8126" s="222">
        <v>700732</v>
      </c>
      <c r="B8126" s="223" t="s">
        <v>13865</v>
      </c>
      <c r="C8126" s="221" t="s">
        <v>13866</v>
      </c>
    </row>
    <row r="8127" spans="1:3" x14ac:dyDescent="0.25">
      <c r="A8127" s="222">
        <v>700733</v>
      </c>
      <c r="B8127" s="223" t="s">
        <v>13867</v>
      </c>
      <c r="C8127" s="221" t="s">
        <v>13868</v>
      </c>
    </row>
    <row r="8128" spans="1:3" x14ac:dyDescent="0.25">
      <c r="A8128" s="222">
        <v>700734</v>
      </c>
      <c r="B8128" s="223" t="s">
        <v>13869</v>
      </c>
      <c r="C8128" s="221" t="s">
        <v>13870</v>
      </c>
    </row>
    <row r="8129" spans="1:3" x14ac:dyDescent="0.25">
      <c r="A8129" s="222">
        <v>700735</v>
      </c>
      <c r="B8129" s="223" t="s">
        <v>13871</v>
      </c>
      <c r="C8129" s="221" t="s">
        <v>13872</v>
      </c>
    </row>
    <row r="8130" spans="1:3" x14ac:dyDescent="0.25">
      <c r="A8130" s="222">
        <v>700736</v>
      </c>
      <c r="B8130" s="223" t="s">
        <v>13873</v>
      </c>
      <c r="C8130" s="221" t="s">
        <v>13874</v>
      </c>
    </row>
    <row r="8131" spans="1:3" x14ac:dyDescent="0.25">
      <c r="A8131" s="222">
        <v>700737</v>
      </c>
      <c r="B8131" s="223" t="s">
        <v>13875</v>
      </c>
      <c r="C8131" s="221" t="s">
        <v>13876</v>
      </c>
    </row>
    <row r="8132" spans="1:3" x14ac:dyDescent="0.25">
      <c r="A8132" s="222">
        <v>700738</v>
      </c>
      <c r="B8132" s="223" t="s">
        <v>13877</v>
      </c>
      <c r="C8132" s="221" t="s">
        <v>13878</v>
      </c>
    </row>
    <row r="8133" spans="1:3" x14ac:dyDescent="0.25">
      <c r="A8133" s="222">
        <v>700739</v>
      </c>
      <c r="B8133" s="223" t="s">
        <v>13879</v>
      </c>
      <c r="C8133" s="221" t="s">
        <v>13880</v>
      </c>
    </row>
    <row r="8134" spans="1:3" x14ac:dyDescent="0.25">
      <c r="A8134" s="222">
        <v>700740</v>
      </c>
      <c r="B8134" s="223" t="s">
        <v>13881</v>
      </c>
      <c r="C8134" s="221" t="s">
        <v>13882</v>
      </c>
    </row>
    <row r="8135" spans="1:3" x14ac:dyDescent="0.25">
      <c r="A8135" s="222">
        <v>700741</v>
      </c>
      <c r="B8135" s="223" t="s">
        <v>13883</v>
      </c>
      <c r="C8135" s="221" t="s">
        <v>13884</v>
      </c>
    </row>
    <row r="8136" spans="1:3" x14ac:dyDescent="0.25">
      <c r="A8136" s="222">
        <v>700742</v>
      </c>
      <c r="B8136" s="223" t="s">
        <v>13885</v>
      </c>
      <c r="C8136" s="221" t="s">
        <v>13886</v>
      </c>
    </row>
    <row r="8137" spans="1:3" x14ac:dyDescent="0.25">
      <c r="A8137" s="222">
        <v>700743</v>
      </c>
      <c r="B8137" s="223" t="s">
        <v>13887</v>
      </c>
      <c r="C8137" s="221" t="s">
        <v>13888</v>
      </c>
    </row>
    <row r="8138" spans="1:3" x14ac:dyDescent="0.25">
      <c r="A8138" s="222">
        <v>700744</v>
      </c>
      <c r="B8138" s="223" t="s">
        <v>13889</v>
      </c>
      <c r="C8138" s="221" t="s">
        <v>13890</v>
      </c>
    </row>
    <row r="8139" spans="1:3" x14ac:dyDescent="0.25">
      <c r="A8139" s="222">
        <v>700745</v>
      </c>
      <c r="B8139" s="223" t="s">
        <v>13891</v>
      </c>
      <c r="C8139" s="221" t="s">
        <v>13892</v>
      </c>
    </row>
    <row r="8140" spans="1:3" x14ac:dyDescent="0.25">
      <c r="A8140" s="222">
        <v>700746</v>
      </c>
      <c r="B8140" s="223" t="s">
        <v>13893</v>
      </c>
      <c r="C8140" s="221" t="s">
        <v>13894</v>
      </c>
    </row>
    <row r="8141" spans="1:3" x14ac:dyDescent="0.25">
      <c r="A8141" s="222">
        <v>700747</v>
      </c>
      <c r="B8141" s="223" t="s">
        <v>13895</v>
      </c>
      <c r="C8141" s="221" t="s">
        <v>13896</v>
      </c>
    </row>
    <row r="8142" spans="1:3" x14ac:dyDescent="0.25">
      <c r="A8142" s="222">
        <v>700748</v>
      </c>
      <c r="B8142" s="223" t="s">
        <v>13897</v>
      </c>
      <c r="C8142" s="221" t="s">
        <v>13898</v>
      </c>
    </row>
    <row r="8143" spans="1:3" x14ac:dyDescent="0.25">
      <c r="A8143" s="222">
        <v>700749</v>
      </c>
      <c r="B8143" s="223" t="s">
        <v>13899</v>
      </c>
      <c r="C8143" s="221" t="s">
        <v>13900</v>
      </c>
    </row>
    <row r="8144" spans="1:3" x14ac:dyDescent="0.25">
      <c r="A8144" s="222">
        <v>700750</v>
      </c>
      <c r="B8144" s="223" t="s">
        <v>13901</v>
      </c>
      <c r="C8144" s="221" t="s">
        <v>13902</v>
      </c>
    </row>
    <row r="8145" spans="1:3" x14ac:dyDescent="0.25">
      <c r="A8145" s="222">
        <v>700751</v>
      </c>
      <c r="B8145" s="223" t="s">
        <v>13903</v>
      </c>
      <c r="C8145" s="221" t="s">
        <v>13904</v>
      </c>
    </row>
    <row r="8146" spans="1:3" x14ac:dyDescent="0.25">
      <c r="A8146" s="222">
        <v>700752</v>
      </c>
      <c r="B8146" s="223" t="s">
        <v>13905</v>
      </c>
      <c r="C8146" s="221" t="s">
        <v>13906</v>
      </c>
    </row>
    <row r="8147" spans="1:3" x14ac:dyDescent="0.25">
      <c r="A8147" s="222">
        <v>700753</v>
      </c>
      <c r="B8147" s="223" t="s">
        <v>13907</v>
      </c>
      <c r="C8147" s="221" t="s">
        <v>13908</v>
      </c>
    </row>
    <row r="8148" spans="1:3" x14ac:dyDescent="0.25">
      <c r="A8148" s="222">
        <v>700754</v>
      </c>
      <c r="B8148" s="223" t="s">
        <v>13909</v>
      </c>
      <c r="C8148" s="221" t="s">
        <v>13910</v>
      </c>
    </row>
    <row r="8149" spans="1:3" x14ac:dyDescent="0.25">
      <c r="A8149" s="222">
        <v>700755</v>
      </c>
      <c r="B8149" s="223" t="s">
        <v>13911</v>
      </c>
      <c r="C8149" s="221" t="s">
        <v>13912</v>
      </c>
    </row>
    <row r="8150" spans="1:3" x14ac:dyDescent="0.25">
      <c r="A8150" s="222">
        <v>700756</v>
      </c>
      <c r="B8150" s="223" t="s">
        <v>13913</v>
      </c>
      <c r="C8150" s="221" t="s">
        <v>13914</v>
      </c>
    </row>
    <row r="8151" spans="1:3" x14ac:dyDescent="0.25">
      <c r="A8151" s="222">
        <v>700757</v>
      </c>
      <c r="B8151" s="223" t="s">
        <v>13915</v>
      </c>
      <c r="C8151" s="221" t="s">
        <v>13916</v>
      </c>
    </row>
    <row r="8152" spans="1:3" x14ac:dyDescent="0.25">
      <c r="A8152" s="222">
        <v>700758</v>
      </c>
      <c r="B8152" s="223" t="s">
        <v>13917</v>
      </c>
      <c r="C8152" s="221" t="s">
        <v>13918</v>
      </c>
    </row>
    <row r="8153" spans="1:3" x14ac:dyDescent="0.25">
      <c r="A8153" s="222">
        <v>700759</v>
      </c>
      <c r="B8153" s="223" t="s">
        <v>13919</v>
      </c>
      <c r="C8153" s="221" t="s">
        <v>13920</v>
      </c>
    </row>
    <row r="8154" spans="1:3" x14ac:dyDescent="0.25">
      <c r="A8154" s="222">
        <v>700760</v>
      </c>
      <c r="B8154" s="223" t="s">
        <v>13921</v>
      </c>
      <c r="C8154" s="221" t="s">
        <v>13922</v>
      </c>
    </row>
    <row r="8155" spans="1:3" x14ac:dyDescent="0.25">
      <c r="A8155" s="222">
        <v>700761</v>
      </c>
      <c r="B8155" s="223" t="s">
        <v>13923</v>
      </c>
      <c r="C8155" s="221" t="s">
        <v>13924</v>
      </c>
    </row>
    <row r="8156" spans="1:3" x14ac:dyDescent="0.25">
      <c r="A8156" s="222">
        <v>700762</v>
      </c>
      <c r="B8156" s="223" t="s">
        <v>13925</v>
      </c>
      <c r="C8156" s="221" t="s">
        <v>13926</v>
      </c>
    </row>
    <row r="8157" spans="1:3" x14ac:dyDescent="0.25">
      <c r="A8157" s="222">
        <v>700763</v>
      </c>
      <c r="B8157" s="223" t="s">
        <v>13927</v>
      </c>
      <c r="C8157" s="221" t="s">
        <v>13928</v>
      </c>
    </row>
    <row r="8158" spans="1:3" x14ac:dyDescent="0.25">
      <c r="A8158" s="222">
        <v>700764</v>
      </c>
      <c r="B8158" s="223" t="s">
        <v>13929</v>
      </c>
      <c r="C8158" s="221" t="s">
        <v>13930</v>
      </c>
    </row>
    <row r="8159" spans="1:3" x14ac:dyDescent="0.25">
      <c r="A8159" s="222">
        <v>700766</v>
      </c>
      <c r="B8159" s="223" t="s">
        <v>13931</v>
      </c>
      <c r="C8159" s="221" t="s">
        <v>13932</v>
      </c>
    </row>
    <row r="8160" spans="1:3" x14ac:dyDescent="0.25">
      <c r="A8160" s="222">
        <v>700767</v>
      </c>
      <c r="B8160" s="223" t="s">
        <v>13933</v>
      </c>
      <c r="C8160" s="221" t="s">
        <v>13934</v>
      </c>
    </row>
    <row r="8161" spans="1:3" x14ac:dyDescent="0.25">
      <c r="A8161" s="222">
        <v>700768</v>
      </c>
      <c r="B8161" s="223" t="s">
        <v>13935</v>
      </c>
      <c r="C8161" s="221" t="s">
        <v>13936</v>
      </c>
    </row>
    <row r="8162" spans="1:3" x14ac:dyDescent="0.25">
      <c r="A8162" s="222">
        <v>700769</v>
      </c>
      <c r="B8162" s="223" t="s">
        <v>13937</v>
      </c>
      <c r="C8162" s="221" t="s">
        <v>13938</v>
      </c>
    </row>
    <row r="8163" spans="1:3" x14ac:dyDescent="0.25">
      <c r="A8163" s="222">
        <v>700770</v>
      </c>
      <c r="B8163" s="223" t="s">
        <v>13939</v>
      </c>
      <c r="C8163" s="221" t="s">
        <v>13940</v>
      </c>
    </row>
    <row r="8164" spans="1:3" x14ac:dyDescent="0.25">
      <c r="A8164" s="222">
        <v>700771</v>
      </c>
      <c r="B8164" s="223" t="s">
        <v>13941</v>
      </c>
      <c r="C8164" s="221" t="s">
        <v>13942</v>
      </c>
    </row>
    <row r="8165" spans="1:3" x14ac:dyDescent="0.25">
      <c r="A8165" s="222">
        <v>700772</v>
      </c>
      <c r="B8165" s="223" t="s">
        <v>13943</v>
      </c>
      <c r="C8165" s="221" t="s">
        <v>13944</v>
      </c>
    </row>
    <row r="8166" spans="1:3" x14ac:dyDescent="0.25">
      <c r="A8166" s="222">
        <v>700773</v>
      </c>
      <c r="B8166" s="223" t="s">
        <v>13945</v>
      </c>
      <c r="C8166" s="221" t="s">
        <v>13946</v>
      </c>
    </row>
    <row r="8167" spans="1:3" x14ac:dyDescent="0.25">
      <c r="A8167" s="222">
        <v>700774</v>
      </c>
      <c r="B8167" s="223" t="s">
        <v>13947</v>
      </c>
      <c r="C8167" s="221" t="s">
        <v>13948</v>
      </c>
    </row>
    <row r="8168" spans="1:3" x14ac:dyDescent="0.25">
      <c r="A8168" s="222">
        <v>700775</v>
      </c>
      <c r="B8168" s="223" t="s">
        <v>13949</v>
      </c>
      <c r="C8168" s="221" t="s">
        <v>13950</v>
      </c>
    </row>
    <row r="8169" spans="1:3" x14ac:dyDescent="0.25">
      <c r="A8169" s="222">
        <v>700776</v>
      </c>
      <c r="B8169" s="223" t="s">
        <v>13951</v>
      </c>
      <c r="C8169" s="221" t="s">
        <v>13952</v>
      </c>
    </row>
    <row r="8170" spans="1:3" x14ac:dyDescent="0.25">
      <c r="A8170" s="222">
        <v>700777</v>
      </c>
      <c r="B8170" s="223" t="s">
        <v>13953</v>
      </c>
      <c r="C8170" s="221" t="s">
        <v>13954</v>
      </c>
    </row>
    <row r="8171" spans="1:3" x14ac:dyDescent="0.25">
      <c r="A8171" s="222">
        <v>700778</v>
      </c>
      <c r="B8171" s="223" t="s">
        <v>13955</v>
      </c>
      <c r="C8171" s="221" t="s">
        <v>13956</v>
      </c>
    </row>
    <row r="8172" spans="1:3" x14ac:dyDescent="0.25">
      <c r="A8172" s="222">
        <v>700779</v>
      </c>
      <c r="B8172" s="223" t="s">
        <v>13957</v>
      </c>
      <c r="C8172" s="221" t="s">
        <v>13958</v>
      </c>
    </row>
    <row r="8173" spans="1:3" x14ac:dyDescent="0.25">
      <c r="A8173" s="222">
        <v>700780</v>
      </c>
      <c r="B8173" s="223" t="s">
        <v>13959</v>
      </c>
      <c r="C8173" s="221" t="s">
        <v>13960</v>
      </c>
    </row>
    <row r="8174" spans="1:3" x14ac:dyDescent="0.25">
      <c r="A8174" s="222">
        <v>700781</v>
      </c>
      <c r="B8174" s="223" t="s">
        <v>13961</v>
      </c>
      <c r="C8174" s="221" t="s">
        <v>13962</v>
      </c>
    </row>
    <row r="8175" spans="1:3" x14ac:dyDescent="0.25">
      <c r="A8175" s="222">
        <v>700782</v>
      </c>
      <c r="B8175" s="223" t="s">
        <v>13963</v>
      </c>
      <c r="C8175" s="221" t="s">
        <v>13964</v>
      </c>
    </row>
    <row r="8176" spans="1:3" x14ac:dyDescent="0.25">
      <c r="A8176" s="222">
        <v>700783</v>
      </c>
      <c r="B8176" s="223" t="s">
        <v>13965</v>
      </c>
      <c r="C8176" s="221" t="s">
        <v>13966</v>
      </c>
    </row>
    <row r="8177" spans="1:3" x14ac:dyDescent="0.25">
      <c r="A8177" s="222">
        <v>700784</v>
      </c>
      <c r="B8177" s="223" t="s">
        <v>13967</v>
      </c>
      <c r="C8177" s="221" t="s">
        <v>13968</v>
      </c>
    </row>
    <row r="8178" spans="1:3" x14ac:dyDescent="0.25">
      <c r="A8178" s="222">
        <v>700785</v>
      </c>
      <c r="B8178" s="223" t="s">
        <v>13969</v>
      </c>
      <c r="C8178" s="221" t="s">
        <v>13970</v>
      </c>
    </row>
    <row r="8179" spans="1:3" x14ac:dyDescent="0.25">
      <c r="A8179" s="222">
        <v>700787</v>
      </c>
      <c r="B8179" s="223" t="s">
        <v>13971</v>
      </c>
      <c r="C8179" s="221" t="s">
        <v>13972</v>
      </c>
    </row>
    <row r="8180" spans="1:3" x14ac:dyDescent="0.25">
      <c r="A8180" s="222">
        <v>750001</v>
      </c>
      <c r="B8180" s="223" t="s">
        <v>13973</v>
      </c>
      <c r="C8180" s="221" t="s">
        <v>13974</v>
      </c>
    </row>
    <row r="8181" spans="1:3" x14ac:dyDescent="0.25">
      <c r="A8181" s="222">
        <v>750002</v>
      </c>
      <c r="B8181" s="223" t="s">
        <v>13975</v>
      </c>
      <c r="C8181" s="221" t="s">
        <v>13976</v>
      </c>
    </row>
    <row r="8182" spans="1:3" x14ac:dyDescent="0.25">
      <c r="A8182" s="222">
        <v>750003</v>
      </c>
      <c r="B8182" s="223" t="s">
        <v>13977</v>
      </c>
      <c r="C8182" s="221" t="s">
        <v>13978</v>
      </c>
    </row>
    <row r="8183" spans="1:3" x14ac:dyDescent="0.25">
      <c r="A8183" s="222">
        <v>750004</v>
      </c>
      <c r="B8183" s="223" t="s">
        <v>13979</v>
      </c>
      <c r="C8183" s="221" t="s">
        <v>13980</v>
      </c>
    </row>
    <row r="8184" spans="1:3" x14ac:dyDescent="0.25">
      <c r="A8184" s="222">
        <v>750005</v>
      </c>
      <c r="B8184" s="223" t="s">
        <v>13981</v>
      </c>
      <c r="C8184" s="221" t="s">
        <v>13982</v>
      </c>
    </row>
    <row r="8185" spans="1:3" x14ac:dyDescent="0.25">
      <c r="A8185" s="222">
        <v>750006</v>
      </c>
      <c r="B8185" s="223" t="s">
        <v>13983</v>
      </c>
      <c r="C8185" s="221" t="s">
        <v>13984</v>
      </c>
    </row>
    <row r="8186" spans="1:3" x14ac:dyDescent="0.25">
      <c r="A8186" s="222">
        <v>750007</v>
      </c>
      <c r="B8186" s="223" t="s">
        <v>13985</v>
      </c>
      <c r="C8186" s="221" t="s">
        <v>13986</v>
      </c>
    </row>
    <row r="8187" spans="1:3" x14ac:dyDescent="0.25">
      <c r="A8187" s="222">
        <v>750008</v>
      </c>
      <c r="B8187" s="223" t="s">
        <v>13987</v>
      </c>
      <c r="C8187" s="221" t="s">
        <v>13988</v>
      </c>
    </row>
    <row r="8188" spans="1:3" x14ac:dyDescent="0.25">
      <c r="A8188" s="222">
        <v>750009</v>
      </c>
      <c r="B8188" s="223" t="s">
        <v>13989</v>
      </c>
      <c r="C8188" s="221" t="s">
        <v>13990</v>
      </c>
    </row>
    <row r="8189" spans="1:3" x14ac:dyDescent="0.25">
      <c r="A8189" s="222">
        <v>750010</v>
      </c>
      <c r="B8189" s="223" t="s">
        <v>13991</v>
      </c>
      <c r="C8189" s="221" t="s">
        <v>13992</v>
      </c>
    </row>
    <row r="8190" spans="1:3" x14ac:dyDescent="0.25">
      <c r="A8190" s="222">
        <v>750011</v>
      </c>
      <c r="B8190" s="223" t="s">
        <v>13993</v>
      </c>
      <c r="C8190" s="221" t="s">
        <v>13994</v>
      </c>
    </row>
    <row r="8191" spans="1:3" x14ac:dyDescent="0.25">
      <c r="A8191" s="222">
        <v>750012</v>
      </c>
      <c r="B8191" s="223" t="s">
        <v>13995</v>
      </c>
      <c r="C8191" s="221" t="s">
        <v>13996</v>
      </c>
    </row>
    <row r="8192" spans="1:3" x14ac:dyDescent="0.25">
      <c r="A8192" s="222">
        <v>750013</v>
      </c>
      <c r="B8192" s="223" t="s">
        <v>13997</v>
      </c>
      <c r="C8192" s="221" t="s">
        <v>13998</v>
      </c>
    </row>
    <row r="8193" spans="1:3" x14ac:dyDescent="0.25">
      <c r="A8193" s="222">
        <v>750014</v>
      </c>
      <c r="B8193" s="223" t="s">
        <v>13999</v>
      </c>
      <c r="C8193" s="221" t="s">
        <v>14000</v>
      </c>
    </row>
    <row r="8194" spans="1:3" x14ac:dyDescent="0.25">
      <c r="A8194" s="222">
        <v>750015</v>
      </c>
      <c r="B8194" s="223" t="s">
        <v>14001</v>
      </c>
      <c r="C8194" s="221" t="s">
        <v>14002</v>
      </c>
    </row>
    <row r="8195" spans="1:3" x14ac:dyDescent="0.25">
      <c r="A8195" s="222">
        <v>750016</v>
      </c>
      <c r="B8195" s="223" t="s">
        <v>14003</v>
      </c>
      <c r="C8195" s="221" t="s">
        <v>14004</v>
      </c>
    </row>
    <row r="8196" spans="1:3" x14ac:dyDescent="0.25">
      <c r="A8196" s="222">
        <v>750017</v>
      </c>
      <c r="B8196" s="223" t="s">
        <v>14005</v>
      </c>
      <c r="C8196" s="221" t="s">
        <v>14006</v>
      </c>
    </row>
    <row r="8197" spans="1:3" x14ac:dyDescent="0.25">
      <c r="A8197" s="222">
        <v>750018</v>
      </c>
      <c r="B8197" s="223" t="s">
        <v>14007</v>
      </c>
      <c r="C8197" s="221" t="s">
        <v>14008</v>
      </c>
    </row>
    <row r="8198" spans="1:3" x14ac:dyDescent="0.25">
      <c r="A8198" s="222">
        <v>750019</v>
      </c>
      <c r="B8198" s="223" t="s">
        <v>14009</v>
      </c>
      <c r="C8198" s="221" t="s">
        <v>14010</v>
      </c>
    </row>
    <row r="8199" spans="1:3" x14ac:dyDescent="0.25">
      <c r="A8199" s="222">
        <v>750020</v>
      </c>
      <c r="B8199" s="223" t="s">
        <v>14011</v>
      </c>
      <c r="C8199" s="221" t="s">
        <v>14012</v>
      </c>
    </row>
    <row r="8200" spans="1:3" x14ac:dyDescent="0.25">
      <c r="A8200" s="222">
        <v>750021</v>
      </c>
      <c r="B8200" s="223" t="s">
        <v>14013</v>
      </c>
      <c r="C8200" s="221" t="s">
        <v>14014</v>
      </c>
    </row>
    <row r="8201" spans="1:3" x14ac:dyDescent="0.25">
      <c r="A8201" s="222">
        <v>750022</v>
      </c>
      <c r="B8201" s="223" t="s">
        <v>14015</v>
      </c>
      <c r="C8201" s="221" t="s">
        <v>14016</v>
      </c>
    </row>
    <row r="8202" spans="1:3" x14ac:dyDescent="0.25">
      <c r="A8202" s="222">
        <v>750024</v>
      </c>
      <c r="B8202" s="223" t="s">
        <v>14017</v>
      </c>
      <c r="C8202" s="221" t="s">
        <v>14018</v>
      </c>
    </row>
    <row r="8203" spans="1:3" x14ac:dyDescent="0.25">
      <c r="A8203" s="222">
        <v>750025</v>
      </c>
      <c r="B8203" s="223" t="s">
        <v>14019</v>
      </c>
      <c r="C8203" s="221" t="s">
        <v>14020</v>
      </c>
    </row>
    <row r="8204" spans="1:3" x14ac:dyDescent="0.25">
      <c r="A8204" s="222">
        <v>750026</v>
      </c>
      <c r="B8204" s="223" t="s">
        <v>14021</v>
      </c>
      <c r="C8204" s="221" t="s">
        <v>14022</v>
      </c>
    </row>
    <row r="8205" spans="1:3" x14ac:dyDescent="0.25">
      <c r="A8205" s="222">
        <v>750027</v>
      </c>
      <c r="B8205" s="223" t="s">
        <v>14023</v>
      </c>
      <c r="C8205" s="221" t="s">
        <v>14024</v>
      </c>
    </row>
    <row r="8206" spans="1:3" x14ac:dyDescent="0.25">
      <c r="A8206" s="222">
        <v>750028</v>
      </c>
      <c r="B8206" s="223" t="s">
        <v>14025</v>
      </c>
      <c r="C8206" s="221" t="s">
        <v>14026</v>
      </c>
    </row>
    <row r="8207" spans="1:3" x14ac:dyDescent="0.25">
      <c r="A8207" s="222">
        <v>750029</v>
      </c>
      <c r="B8207" s="223" t="s">
        <v>14027</v>
      </c>
      <c r="C8207" s="221" t="s">
        <v>14028</v>
      </c>
    </row>
    <row r="8208" spans="1:3" x14ac:dyDescent="0.25">
      <c r="A8208" s="222">
        <v>750030</v>
      </c>
      <c r="B8208" s="223" t="s">
        <v>14029</v>
      </c>
      <c r="C8208" s="221" t="s">
        <v>14030</v>
      </c>
    </row>
    <row r="8209" spans="1:3" x14ac:dyDescent="0.25">
      <c r="A8209" s="222">
        <v>750031</v>
      </c>
      <c r="B8209" s="223" t="s">
        <v>14031</v>
      </c>
      <c r="C8209" s="221" t="s">
        <v>14032</v>
      </c>
    </row>
    <row r="8210" spans="1:3" x14ac:dyDescent="0.25">
      <c r="A8210" s="222">
        <v>750032</v>
      </c>
      <c r="B8210" s="223" t="s">
        <v>14033</v>
      </c>
      <c r="C8210" s="221" t="s">
        <v>14034</v>
      </c>
    </row>
    <row r="8211" spans="1:3" x14ac:dyDescent="0.25">
      <c r="A8211" s="222">
        <v>750033</v>
      </c>
      <c r="B8211" s="223" t="s">
        <v>14035</v>
      </c>
      <c r="C8211" s="221" t="s">
        <v>14036</v>
      </c>
    </row>
    <row r="8212" spans="1:3" x14ac:dyDescent="0.25">
      <c r="A8212" s="222">
        <v>750034</v>
      </c>
      <c r="B8212" s="223" t="s">
        <v>14037</v>
      </c>
      <c r="C8212" s="221" t="s">
        <v>14038</v>
      </c>
    </row>
    <row r="8213" spans="1:3" x14ac:dyDescent="0.25">
      <c r="A8213" s="222">
        <v>750035</v>
      </c>
      <c r="B8213" s="223" t="s">
        <v>14039</v>
      </c>
      <c r="C8213" s="221" t="s">
        <v>14040</v>
      </c>
    </row>
    <row r="8214" spans="1:3" x14ac:dyDescent="0.25">
      <c r="A8214" s="222">
        <v>750036</v>
      </c>
      <c r="B8214" s="223" t="s">
        <v>14041</v>
      </c>
      <c r="C8214" s="221" t="s">
        <v>14042</v>
      </c>
    </row>
    <row r="8215" spans="1:3" x14ac:dyDescent="0.25">
      <c r="A8215" s="222">
        <v>750037</v>
      </c>
      <c r="B8215" s="223" t="s">
        <v>14043</v>
      </c>
      <c r="C8215" s="221" t="s">
        <v>14044</v>
      </c>
    </row>
    <row r="8216" spans="1:3" x14ac:dyDescent="0.25">
      <c r="A8216" s="222">
        <v>750038</v>
      </c>
      <c r="B8216" s="223" t="s">
        <v>14045</v>
      </c>
      <c r="C8216" s="221" t="s">
        <v>14046</v>
      </c>
    </row>
    <row r="8217" spans="1:3" x14ac:dyDescent="0.25">
      <c r="A8217" s="222">
        <v>750039</v>
      </c>
      <c r="B8217" s="223" t="s">
        <v>14047</v>
      </c>
      <c r="C8217" s="221" t="s">
        <v>14048</v>
      </c>
    </row>
    <row r="8218" spans="1:3" x14ac:dyDescent="0.25">
      <c r="A8218" s="222">
        <v>750040</v>
      </c>
      <c r="B8218" s="223" t="s">
        <v>14049</v>
      </c>
      <c r="C8218" s="221" t="s">
        <v>14050</v>
      </c>
    </row>
    <row r="8219" spans="1:3" x14ac:dyDescent="0.25">
      <c r="A8219" s="222">
        <v>750041</v>
      </c>
      <c r="B8219" s="223" t="s">
        <v>14051</v>
      </c>
      <c r="C8219" s="221" t="s">
        <v>14052</v>
      </c>
    </row>
    <row r="8220" spans="1:3" x14ac:dyDescent="0.25">
      <c r="A8220" s="222">
        <v>750042</v>
      </c>
      <c r="B8220" s="223" t="s">
        <v>14053</v>
      </c>
      <c r="C8220" s="221" t="s">
        <v>14054</v>
      </c>
    </row>
    <row r="8221" spans="1:3" x14ac:dyDescent="0.25">
      <c r="A8221" s="222">
        <v>750043</v>
      </c>
      <c r="B8221" s="223" t="s">
        <v>14055</v>
      </c>
      <c r="C8221" s="221" t="s">
        <v>14056</v>
      </c>
    </row>
    <row r="8222" spans="1:3" x14ac:dyDescent="0.25">
      <c r="A8222" s="222">
        <v>750044</v>
      </c>
      <c r="B8222" s="223" t="s">
        <v>14057</v>
      </c>
      <c r="C8222" s="221" t="s">
        <v>14058</v>
      </c>
    </row>
    <row r="8223" spans="1:3" x14ac:dyDescent="0.25">
      <c r="A8223" s="222">
        <v>750045</v>
      </c>
      <c r="B8223" s="223" t="s">
        <v>14059</v>
      </c>
      <c r="C8223" s="221" t="s">
        <v>14060</v>
      </c>
    </row>
    <row r="8224" spans="1:3" x14ac:dyDescent="0.25">
      <c r="A8224" s="222">
        <v>750046</v>
      </c>
      <c r="B8224" s="223" t="s">
        <v>14061</v>
      </c>
      <c r="C8224" s="221" t="s">
        <v>14062</v>
      </c>
    </row>
    <row r="8225" spans="1:3" x14ac:dyDescent="0.25">
      <c r="A8225" s="222">
        <v>750047</v>
      </c>
      <c r="B8225" s="223" t="s">
        <v>14063</v>
      </c>
      <c r="C8225" s="221" t="s">
        <v>14064</v>
      </c>
    </row>
    <row r="8226" spans="1:3" x14ac:dyDescent="0.25">
      <c r="A8226" s="222">
        <v>750048</v>
      </c>
      <c r="B8226" s="223" t="s">
        <v>14065</v>
      </c>
      <c r="C8226" s="221" t="s">
        <v>14066</v>
      </c>
    </row>
    <row r="8227" spans="1:3" x14ac:dyDescent="0.25">
      <c r="A8227" s="222">
        <v>750049</v>
      </c>
      <c r="B8227" s="223" t="s">
        <v>14067</v>
      </c>
      <c r="C8227" s="221" t="s">
        <v>14068</v>
      </c>
    </row>
    <row r="8228" spans="1:3" x14ac:dyDescent="0.25">
      <c r="A8228" s="222">
        <v>750050</v>
      </c>
      <c r="B8228" s="223" t="s">
        <v>14069</v>
      </c>
      <c r="C8228" s="221" t="s">
        <v>14070</v>
      </c>
    </row>
    <row r="8229" spans="1:3" x14ac:dyDescent="0.25">
      <c r="A8229" s="222">
        <v>750051</v>
      </c>
      <c r="B8229" s="223" t="s">
        <v>14071</v>
      </c>
      <c r="C8229" s="221" t="s">
        <v>14072</v>
      </c>
    </row>
    <row r="8230" spans="1:3" x14ac:dyDescent="0.25">
      <c r="A8230" s="222">
        <v>750052</v>
      </c>
      <c r="B8230" s="223" t="s">
        <v>14073</v>
      </c>
      <c r="C8230" s="221" t="s">
        <v>14074</v>
      </c>
    </row>
    <row r="8231" spans="1:3" x14ac:dyDescent="0.25">
      <c r="A8231" s="222">
        <v>750053</v>
      </c>
      <c r="B8231" s="223" t="s">
        <v>14075</v>
      </c>
      <c r="C8231" s="221" t="s">
        <v>14076</v>
      </c>
    </row>
    <row r="8232" spans="1:3" x14ac:dyDescent="0.25">
      <c r="A8232" s="222">
        <v>750054</v>
      </c>
      <c r="B8232" s="223" t="s">
        <v>14077</v>
      </c>
      <c r="C8232" s="221" t="s">
        <v>14078</v>
      </c>
    </row>
    <row r="8233" spans="1:3" x14ac:dyDescent="0.25">
      <c r="A8233" s="222">
        <v>750055</v>
      </c>
      <c r="B8233" s="223" t="s">
        <v>14079</v>
      </c>
      <c r="C8233" s="221" t="s">
        <v>14080</v>
      </c>
    </row>
    <row r="8234" spans="1:3" x14ac:dyDescent="0.25">
      <c r="A8234" s="222">
        <v>750056</v>
      </c>
      <c r="B8234" s="223" t="s">
        <v>14081</v>
      </c>
      <c r="C8234" s="221" t="s">
        <v>14082</v>
      </c>
    </row>
    <row r="8235" spans="1:3" x14ac:dyDescent="0.25">
      <c r="A8235" s="222">
        <v>750057</v>
      </c>
      <c r="B8235" s="223" t="s">
        <v>14083</v>
      </c>
      <c r="C8235" s="221" t="s">
        <v>14084</v>
      </c>
    </row>
    <row r="8236" spans="1:3" x14ac:dyDescent="0.25">
      <c r="A8236" s="222">
        <v>750058</v>
      </c>
      <c r="B8236" s="223" t="s">
        <v>14085</v>
      </c>
      <c r="C8236" s="221" t="s">
        <v>14086</v>
      </c>
    </row>
    <row r="8237" spans="1:3" x14ac:dyDescent="0.25">
      <c r="A8237" s="222">
        <v>750059</v>
      </c>
      <c r="B8237" s="223" t="s">
        <v>14087</v>
      </c>
      <c r="C8237" s="221" t="s">
        <v>14088</v>
      </c>
    </row>
    <row r="8238" spans="1:3" x14ac:dyDescent="0.25">
      <c r="A8238" s="222">
        <v>750060</v>
      </c>
      <c r="B8238" s="223" t="s">
        <v>14089</v>
      </c>
      <c r="C8238" s="221" t="s">
        <v>14090</v>
      </c>
    </row>
    <row r="8239" spans="1:3" x14ac:dyDescent="0.25">
      <c r="A8239" s="222">
        <v>750061</v>
      </c>
      <c r="B8239" s="223" t="s">
        <v>14091</v>
      </c>
      <c r="C8239" s="221" t="s">
        <v>14092</v>
      </c>
    </row>
    <row r="8240" spans="1:3" x14ac:dyDescent="0.25">
      <c r="A8240" s="222">
        <v>750062</v>
      </c>
      <c r="B8240" s="223" t="s">
        <v>14093</v>
      </c>
      <c r="C8240" s="221" t="s">
        <v>14094</v>
      </c>
    </row>
    <row r="8241" spans="1:3" x14ac:dyDescent="0.25">
      <c r="A8241" s="222">
        <v>750063</v>
      </c>
      <c r="B8241" s="223" t="s">
        <v>14095</v>
      </c>
      <c r="C8241" s="221" t="s">
        <v>14096</v>
      </c>
    </row>
    <row r="8242" spans="1:3" x14ac:dyDescent="0.25">
      <c r="A8242" s="222">
        <v>750064</v>
      </c>
      <c r="B8242" s="223" t="s">
        <v>14097</v>
      </c>
      <c r="C8242" s="221" t="s">
        <v>14098</v>
      </c>
    </row>
    <row r="8243" spans="1:3" x14ac:dyDescent="0.25">
      <c r="A8243" s="222">
        <v>750065</v>
      </c>
      <c r="B8243" s="223" t="s">
        <v>14099</v>
      </c>
      <c r="C8243" s="221" t="s">
        <v>14100</v>
      </c>
    </row>
    <row r="8244" spans="1:3" x14ac:dyDescent="0.25">
      <c r="A8244" s="222">
        <v>750066</v>
      </c>
      <c r="B8244" s="223" t="s">
        <v>14101</v>
      </c>
      <c r="C8244" s="221" t="s">
        <v>14102</v>
      </c>
    </row>
    <row r="8245" spans="1:3" x14ac:dyDescent="0.25">
      <c r="A8245" s="222">
        <v>750067</v>
      </c>
      <c r="B8245" s="223" t="s">
        <v>14103</v>
      </c>
      <c r="C8245" s="221" t="s">
        <v>14104</v>
      </c>
    </row>
    <row r="8246" spans="1:3" x14ac:dyDescent="0.25">
      <c r="A8246" s="222">
        <v>750068</v>
      </c>
      <c r="B8246" s="223" t="s">
        <v>14105</v>
      </c>
      <c r="C8246" s="221" t="s">
        <v>14106</v>
      </c>
    </row>
    <row r="8247" spans="1:3" x14ac:dyDescent="0.25">
      <c r="A8247" s="222">
        <v>750069</v>
      </c>
      <c r="B8247" s="223" t="s">
        <v>14107</v>
      </c>
      <c r="C8247" s="221" t="s">
        <v>14108</v>
      </c>
    </row>
    <row r="8248" spans="1:3" x14ac:dyDescent="0.25">
      <c r="A8248" s="222">
        <v>750070</v>
      </c>
      <c r="B8248" s="223" t="s">
        <v>14109</v>
      </c>
      <c r="C8248" s="221" t="s">
        <v>14110</v>
      </c>
    </row>
    <row r="8249" spans="1:3" x14ac:dyDescent="0.25">
      <c r="A8249" s="222">
        <v>750071</v>
      </c>
      <c r="B8249" s="223" t="s">
        <v>14111</v>
      </c>
      <c r="C8249" s="221" t="s">
        <v>14112</v>
      </c>
    </row>
    <row r="8250" spans="1:3" x14ac:dyDescent="0.25">
      <c r="A8250" s="222">
        <v>750072</v>
      </c>
      <c r="B8250" s="223" t="s">
        <v>14113</v>
      </c>
      <c r="C8250" s="221" t="s">
        <v>14114</v>
      </c>
    </row>
    <row r="8251" spans="1:3" x14ac:dyDescent="0.25">
      <c r="A8251" s="222">
        <v>750073</v>
      </c>
      <c r="B8251" s="223" t="s">
        <v>14115</v>
      </c>
      <c r="C8251" s="221" t="s">
        <v>14116</v>
      </c>
    </row>
    <row r="8252" spans="1:3" x14ac:dyDescent="0.25">
      <c r="A8252" s="222">
        <v>750074</v>
      </c>
      <c r="B8252" s="223" t="s">
        <v>14117</v>
      </c>
      <c r="C8252" s="221" t="s">
        <v>14118</v>
      </c>
    </row>
    <row r="8253" spans="1:3" x14ac:dyDescent="0.25">
      <c r="A8253" s="222">
        <v>750075</v>
      </c>
      <c r="B8253" s="223" t="s">
        <v>14119</v>
      </c>
      <c r="C8253" s="221" t="s">
        <v>14120</v>
      </c>
    </row>
    <row r="8254" spans="1:3" x14ac:dyDescent="0.25">
      <c r="A8254" s="222">
        <v>750076</v>
      </c>
      <c r="B8254" s="223" t="s">
        <v>14121</v>
      </c>
      <c r="C8254" s="221" t="s">
        <v>14122</v>
      </c>
    </row>
    <row r="8255" spans="1:3" x14ac:dyDescent="0.25">
      <c r="A8255" s="222">
        <v>750077</v>
      </c>
      <c r="B8255" s="223" t="s">
        <v>14123</v>
      </c>
      <c r="C8255" s="221" t="s">
        <v>14124</v>
      </c>
    </row>
    <row r="8256" spans="1:3" x14ac:dyDescent="0.25">
      <c r="A8256" s="222">
        <v>750080</v>
      </c>
      <c r="B8256" s="223" t="s">
        <v>14125</v>
      </c>
      <c r="C8256" s="221" t="s">
        <v>14126</v>
      </c>
    </row>
    <row r="8257" spans="1:3" x14ac:dyDescent="0.25">
      <c r="A8257" s="222">
        <v>750081</v>
      </c>
      <c r="B8257" s="223" t="s">
        <v>14127</v>
      </c>
      <c r="C8257" s="221" t="s">
        <v>14128</v>
      </c>
    </row>
    <row r="8258" spans="1:3" x14ac:dyDescent="0.25">
      <c r="A8258" s="222">
        <v>750083</v>
      </c>
      <c r="B8258" s="223" t="s">
        <v>14129</v>
      </c>
      <c r="C8258" s="221" t="s">
        <v>14130</v>
      </c>
    </row>
    <row r="8259" spans="1:3" x14ac:dyDescent="0.25">
      <c r="A8259" s="222">
        <v>751000</v>
      </c>
      <c r="B8259" s="223" t="s">
        <v>14131</v>
      </c>
      <c r="C8259" s="221" t="s">
        <v>14132</v>
      </c>
    </row>
    <row r="8260" spans="1:3" x14ac:dyDescent="0.25">
      <c r="A8260" s="222">
        <v>751001</v>
      </c>
      <c r="B8260" s="223" t="s">
        <v>14133</v>
      </c>
      <c r="C8260" s="221" t="s">
        <v>14134</v>
      </c>
    </row>
    <row r="8261" spans="1:3" x14ac:dyDescent="0.25">
      <c r="A8261" s="222">
        <v>751002</v>
      </c>
      <c r="B8261" s="223" t="s">
        <v>14135</v>
      </c>
      <c r="C8261" s="221" t="s">
        <v>14136</v>
      </c>
    </row>
    <row r="8262" spans="1:3" x14ac:dyDescent="0.25">
      <c r="A8262" s="222">
        <v>751003</v>
      </c>
      <c r="B8262" s="223" t="s">
        <v>14137</v>
      </c>
      <c r="C8262" s="221" t="s">
        <v>14138</v>
      </c>
    </row>
    <row r="8263" spans="1:3" x14ac:dyDescent="0.25">
      <c r="A8263" s="222">
        <v>751004</v>
      </c>
      <c r="B8263" s="223" t="s">
        <v>14139</v>
      </c>
      <c r="C8263" s="221" t="s">
        <v>14140</v>
      </c>
    </row>
    <row r="8264" spans="1:3" x14ac:dyDescent="0.25">
      <c r="A8264" s="222">
        <v>751005</v>
      </c>
      <c r="B8264" s="223" t="s">
        <v>14141</v>
      </c>
      <c r="C8264" s="221" t="s">
        <v>14142</v>
      </c>
    </row>
    <row r="8265" spans="1:3" x14ac:dyDescent="0.25">
      <c r="A8265" s="222">
        <v>751006</v>
      </c>
      <c r="B8265" s="223" t="s">
        <v>14143</v>
      </c>
      <c r="C8265" s="221" t="s">
        <v>14144</v>
      </c>
    </row>
    <row r="8266" spans="1:3" x14ac:dyDescent="0.25">
      <c r="A8266" s="222">
        <v>751007</v>
      </c>
      <c r="B8266" s="223" t="s">
        <v>14145</v>
      </c>
      <c r="C8266" s="221" t="s">
        <v>14146</v>
      </c>
    </row>
    <row r="8267" spans="1:3" x14ac:dyDescent="0.25">
      <c r="A8267" s="222">
        <v>751008</v>
      </c>
      <c r="B8267" s="223" t="s">
        <v>14147</v>
      </c>
      <c r="C8267" s="221" t="s">
        <v>14148</v>
      </c>
    </row>
    <row r="8268" spans="1:3" x14ac:dyDescent="0.25">
      <c r="A8268" s="222">
        <v>751009</v>
      </c>
      <c r="B8268" s="223" t="s">
        <v>14149</v>
      </c>
      <c r="C8268" s="221" t="s">
        <v>14150</v>
      </c>
    </row>
    <row r="8269" spans="1:3" x14ac:dyDescent="0.25">
      <c r="A8269" s="222">
        <v>751010</v>
      </c>
      <c r="B8269" s="223" t="s">
        <v>14151</v>
      </c>
      <c r="C8269" s="221" t="s">
        <v>14152</v>
      </c>
    </row>
    <row r="8270" spans="1:3" x14ac:dyDescent="0.25">
      <c r="A8270" s="222">
        <v>751011</v>
      </c>
      <c r="B8270" s="223" t="s">
        <v>14153</v>
      </c>
      <c r="C8270" s="221" t="s">
        <v>14154</v>
      </c>
    </row>
    <row r="8271" spans="1:3" x14ac:dyDescent="0.25">
      <c r="A8271" s="222">
        <v>751012</v>
      </c>
      <c r="B8271" s="223" t="s">
        <v>14155</v>
      </c>
      <c r="C8271" s="221" t="s">
        <v>14156</v>
      </c>
    </row>
    <row r="8272" spans="1:3" x14ac:dyDescent="0.25">
      <c r="A8272" s="222">
        <v>751013</v>
      </c>
      <c r="B8272" s="223" t="s">
        <v>14157</v>
      </c>
      <c r="C8272" s="221" t="s">
        <v>14158</v>
      </c>
    </row>
    <row r="8273" spans="1:3" x14ac:dyDescent="0.25">
      <c r="A8273" s="222">
        <v>751014</v>
      </c>
      <c r="B8273" s="223" t="s">
        <v>14159</v>
      </c>
      <c r="C8273" s="221" t="s">
        <v>14160</v>
      </c>
    </row>
    <row r="8274" spans="1:3" x14ac:dyDescent="0.25">
      <c r="A8274" s="222">
        <v>751015</v>
      </c>
      <c r="B8274" s="223" t="s">
        <v>14161</v>
      </c>
      <c r="C8274" s="221" t="s">
        <v>14162</v>
      </c>
    </row>
    <row r="8275" spans="1:3" x14ac:dyDescent="0.25">
      <c r="A8275" s="222">
        <v>751016</v>
      </c>
      <c r="B8275" s="223" t="s">
        <v>14163</v>
      </c>
      <c r="C8275" s="221" t="s">
        <v>14164</v>
      </c>
    </row>
    <row r="8276" spans="1:3" x14ac:dyDescent="0.25">
      <c r="A8276" s="222">
        <v>751017</v>
      </c>
      <c r="B8276" s="223" t="s">
        <v>14165</v>
      </c>
      <c r="C8276" s="221" t="s">
        <v>14166</v>
      </c>
    </row>
    <row r="8277" spans="1:3" x14ac:dyDescent="0.25">
      <c r="A8277" s="222">
        <v>751018</v>
      </c>
      <c r="B8277" s="223" t="s">
        <v>14167</v>
      </c>
      <c r="C8277" s="221" t="s">
        <v>14168</v>
      </c>
    </row>
    <row r="8278" spans="1:3" x14ac:dyDescent="0.25">
      <c r="A8278" s="222">
        <v>751019</v>
      </c>
      <c r="B8278" s="223" t="s">
        <v>14169</v>
      </c>
      <c r="C8278" s="221" t="s">
        <v>14170</v>
      </c>
    </row>
    <row r="8279" spans="1:3" x14ac:dyDescent="0.25">
      <c r="A8279" s="222">
        <v>751020</v>
      </c>
      <c r="B8279" s="223" t="s">
        <v>14171</v>
      </c>
      <c r="C8279" s="221" t="s">
        <v>14172</v>
      </c>
    </row>
    <row r="8280" spans="1:3" x14ac:dyDescent="0.25">
      <c r="A8280" s="222">
        <v>751021</v>
      </c>
      <c r="B8280" s="223" t="s">
        <v>14173</v>
      </c>
      <c r="C8280" s="221" t="s">
        <v>14174</v>
      </c>
    </row>
    <row r="8281" spans="1:3" x14ac:dyDescent="0.25">
      <c r="A8281" s="222">
        <v>751022</v>
      </c>
      <c r="B8281" s="223" t="s">
        <v>14175</v>
      </c>
      <c r="C8281" s="221" t="s">
        <v>14176</v>
      </c>
    </row>
    <row r="8282" spans="1:3" x14ac:dyDescent="0.25">
      <c r="A8282" s="222">
        <v>751023</v>
      </c>
      <c r="B8282" s="223" t="s">
        <v>14177</v>
      </c>
      <c r="C8282" s="221" t="s">
        <v>14178</v>
      </c>
    </row>
    <row r="8283" spans="1:3" x14ac:dyDescent="0.25">
      <c r="A8283" s="222">
        <v>751024</v>
      </c>
      <c r="B8283" s="223" t="s">
        <v>14179</v>
      </c>
      <c r="C8283" s="221" t="s">
        <v>14180</v>
      </c>
    </row>
    <row r="8284" spans="1:3" x14ac:dyDescent="0.25">
      <c r="A8284" s="222">
        <v>751025</v>
      </c>
      <c r="B8284" s="223" t="s">
        <v>14181</v>
      </c>
      <c r="C8284" s="221" t="s">
        <v>14182</v>
      </c>
    </row>
    <row r="8285" spans="1:3" x14ac:dyDescent="0.25">
      <c r="A8285" s="222">
        <v>751026</v>
      </c>
      <c r="B8285" s="223" t="s">
        <v>14183</v>
      </c>
      <c r="C8285" s="221" t="s">
        <v>14184</v>
      </c>
    </row>
    <row r="8286" spans="1:3" x14ac:dyDescent="0.25">
      <c r="A8286" s="222">
        <v>751027</v>
      </c>
      <c r="B8286" s="223" t="s">
        <v>14185</v>
      </c>
      <c r="C8286" s="221" t="s">
        <v>14186</v>
      </c>
    </row>
    <row r="8287" spans="1:3" x14ac:dyDescent="0.25">
      <c r="A8287" s="222">
        <v>751028</v>
      </c>
      <c r="B8287" s="223" t="s">
        <v>14187</v>
      </c>
      <c r="C8287" s="221" t="s">
        <v>14188</v>
      </c>
    </row>
    <row r="8288" spans="1:3" x14ac:dyDescent="0.25">
      <c r="A8288" s="222">
        <v>751029</v>
      </c>
      <c r="B8288" s="223" t="s">
        <v>14189</v>
      </c>
      <c r="C8288" s="221" t="s">
        <v>14190</v>
      </c>
    </row>
    <row r="8289" spans="1:3" x14ac:dyDescent="0.25">
      <c r="A8289" s="222">
        <v>751030</v>
      </c>
      <c r="B8289" s="223" t="s">
        <v>14191</v>
      </c>
      <c r="C8289" s="221" t="s">
        <v>14192</v>
      </c>
    </row>
    <row r="8290" spans="1:3" x14ac:dyDescent="0.25">
      <c r="A8290" s="222">
        <v>751031</v>
      </c>
      <c r="B8290" s="223" t="s">
        <v>14193</v>
      </c>
      <c r="C8290" s="221" t="s">
        <v>14194</v>
      </c>
    </row>
    <row r="8291" spans="1:3" x14ac:dyDescent="0.25">
      <c r="A8291" s="222">
        <v>751032</v>
      </c>
      <c r="B8291" s="223" t="s">
        <v>14195</v>
      </c>
      <c r="C8291" s="221" t="s">
        <v>14196</v>
      </c>
    </row>
    <row r="8292" spans="1:3" x14ac:dyDescent="0.25">
      <c r="A8292" s="222">
        <v>751033</v>
      </c>
      <c r="B8292" s="223" t="s">
        <v>14197</v>
      </c>
      <c r="C8292" s="221" t="s">
        <v>14198</v>
      </c>
    </row>
    <row r="8293" spans="1:3" x14ac:dyDescent="0.25">
      <c r="A8293" s="222">
        <v>751034</v>
      </c>
      <c r="B8293" s="223" t="s">
        <v>14199</v>
      </c>
      <c r="C8293" s="221" t="s">
        <v>14200</v>
      </c>
    </row>
    <row r="8294" spans="1:3" x14ac:dyDescent="0.25">
      <c r="A8294" s="222">
        <v>751035</v>
      </c>
      <c r="B8294" s="223" t="s">
        <v>14201</v>
      </c>
      <c r="C8294" s="221" t="s">
        <v>14202</v>
      </c>
    </row>
    <row r="8295" spans="1:3" x14ac:dyDescent="0.25">
      <c r="A8295" s="222">
        <v>751036</v>
      </c>
      <c r="B8295" s="223" t="s">
        <v>14203</v>
      </c>
      <c r="C8295" s="221" t="s">
        <v>14204</v>
      </c>
    </row>
    <row r="8296" spans="1:3" x14ac:dyDescent="0.25">
      <c r="A8296" s="222">
        <v>751037</v>
      </c>
      <c r="B8296" s="223" t="s">
        <v>14205</v>
      </c>
      <c r="C8296" s="221" t="s">
        <v>14206</v>
      </c>
    </row>
    <row r="8297" spans="1:3" x14ac:dyDescent="0.25">
      <c r="A8297" s="222">
        <v>751038</v>
      </c>
      <c r="B8297" s="223" t="s">
        <v>14207</v>
      </c>
      <c r="C8297" s="221" t="s">
        <v>14208</v>
      </c>
    </row>
    <row r="8298" spans="1:3" x14ac:dyDescent="0.25">
      <c r="A8298" s="222">
        <v>751039</v>
      </c>
      <c r="B8298" s="223" t="s">
        <v>14209</v>
      </c>
      <c r="C8298" s="221" t="s">
        <v>14210</v>
      </c>
    </row>
    <row r="8299" spans="1:3" x14ac:dyDescent="0.25">
      <c r="A8299" s="222">
        <v>751040</v>
      </c>
      <c r="B8299" s="223" t="s">
        <v>14211</v>
      </c>
      <c r="C8299" s="221" t="s">
        <v>14212</v>
      </c>
    </row>
    <row r="8300" spans="1:3" x14ac:dyDescent="0.25">
      <c r="A8300" s="222">
        <v>751041</v>
      </c>
      <c r="B8300" s="223" t="s">
        <v>14213</v>
      </c>
      <c r="C8300" s="221" t="s">
        <v>14214</v>
      </c>
    </row>
    <row r="8301" spans="1:3" x14ac:dyDescent="0.25">
      <c r="A8301" s="222">
        <v>751042</v>
      </c>
      <c r="B8301" s="223" t="s">
        <v>14215</v>
      </c>
      <c r="C8301" s="221" t="s">
        <v>14216</v>
      </c>
    </row>
    <row r="8302" spans="1:3" x14ac:dyDescent="0.25">
      <c r="A8302" s="222">
        <v>751043</v>
      </c>
      <c r="B8302" s="223" t="s">
        <v>14217</v>
      </c>
      <c r="C8302" s="221" t="s">
        <v>14218</v>
      </c>
    </row>
    <row r="8303" spans="1:3" x14ac:dyDescent="0.25">
      <c r="A8303" s="222">
        <v>751044</v>
      </c>
      <c r="B8303" s="223" t="s">
        <v>14219</v>
      </c>
      <c r="C8303" s="221" t="s">
        <v>14220</v>
      </c>
    </row>
    <row r="8304" spans="1:3" x14ac:dyDescent="0.25">
      <c r="A8304" s="222">
        <v>751045</v>
      </c>
      <c r="B8304" s="223" t="s">
        <v>14221</v>
      </c>
      <c r="C8304" s="221" t="s">
        <v>14222</v>
      </c>
    </row>
    <row r="8305" spans="1:3" x14ac:dyDescent="0.25">
      <c r="A8305" s="222">
        <v>751046</v>
      </c>
      <c r="B8305" s="223" t="s">
        <v>14223</v>
      </c>
      <c r="C8305" s="221" t="s">
        <v>14224</v>
      </c>
    </row>
    <row r="8306" spans="1:3" x14ac:dyDescent="0.25">
      <c r="A8306" s="222">
        <v>751047</v>
      </c>
      <c r="B8306" s="223" t="s">
        <v>14225</v>
      </c>
      <c r="C8306" s="221" t="s">
        <v>14226</v>
      </c>
    </row>
    <row r="8307" spans="1:3" x14ac:dyDescent="0.25">
      <c r="A8307" s="222">
        <v>751048</v>
      </c>
      <c r="B8307" s="223" t="s">
        <v>14227</v>
      </c>
      <c r="C8307" s="221" t="s">
        <v>14228</v>
      </c>
    </row>
    <row r="8308" spans="1:3" x14ac:dyDescent="0.25">
      <c r="A8308" s="222">
        <v>751049</v>
      </c>
      <c r="B8308" s="223" t="s">
        <v>14229</v>
      </c>
      <c r="C8308" s="221" t="s">
        <v>14230</v>
      </c>
    </row>
    <row r="8309" spans="1:3" x14ac:dyDescent="0.25">
      <c r="A8309" s="222">
        <v>751050</v>
      </c>
      <c r="B8309" s="223" t="s">
        <v>14231</v>
      </c>
      <c r="C8309" s="221" t="s">
        <v>14232</v>
      </c>
    </row>
    <row r="8310" spans="1:3" x14ac:dyDescent="0.25">
      <c r="A8310" s="222">
        <v>751051</v>
      </c>
      <c r="B8310" s="223" t="s">
        <v>14233</v>
      </c>
      <c r="C8310" s="221" t="s">
        <v>14234</v>
      </c>
    </row>
    <row r="8311" spans="1:3" x14ac:dyDescent="0.25">
      <c r="A8311" s="222">
        <v>751052</v>
      </c>
      <c r="B8311" s="223" t="s">
        <v>14235</v>
      </c>
      <c r="C8311" s="221" t="s">
        <v>14236</v>
      </c>
    </row>
    <row r="8312" spans="1:3" x14ac:dyDescent="0.25">
      <c r="A8312" s="222">
        <v>751053</v>
      </c>
      <c r="B8312" s="223" t="s">
        <v>14237</v>
      </c>
      <c r="C8312" s="221" t="s">
        <v>14238</v>
      </c>
    </row>
    <row r="8313" spans="1:3" x14ac:dyDescent="0.25">
      <c r="A8313" s="222">
        <v>751054</v>
      </c>
      <c r="B8313" s="223" t="s">
        <v>14239</v>
      </c>
      <c r="C8313" s="221" t="s">
        <v>14240</v>
      </c>
    </row>
    <row r="8314" spans="1:3" x14ac:dyDescent="0.25">
      <c r="A8314" s="222">
        <v>751055</v>
      </c>
      <c r="B8314" s="223" t="s">
        <v>14241</v>
      </c>
      <c r="C8314" s="221" t="s">
        <v>14242</v>
      </c>
    </row>
    <row r="8315" spans="1:3" x14ac:dyDescent="0.25">
      <c r="A8315" s="222">
        <v>751056</v>
      </c>
      <c r="B8315" s="223" t="s">
        <v>14243</v>
      </c>
      <c r="C8315" s="221" t="s">
        <v>14244</v>
      </c>
    </row>
    <row r="8316" spans="1:3" x14ac:dyDescent="0.25">
      <c r="A8316" s="222">
        <v>751057</v>
      </c>
      <c r="B8316" s="223" t="s">
        <v>14245</v>
      </c>
      <c r="C8316" s="221" t="s">
        <v>14246</v>
      </c>
    </row>
    <row r="8317" spans="1:3" x14ac:dyDescent="0.25">
      <c r="A8317" s="222">
        <v>751058</v>
      </c>
      <c r="B8317" s="223" t="s">
        <v>14247</v>
      </c>
      <c r="C8317" s="221" t="s">
        <v>14248</v>
      </c>
    </row>
    <row r="8318" spans="1:3" x14ac:dyDescent="0.25">
      <c r="A8318" s="222">
        <v>751059</v>
      </c>
      <c r="B8318" s="223" t="s">
        <v>14249</v>
      </c>
      <c r="C8318" s="221" t="s">
        <v>14250</v>
      </c>
    </row>
    <row r="8319" spans="1:3" x14ac:dyDescent="0.25">
      <c r="A8319" s="222">
        <v>751060</v>
      </c>
      <c r="B8319" s="223" t="s">
        <v>14251</v>
      </c>
      <c r="C8319" s="221" t="s">
        <v>14252</v>
      </c>
    </row>
    <row r="8320" spans="1:3" x14ac:dyDescent="0.25">
      <c r="A8320" s="222">
        <v>751061</v>
      </c>
      <c r="B8320" s="223" t="s">
        <v>14253</v>
      </c>
      <c r="C8320" s="221" t="s">
        <v>14254</v>
      </c>
    </row>
    <row r="8321" spans="1:3" x14ac:dyDescent="0.25">
      <c r="A8321" s="222">
        <v>751062</v>
      </c>
      <c r="B8321" s="223" t="s">
        <v>14255</v>
      </c>
      <c r="C8321" s="221" t="s">
        <v>14256</v>
      </c>
    </row>
    <row r="8322" spans="1:3" x14ac:dyDescent="0.25">
      <c r="A8322" s="222">
        <v>751063</v>
      </c>
      <c r="B8322" s="223" t="s">
        <v>14257</v>
      </c>
      <c r="C8322" s="221" t="s">
        <v>14258</v>
      </c>
    </row>
    <row r="8323" spans="1:3" x14ac:dyDescent="0.25">
      <c r="A8323" s="222">
        <v>751064</v>
      </c>
      <c r="B8323" s="223" t="s">
        <v>14259</v>
      </c>
      <c r="C8323" s="221" t="s">
        <v>14260</v>
      </c>
    </row>
    <row r="8324" spans="1:3" x14ac:dyDescent="0.25">
      <c r="A8324" s="222">
        <v>751065</v>
      </c>
      <c r="B8324" s="223" t="s">
        <v>14261</v>
      </c>
      <c r="C8324" s="221" t="s">
        <v>14262</v>
      </c>
    </row>
    <row r="8325" spans="1:3" x14ac:dyDescent="0.25">
      <c r="A8325" s="222">
        <v>751066</v>
      </c>
      <c r="B8325" s="223" t="s">
        <v>14263</v>
      </c>
      <c r="C8325" s="221" t="s">
        <v>14264</v>
      </c>
    </row>
    <row r="8326" spans="1:3" x14ac:dyDescent="0.25">
      <c r="A8326" s="222">
        <v>751067</v>
      </c>
      <c r="B8326" s="223" t="s">
        <v>14265</v>
      </c>
      <c r="C8326" s="221" t="s">
        <v>14266</v>
      </c>
    </row>
    <row r="8327" spans="1:3" x14ac:dyDescent="0.25">
      <c r="A8327" s="222">
        <v>751068</v>
      </c>
      <c r="B8327" s="223" t="s">
        <v>14267</v>
      </c>
      <c r="C8327" s="221" t="s">
        <v>14268</v>
      </c>
    </row>
    <row r="8328" spans="1:3" x14ac:dyDescent="0.25">
      <c r="A8328" s="222">
        <v>751069</v>
      </c>
      <c r="B8328" s="223" t="s">
        <v>14269</v>
      </c>
      <c r="C8328" s="221" t="s">
        <v>14270</v>
      </c>
    </row>
    <row r="8329" spans="1:3" x14ac:dyDescent="0.25">
      <c r="A8329" s="222">
        <v>751070</v>
      </c>
      <c r="B8329" s="223" t="s">
        <v>14271</v>
      </c>
      <c r="C8329" s="221" t="s">
        <v>14272</v>
      </c>
    </row>
    <row r="8330" spans="1:3" x14ac:dyDescent="0.25">
      <c r="A8330" s="222">
        <v>751071</v>
      </c>
      <c r="B8330" s="223" t="s">
        <v>14273</v>
      </c>
      <c r="C8330" s="221" t="s">
        <v>14274</v>
      </c>
    </row>
    <row r="8331" spans="1:3" x14ac:dyDescent="0.25">
      <c r="A8331" s="222">
        <v>751072</v>
      </c>
      <c r="B8331" s="223" t="s">
        <v>14275</v>
      </c>
      <c r="C8331" s="221" t="s">
        <v>14276</v>
      </c>
    </row>
    <row r="8332" spans="1:3" x14ac:dyDescent="0.25">
      <c r="A8332" s="222">
        <v>751073</v>
      </c>
      <c r="B8332" s="223" t="s">
        <v>14277</v>
      </c>
      <c r="C8332" s="221" t="s">
        <v>14278</v>
      </c>
    </row>
    <row r="8333" spans="1:3" x14ac:dyDescent="0.25">
      <c r="A8333" s="222">
        <v>751074</v>
      </c>
      <c r="B8333" s="223" t="s">
        <v>14279</v>
      </c>
      <c r="C8333" s="221" t="s">
        <v>14280</v>
      </c>
    </row>
    <row r="8334" spans="1:3" x14ac:dyDescent="0.25">
      <c r="A8334" s="222">
        <v>751075</v>
      </c>
      <c r="B8334" s="223" t="s">
        <v>14281</v>
      </c>
      <c r="C8334" s="221" t="s">
        <v>14282</v>
      </c>
    </row>
    <row r="8335" spans="1:3" x14ac:dyDescent="0.25">
      <c r="A8335" s="222">
        <v>751076</v>
      </c>
      <c r="B8335" s="223" t="s">
        <v>14283</v>
      </c>
      <c r="C8335" s="221" t="s">
        <v>14284</v>
      </c>
    </row>
    <row r="8336" spans="1:3" x14ac:dyDescent="0.25">
      <c r="A8336" s="222">
        <v>751077</v>
      </c>
      <c r="B8336" s="223" t="s">
        <v>14285</v>
      </c>
      <c r="C8336" s="221" t="s">
        <v>14286</v>
      </c>
    </row>
    <row r="8337" spans="1:3" x14ac:dyDescent="0.25">
      <c r="A8337" s="222">
        <v>751078</v>
      </c>
      <c r="B8337" s="223" t="s">
        <v>14287</v>
      </c>
      <c r="C8337" s="221" t="s">
        <v>14288</v>
      </c>
    </row>
    <row r="8338" spans="1:3" x14ac:dyDescent="0.25">
      <c r="A8338" s="222">
        <v>751079</v>
      </c>
      <c r="B8338" s="223" t="s">
        <v>14289</v>
      </c>
      <c r="C8338" s="221" t="s">
        <v>14290</v>
      </c>
    </row>
    <row r="8339" spans="1:3" x14ac:dyDescent="0.25">
      <c r="A8339" s="222">
        <v>790000</v>
      </c>
      <c r="B8339" s="223" t="s">
        <v>14291</v>
      </c>
      <c r="C8339" s="221" t="s">
        <v>14292</v>
      </c>
    </row>
    <row r="8340" spans="1:3" x14ac:dyDescent="0.25">
      <c r="A8340" s="222">
        <v>790001</v>
      </c>
      <c r="B8340" s="223" t="s">
        <v>14293</v>
      </c>
      <c r="C8340" s="221" t="s">
        <v>14294</v>
      </c>
    </row>
    <row r="8341" spans="1:3" x14ac:dyDescent="0.25">
      <c r="A8341" s="222">
        <v>790002</v>
      </c>
      <c r="B8341" s="223" t="s">
        <v>14295</v>
      </c>
      <c r="C8341" s="221" t="s">
        <v>14296</v>
      </c>
    </row>
    <row r="8342" spans="1:3" x14ac:dyDescent="0.25">
      <c r="A8342" s="222">
        <v>790003</v>
      </c>
      <c r="B8342" s="223" t="s">
        <v>14297</v>
      </c>
      <c r="C8342" s="221" t="s">
        <v>14298</v>
      </c>
    </row>
    <row r="8343" spans="1:3" x14ac:dyDescent="0.25">
      <c r="A8343" s="222">
        <v>790004</v>
      </c>
      <c r="B8343" s="223" t="s">
        <v>14299</v>
      </c>
      <c r="C8343" s="221" t="s">
        <v>14300</v>
      </c>
    </row>
    <row r="8344" spans="1:3" x14ac:dyDescent="0.25">
      <c r="A8344" s="222">
        <v>790005</v>
      </c>
      <c r="B8344" s="223" t="s">
        <v>14301</v>
      </c>
      <c r="C8344" s="221" t="s">
        <v>14302</v>
      </c>
    </row>
    <row r="8345" spans="1:3" x14ac:dyDescent="0.25">
      <c r="A8345" s="222">
        <v>790006</v>
      </c>
      <c r="B8345" s="223" t="s">
        <v>14303</v>
      </c>
      <c r="C8345" s="221" t="s">
        <v>14304</v>
      </c>
    </row>
    <row r="8346" spans="1:3" x14ac:dyDescent="0.25">
      <c r="A8346" s="222">
        <v>790007</v>
      </c>
      <c r="B8346" s="223" t="s">
        <v>14305</v>
      </c>
      <c r="C8346" s="221" t="s">
        <v>14306</v>
      </c>
    </row>
    <row r="8347" spans="1:3" x14ac:dyDescent="0.25">
      <c r="A8347" s="222">
        <v>790008</v>
      </c>
      <c r="B8347" s="223" t="s">
        <v>14307</v>
      </c>
      <c r="C8347" s="221" t="s">
        <v>14308</v>
      </c>
    </row>
    <row r="8348" spans="1:3" x14ac:dyDescent="0.25">
      <c r="A8348" s="222">
        <v>790009</v>
      </c>
      <c r="B8348" s="223" t="s">
        <v>14309</v>
      </c>
      <c r="C8348" s="221" t="s">
        <v>14310</v>
      </c>
    </row>
    <row r="8349" spans="1:3" x14ac:dyDescent="0.25">
      <c r="A8349" s="222">
        <v>790010</v>
      </c>
      <c r="B8349" s="223" t="s">
        <v>14311</v>
      </c>
      <c r="C8349" s="221" t="s">
        <v>14312</v>
      </c>
    </row>
    <row r="8350" spans="1:3" x14ac:dyDescent="0.25">
      <c r="A8350" s="222">
        <v>790011</v>
      </c>
      <c r="B8350" s="223" t="s">
        <v>14313</v>
      </c>
      <c r="C8350" s="221" t="s">
        <v>14314</v>
      </c>
    </row>
    <row r="8351" spans="1:3" x14ac:dyDescent="0.25">
      <c r="A8351" s="222">
        <v>790015</v>
      </c>
      <c r="B8351" s="223" t="s">
        <v>14315</v>
      </c>
      <c r="C8351" s="221" t="s">
        <v>14316</v>
      </c>
    </row>
    <row r="8352" spans="1:3" x14ac:dyDescent="0.25">
      <c r="A8352" s="222">
        <v>790016</v>
      </c>
      <c r="B8352" s="223" t="s">
        <v>14317</v>
      </c>
      <c r="C8352" s="221" t="s">
        <v>14318</v>
      </c>
    </row>
    <row r="8353" spans="1:3" x14ac:dyDescent="0.25">
      <c r="A8353" s="222">
        <v>790017</v>
      </c>
      <c r="B8353" s="223" t="s">
        <v>14319</v>
      </c>
      <c r="C8353" s="221" t="s">
        <v>14320</v>
      </c>
    </row>
    <row r="8354" spans="1:3" x14ac:dyDescent="0.25">
      <c r="A8354" s="222">
        <v>790030</v>
      </c>
      <c r="B8354" s="223" t="s">
        <v>14321</v>
      </c>
      <c r="C8354" s="221" t="s">
        <v>14322</v>
      </c>
    </row>
    <row r="8355" spans="1:3" x14ac:dyDescent="0.25">
      <c r="A8355" s="222">
        <v>790030</v>
      </c>
      <c r="B8355" s="223" t="s">
        <v>14321</v>
      </c>
      <c r="C8355" s="221" t="s">
        <v>14323</v>
      </c>
    </row>
    <row r="8356" spans="1:3" x14ac:dyDescent="0.25">
      <c r="A8356" s="222">
        <v>790031</v>
      </c>
      <c r="B8356" s="223" t="s">
        <v>14324</v>
      </c>
      <c r="C8356" s="221" t="s">
        <v>14325</v>
      </c>
    </row>
    <row r="8357" spans="1:3" x14ac:dyDescent="0.25">
      <c r="A8357" s="222">
        <v>790031</v>
      </c>
      <c r="B8357" s="223" t="s">
        <v>14324</v>
      </c>
      <c r="C8357" s="221" t="s">
        <v>14326</v>
      </c>
    </row>
    <row r="8358" spans="1:3" x14ac:dyDescent="0.25">
      <c r="A8358" s="222">
        <v>790032</v>
      </c>
      <c r="B8358" s="223" t="s">
        <v>14327</v>
      </c>
      <c r="C8358" s="221" t="s">
        <v>14328</v>
      </c>
    </row>
    <row r="8359" spans="1:3" x14ac:dyDescent="0.25">
      <c r="A8359" s="222">
        <v>790032</v>
      </c>
      <c r="B8359" s="223" t="s">
        <v>14327</v>
      </c>
      <c r="C8359" s="221" t="s">
        <v>14329</v>
      </c>
    </row>
    <row r="8360" spans="1:3" x14ac:dyDescent="0.25">
      <c r="A8360" s="222">
        <v>790033</v>
      </c>
      <c r="B8360" s="223" t="s">
        <v>14330</v>
      </c>
      <c r="C8360" s="221" t="s">
        <v>14331</v>
      </c>
    </row>
    <row r="8361" spans="1:3" x14ac:dyDescent="0.25">
      <c r="A8361" s="222">
        <v>790033</v>
      </c>
      <c r="B8361" s="223" t="s">
        <v>14330</v>
      </c>
      <c r="C8361" s="221" t="s">
        <v>14332</v>
      </c>
    </row>
    <row r="8362" spans="1:3" x14ac:dyDescent="0.25">
      <c r="A8362" s="222">
        <v>790034</v>
      </c>
      <c r="B8362" s="223" t="s">
        <v>14333</v>
      </c>
      <c r="C8362" s="221" t="s">
        <v>14334</v>
      </c>
    </row>
    <row r="8363" spans="1:3" x14ac:dyDescent="0.25">
      <c r="A8363" s="222">
        <v>790034</v>
      </c>
      <c r="B8363" s="223" t="s">
        <v>14333</v>
      </c>
      <c r="C8363" s="221" t="s">
        <v>14335</v>
      </c>
    </row>
    <row r="8364" spans="1:3" x14ac:dyDescent="0.25">
      <c r="A8364" s="222">
        <v>790035</v>
      </c>
      <c r="B8364" s="223" t="s">
        <v>14336</v>
      </c>
      <c r="C8364" s="221" t="s">
        <v>14337</v>
      </c>
    </row>
    <row r="8365" spans="1:3" x14ac:dyDescent="0.25">
      <c r="A8365" s="222">
        <v>790035</v>
      </c>
      <c r="B8365" s="223" t="s">
        <v>14336</v>
      </c>
      <c r="C8365" s="221" t="s">
        <v>14338</v>
      </c>
    </row>
    <row r="8366" spans="1:3" x14ac:dyDescent="0.25">
      <c r="A8366" s="222">
        <v>790036</v>
      </c>
      <c r="B8366" s="223" t="s">
        <v>14339</v>
      </c>
      <c r="C8366" s="221" t="s">
        <v>14340</v>
      </c>
    </row>
    <row r="8367" spans="1:3" x14ac:dyDescent="0.25">
      <c r="A8367" s="222">
        <v>790036</v>
      </c>
      <c r="B8367" s="223" t="s">
        <v>14339</v>
      </c>
      <c r="C8367" s="221" t="s">
        <v>14341</v>
      </c>
    </row>
    <row r="8368" spans="1:3" x14ac:dyDescent="0.25">
      <c r="A8368" s="222">
        <v>790037</v>
      </c>
      <c r="B8368" s="223" t="s">
        <v>14342</v>
      </c>
      <c r="C8368" s="221" t="s">
        <v>14343</v>
      </c>
    </row>
    <row r="8369" spans="1:3" x14ac:dyDescent="0.25">
      <c r="A8369" s="222">
        <v>790037</v>
      </c>
      <c r="B8369" s="223" t="s">
        <v>14342</v>
      </c>
      <c r="C8369" s="221" t="s">
        <v>14344</v>
      </c>
    </row>
    <row r="8370" spans="1:3" x14ac:dyDescent="0.25">
      <c r="A8370" s="222">
        <v>790038</v>
      </c>
      <c r="B8370" s="223" t="s">
        <v>14345</v>
      </c>
      <c r="C8370" s="221" t="s">
        <v>14346</v>
      </c>
    </row>
    <row r="8371" spans="1:3" x14ac:dyDescent="0.25">
      <c r="A8371" s="222">
        <v>790038</v>
      </c>
      <c r="B8371" s="223" t="s">
        <v>14345</v>
      </c>
      <c r="C8371" s="221" t="s">
        <v>14347</v>
      </c>
    </row>
    <row r="8372" spans="1:3" x14ac:dyDescent="0.25">
      <c r="A8372" s="222">
        <v>790039</v>
      </c>
      <c r="B8372" s="223" t="s">
        <v>14348</v>
      </c>
      <c r="C8372" s="221" t="s">
        <v>14349</v>
      </c>
    </row>
    <row r="8373" spans="1:3" x14ac:dyDescent="0.25">
      <c r="A8373" s="222">
        <v>790039</v>
      </c>
      <c r="B8373" s="223" t="s">
        <v>14348</v>
      </c>
      <c r="C8373" s="221" t="s">
        <v>14350</v>
      </c>
    </row>
    <row r="8374" spans="1:3" x14ac:dyDescent="0.25">
      <c r="A8374" s="222">
        <v>790040</v>
      </c>
      <c r="B8374" s="223" t="s">
        <v>14351</v>
      </c>
      <c r="C8374" s="221" t="s">
        <v>14352</v>
      </c>
    </row>
    <row r="8375" spans="1:3" x14ac:dyDescent="0.25">
      <c r="A8375" s="222">
        <v>790040</v>
      </c>
      <c r="B8375" s="223" t="s">
        <v>14351</v>
      </c>
      <c r="C8375" s="221" t="s">
        <v>14353</v>
      </c>
    </row>
    <row r="8376" spans="1:3" x14ac:dyDescent="0.25">
      <c r="A8376" s="222">
        <v>790041</v>
      </c>
      <c r="B8376" s="223" t="s">
        <v>14354</v>
      </c>
      <c r="C8376" s="221" t="s">
        <v>14355</v>
      </c>
    </row>
    <row r="8377" spans="1:3" x14ac:dyDescent="0.25">
      <c r="A8377" s="222">
        <v>790041</v>
      </c>
      <c r="B8377" s="223" t="s">
        <v>14354</v>
      </c>
      <c r="C8377" s="221" t="s">
        <v>14356</v>
      </c>
    </row>
    <row r="8378" spans="1:3" x14ac:dyDescent="0.25">
      <c r="A8378" s="222">
        <v>790042</v>
      </c>
      <c r="B8378" s="223" t="s">
        <v>14357</v>
      </c>
      <c r="C8378" s="221" t="s">
        <v>14358</v>
      </c>
    </row>
    <row r="8379" spans="1:3" x14ac:dyDescent="0.25">
      <c r="A8379" s="222">
        <v>790042</v>
      </c>
      <c r="B8379" s="223" t="s">
        <v>14357</v>
      </c>
      <c r="C8379" s="221" t="s">
        <v>14359</v>
      </c>
    </row>
    <row r="8380" spans="1:3" x14ac:dyDescent="0.25">
      <c r="A8380" s="222">
        <v>790043</v>
      </c>
      <c r="B8380" s="223" t="s">
        <v>14360</v>
      </c>
      <c r="C8380" s="221" t="s">
        <v>14361</v>
      </c>
    </row>
    <row r="8381" spans="1:3" x14ac:dyDescent="0.25">
      <c r="A8381" s="222">
        <v>790043</v>
      </c>
      <c r="B8381" s="223" t="s">
        <v>14360</v>
      </c>
      <c r="C8381" s="221" t="s">
        <v>14362</v>
      </c>
    </row>
    <row r="8382" spans="1:3" x14ac:dyDescent="0.25">
      <c r="A8382" s="222">
        <v>790044</v>
      </c>
      <c r="B8382" s="223" t="s">
        <v>14363</v>
      </c>
      <c r="C8382" s="221" t="s">
        <v>14364</v>
      </c>
    </row>
    <row r="8383" spans="1:3" x14ac:dyDescent="0.25">
      <c r="A8383" s="222">
        <v>790044</v>
      </c>
      <c r="B8383" s="223" t="s">
        <v>14363</v>
      </c>
      <c r="C8383" s="221" t="s">
        <v>14365</v>
      </c>
    </row>
    <row r="8384" spans="1:3" x14ac:dyDescent="0.25">
      <c r="A8384" s="222">
        <v>790045</v>
      </c>
      <c r="B8384" s="223" t="s">
        <v>14366</v>
      </c>
      <c r="C8384" s="221" t="s">
        <v>14367</v>
      </c>
    </row>
    <row r="8385" spans="1:3" x14ac:dyDescent="0.25">
      <c r="A8385" s="222">
        <v>790045</v>
      </c>
      <c r="B8385" s="223" t="s">
        <v>14366</v>
      </c>
      <c r="C8385" s="221" t="s">
        <v>14368</v>
      </c>
    </row>
    <row r="8386" spans="1:3" x14ac:dyDescent="0.25">
      <c r="A8386" s="222">
        <v>790046</v>
      </c>
      <c r="B8386" s="223" t="s">
        <v>14369</v>
      </c>
      <c r="C8386" s="221" t="s">
        <v>14335</v>
      </c>
    </row>
    <row r="8387" spans="1:3" x14ac:dyDescent="0.25">
      <c r="A8387" s="222">
        <v>790047</v>
      </c>
      <c r="B8387" s="223" t="s">
        <v>14370</v>
      </c>
      <c r="C8387" s="221" t="s">
        <v>14338</v>
      </c>
    </row>
    <row r="8388" spans="1:3" x14ac:dyDescent="0.25">
      <c r="A8388" s="222">
        <v>790048</v>
      </c>
      <c r="B8388" s="223" t="s">
        <v>14371</v>
      </c>
      <c r="C8388" s="221" t="s">
        <v>14341</v>
      </c>
    </row>
    <row r="8389" spans="1:3" x14ac:dyDescent="0.25">
      <c r="A8389" s="222">
        <v>790049</v>
      </c>
      <c r="B8389" s="223" t="s">
        <v>14372</v>
      </c>
      <c r="C8389" s="221" t="s">
        <v>14344</v>
      </c>
    </row>
    <row r="8390" spans="1:3" x14ac:dyDescent="0.25">
      <c r="A8390" s="222">
        <v>790050</v>
      </c>
      <c r="B8390" s="223" t="s">
        <v>14373</v>
      </c>
      <c r="C8390" s="221" t="s">
        <v>14347</v>
      </c>
    </row>
    <row r="8391" spans="1:3" x14ac:dyDescent="0.25">
      <c r="A8391" s="222">
        <v>790051</v>
      </c>
      <c r="B8391" s="223" t="s">
        <v>14374</v>
      </c>
      <c r="C8391" s="221" t="s">
        <v>14350</v>
      </c>
    </row>
    <row r="8392" spans="1:3" x14ac:dyDescent="0.25">
      <c r="A8392" s="222">
        <v>790052</v>
      </c>
      <c r="B8392" s="223" t="s">
        <v>14375</v>
      </c>
      <c r="C8392" s="221" t="s">
        <v>14353</v>
      </c>
    </row>
    <row r="8393" spans="1:3" x14ac:dyDescent="0.25">
      <c r="A8393" s="222">
        <v>790053</v>
      </c>
      <c r="B8393" s="223" t="s">
        <v>14376</v>
      </c>
      <c r="C8393" s="221" t="s">
        <v>14356</v>
      </c>
    </row>
    <row r="8394" spans="1:3" x14ac:dyDescent="0.25">
      <c r="A8394" s="222">
        <v>790054</v>
      </c>
      <c r="B8394" s="223" t="s">
        <v>14377</v>
      </c>
      <c r="C8394" s="221" t="s">
        <v>14359</v>
      </c>
    </row>
    <row r="8395" spans="1:3" x14ac:dyDescent="0.25">
      <c r="A8395" s="222">
        <v>790055</v>
      </c>
      <c r="B8395" s="223" t="s">
        <v>14378</v>
      </c>
      <c r="C8395" s="221" t="s">
        <v>14362</v>
      </c>
    </row>
    <row r="8396" spans="1:3" x14ac:dyDescent="0.25">
      <c r="A8396" s="222">
        <v>790056</v>
      </c>
      <c r="B8396" s="223" t="s">
        <v>14379</v>
      </c>
      <c r="C8396" s="221" t="s">
        <v>14365</v>
      </c>
    </row>
    <row r="8397" spans="1:3" x14ac:dyDescent="0.25">
      <c r="A8397" s="222">
        <v>790057</v>
      </c>
      <c r="B8397" s="223" t="s">
        <v>14380</v>
      </c>
      <c r="C8397" s="221" t="s">
        <v>14368</v>
      </c>
    </row>
    <row r="8398" spans="1:3" x14ac:dyDescent="0.25">
      <c r="A8398" s="222">
        <v>790066</v>
      </c>
      <c r="B8398" s="223" t="s">
        <v>14381</v>
      </c>
      <c r="C8398" s="221" t="s">
        <v>14382</v>
      </c>
    </row>
    <row r="8399" spans="1:3" x14ac:dyDescent="0.25">
      <c r="A8399" s="222">
        <v>790066</v>
      </c>
      <c r="B8399" s="223" t="s">
        <v>14381</v>
      </c>
      <c r="C8399" s="221" t="s">
        <v>14383</v>
      </c>
    </row>
    <row r="8400" spans="1:3" x14ac:dyDescent="0.25">
      <c r="A8400" s="222">
        <v>790067</v>
      </c>
      <c r="B8400" s="223" t="s">
        <v>14384</v>
      </c>
      <c r="C8400" s="221" t="s">
        <v>14385</v>
      </c>
    </row>
    <row r="8401" spans="1:3" x14ac:dyDescent="0.25">
      <c r="A8401" s="222">
        <v>790067</v>
      </c>
      <c r="B8401" s="223" t="s">
        <v>14384</v>
      </c>
      <c r="C8401" s="221" t="s">
        <v>14386</v>
      </c>
    </row>
    <row r="8402" spans="1:3" x14ac:dyDescent="0.25">
      <c r="A8402" s="222">
        <v>790068</v>
      </c>
      <c r="B8402" s="223" t="s">
        <v>14387</v>
      </c>
      <c r="C8402" s="221" t="s">
        <v>14388</v>
      </c>
    </row>
    <row r="8403" spans="1:3" x14ac:dyDescent="0.25">
      <c r="A8403" s="222">
        <v>790068</v>
      </c>
      <c r="B8403" s="223" t="s">
        <v>14387</v>
      </c>
      <c r="C8403" s="221" t="s">
        <v>14389</v>
      </c>
    </row>
    <row r="8404" spans="1:3" x14ac:dyDescent="0.25">
      <c r="A8404" s="222">
        <v>790069</v>
      </c>
      <c r="B8404" s="223" t="s">
        <v>14390</v>
      </c>
      <c r="C8404" s="221" t="s">
        <v>14391</v>
      </c>
    </row>
    <row r="8405" spans="1:3" x14ac:dyDescent="0.25">
      <c r="A8405" s="222">
        <v>790069</v>
      </c>
      <c r="B8405" s="223" t="s">
        <v>14390</v>
      </c>
      <c r="C8405" s="221" t="s">
        <v>14392</v>
      </c>
    </row>
    <row r="8406" spans="1:3" x14ac:dyDescent="0.25">
      <c r="A8406" s="222">
        <v>790070</v>
      </c>
      <c r="B8406" s="223" t="s">
        <v>14393</v>
      </c>
      <c r="C8406" s="221" t="s">
        <v>14394</v>
      </c>
    </row>
    <row r="8407" spans="1:3" x14ac:dyDescent="0.25">
      <c r="A8407" s="222">
        <v>790070</v>
      </c>
      <c r="B8407" s="223" t="s">
        <v>14393</v>
      </c>
      <c r="C8407" s="221" t="s">
        <v>14395</v>
      </c>
    </row>
    <row r="8408" spans="1:3" x14ac:dyDescent="0.25">
      <c r="A8408" s="222">
        <v>790071</v>
      </c>
      <c r="B8408" s="223" t="s">
        <v>14396</v>
      </c>
      <c r="C8408" s="221" t="s">
        <v>14397</v>
      </c>
    </row>
    <row r="8409" spans="1:3" x14ac:dyDescent="0.25">
      <c r="A8409" s="222">
        <v>790071</v>
      </c>
      <c r="B8409" s="223" t="s">
        <v>14396</v>
      </c>
      <c r="C8409" s="221" t="s">
        <v>14398</v>
      </c>
    </row>
    <row r="8410" spans="1:3" x14ac:dyDescent="0.25">
      <c r="A8410" s="222">
        <v>790072</v>
      </c>
      <c r="B8410" s="223" t="s">
        <v>14399</v>
      </c>
      <c r="C8410" s="221" t="s">
        <v>14400</v>
      </c>
    </row>
    <row r="8411" spans="1:3" x14ac:dyDescent="0.25">
      <c r="A8411" s="222">
        <v>790072</v>
      </c>
      <c r="B8411" s="223" t="s">
        <v>14399</v>
      </c>
      <c r="C8411" s="221" t="s">
        <v>14401</v>
      </c>
    </row>
    <row r="8412" spans="1:3" x14ac:dyDescent="0.25">
      <c r="A8412" s="222">
        <v>790073</v>
      </c>
      <c r="B8412" s="223" t="s">
        <v>14402</v>
      </c>
      <c r="C8412" s="221" t="s">
        <v>14403</v>
      </c>
    </row>
    <row r="8413" spans="1:3" x14ac:dyDescent="0.25">
      <c r="A8413" s="222">
        <v>790073</v>
      </c>
      <c r="B8413" s="223" t="s">
        <v>14402</v>
      </c>
      <c r="C8413" s="221" t="s">
        <v>14404</v>
      </c>
    </row>
    <row r="8414" spans="1:3" x14ac:dyDescent="0.25">
      <c r="A8414" s="222">
        <v>790074</v>
      </c>
      <c r="B8414" s="223" t="s">
        <v>14405</v>
      </c>
      <c r="C8414" s="221" t="s">
        <v>14406</v>
      </c>
    </row>
    <row r="8415" spans="1:3" x14ac:dyDescent="0.25">
      <c r="A8415" s="222">
        <v>790074</v>
      </c>
      <c r="B8415" s="223" t="s">
        <v>14405</v>
      </c>
      <c r="C8415" s="221" t="s">
        <v>14407</v>
      </c>
    </row>
    <row r="8416" spans="1:3" x14ac:dyDescent="0.25">
      <c r="A8416" s="222">
        <v>790075</v>
      </c>
      <c r="B8416" s="223" t="s">
        <v>14408</v>
      </c>
      <c r="C8416" s="221" t="s">
        <v>14409</v>
      </c>
    </row>
    <row r="8417" spans="1:3" x14ac:dyDescent="0.25">
      <c r="A8417" s="222">
        <v>790075</v>
      </c>
      <c r="B8417" s="223" t="s">
        <v>14408</v>
      </c>
      <c r="C8417" s="221" t="s">
        <v>14410</v>
      </c>
    </row>
    <row r="8418" spans="1:3" x14ac:dyDescent="0.25">
      <c r="A8418" s="222">
        <v>790076</v>
      </c>
      <c r="B8418" s="223" t="s">
        <v>14411</v>
      </c>
      <c r="C8418" s="221" t="s">
        <v>134</v>
      </c>
    </row>
    <row r="8419" spans="1:3" x14ac:dyDescent="0.25">
      <c r="A8419" s="222">
        <v>790076</v>
      </c>
      <c r="B8419" s="223" t="s">
        <v>14411</v>
      </c>
      <c r="C8419" s="221" t="s">
        <v>14412</v>
      </c>
    </row>
    <row r="8420" spans="1:3" x14ac:dyDescent="0.25">
      <c r="A8420" s="222">
        <v>790077</v>
      </c>
      <c r="B8420" s="223" t="s">
        <v>14413</v>
      </c>
      <c r="C8420" s="221" t="s">
        <v>14414</v>
      </c>
    </row>
    <row r="8421" spans="1:3" x14ac:dyDescent="0.25">
      <c r="A8421" s="222">
        <v>790077</v>
      </c>
      <c r="B8421" s="223" t="s">
        <v>14413</v>
      </c>
      <c r="C8421" s="221" t="s">
        <v>14415</v>
      </c>
    </row>
    <row r="8422" spans="1:3" x14ac:dyDescent="0.25">
      <c r="A8422" s="222">
        <v>790078</v>
      </c>
      <c r="B8422" s="223" t="s">
        <v>14416</v>
      </c>
      <c r="C8422" s="221" t="s">
        <v>14417</v>
      </c>
    </row>
    <row r="8423" spans="1:3" x14ac:dyDescent="0.25">
      <c r="A8423" s="222">
        <v>790078</v>
      </c>
      <c r="B8423" s="223" t="s">
        <v>14416</v>
      </c>
      <c r="C8423" s="221" t="s">
        <v>14418</v>
      </c>
    </row>
    <row r="8424" spans="1:3" x14ac:dyDescent="0.25">
      <c r="A8424" s="222">
        <v>790079</v>
      </c>
      <c r="B8424" s="223" t="s">
        <v>14419</v>
      </c>
      <c r="C8424" s="221" t="s">
        <v>14420</v>
      </c>
    </row>
    <row r="8425" spans="1:3" x14ac:dyDescent="0.25">
      <c r="A8425" s="222">
        <v>790079</v>
      </c>
      <c r="B8425" s="223" t="s">
        <v>14419</v>
      </c>
      <c r="C8425" s="221" t="s">
        <v>14421</v>
      </c>
    </row>
    <row r="8426" spans="1:3" x14ac:dyDescent="0.25">
      <c r="A8426" s="222">
        <v>790080</v>
      </c>
      <c r="B8426" s="223" t="s">
        <v>14422</v>
      </c>
      <c r="C8426" s="221" t="s">
        <v>14423</v>
      </c>
    </row>
    <row r="8427" spans="1:3" x14ac:dyDescent="0.25">
      <c r="A8427" s="222">
        <v>790080</v>
      </c>
      <c r="B8427" s="223" t="s">
        <v>14422</v>
      </c>
      <c r="C8427" s="221" t="s">
        <v>14424</v>
      </c>
    </row>
    <row r="8428" spans="1:3" x14ac:dyDescent="0.25">
      <c r="A8428" s="222">
        <v>790081</v>
      </c>
      <c r="B8428" s="223" t="s">
        <v>14425</v>
      </c>
      <c r="C8428" s="221" t="s">
        <v>14426</v>
      </c>
    </row>
    <row r="8429" spans="1:3" x14ac:dyDescent="0.25">
      <c r="A8429" s="222">
        <v>790081</v>
      </c>
      <c r="B8429" s="223" t="s">
        <v>14425</v>
      </c>
      <c r="C8429" s="221" t="s">
        <v>14427</v>
      </c>
    </row>
    <row r="8430" spans="1:3" x14ac:dyDescent="0.25">
      <c r="A8430" s="222">
        <v>790082</v>
      </c>
      <c r="B8430" s="223" t="s">
        <v>14428</v>
      </c>
      <c r="C8430" s="221" t="s">
        <v>14429</v>
      </c>
    </row>
    <row r="8431" spans="1:3" x14ac:dyDescent="0.25">
      <c r="A8431" s="222">
        <v>790082</v>
      </c>
      <c r="B8431" s="223" t="s">
        <v>14428</v>
      </c>
      <c r="C8431" s="221" t="s">
        <v>14430</v>
      </c>
    </row>
    <row r="8432" spans="1:3" x14ac:dyDescent="0.25">
      <c r="A8432" s="222">
        <v>790083</v>
      </c>
      <c r="B8432" s="223" t="s">
        <v>14431</v>
      </c>
      <c r="C8432" s="221" t="s">
        <v>134</v>
      </c>
    </row>
    <row r="8433" spans="1:3" x14ac:dyDescent="0.25">
      <c r="A8433" s="222">
        <v>790083</v>
      </c>
      <c r="B8433" s="223" t="s">
        <v>14431</v>
      </c>
      <c r="C8433" s="221" t="s">
        <v>14432</v>
      </c>
    </row>
    <row r="8434" spans="1:3" x14ac:dyDescent="0.25">
      <c r="A8434" s="222">
        <v>790084</v>
      </c>
      <c r="B8434" s="223" t="s">
        <v>14433</v>
      </c>
      <c r="C8434" s="221" t="s">
        <v>134</v>
      </c>
    </row>
    <row r="8435" spans="1:3" x14ac:dyDescent="0.25">
      <c r="A8435" s="222">
        <v>790084</v>
      </c>
      <c r="B8435" s="223" t="s">
        <v>14433</v>
      </c>
      <c r="C8435" s="221" t="s">
        <v>14434</v>
      </c>
    </row>
    <row r="8436" spans="1:3" x14ac:dyDescent="0.25">
      <c r="A8436" s="222">
        <v>790085</v>
      </c>
      <c r="B8436" s="223" t="s">
        <v>14435</v>
      </c>
      <c r="C8436" s="221" t="s">
        <v>134</v>
      </c>
    </row>
    <row r="8437" spans="1:3" x14ac:dyDescent="0.25">
      <c r="A8437" s="222">
        <v>790085</v>
      </c>
      <c r="B8437" s="223" t="s">
        <v>14435</v>
      </c>
      <c r="C8437" s="221" t="s">
        <v>14436</v>
      </c>
    </row>
    <row r="8438" spans="1:3" x14ac:dyDescent="0.25">
      <c r="A8438" s="222">
        <v>790086</v>
      </c>
      <c r="B8438" s="223" t="s">
        <v>14437</v>
      </c>
      <c r="C8438" s="221" t="s">
        <v>134</v>
      </c>
    </row>
    <row r="8439" spans="1:3" x14ac:dyDescent="0.25">
      <c r="A8439" s="222">
        <v>790086</v>
      </c>
      <c r="B8439" s="223" t="s">
        <v>14437</v>
      </c>
      <c r="C8439" s="221" t="s">
        <v>14438</v>
      </c>
    </row>
    <row r="8440" spans="1:3" x14ac:dyDescent="0.25">
      <c r="A8440" s="222">
        <v>790087</v>
      </c>
      <c r="B8440" s="223" t="s">
        <v>14439</v>
      </c>
      <c r="C8440" s="221" t="s">
        <v>134</v>
      </c>
    </row>
    <row r="8441" spans="1:3" x14ac:dyDescent="0.25">
      <c r="A8441" s="222">
        <v>790087</v>
      </c>
      <c r="B8441" s="223" t="s">
        <v>14439</v>
      </c>
      <c r="C8441" s="221" t="s">
        <v>14440</v>
      </c>
    </row>
    <row r="8442" spans="1:3" x14ac:dyDescent="0.25">
      <c r="A8442" s="222">
        <v>790088</v>
      </c>
      <c r="B8442" s="223" t="s">
        <v>14441</v>
      </c>
      <c r="C8442" s="221" t="s">
        <v>134</v>
      </c>
    </row>
    <row r="8443" spans="1:3" x14ac:dyDescent="0.25">
      <c r="A8443" s="222">
        <v>790088</v>
      </c>
      <c r="B8443" s="223" t="s">
        <v>14441</v>
      </c>
      <c r="C8443" s="221" t="s">
        <v>14442</v>
      </c>
    </row>
    <row r="8444" spans="1:3" x14ac:dyDescent="0.25">
      <c r="A8444" s="222">
        <v>799001</v>
      </c>
      <c r="B8444" s="223" t="s">
        <v>14443</v>
      </c>
      <c r="C8444" s="221" t="s">
        <v>14444</v>
      </c>
    </row>
    <row r="8445" spans="1:3" x14ac:dyDescent="0.25">
      <c r="A8445" s="222">
        <v>799002</v>
      </c>
      <c r="B8445" s="223" t="s">
        <v>14445</v>
      </c>
      <c r="C8445" s="221" t="s">
        <v>14446</v>
      </c>
    </row>
    <row r="8446" spans="1:3" x14ac:dyDescent="0.25">
      <c r="A8446" s="222">
        <v>799003</v>
      </c>
      <c r="B8446" s="223" t="s">
        <v>14447</v>
      </c>
      <c r="C8446" s="221" t="s">
        <v>14448</v>
      </c>
    </row>
    <row r="8447" spans="1:3" x14ac:dyDescent="0.25">
      <c r="A8447" s="222">
        <v>799004</v>
      </c>
      <c r="B8447" s="223" t="s">
        <v>14449</v>
      </c>
      <c r="C8447" s="221" t="s">
        <v>14450</v>
      </c>
    </row>
    <row r="8448" spans="1:3" x14ac:dyDescent="0.25">
      <c r="A8448" s="222">
        <v>799005</v>
      </c>
      <c r="B8448" s="223" t="s">
        <v>14451</v>
      </c>
      <c r="C8448" s="221" t="s">
        <v>14452</v>
      </c>
    </row>
    <row r="8449" spans="1:3" x14ac:dyDescent="0.25">
      <c r="A8449" s="222">
        <v>799006</v>
      </c>
      <c r="B8449" s="223" t="s">
        <v>14453</v>
      </c>
      <c r="C8449" s="221" t="s">
        <v>14454</v>
      </c>
    </row>
    <row r="8450" spans="1:3" x14ac:dyDescent="0.25">
      <c r="A8450" s="222">
        <v>799007</v>
      </c>
      <c r="B8450" s="223" t="s">
        <v>14455</v>
      </c>
      <c r="C8450" s="221" t="s">
        <v>14456</v>
      </c>
    </row>
    <row r="8451" spans="1:3" x14ac:dyDescent="0.25">
      <c r="A8451" s="222">
        <v>799008</v>
      </c>
      <c r="B8451" s="223" t="s">
        <v>14457</v>
      </c>
      <c r="C8451" s="221" t="s">
        <v>14458</v>
      </c>
    </row>
    <row r="8452" spans="1:3" x14ac:dyDescent="0.25">
      <c r="A8452" s="222">
        <v>799009</v>
      </c>
      <c r="B8452" s="223" t="s">
        <v>14459</v>
      </c>
      <c r="C8452" s="221" t="s">
        <v>14460</v>
      </c>
    </row>
    <row r="8453" spans="1:3" x14ac:dyDescent="0.25">
      <c r="A8453" s="222">
        <v>799010</v>
      </c>
      <c r="B8453" s="223" t="s">
        <v>14461</v>
      </c>
      <c r="C8453" s="221" t="s">
        <v>14462</v>
      </c>
    </row>
    <row r="8454" spans="1:3" x14ac:dyDescent="0.25">
      <c r="A8454" s="222">
        <v>799011</v>
      </c>
      <c r="B8454" s="223" t="s">
        <v>14463</v>
      </c>
      <c r="C8454" s="221" t="s">
        <v>14464</v>
      </c>
    </row>
    <row r="8455" spans="1:3" x14ac:dyDescent="0.25">
      <c r="A8455" s="222">
        <v>799012</v>
      </c>
      <c r="B8455" s="223" t="s">
        <v>14465</v>
      </c>
      <c r="C8455" s="221" t="s">
        <v>14466</v>
      </c>
    </row>
    <row r="8456" spans="1:3" x14ac:dyDescent="0.25">
      <c r="A8456" s="222">
        <v>799013</v>
      </c>
      <c r="B8456" s="223" t="s">
        <v>14467</v>
      </c>
      <c r="C8456" s="221" t="s">
        <v>14468</v>
      </c>
    </row>
    <row r="8457" spans="1:3" x14ac:dyDescent="0.25">
      <c r="A8457" s="222">
        <v>799014</v>
      </c>
      <c r="B8457" s="223" t="s">
        <v>14469</v>
      </c>
      <c r="C8457" s="221" t="s">
        <v>14470</v>
      </c>
    </row>
    <row r="8458" spans="1:3" x14ac:dyDescent="0.25">
      <c r="A8458" s="222">
        <v>799015</v>
      </c>
      <c r="B8458" s="223" t="s">
        <v>14471</v>
      </c>
      <c r="C8458" s="221" t="s">
        <v>14472</v>
      </c>
    </row>
    <row r="8459" spans="1:3" x14ac:dyDescent="0.25">
      <c r="A8459" s="222">
        <v>799016</v>
      </c>
      <c r="B8459" s="223" t="s">
        <v>14473</v>
      </c>
      <c r="C8459" s="221" t="s">
        <v>14474</v>
      </c>
    </row>
    <row r="8460" spans="1:3" x14ac:dyDescent="0.25">
      <c r="A8460" s="222">
        <v>799017</v>
      </c>
      <c r="B8460" s="223" t="s">
        <v>14475</v>
      </c>
      <c r="C8460" s="221" t="s">
        <v>14476</v>
      </c>
    </row>
    <row r="8461" spans="1:3" x14ac:dyDescent="0.25">
      <c r="A8461" s="222">
        <v>799018</v>
      </c>
      <c r="B8461" s="223" t="s">
        <v>14477</v>
      </c>
      <c r="C8461" s="221" t="s">
        <v>14478</v>
      </c>
    </row>
    <row r="8462" spans="1:3" x14ac:dyDescent="0.25">
      <c r="A8462" s="222">
        <v>799019</v>
      </c>
      <c r="B8462" s="223" t="s">
        <v>14479</v>
      </c>
      <c r="C8462" s="221" t="s">
        <v>14480</v>
      </c>
    </row>
    <row r="8463" spans="1:3" x14ac:dyDescent="0.25">
      <c r="A8463" s="222">
        <v>799020</v>
      </c>
      <c r="B8463" s="223" t="s">
        <v>14481</v>
      </c>
      <c r="C8463" s="221" t="s">
        <v>14482</v>
      </c>
    </row>
    <row r="8464" spans="1:3" x14ac:dyDescent="0.25">
      <c r="A8464" s="222">
        <v>799021</v>
      </c>
      <c r="B8464" s="223" t="s">
        <v>14483</v>
      </c>
      <c r="C8464" s="221" t="s">
        <v>14484</v>
      </c>
    </row>
    <row r="8465" spans="1:3" x14ac:dyDescent="0.25">
      <c r="A8465" s="222">
        <v>799022</v>
      </c>
      <c r="B8465" s="223" t="s">
        <v>14485</v>
      </c>
      <c r="C8465" s="221" t="s">
        <v>14486</v>
      </c>
    </row>
    <row r="8466" spans="1:3" x14ac:dyDescent="0.25">
      <c r="A8466" s="222">
        <v>799023</v>
      </c>
      <c r="B8466" s="223" t="s">
        <v>14487</v>
      </c>
      <c r="C8466" s="221" t="s">
        <v>14488</v>
      </c>
    </row>
    <row r="8467" spans="1:3" x14ac:dyDescent="0.25">
      <c r="A8467" s="222">
        <v>799024</v>
      </c>
      <c r="B8467" s="223" t="s">
        <v>14489</v>
      </c>
      <c r="C8467" s="221" t="s">
        <v>14490</v>
      </c>
    </row>
    <row r="8468" spans="1:3" x14ac:dyDescent="0.25">
      <c r="A8468" s="222">
        <v>799025</v>
      </c>
      <c r="B8468" s="223" t="s">
        <v>14491</v>
      </c>
      <c r="C8468" s="221" t="s">
        <v>14492</v>
      </c>
    </row>
    <row r="8469" spans="1:3" x14ac:dyDescent="0.25">
      <c r="A8469" s="222">
        <v>799026</v>
      </c>
      <c r="B8469" s="223" t="s">
        <v>14493</v>
      </c>
      <c r="C8469" s="221" t="s">
        <v>14494</v>
      </c>
    </row>
    <row r="8470" spans="1:3" x14ac:dyDescent="0.25">
      <c r="A8470" s="222">
        <v>799027</v>
      </c>
      <c r="B8470" s="223" t="s">
        <v>14495</v>
      </c>
      <c r="C8470" s="221" t="s">
        <v>14496</v>
      </c>
    </row>
    <row r="8471" spans="1:3" x14ac:dyDescent="0.25">
      <c r="A8471" s="222">
        <v>799028</v>
      </c>
      <c r="B8471" s="223" t="s">
        <v>14497</v>
      </c>
      <c r="C8471" s="221" t="s">
        <v>14498</v>
      </c>
    </row>
    <row r="8472" spans="1:3" x14ac:dyDescent="0.25">
      <c r="A8472" s="222">
        <v>799029</v>
      </c>
      <c r="B8472" s="223" t="s">
        <v>14499</v>
      </c>
      <c r="C8472" s="221" t="s">
        <v>14500</v>
      </c>
    </row>
    <row r="8473" spans="1:3" x14ac:dyDescent="0.25">
      <c r="A8473" s="222">
        <v>799030</v>
      </c>
      <c r="B8473" s="223" t="s">
        <v>14501</v>
      </c>
      <c r="C8473" s="221" t="s">
        <v>14502</v>
      </c>
    </row>
    <row r="8474" spans="1:3" x14ac:dyDescent="0.25">
      <c r="A8474" s="222">
        <v>799031</v>
      </c>
      <c r="B8474" s="223" t="s">
        <v>14503</v>
      </c>
      <c r="C8474" s="221" t="s">
        <v>14504</v>
      </c>
    </row>
    <row r="8475" spans="1:3" x14ac:dyDescent="0.25">
      <c r="A8475" s="222">
        <v>799032</v>
      </c>
      <c r="B8475" s="223" t="s">
        <v>14505</v>
      </c>
      <c r="C8475" s="221" t="s">
        <v>14506</v>
      </c>
    </row>
    <row r="8476" spans="1:3" x14ac:dyDescent="0.25">
      <c r="A8476" s="222">
        <v>799033</v>
      </c>
      <c r="B8476" s="223" t="s">
        <v>14507</v>
      </c>
      <c r="C8476" s="221" t="s">
        <v>14508</v>
      </c>
    </row>
    <row r="8477" spans="1:3" x14ac:dyDescent="0.25">
      <c r="A8477" s="222">
        <v>799034</v>
      </c>
      <c r="B8477" s="223" t="s">
        <v>14509</v>
      </c>
      <c r="C8477" s="221" t="s">
        <v>14510</v>
      </c>
    </row>
    <row r="8478" spans="1:3" x14ac:dyDescent="0.25">
      <c r="A8478" s="222">
        <v>799035</v>
      </c>
      <c r="B8478" s="223" t="s">
        <v>14511</v>
      </c>
      <c r="C8478" s="221" t="s">
        <v>14512</v>
      </c>
    </row>
    <row r="8479" spans="1:3" x14ac:dyDescent="0.25">
      <c r="A8479" s="222">
        <v>799036</v>
      </c>
      <c r="B8479" s="223" t="s">
        <v>14513</v>
      </c>
      <c r="C8479" s="221" t="s">
        <v>14514</v>
      </c>
    </row>
    <row r="8480" spans="1:3" x14ac:dyDescent="0.25">
      <c r="A8480" s="222">
        <v>799037</v>
      </c>
      <c r="B8480" s="223" t="s">
        <v>14515</v>
      </c>
      <c r="C8480" s="221" t="s">
        <v>14516</v>
      </c>
    </row>
    <row r="8481" spans="1:3" x14ac:dyDescent="0.25">
      <c r="A8481" s="222">
        <v>799038</v>
      </c>
      <c r="B8481" s="223" t="s">
        <v>14517</v>
      </c>
      <c r="C8481" s="221" t="s">
        <v>14518</v>
      </c>
    </row>
    <row r="8482" spans="1:3" x14ac:dyDescent="0.25">
      <c r="A8482" s="222">
        <v>799039</v>
      </c>
      <c r="B8482" s="223" t="s">
        <v>14519</v>
      </c>
      <c r="C8482" s="221" t="s">
        <v>14520</v>
      </c>
    </row>
    <row r="8483" spans="1:3" x14ac:dyDescent="0.25">
      <c r="A8483" s="222">
        <v>799040</v>
      </c>
      <c r="B8483" s="223" t="s">
        <v>14521</v>
      </c>
      <c r="C8483" s="221" t="s">
        <v>14522</v>
      </c>
    </row>
    <row r="8484" spans="1:3" x14ac:dyDescent="0.25">
      <c r="A8484" s="222">
        <v>799041</v>
      </c>
      <c r="B8484" s="223" t="s">
        <v>14523</v>
      </c>
      <c r="C8484" s="221" t="s">
        <v>14524</v>
      </c>
    </row>
    <row r="8485" spans="1:3" x14ac:dyDescent="0.25">
      <c r="A8485" s="222">
        <v>799042</v>
      </c>
      <c r="B8485" s="223" t="s">
        <v>14525</v>
      </c>
      <c r="C8485" s="221" t="s">
        <v>14526</v>
      </c>
    </row>
    <row r="8486" spans="1:3" x14ac:dyDescent="0.25">
      <c r="A8486" s="222">
        <v>799043</v>
      </c>
      <c r="B8486" s="223" t="s">
        <v>14527</v>
      </c>
      <c r="C8486" s="221" t="s">
        <v>14528</v>
      </c>
    </row>
    <row r="8487" spans="1:3" x14ac:dyDescent="0.25">
      <c r="A8487" s="222">
        <v>799044</v>
      </c>
      <c r="B8487" s="223" t="s">
        <v>14529</v>
      </c>
      <c r="C8487" s="221" t="s">
        <v>14530</v>
      </c>
    </row>
    <row r="8488" spans="1:3" x14ac:dyDescent="0.25">
      <c r="A8488" s="222">
        <v>799045</v>
      </c>
      <c r="B8488" s="223" t="s">
        <v>14531</v>
      </c>
      <c r="C8488" s="221" t="s">
        <v>14532</v>
      </c>
    </row>
    <row r="8489" spans="1:3" x14ac:dyDescent="0.25">
      <c r="A8489" s="222">
        <v>799046</v>
      </c>
      <c r="B8489" s="223" t="s">
        <v>14533</v>
      </c>
      <c r="C8489" s="221" t="s">
        <v>14534</v>
      </c>
    </row>
    <row r="8490" spans="1:3" x14ac:dyDescent="0.25">
      <c r="A8490" s="222">
        <v>799047</v>
      </c>
      <c r="B8490" s="223" t="s">
        <v>14535</v>
      </c>
      <c r="C8490" s="221" t="s">
        <v>14536</v>
      </c>
    </row>
    <row r="8491" spans="1:3" x14ac:dyDescent="0.25">
      <c r="A8491" s="222">
        <v>8500473</v>
      </c>
      <c r="B8491" s="223" t="s">
        <v>14538</v>
      </c>
      <c r="C8491" s="221" t="s">
        <v>14537</v>
      </c>
    </row>
    <row r="8492" spans="1:3" x14ac:dyDescent="0.25">
      <c r="A8492" s="222">
        <v>8500474</v>
      </c>
      <c r="B8492" s="223" t="s">
        <v>14540</v>
      </c>
      <c r="C8492" s="221" t="s">
        <v>14539</v>
      </c>
    </row>
    <row r="8493" spans="1:3" x14ac:dyDescent="0.25">
      <c r="A8493" s="222">
        <v>8500599</v>
      </c>
      <c r="B8493" s="223" t="s">
        <v>14542</v>
      </c>
      <c r="C8493" s="221" t="s">
        <v>14541</v>
      </c>
    </row>
    <row r="8494" spans="1:3" x14ac:dyDescent="0.25">
      <c r="A8494" s="222">
        <v>8510035</v>
      </c>
      <c r="B8494" s="223" t="s">
        <v>14543</v>
      </c>
      <c r="C8494" s="221" t="s">
        <v>14544</v>
      </c>
    </row>
    <row r="8495" spans="1:3" x14ac:dyDescent="0.25">
      <c r="A8495" s="222">
        <v>8530007</v>
      </c>
      <c r="B8495" s="223" t="s">
        <v>14545</v>
      </c>
      <c r="C8495" s="221" t="s">
        <v>14546</v>
      </c>
    </row>
    <row r="8496" spans="1:3" x14ac:dyDescent="0.25">
      <c r="A8496" s="222">
        <v>9310186</v>
      </c>
      <c r="B8496" s="223" t="s">
        <v>14547</v>
      </c>
      <c r="C8496" s="221" t="s">
        <v>14548</v>
      </c>
    </row>
    <row r="8497" spans="1:3" x14ac:dyDescent="0.25">
      <c r="A8497" s="222">
        <v>9500433</v>
      </c>
      <c r="B8497" s="223" t="s">
        <v>14549</v>
      </c>
      <c r="C8497" s="221" t="s">
        <v>14550</v>
      </c>
    </row>
    <row r="8498" spans="1:3" x14ac:dyDescent="0.25">
      <c r="A8498" s="222">
        <v>9500474</v>
      </c>
      <c r="B8498" s="223" t="s">
        <v>14551</v>
      </c>
      <c r="C8498" s="221" t="s">
        <v>14552</v>
      </c>
    </row>
    <row r="8499" spans="1:3" x14ac:dyDescent="0.25">
      <c r="A8499" s="222">
        <v>9511024</v>
      </c>
      <c r="B8499" s="223" t="s">
        <v>14553</v>
      </c>
      <c r="C8499" s="221" t="s">
        <v>14554</v>
      </c>
    </row>
    <row r="8500" spans="1:3" x14ac:dyDescent="0.25">
      <c r="A8500" s="222">
        <v>9511025</v>
      </c>
      <c r="B8500" s="223" t="s">
        <v>14555</v>
      </c>
      <c r="C8500" s="221" t="s">
        <v>14556</v>
      </c>
    </row>
    <row r="8501" spans="1:3" x14ac:dyDescent="0.25">
      <c r="A8501" s="222">
        <v>9511026</v>
      </c>
      <c r="B8501" s="223" t="s">
        <v>14557</v>
      </c>
      <c r="C8501" s="221" t="s">
        <v>14558</v>
      </c>
    </row>
    <row r="8502" spans="1:3" x14ac:dyDescent="0.25">
      <c r="A8502" s="222">
        <v>9511027</v>
      </c>
      <c r="B8502" s="223" t="s">
        <v>14559</v>
      </c>
      <c r="C8502" s="221" t="s">
        <v>14560</v>
      </c>
    </row>
    <row r="8503" spans="1:3" x14ac:dyDescent="0.25">
      <c r="A8503" s="222">
        <v>9511028</v>
      </c>
      <c r="B8503" s="223" t="s">
        <v>14561</v>
      </c>
      <c r="C8503" s="221" t="s">
        <v>14562</v>
      </c>
    </row>
    <row r="8504" spans="1:3" x14ac:dyDescent="0.25">
      <c r="A8504" s="222">
        <v>9511029</v>
      </c>
      <c r="B8504" s="223" t="s">
        <v>14563</v>
      </c>
      <c r="C8504" s="221" t="s">
        <v>14564</v>
      </c>
    </row>
    <row r="8505" spans="1:3" x14ac:dyDescent="0.25">
      <c r="A8505" s="222">
        <v>9511030</v>
      </c>
      <c r="B8505" s="223" t="s">
        <v>14565</v>
      </c>
      <c r="C8505" s="221" t="s">
        <v>14566</v>
      </c>
    </row>
    <row r="8506" spans="1:3" x14ac:dyDescent="0.25">
      <c r="A8506" s="222">
        <v>9511031</v>
      </c>
      <c r="B8506" s="223" t="s">
        <v>14567</v>
      </c>
      <c r="C8506" s="221" t="s">
        <v>14568</v>
      </c>
    </row>
    <row r="8507" spans="1:3" x14ac:dyDescent="0.25">
      <c r="A8507" s="222">
        <v>9511032</v>
      </c>
      <c r="B8507" s="223" t="s">
        <v>14569</v>
      </c>
      <c r="C8507" s="221" t="s">
        <v>14570</v>
      </c>
    </row>
    <row r="8508" spans="1:3" x14ac:dyDescent="0.25">
      <c r="A8508" s="222">
        <v>9512019</v>
      </c>
      <c r="B8508" s="223" t="s">
        <v>14571</v>
      </c>
      <c r="C8508" s="221" t="s">
        <v>11482</v>
      </c>
    </row>
    <row r="8509" spans="1:3" x14ac:dyDescent="0.25">
      <c r="A8509" s="222">
        <v>9512020</v>
      </c>
      <c r="B8509" s="223" t="s">
        <v>14572</v>
      </c>
      <c r="C8509" s="221" t="s">
        <v>14573</v>
      </c>
    </row>
    <row r="8510" spans="1:3" x14ac:dyDescent="0.25">
      <c r="A8510" s="222">
        <v>9512199</v>
      </c>
      <c r="B8510" s="223" t="s">
        <v>14574</v>
      </c>
      <c r="C8510" s="221" t="s">
        <v>14575</v>
      </c>
    </row>
    <row r="8511" spans="1:3" x14ac:dyDescent="0.25">
      <c r="A8511" s="222">
        <v>9512200</v>
      </c>
      <c r="B8511" s="223" t="s">
        <v>14576</v>
      </c>
      <c r="C8511" s="221" t="s">
        <v>14577</v>
      </c>
    </row>
    <row r="8512" spans="1:3" x14ac:dyDescent="0.25">
      <c r="A8512" s="222">
        <v>9512201</v>
      </c>
      <c r="B8512" s="223" t="s">
        <v>14578</v>
      </c>
      <c r="C8512" s="221" t="s">
        <v>14579</v>
      </c>
    </row>
    <row r="8513" spans="1:3" x14ac:dyDescent="0.25">
      <c r="A8513" s="222">
        <v>9513019</v>
      </c>
      <c r="B8513" s="223" t="s">
        <v>14580</v>
      </c>
      <c r="C8513" s="221" t="s">
        <v>14581</v>
      </c>
    </row>
    <row r="8514" spans="1:3" x14ac:dyDescent="0.25">
      <c r="A8514" s="222">
        <v>9513020</v>
      </c>
      <c r="B8514" s="223" t="s">
        <v>14582</v>
      </c>
      <c r="C8514" s="221" t="s">
        <v>14583</v>
      </c>
    </row>
    <row r="8515" spans="1:3" x14ac:dyDescent="0.25">
      <c r="A8515" s="222">
        <v>9513021</v>
      </c>
      <c r="B8515" s="223" t="s">
        <v>14584</v>
      </c>
      <c r="C8515" s="221" t="s">
        <v>14585</v>
      </c>
    </row>
    <row r="8516" spans="1:3" x14ac:dyDescent="0.25">
      <c r="A8516" s="222">
        <v>9513022</v>
      </c>
      <c r="B8516" s="223" t="s">
        <v>14586</v>
      </c>
      <c r="C8516" s="221" t="s">
        <v>14587</v>
      </c>
    </row>
    <row r="8517" spans="1:3" x14ac:dyDescent="0.25">
      <c r="A8517" s="222">
        <v>9513023</v>
      </c>
      <c r="B8517" s="223" t="s">
        <v>14588</v>
      </c>
      <c r="C8517" s="221" t="s">
        <v>14589</v>
      </c>
    </row>
    <row r="8518" spans="1:3" x14ac:dyDescent="0.25">
      <c r="A8518" s="222">
        <v>9513024</v>
      </c>
      <c r="B8518" s="223" t="s">
        <v>14590</v>
      </c>
      <c r="C8518" s="221" t="s">
        <v>14591</v>
      </c>
    </row>
    <row r="8519" spans="1:3" x14ac:dyDescent="0.25">
      <c r="A8519" s="222">
        <v>9513025</v>
      </c>
      <c r="B8519" s="223" t="s">
        <v>14592</v>
      </c>
      <c r="C8519" s="221" t="s">
        <v>14593</v>
      </c>
    </row>
    <row r="8520" spans="1:3" x14ac:dyDescent="0.25">
      <c r="A8520" s="222">
        <v>9513026</v>
      </c>
      <c r="B8520" s="223" t="s">
        <v>14594</v>
      </c>
      <c r="C8520" s="221" t="s">
        <v>14595</v>
      </c>
    </row>
    <row r="8521" spans="1:3" x14ac:dyDescent="0.25">
      <c r="A8521" s="222">
        <v>9513027</v>
      </c>
      <c r="B8521" s="223" t="s">
        <v>14596</v>
      </c>
      <c r="C8521" s="221" t="s">
        <v>14597</v>
      </c>
    </row>
    <row r="8522" spans="1:3" x14ac:dyDescent="0.25">
      <c r="A8522" s="222">
        <v>9520099</v>
      </c>
      <c r="B8522" s="223" t="s">
        <v>14598</v>
      </c>
      <c r="C8522" s="221" t="s">
        <v>14599</v>
      </c>
    </row>
    <row r="8523" spans="1:3" x14ac:dyDescent="0.25">
      <c r="A8523" s="222">
        <v>9520100</v>
      </c>
      <c r="B8523" s="223" t="s">
        <v>14600</v>
      </c>
      <c r="C8523" s="221" t="s">
        <v>14601</v>
      </c>
    </row>
    <row r="8524" spans="1:3" x14ac:dyDescent="0.25">
      <c r="A8524" s="222">
        <v>9520101</v>
      </c>
      <c r="B8524" s="223" t="s">
        <v>14602</v>
      </c>
      <c r="C8524" s="221" t="s">
        <v>14603</v>
      </c>
    </row>
    <row r="8525" spans="1:3" x14ac:dyDescent="0.25">
      <c r="A8525" s="222">
        <v>9550081</v>
      </c>
      <c r="B8525" s="223" t="s">
        <v>14604</v>
      </c>
      <c r="C8525" s="221" t="s">
        <v>14605</v>
      </c>
    </row>
    <row r="8526" spans="1:3" x14ac:dyDescent="0.25">
      <c r="A8526" s="222">
        <v>9550082</v>
      </c>
      <c r="B8526" s="223" t="s">
        <v>14606</v>
      </c>
      <c r="C8526" s="221" t="s">
        <v>14607</v>
      </c>
    </row>
    <row r="8527" spans="1:3" x14ac:dyDescent="0.25">
      <c r="A8527" s="222">
        <v>9550083</v>
      </c>
      <c r="B8527" s="223" t="s">
        <v>14608</v>
      </c>
      <c r="C8527" s="221" t="s">
        <v>14609</v>
      </c>
    </row>
    <row r="8528" spans="1:3" x14ac:dyDescent="0.25">
      <c r="A8528" s="222">
        <v>980001</v>
      </c>
      <c r="B8528" s="223" t="s">
        <v>14610</v>
      </c>
      <c r="C8528" s="221" t="s">
        <v>14611</v>
      </c>
    </row>
    <row r="8529" spans="1:3" x14ac:dyDescent="0.25">
      <c r="A8529" s="222">
        <v>980001</v>
      </c>
      <c r="B8529" s="223" t="s">
        <v>14610</v>
      </c>
      <c r="C8529" s="221" t="s">
        <v>14612</v>
      </c>
    </row>
    <row r="8530" spans="1:3" x14ac:dyDescent="0.25">
      <c r="A8530" s="222">
        <v>980002</v>
      </c>
      <c r="B8530" s="223" t="s">
        <v>14613</v>
      </c>
      <c r="C8530" s="221" t="s">
        <v>14614</v>
      </c>
    </row>
    <row r="8531" spans="1:3" x14ac:dyDescent="0.25">
      <c r="A8531" s="222">
        <v>980002</v>
      </c>
      <c r="B8531" s="223" t="s">
        <v>14613</v>
      </c>
      <c r="C8531" s="221" t="s">
        <v>14615</v>
      </c>
    </row>
    <row r="8532" spans="1:3" x14ac:dyDescent="0.25">
      <c r="A8532" s="222">
        <v>980003</v>
      </c>
      <c r="B8532" s="223" t="s">
        <v>14616</v>
      </c>
      <c r="C8532" s="221" t="s">
        <v>14617</v>
      </c>
    </row>
    <row r="8533" spans="1:3" x14ac:dyDescent="0.25">
      <c r="A8533" s="222">
        <v>980003</v>
      </c>
      <c r="B8533" s="223" t="s">
        <v>14616</v>
      </c>
      <c r="C8533" s="221" t="s">
        <v>14618</v>
      </c>
    </row>
    <row r="8534" spans="1:3" x14ac:dyDescent="0.25">
      <c r="A8534" s="222">
        <v>980004</v>
      </c>
      <c r="B8534" s="223" t="s">
        <v>14619</v>
      </c>
      <c r="C8534" s="221" t="s">
        <v>14620</v>
      </c>
    </row>
    <row r="8535" spans="1:3" x14ac:dyDescent="0.25">
      <c r="A8535" s="222">
        <v>980004</v>
      </c>
      <c r="B8535" s="223" t="s">
        <v>14619</v>
      </c>
      <c r="C8535" s="221" t="s">
        <v>14621</v>
      </c>
    </row>
    <row r="8536" spans="1:3" x14ac:dyDescent="0.25">
      <c r="A8536" s="222">
        <v>980005</v>
      </c>
      <c r="B8536" s="223" t="s">
        <v>14622</v>
      </c>
      <c r="C8536" s="221" t="s">
        <v>14623</v>
      </c>
    </row>
    <row r="8537" spans="1:3" x14ac:dyDescent="0.25">
      <c r="A8537" s="222">
        <v>980005</v>
      </c>
      <c r="B8537" s="223" t="s">
        <v>14622</v>
      </c>
      <c r="C8537" s="221" t="s">
        <v>14624</v>
      </c>
    </row>
    <row r="8538" spans="1:3" x14ac:dyDescent="0.25">
      <c r="A8538" s="222">
        <v>980006</v>
      </c>
      <c r="B8538" s="223" t="s">
        <v>14625</v>
      </c>
      <c r="C8538" s="221" t="s">
        <v>14626</v>
      </c>
    </row>
    <row r="8539" spans="1:3" x14ac:dyDescent="0.25">
      <c r="A8539" s="222">
        <v>980007</v>
      </c>
      <c r="B8539" s="223" t="s">
        <v>14627</v>
      </c>
      <c r="C8539" s="221" t="s">
        <v>14628</v>
      </c>
    </row>
    <row r="8540" spans="1:3" x14ac:dyDescent="0.25">
      <c r="A8540" s="222">
        <v>980008</v>
      </c>
      <c r="B8540" s="223" t="s">
        <v>14629</v>
      </c>
      <c r="C8540" s="221" t="s">
        <v>14630</v>
      </c>
    </row>
    <row r="8541" spans="1:3" x14ac:dyDescent="0.25">
      <c r="A8541" s="222">
        <v>980009</v>
      </c>
      <c r="B8541" s="223" t="s">
        <v>14631</v>
      </c>
      <c r="C8541" s="221" t="s">
        <v>14632</v>
      </c>
    </row>
    <row r="8542" spans="1:3" x14ac:dyDescent="0.25">
      <c r="A8542" s="222">
        <v>980010</v>
      </c>
      <c r="B8542" s="223" t="s">
        <v>14633</v>
      </c>
      <c r="C8542" s="221" t="s">
        <v>14634</v>
      </c>
    </row>
    <row r="8543" spans="1:3" x14ac:dyDescent="0.25">
      <c r="A8543" s="222">
        <v>980017</v>
      </c>
      <c r="B8543" s="223" t="s">
        <v>14636</v>
      </c>
      <c r="C8543" s="221" t="s">
        <v>14635</v>
      </c>
    </row>
    <row r="8544" spans="1:3" x14ac:dyDescent="0.25">
      <c r="A8544" s="222">
        <v>980018</v>
      </c>
      <c r="B8544" s="223" t="s">
        <v>14638</v>
      </c>
      <c r="C8544" s="221" t="s">
        <v>14637</v>
      </c>
    </row>
    <row r="8545" spans="1:3" x14ac:dyDescent="0.25">
      <c r="A8545" s="222">
        <v>980049</v>
      </c>
      <c r="B8545" s="223" t="s">
        <v>14639</v>
      </c>
      <c r="C8545" s="221" t="s">
        <v>14640</v>
      </c>
    </row>
    <row r="8546" spans="1:3" x14ac:dyDescent="0.25">
      <c r="A8546" s="222" t="s">
        <v>14641</v>
      </c>
      <c r="B8546" s="223" t="s">
        <v>14642</v>
      </c>
      <c r="C8546" s="221" t="s">
        <v>14641</v>
      </c>
    </row>
    <row r="8547" spans="1:3" x14ac:dyDescent="0.25">
      <c r="A8547" s="222" t="s">
        <v>14643</v>
      </c>
      <c r="B8547" s="223" t="s">
        <v>14644</v>
      </c>
      <c r="C8547" s="221" t="s">
        <v>14643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8A65-9BF6-4F0C-8AAC-F2D96E64ACE2}">
  <dimension ref="A1:Q103"/>
  <sheetViews>
    <sheetView workbookViewId="0">
      <selection activeCell="D10" sqref="D10"/>
    </sheetView>
  </sheetViews>
  <sheetFormatPr baseColWidth="10" defaultRowHeight="15" x14ac:dyDescent="0.25"/>
  <cols>
    <col min="1" max="1" width="6" bestFit="1" customWidth="1"/>
    <col min="2" max="2" width="42.85546875" customWidth="1"/>
    <col min="3" max="3" width="10.85546875" customWidth="1"/>
    <col min="4" max="4" width="51.28515625" customWidth="1"/>
    <col min="5" max="5" width="6" customWidth="1"/>
    <col min="6" max="6" width="29.140625" customWidth="1"/>
    <col min="7" max="7" width="21.42578125" customWidth="1"/>
    <col min="8" max="8" width="13.42578125" customWidth="1"/>
    <col min="9" max="9" width="71.7109375" customWidth="1"/>
    <col min="10" max="10" width="14" customWidth="1"/>
    <col min="11" max="11" width="23.7109375" customWidth="1"/>
    <col min="12" max="12" width="21.85546875" customWidth="1"/>
    <col min="13" max="13" width="18.28515625" customWidth="1"/>
    <col min="14" max="14" width="11.5703125" customWidth="1"/>
    <col min="15" max="15" width="16.85546875" customWidth="1"/>
    <col min="16" max="16" width="11.5703125" customWidth="1"/>
    <col min="17" max="17" width="25.28515625" bestFit="1" customWidth="1"/>
    <col min="18" max="18" width="11.5703125" customWidth="1"/>
  </cols>
  <sheetData>
    <row r="1" spans="1:17" x14ac:dyDescent="0.25">
      <c r="A1" t="s">
        <v>14944</v>
      </c>
      <c r="B1" t="s">
        <v>14945</v>
      </c>
      <c r="C1" t="s">
        <v>126</v>
      </c>
      <c r="D1" t="s">
        <v>14946</v>
      </c>
      <c r="E1" t="s">
        <v>86</v>
      </c>
      <c r="F1" t="s">
        <v>14947</v>
      </c>
      <c r="G1" t="s">
        <v>14948</v>
      </c>
      <c r="H1" t="s">
        <v>14949</v>
      </c>
      <c r="I1" t="s">
        <v>14950</v>
      </c>
      <c r="J1" t="s">
        <v>14951</v>
      </c>
      <c r="K1" t="s">
        <v>14952</v>
      </c>
      <c r="L1" t="s">
        <v>14953</v>
      </c>
      <c r="M1" t="s">
        <v>14954</v>
      </c>
      <c r="N1" t="s">
        <v>14955</v>
      </c>
      <c r="O1" t="s">
        <v>14956</v>
      </c>
    </row>
    <row r="2" spans="1:17" x14ac:dyDescent="0.25">
      <c r="A2">
        <v>9</v>
      </c>
      <c r="B2" t="s">
        <v>127</v>
      </c>
      <c r="C2" t="s">
        <v>128</v>
      </c>
      <c r="D2" t="s">
        <v>132</v>
      </c>
      <c r="E2" t="s">
        <v>14811</v>
      </c>
      <c r="F2" t="s">
        <v>130</v>
      </c>
      <c r="G2" t="s">
        <v>131</v>
      </c>
      <c r="H2" t="s">
        <v>133</v>
      </c>
      <c r="I2" t="s">
        <v>14957</v>
      </c>
      <c r="J2" t="s">
        <v>77</v>
      </c>
      <c r="K2">
        <v>0</v>
      </c>
      <c r="L2" t="s">
        <v>129</v>
      </c>
      <c r="M2" t="s">
        <v>14958</v>
      </c>
      <c r="N2" t="s">
        <v>14959</v>
      </c>
      <c r="O2" t="s">
        <v>14960</v>
      </c>
      <c r="P2" t="s">
        <v>15087</v>
      </c>
      <c r="Q2" t="s">
        <v>15089</v>
      </c>
    </row>
    <row r="3" spans="1:17" x14ac:dyDescent="0.25">
      <c r="A3">
        <v>31</v>
      </c>
      <c r="B3" t="s">
        <v>135</v>
      </c>
      <c r="C3" t="s">
        <v>136</v>
      </c>
      <c r="D3" t="s">
        <v>138</v>
      </c>
      <c r="E3" t="s">
        <v>14961</v>
      </c>
      <c r="F3" t="s">
        <v>137</v>
      </c>
      <c r="G3" t="s">
        <v>137</v>
      </c>
      <c r="H3" t="s">
        <v>139</v>
      </c>
      <c r="I3" t="s">
        <v>14962</v>
      </c>
      <c r="J3" t="s">
        <v>77</v>
      </c>
      <c r="K3">
        <v>0</v>
      </c>
      <c r="L3" t="s">
        <v>129</v>
      </c>
      <c r="M3" t="s">
        <v>14958</v>
      </c>
      <c r="N3" t="s">
        <v>14963</v>
      </c>
      <c r="O3" t="s">
        <v>14964</v>
      </c>
      <c r="P3" t="s">
        <v>15087</v>
      </c>
      <c r="Q3" t="s">
        <v>15089</v>
      </c>
    </row>
    <row r="4" spans="1:17" x14ac:dyDescent="0.25">
      <c r="A4">
        <v>79</v>
      </c>
      <c r="B4" t="s">
        <v>140</v>
      </c>
      <c r="C4" t="s">
        <v>141</v>
      </c>
      <c r="D4" t="s">
        <v>14965</v>
      </c>
      <c r="E4" t="s">
        <v>14966</v>
      </c>
      <c r="F4" t="s">
        <v>14967</v>
      </c>
      <c r="G4" t="s">
        <v>142</v>
      </c>
      <c r="H4" t="s">
        <v>14968</v>
      </c>
      <c r="I4" t="s">
        <v>14969</v>
      </c>
      <c r="J4" t="s">
        <v>77</v>
      </c>
      <c r="K4">
        <v>0</v>
      </c>
      <c r="L4" t="s">
        <v>129</v>
      </c>
      <c r="M4" t="s">
        <v>14958</v>
      </c>
      <c r="N4" t="s">
        <v>14970</v>
      </c>
      <c r="O4" t="s">
        <v>14964</v>
      </c>
      <c r="P4" t="s">
        <v>15087</v>
      </c>
      <c r="Q4" t="s">
        <v>15089</v>
      </c>
    </row>
    <row r="5" spans="1:17" x14ac:dyDescent="0.25">
      <c r="A5">
        <v>102</v>
      </c>
      <c r="B5" t="s">
        <v>143</v>
      </c>
      <c r="C5" t="s">
        <v>144</v>
      </c>
      <c r="D5" t="s">
        <v>147</v>
      </c>
      <c r="E5" t="s">
        <v>14812</v>
      </c>
      <c r="F5" t="s">
        <v>145</v>
      </c>
      <c r="G5" t="s">
        <v>146</v>
      </c>
      <c r="H5" t="s">
        <v>148</v>
      </c>
      <c r="I5" t="s">
        <v>14971</v>
      </c>
      <c r="J5" t="s">
        <v>77</v>
      </c>
      <c r="K5">
        <v>0</v>
      </c>
      <c r="L5" t="s">
        <v>129</v>
      </c>
      <c r="M5" t="s">
        <v>14958</v>
      </c>
      <c r="N5" t="s">
        <v>14970</v>
      </c>
      <c r="O5" t="s">
        <v>14964</v>
      </c>
      <c r="P5" t="s">
        <v>15087</v>
      </c>
      <c r="Q5" t="s">
        <v>15089</v>
      </c>
    </row>
    <row r="6" spans="1:17" x14ac:dyDescent="0.25">
      <c r="A6">
        <v>106</v>
      </c>
      <c r="B6" t="s">
        <v>149</v>
      </c>
      <c r="C6" t="s">
        <v>150</v>
      </c>
      <c r="D6" t="s">
        <v>153</v>
      </c>
      <c r="E6" t="s">
        <v>14813</v>
      </c>
      <c r="F6" t="s">
        <v>151</v>
      </c>
      <c r="G6" t="s">
        <v>152</v>
      </c>
      <c r="H6" t="s">
        <v>154</v>
      </c>
      <c r="I6" t="s">
        <v>155</v>
      </c>
      <c r="J6" t="s">
        <v>77</v>
      </c>
      <c r="K6">
        <v>0</v>
      </c>
      <c r="L6" t="s">
        <v>129</v>
      </c>
      <c r="M6" t="s">
        <v>14972</v>
      </c>
      <c r="N6" t="s">
        <v>14970</v>
      </c>
      <c r="O6" t="s">
        <v>14964</v>
      </c>
      <c r="P6" t="s">
        <v>15087</v>
      </c>
      <c r="Q6" t="s">
        <v>15089</v>
      </c>
    </row>
    <row r="7" spans="1:17" x14ac:dyDescent="0.25">
      <c r="A7">
        <v>155</v>
      </c>
      <c r="B7" t="s">
        <v>156</v>
      </c>
      <c r="C7" t="s">
        <v>157</v>
      </c>
      <c r="D7" t="s">
        <v>160</v>
      </c>
      <c r="E7" t="s">
        <v>14814</v>
      </c>
      <c r="F7" t="s">
        <v>158</v>
      </c>
      <c r="G7" t="s">
        <v>159</v>
      </c>
      <c r="H7" t="s">
        <v>161</v>
      </c>
      <c r="I7" t="s">
        <v>162</v>
      </c>
      <c r="J7" t="s">
        <v>77</v>
      </c>
      <c r="K7">
        <v>0</v>
      </c>
      <c r="L7" t="s">
        <v>129</v>
      </c>
      <c r="M7" t="s">
        <v>14958</v>
      </c>
      <c r="N7" t="s">
        <v>14963</v>
      </c>
      <c r="O7" t="s">
        <v>14973</v>
      </c>
      <c r="P7" t="s">
        <v>15087</v>
      </c>
      <c r="Q7" t="s">
        <v>15089</v>
      </c>
    </row>
    <row r="8" spans="1:17" x14ac:dyDescent="0.25">
      <c r="A8">
        <v>199</v>
      </c>
      <c r="B8" t="s">
        <v>163</v>
      </c>
      <c r="C8" t="s">
        <v>164</v>
      </c>
      <c r="D8" t="s">
        <v>166</v>
      </c>
      <c r="E8" t="s">
        <v>14815</v>
      </c>
      <c r="F8" t="s">
        <v>165</v>
      </c>
      <c r="G8" t="s">
        <v>131</v>
      </c>
      <c r="H8" t="s">
        <v>167</v>
      </c>
      <c r="I8" t="s">
        <v>168</v>
      </c>
      <c r="J8" t="s">
        <v>77</v>
      </c>
      <c r="K8">
        <v>0</v>
      </c>
      <c r="L8" t="s">
        <v>129</v>
      </c>
      <c r="M8" t="s">
        <v>14958</v>
      </c>
      <c r="N8" t="s">
        <v>14959</v>
      </c>
      <c r="O8" t="s">
        <v>14960</v>
      </c>
      <c r="P8" t="s">
        <v>15087</v>
      </c>
      <c r="Q8" t="s">
        <v>15089</v>
      </c>
    </row>
    <row r="9" spans="1:17" x14ac:dyDescent="0.25">
      <c r="A9">
        <v>500</v>
      </c>
      <c r="B9" t="s">
        <v>169</v>
      </c>
      <c r="C9" t="s">
        <v>170</v>
      </c>
      <c r="D9" t="s">
        <v>173</v>
      </c>
      <c r="E9" t="s">
        <v>14816</v>
      </c>
      <c r="F9" t="s">
        <v>172</v>
      </c>
      <c r="G9" t="s">
        <v>172</v>
      </c>
      <c r="H9" t="s">
        <v>174</v>
      </c>
      <c r="I9" t="s">
        <v>175</v>
      </c>
      <c r="J9" t="s">
        <v>77</v>
      </c>
      <c r="K9">
        <v>0</v>
      </c>
      <c r="L9" t="s">
        <v>171</v>
      </c>
      <c r="M9" t="s">
        <v>14958</v>
      </c>
      <c r="N9" t="s">
        <v>14970</v>
      </c>
      <c r="O9" t="s">
        <v>14964</v>
      </c>
      <c r="P9" t="s">
        <v>15087</v>
      </c>
      <c r="Q9" t="s">
        <v>15089</v>
      </c>
    </row>
    <row r="10" spans="1:17" x14ac:dyDescent="0.25">
      <c r="A10">
        <v>544</v>
      </c>
      <c r="B10" t="s">
        <v>176</v>
      </c>
      <c r="C10" t="s">
        <v>177</v>
      </c>
      <c r="D10" t="s">
        <v>178</v>
      </c>
      <c r="E10" t="s">
        <v>14817</v>
      </c>
      <c r="F10" t="s">
        <v>131</v>
      </c>
      <c r="G10" t="s">
        <v>131</v>
      </c>
      <c r="H10" t="s">
        <v>179</v>
      </c>
      <c r="I10" t="s">
        <v>180</v>
      </c>
      <c r="J10" t="s">
        <v>77</v>
      </c>
      <c r="K10">
        <v>0</v>
      </c>
      <c r="L10" t="s">
        <v>171</v>
      </c>
      <c r="M10" t="s">
        <v>14958</v>
      </c>
      <c r="N10" t="s">
        <v>14959</v>
      </c>
      <c r="O10" t="s">
        <v>14960</v>
      </c>
      <c r="P10" t="s">
        <v>15087</v>
      </c>
      <c r="Q10" t="s">
        <v>15089</v>
      </c>
    </row>
    <row r="11" spans="1:17" x14ac:dyDescent="0.25">
      <c r="A11">
        <v>554</v>
      </c>
      <c r="B11" t="s">
        <v>181</v>
      </c>
      <c r="C11" t="s">
        <v>182</v>
      </c>
      <c r="D11" t="s">
        <v>14974</v>
      </c>
      <c r="E11" t="s">
        <v>14818</v>
      </c>
      <c r="F11" t="s">
        <v>183</v>
      </c>
      <c r="G11" t="s">
        <v>131</v>
      </c>
      <c r="H11" t="s">
        <v>14975</v>
      </c>
      <c r="I11" t="s">
        <v>184</v>
      </c>
      <c r="J11" t="s">
        <v>77</v>
      </c>
      <c r="K11">
        <v>0</v>
      </c>
      <c r="L11" t="s">
        <v>171</v>
      </c>
      <c r="M11" t="s">
        <v>14958</v>
      </c>
      <c r="N11" t="s">
        <v>14959</v>
      </c>
      <c r="O11" t="s">
        <v>14960</v>
      </c>
      <c r="P11" t="s">
        <v>15087</v>
      </c>
      <c r="Q11" t="s">
        <v>15089</v>
      </c>
    </row>
    <row r="12" spans="1:17" x14ac:dyDescent="0.25">
      <c r="A12">
        <v>567</v>
      </c>
      <c r="B12" t="s">
        <v>14976</v>
      </c>
      <c r="C12" t="s">
        <v>14977</v>
      </c>
      <c r="D12" t="s">
        <v>14978</v>
      </c>
      <c r="E12" t="s">
        <v>14979</v>
      </c>
      <c r="F12" t="s">
        <v>14980</v>
      </c>
      <c r="G12" t="s">
        <v>199</v>
      </c>
      <c r="H12" t="s">
        <v>14981</v>
      </c>
      <c r="I12" t="s">
        <v>14982</v>
      </c>
      <c r="J12" t="s">
        <v>77</v>
      </c>
      <c r="K12">
        <v>0</v>
      </c>
      <c r="L12" t="s">
        <v>129</v>
      </c>
      <c r="M12" t="s">
        <v>14958</v>
      </c>
      <c r="N12" t="s">
        <v>14959</v>
      </c>
      <c r="O12" t="s">
        <v>14973</v>
      </c>
      <c r="P12" t="s">
        <v>15087</v>
      </c>
      <c r="Q12" t="s">
        <v>15089</v>
      </c>
    </row>
    <row r="13" spans="1:17" x14ac:dyDescent="0.25">
      <c r="A13">
        <v>705</v>
      </c>
      <c r="B13" t="s">
        <v>186</v>
      </c>
      <c r="C13" t="s">
        <v>187</v>
      </c>
      <c r="D13" t="s">
        <v>189</v>
      </c>
      <c r="E13" t="s">
        <v>14983</v>
      </c>
      <c r="F13" t="s">
        <v>188</v>
      </c>
      <c r="G13" t="s">
        <v>188</v>
      </c>
      <c r="H13" t="s">
        <v>190</v>
      </c>
      <c r="I13" t="s">
        <v>191</v>
      </c>
      <c r="J13" t="s">
        <v>77</v>
      </c>
      <c r="K13">
        <v>0</v>
      </c>
      <c r="L13" t="s">
        <v>129</v>
      </c>
      <c r="M13" t="s">
        <v>14958</v>
      </c>
      <c r="N13" t="s">
        <v>14963</v>
      </c>
      <c r="O13" t="s">
        <v>14973</v>
      </c>
      <c r="P13" t="s">
        <v>15087</v>
      </c>
      <c r="Q13" t="s">
        <v>15089</v>
      </c>
    </row>
    <row r="14" spans="1:17" x14ac:dyDescent="0.25">
      <c r="A14">
        <v>858</v>
      </c>
      <c r="B14" t="s">
        <v>192</v>
      </c>
      <c r="C14" t="s">
        <v>193</v>
      </c>
      <c r="D14" t="s">
        <v>194</v>
      </c>
      <c r="E14" t="s">
        <v>14819</v>
      </c>
      <c r="F14" t="s">
        <v>131</v>
      </c>
      <c r="G14" t="s">
        <v>131</v>
      </c>
      <c r="H14" t="s">
        <v>195</v>
      </c>
      <c r="I14" t="s">
        <v>14984</v>
      </c>
      <c r="J14" t="s">
        <v>77</v>
      </c>
      <c r="K14">
        <v>0</v>
      </c>
      <c r="L14" t="s">
        <v>129</v>
      </c>
      <c r="M14" t="s">
        <v>14972</v>
      </c>
      <c r="N14" t="s">
        <v>14959</v>
      </c>
      <c r="O14" t="s">
        <v>14960</v>
      </c>
      <c r="P14" t="s">
        <v>15087</v>
      </c>
      <c r="Q14" t="s">
        <v>15089</v>
      </c>
    </row>
    <row r="15" spans="1:17" x14ac:dyDescent="0.25">
      <c r="A15">
        <v>1008</v>
      </c>
      <c r="B15" t="s">
        <v>196</v>
      </c>
      <c r="C15" t="s">
        <v>197</v>
      </c>
      <c r="D15" t="s">
        <v>200</v>
      </c>
      <c r="E15" t="s">
        <v>14985</v>
      </c>
      <c r="F15" t="s">
        <v>198</v>
      </c>
      <c r="G15" t="s">
        <v>199</v>
      </c>
      <c r="H15" t="s">
        <v>201</v>
      </c>
      <c r="I15" t="s">
        <v>202</v>
      </c>
      <c r="J15" t="s">
        <v>77</v>
      </c>
      <c r="K15">
        <v>0</v>
      </c>
      <c r="L15" t="s">
        <v>171</v>
      </c>
      <c r="M15" t="s">
        <v>14958</v>
      </c>
      <c r="N15" t="s">
        <v>14959</v>
      </c>
      <c r="O15" t="s">
        <v>14973</v>
      </c>
      <c r="P15" t="s">
        <v>15087</v>
      </c>
      <c r="Q15" t="s">
        <v>15089</v>
      </c>
    </row>
    <row r="16" spans="1:17" x14ac:dyDescent="0.25">
      <c r="A16">
        <v>1065</v>
      </c>
      <c r="B16" t="s">
        <v>203</v>
      </c>
      <c r="C16" t="s">
        <v>204</v>
      </c>
      <c r="D16" t="s">
        <v>205</v>
      </c>
      <c r="E16" t="s">
        <v>14986</v>
      </c>
      <c r="F16" t="s">
        <v>199</v>
      </c>
      <c r="G16" t="s">
        <v>199</v>
      </c>
      <c r="H16" t="s">
        <v>206</v>
      </c>
      <c r="I16" t="s">
        <v>207</v>
      </c>
      <c r="J16" t="s">
        <v>77</v>
      </c>
      <c r="K16">
        <v>0</v>
      </c>
      <c r="L16" t="s">
        <v>129</v>
      </c>
      <c r="M16" t="s">
        <v>14958</v>
      </c>
      <c r="N16" t="s">
        <v>14959</v>
      </c>
      <c r="O16" t="s">
        <v>14960</v>
      </c>
      <c r="P16" t="s">
        <v>15087</v>
      </c>
      <c r="Q16" t="s">
        <v>15089</v>
      </c>
    </row>
    <row r="17" spans="1:17" x14ac:dyDescent="0.25">
      <c r="A17">
        <v>1421</v>
      </c>
      <c r="B17" t="s">
        <v>208</v>
      </c>
      <c r="C17" t="s">
        <v>209</v>
      </c>
      <c r="D17" t="s">
        <v>212</v>
      </c>
      <c r="E17" t="s">
        <v>14820</v>
      </c>
      <c r="F17" t="s">
        <v>210</v>
      </c>
      <c r="G17" t="s">
        <v>211</v>
      </c>
      <c r="H17" t="s">
        <v>213</v>
      </c>
      <c r="I17" t="s">
        <v>14987</v>
      </c>
      <c r="J17" t="s">
        <v>77</v>
      </c>
      <c r="K17">
        <v>0</v>
      </c>
      <c r="L17" t="s">
        <v>129</v>
      </c>
      <c r="M17" t="s">
        <v>14972</v>
      </c>
      <c r="N17" t="s">
        <v>14963</v>
      </c>
      <c r="O17" t="s">
        <v>14960</v>
      </c>
      <c r="P17" t="s">
        <v>15087</v>
      </c>
      <c r="Q17" t="s">
        <v>15089</v>
      </c>
    </row>
    <row r="18" spans="1:17" x14ac:dyDescent="0.25">
      <c r="A18">
        <v>1518</v>
      </c>
      <c r="B18" t="s">
        <v>216</v>
      </c>
      <c r="C18" t="s">
        <v>217</v>
      </c>
      <c r="D18" t="s">
        <v>219</v>
      </c>
      <c r="E18" t="s">
        <v>14988</v>
      </c>
      <c r="F18" t="s">
        <v>218</v>
      </c>
      <c r="G18" t="s">
        <v>218</v>
      </c>
      <c r="H18" t="s">
        <v>220</v>
      </c>
      <c r="I18" t="s">
        <v>221</v>
      </c>
      <c r="J18" t="s">
        <v>77</v>
      </c>
      <c r="K18">
        <v>0</v>
      </c>
      <c r="L18" t="s">
        <v>129</v>
      </c>
      <c r="M18" t="s">
        <v>14958</v>
      </c>
      <c r="N18" t="s">
        <v>14970</v>
      </c>
      <c r="O18" t="s">
        <v>14973</v>
      </c>
      <c r="P18" t="s">
        <v>15087</v>
      </c>
      <c r="Q18" t="s">
        <v>15089</v>
      </c>
    </row>
    <row r="19" spans="1:17" x14ac:dyDescent="0.25">
      <c r="A19">
        <v>1633</v>
      </c>
      <c r="B19" t="s">
        <v>222</v>
      </c>
      <c r="C19" t="s">
        <v>223</v>
      </c>
      <c r="D19" t="s">
        <v>226</v>
      </c>
      <c r="E19" t="s">
        <v>14821</v>
      </c>
      <c r="F19" t="s">
        <v>224</v>
      </c>
      <c r="G19" t="s">
        <v>225</v>
      </c>
      <c r="H19" t="s">
        <v>227</v>
      </c>
      <c r="I19" t="s">
        <v>228</v>
      </c>
      <c r="J19" t="s">
        <v>77</v>
      </c>
      <c r="K19">
        <v>0</v>
      </c>
      <c r="L19" t="s">
        <v>129</v>
      </c>
      <c r="M19" t="s">
        <v>14958</v>
      </c>
      <c r="N19" t="s">
        <v>14970</v>
      </c>
      <c r="O19" t="s">
        <v>14973</v>
      </c>
      <c r="P19" t="s">
        <v>15087</v>
      </c>
      <c r="Q19" t="s">
        <v>15089</v>
      </c>
    </row>
    <row r="20" spans="1:17" x14ac:dyDescent="0.25">
      <c r="A20">
        <v>1875</v>
      </c>
      <c r="B20" t="s">
        <v>229</v>
      </c>
      <c r="C20" t="s">
        <v>230</v>
      </c>
      <c r="D20" t="s">
        <v>14989</v>
      </c>
      <c r="E20" t="s">
        <v>14822</v>
      </c>
      <c r="F20" t="s">
        <v>231</v>
      </c>
      <c r="G20" t="s">
        <v>131</v>
      </c>
      <c r="H20" t="s">
        <v>232</v>
      </c>
      <c r="I20" t="s">
        <v>233</v>
      </c>
      <c r="J20" t="s">
        <v>77</v>
      </c>
      <c r="K20">
        <v>0</v>
      </c>
      <c r="L20" t="s">
        <v>171</v>
      </c>
      <c r="M20" t="s">
        <v>14972</v>
      </c>
      <c r="N20" t="s">
        <v>14959</v>
      </c>
      <c r="O20" t="s">
        <v>14960</v>
      </c>
      <c r="P20" t="s">
        <v>15087</v>
      </c>
      <c r="Q20" t="s">
        <v>15089</v>
      </c>
    </row>
    <row r="21" spans="1:17" x14ac:dyDescent="0.25">
      <c r="A21">
        <v>2000</v>
      </c>
      <c r="B21" t="s">
        <v>234</v>
      </c>
      <c r="C21" t="s">
        <v>235</v>
      </c>
      <c r="D21" t="s">
        <v>237</v>
      </c>
      <c r="E21" t="s">
        <v>14823</v>
      </c>
      <c r="F21" t="s">
        <v>236</v>
      </c>
      <c r="G21" t="s">
        <v>131</v>
      </c>
      <c r="H21" t="s">
        <v>238</v>
      </c>
      <c r="I21" t="s">
        <v>239</v>
      </c>
      <c r="J21" t="s">
        <v>77</v>
      </c>
      <c r="K21">
        <v>0</v>
      </c>
      <c r="L21" t="s">
        <v>129</v>
      </c>
      <c r="M21" t="s">
        <v>14972</v>
      </c>
      <c r="N21" t="s">
        <v>14959</v>
      </c>
      <c r="O21" t="s">
        <v>14960</v>
      </c>
      <c r="P21" t="s">
        <v>15087</v>
      </c>
      <c r="Q21" t="s">
        <v>15089</v>
      </c>
    </row>
    <row r="22" spans="1:17" x14ac:dyDescent="0.25">
      <c r="A22">
        <v>2157</v>
      </c>
      <c r="B22" t="s">
        <v>240</v>
      </c>
      <c r="C22" t="s">
        <v>241</v>
      </c>
      <c r="D22" t="s">
        <v>243</v>
      </c>
      <c r="E22" t="s">
        <v>14990</v>
      </c>
      <c r="F22" t="s">
        <v>242</v>
      </c>
      <c r="G22" t="s">
        <v>242</v>
      </c>
      <c r="H22" t="s">
        <v>244</v>
      </c>
      <c r="I22" t="s">
        <v>245</v>
      </c>
      <c r="J22" t="s">
        <v>77</v>
      </c>
      <c r="K22">
        <v>0</v>
      </c>
      <c r="L22" t="s">
        <v>171</v>
      </c>
      <c r="M22" t="s">
        <v>14958</v>
      </c>
      <c r="N22" t="s">
        <v>14963</v>
      </c>
      <c r="O22" t="s">
        <v>14973</v>
      </c>
      <c r="P22" t="s">
        <v>15087</v>
      </c>
      <c r="Q22" t="s">
        <v>15089</v>
      </c>
    </row>
    <row r="23" spans="1:17" x14ac:dyDescent="0.25">
      <c r="A23">
        <v>2227</v>
      </c>
      <c r="B23" t="s">
        <v>246</v>
      </c>
      <c r="C23" t="s">
        <v>247</v>
      </c>
      <c r="D23" t="s">
        <v>249</v>
      </c>
      <c r="E23" t="s">
        <v>14824</v>
      </c>
      <c r="F23" t="s">
        <v>248</v>
      </c>
      <c r="G23" t="s">
        <v>242</v>
      </c>
      <c r="H23" t="s">
        <v>250</v>
      </c>
      <c r="I23" t="s">
        <v>14991</v>
      </c>
      <c r="J23" t="s">
        <v>77</v>
      </c>
      <c r="K23">
        <v>0</v>
      </c>
      <c r="L23" t="s">
        <v>129</v>
      </c>
      <c r="M23" t="s">
        <v>14958</v>
      </c>
      <c r="N23" t="s">
        <v>14963</v>
      </c>
      <c r="O23" t="s">
        <v>14973</v>
      </c>
      <c r="P23" t="s">
        <v>15087</v>
      </c>
      <c r="Q23" t="s">
        <v>15089</v>
      </c>
    </row>
    <row r="24" spans="1:17" x14ac:dyDescent="0.25">
      <c r="A24">
        <v>2519</v>
      </c>
      <c r="B24" t="s">
        <v>251</v>
      </c>
      <c r="C24" t="s">
        <v>252</v>
      </c>
      <c r="D24" t="s">
        <v>14992</v>
      </c>
      <c r="E24" t="s">
        <v>14825</v>
      </c>
      <c r="F24" t="s">
        <v>253</v>
      </c>
      <c r="G24" t="s">
        <v>131</v>
      </c>
      <c r="H24" t="s">
        <v>254</v>
      </c>
      <c r="I24" t="s">
        <v>255</v>
      </c>
      <c r="J24" t="s">
        <v>77</v>
      </c>
      <c r="K24">
        <v>0</v>
      </c>
      <c r="L24" t="s">
        <v>171</v>
      </c>
      <c r="M24" t="s">
        <v>14958</v>
      </c>
      <c r="N24" t="s">
        <v>14959</v>
      </c>
      <c r="O24" t="s">
        <v>14973</v>
      </c>
      <c r="P24" t="s">
        <v>15087</v>
      </c>
      <c r="Q24" t="s">
        <v>15089</v>
      </c>
    </row>
    <row r="25" spans="1:17" x14ac:dyDescent="0.25">
      <c r="A25">
        <v>3178</v>
      </c>
      <c r="B25" t="s">
        <v>259</v>
      </c>
      <c r="C25" t="s">
        <v>260</v>
      </c>
      <c r="D25" t="s">
        <v>262</v>
      </c>
      <c r="E25" t="s">
        <v>14826</v>
      </c>
      <c r="F25" t="s">
        <v>261</v>
      </c>
      <c r="G25" t="s">
        <v>131</v>
      </c>
      <c r="H25" t="s">
        <v>263</v>
      </c>
      <c r="I25" t="s">
        <v>264</v>
      </c>
      <c r="J25" t="s">
        <v>77</v>
      </c>
      <c r="K25">
        <v>0</v>
      </c>
      <c r="L25" t="s">
        <v>129</v>
      </c>
      <c r="M25" t="s">
        <v>14958</v>
      </c>
      <c r="N25" t="s">
        <v>14959</v>
      </c>
      <c r="O25" t="s">
        <v>14960</v>
      </c>
      <c r="P25" t="s">
        <v>15087</v>
      </c>
      <c r="Q25" t="s">
        <v>15089</v>
      </c>
    </row>
    <row r="26" spans="1:17" x14ac:dyDescent="0.25">
      <c r="A26">
        <v>3688</v>
      </c>
      <c r="B26" t="s">
        <v>265</v>
      </c>
      <c r="C26" t="s">
        <v>266</v>
      </c>
      <c r="D26" t="s">
        <v>268</v>
      </c>
      <c r="E26" t="s">
        <v>14827</v>
      </c>
      <c r="F26" t="s">
        <v>267</v>
      </c>
      <c r="G26" t="s">
        <v>131</v>
      </c>
      <c r="H26" t="s">
        <v>269</v>
      </c>
      <c r="I26" t="s">
        <v>14993</v>
      </c>
      <c r="J26" t="s">
        <v>77</v>
      </c>
      <c r="K26">
        <v>0</v>
      </c>
      <c r="L26" t="s">
        <v>171</v>
      </c>
      <c r="M26" t="s">
        <v>14958</v>
      </c>
      <c r="N26" t="s">
        <v>14959</v>
      </c>
      <c r="O26" t="s">
        <v>14960</v>
      </c>
      <c r="P26" t="s">
        <v>15087</v>
      </c>
      <c r="Q26" t="s">
        <v>15089</v>
      </c>
    </row>
    <row r="27" spans="1:17" x14ac:dyDescent="0.25">
      <c r="A27">
        <v>3869</v>
      </c>
      <c r="B27" t="s">
        <v>270</v>
      </c>
      <c r="C27" t="s">
        <v>271</v>
      </c>
      <c r="D27" t="s">
        <v>272</v>
      </c>
      <c r="E27" t="s">
        <v>14819</v>
      </c>
      <c r="F27" t="s">
        <v>131</v>
      </c>
      <c r="G27" t="s">
        <v>131</v>
      </c>
      <c r="H27" t="s">
        <v>273</v>
      </c>
      <c r="I27" t="s">
        <v>274</v>
      </c>
      <c r="J27" t="s">
        <v>77</v>
      </c>
      <c r="K27">
        <v>0</v>
      </c>
      <c r="L27" t="s">
        <v>129</v>
      </c>
      <c r="M27" t="s">
        <v>14958</v>
      </c>
      <c r="N27" t="s">
        <v>14959</v>
      </c>
      <c r="O27" t="s">
        <v>14960</v>
      </c>
      <c r="P27" t="s">
        <v>15087</v>
      </c>
      <c r="Q27" t="s">
        <v>15089</v>
      </c>
    </row>
    <row r="28" spans="1:17" x14ac:dyDescent="0.25">
      <c r="A28">
        <v>3993</v>
      </c>
      <c r="B28" t="s">
        <v>275</v>
      </c>
      <c r="C28" t="s">
        <v>276</v>
      </c>
      <c r="D28" t="s">
        <v>277</v>
      </c>
      <c r="E28" t="s">
        <v>14828</v>
      </c>
      <c r="F28" t="s">
        <v>214</v>
      </c>
      <c r="G28" t="s">
        <v>215</v>
      </c>
      <c r="H28" t="s">
        <v>278</v>
      </c>
      <c r="I28" t="s">
        <v>279</v>
      </c>
      <c r="J28" t="s">
        <v>77</v>
      </c>
      <c r="K28">
        <v>0</v>
      </c>
      <c r="L28" t="s">
        <v>129</v>
      </c>
      <c r="M28" t="s">
        <v>14958</v>
      </c>
      <c r="N28" t="s">
        <v>14970</v>
      </c>
      <c r="O28" t="s">
        <v>14973</v>
      </c>
      <c r="P28" t="s">
        <v>15087</v>
      </c>
      <c r="Q28" t="s">
        <v>15089</v>
      </c>
    </row>
    <row r="29" spans="1:17" x14ac:dyDescent="0.25">
      <c r="A29">
        <v>4220</v>
      </c>
      <c r="B29" t="s">
        <v>280</v>
      </c>
      <c r="C29" t="s">
        <v>281</v>
      </c>
      <c r="D29" t="s">
        <v>284</v>
      </c>
      <c r="E29" t="s">
        <v>14829</v>
      </c>
      <c r="F29" t="s">
        <v>282</v>
      </c>
      <c r="G29" t="s">
        <v>283</v>
      </c>
      <c r="H29" t="s">
        <v>285</v>
      </c>
      <c r="I29" t="s">
        <v>286</v>
      </c>
      <c r="J29" t="s">
        <v>77</v>
      </c>
      <c r="K29">
        <v>0</v>
      </c>
      <c r="L29" t="s">
        <v>129</v>
      </c>
      <c r="M29" t="s">
        <v>14958</v>
      </c>
      <c r="N29" t="s">
        <v>14970</v>
      </c>
      <c r="O29" t="s">
        <v>14973</v>
      </c>
      <c r="P29" t="s">
        <v>15087</v>
      </c>
      <c r="Q29" t="s">
        <v>15089</v>
      </c>
    </row>
    <row r="30" spans="1:17" x14ac:dyDescent="0.25">
      <c r="A30">
        <v>4274</v>
      </c>
      <c r="B30" t="s">
        <v>287</v>
      </c>
      <c r="C30" t="s">
        <v>288</v>
      </c>
      <c r="D30" t="s">
        <v>290</v>
      </c>
      <c r="E30" t="s">
        <v>14830</v>
      </c>
      <c r="F30" t="s">
        <v>289</v>
      </c>
      <c r="G30" t="s">
        <v>131</v>
      </c>
      <c r="H30" t="s">
        <v>291</v>
      </c>
      <c r="I30" t="s">
        <v>292</v>
      </c>
      <c r="J30" t="s">
        <v>77</v>
      </c>
      <c r="K30">
        <v>0</v>
      </c>
      <c r="L30" t="s">
        <v>171</v>
      </c>
      <c r="M30" t="s">
        <v>14958</v>
      </c>
      <c r="N30" t="s">
        <v>14959</v>
      </c>
      <c r="O30" t="s">
        <v>14960</v>
      </c>
      <c r="P30" t="s">
        <v>15087</v>
      </c>
      <c r="Q30" t="s">
        <v>15089</v>
      </c>
    </row>
    <row r="31" spans="1:17" x14ac:dyDescent="0.25">
      <c r="A31">
        <v>5818</v>
      </c>
      <c r="B31" t="s">
        <v>14994</v>
      </c>
      <c r="C31" t="s">
        <v>14995</v>
      </c>
      <c r="D31" t="s">
        <v>14996</v>
      </c>
      <c r="E31" t="s">
        <v>14997</v>
      </c>
      <c r="F31" t="s">
        <v>14998</v>
      </c>
      <c r="G31" t="s">
        <v>14998</v>
      </c>
      <c r="H31" t="s">
        <v>14999</v>
      </c>
      <c r="I31" t="s">
        <v>15000</v>
      </c>
      <c r="J31" t="s">
        <v>77</v>
      </c>
      <c r="K31">
        <v>0</v>
      </c>
      <c r="L31" t="s">
        <v>129</v>
      </c>
      <c r="M31" t="s">
        <v>14958</v>
      </c>
      <c r="N31" t="s">
        <v>14963</v>
      </c>
      <c r="O31" t="s">
        <v>14973</v>
      </c>
      <c r="P31" t="s">
        <v>15087</v>
      </c>
      <c r="Q31" t="s">
        <v>15089</v>
      </c>
    </row>
    <row r="32" spans="1:17" x14ac:dyDescent="0.25">
      <c r="A32">
        <v>5823</v>
      </c>
      <c r="B32" t="s">
        <v>293</v>
      </c>
      <c r="C32" t="s">
        <v>294</v>
      </c>
      <c r="D32" t="s">
        <v>295</v>
      </c>
      <c r="E32" t="s">
        <v>14827</v>
      </c>
      <c r="F32" t="s">
        <v>267</v>
      </c>
      <c r="G32" t="s">
        <v>131</v>
      </c>
      <c r="H32" t="s">
        <v>296</v>
      </c>
      <c r="I32" t="s">
        <v>297</v>
      </c>
      <c r="J32" t="s">
        <v>77</v>
      </c>
      <c r="K32">
        <v>0</v>
      </c>
      <c r="L32" t="s">
        <v>171</v>
      </c>
      <c r="M32" t="s">
        <v>14958</v>
      </c>
      <c r="N32" t="s">
        <v>14959</v>
      </c>
      <c r="O32" t="s">
        <v>14960</v>
      </c>
      <c r="P32" t="s">
        <v>15087</v>
      </c>
      <c r="Q32" t="s">
        <v>15089</v>
      </c>
    </row>
    <row r="33" spans="1:17" x14ac:dyDescent="0.25">
      <c r="A33">
        <v>6197</v>
      </c>
      <c r="B33" t="s">
        <v>298</v>
      </c>
      <c r="C33" t="s">
        <v>299</v>
      </c>
      <c r="D33" t="s">
        <v>301</v>
      </c>
      <c r="E33" t="s">
        <v>14831</v>
      </c>
      <c r="F33" t="s">
        <v>300</v>
      </c>
      <c r="G33" t="s">
        <v>131</v>
      </c>
      <c r="H33" t="s">
        <v>15001</v>
      </c>
      <c r="I33" t="s">
        <v>302</v>
      </c>
      <c r="J33" t="s">
        <v>77</v>
      </c>
      <c r="K33">
        <v>0</v>
      </c>
      <c r="L33" t="s">
        <v>129</v>
      </c>
      <c r="M33" t="s">
        <v>14958</v>
      </c>
      <c r="N33" t="s">
        <v>14959</v>
      </c>
      <c r="O33" t="s">
        <v>14960</v>
      </c>
      <c r="P33" t="s">
        <v>15087</v>
      </c>
      <c r="Q33" t="s">
        <v>15089</v>
      </c>
    </row>
    <row r="34" spans="1:17" x14ac:dyDescent="0.25">
      <c r="A34">
        <v>6930</v>
      </c>
      <c r="B34" t="s">
        <v>304</v>
      </c>
      <c r="C34" t="s">
        <v>305</v>
      </c>
      <c r="D34" t="s">
        <v>307</v>
      </c>
      <c r="E34" t="s">
        <v>14832</v>
      </c>
      <c r="F34" t="s">
        <v>306</v>
      </c>
      <c r="G34" t="s">
        <v>131</v>
      </c>
      <c r="H34" t="s">
        <v>308</v>
      </c>
      <c r="I34" t="s">
        <v>309</v>
      </c>
      <c r="J34" t="s">
        <v>77</v>
      </c>
      <c r="K34">
        <v>0</v>
      </c>
      <c r="L34" t="s">
        <v>171</v>
      </c>
      <c r="M34" t="s">
        <v>14958</v>
      </c>
      <c r="N34" t="s">
        <v>14959</v>
      </c>
      <c r="O34" t="s">
        <v>14960</v>
      </c>
      <c r="P34" t="s">
        <v>15087</v>
      </c>
      <c r="Q34" t="s">
        <v>15089</v>
      </c>
    </row>
    <row r="35" spans="1:17" x14ac:dyDescent="0.25">
      <c r="A35">
        <v>7104</v>
      </c>
      <c r="B35" t="s">
        <v>310</v>
      </c>
      <c r="C35" t="s">
        <v>311</v>
      </c>
      <c r="D35" t="s">
        <v>314</v>
      </c>
      <c r="E35" t="s">
        <v>15002</v>
      </c>
      <c r="F35" t="s">
        <v>312</v>
      </c>
      <c r="G35" t="s">
        <v>313</v>
      </c>
      <c r="H35" t="s">
        <v>315</v>
      </c>
      <c r="I35" t="s">
        <v>316</v>
      </c>
      <c r="J35" t="s">
        <v>77</v>
      </c>
      <c r="K35">
        <v>0</v>
      </c>
      <c r="L35" t="s">
        <v>129</v>
      </c>
      <c r="M35" t="s">
        <v>14958</v>
      </c>
      <c r="N35" t="s">
        <v>14963</v>
      </c>
      <c r="O35" t="s">
        <v>14973</v>
      </c>
      <c r="P35" t="s">
        <v>15087</v>
      </c>
      <c r="Q35" t="s">
        <v>15089</v>
      </c>
    </row>
    <row r="36" spans="1:17" x14ac:dyDescent="0.25">
      <c r="A36">
        <v>7143</v>
      </c>
      <c r="B36" t="s">
        <v>317</v>
      </c>
      <c r="C36" t="s">
        <v>318</v>
      </c>
      <c r="D36" t="s">
        <v>319</v>
      </c>
      <c r="E36" t="s">
        <v>14873</v>
      </c>
      <c r="F36" t="s">
        <v>256</v>
      </c>
      <c r="G36" t="s">
        <v>131</v>
      </c>
      <c r="H36" t="s">
        <v>320</v>
      </c>
      <c r="I36" t="s">
        <v>15003</v>
      </c>
      <c r="J36" t="s">
        <v>77</v>
      </c>
      <c r="K36">
        <v>0</v>
      </c>
      <c r="L36" t="s">
        <v>129</v>
      </c>
      <c r="M36" t="s">
        <v>15004</v>
      </c>
      <c r="N36" t="s">
        <v>14959</v>
      </c>
      <c r="O36" t="s">
        <v>15005</v>
      </c>
      <c r="P36" t="s">
        <v>15087</v>
      </c>
      <c r="Q36" t="s">
        <v>15089</v>
      </c>
    </row>
    <row r="37" spans="1:17" x14ac:dyDescent="0.25">
      <c r="A37">
        <v>7280</v>
      </c>
      <c r="B37" t="s">
        <v>321</v>
      </c>
      <c r="C37" t="s">
        <v>322</v>
      </c>
      <c r="D37" t="s">
        <v>324</v>
      </c>
      <c r="E37" t="s">
        <v>14833</v>
      </c>
      <c r="F37" t="s">
        <v>323</v>
      </c>
      <c r="G37" t="s">
        <v>131</v>
      </c>
      <c r="H37" t="s">
        <v>325</v>
      </c>
      <c r="I37" t="s">
        <v>326</v>
      </c>
      <c r="J37" t="s">
        <v>77</v>
      </c>
      <c r="K37">
        <v>0</v>
      </c>
      <c r="L37" t="s">
        <v>129</v>
      </c>
      <c r="M37" t="s">
        <v>14958</v>
      </c>
      <c r="N37" t="s">
        <v>14959</v>
      </c>
      <c r="O37" t="s">
        <v>14960</v>
      </c>
      <c r="P37" t="s">
        <v>15087</v>
      </c>
      <c r="Q37" t="s">
        <v>15089</v>
      </c>
    </row>
    <row r="38" spans="1:17" x14ac:dyDescent="0.25">
      <c r="A38">
        <v>7293</v>
      </c>
      <c r="B38" t="s">
        <v>327</v>
      </c>
      <c r="C38" t="s">
        <v>328</v>
      </c>
      <c r="D38" t="s">
        <v>330</v>
      </c>
      <c r="E38" t="s">
        <v>14834</v>
      </c>
      <c r="F38" t="s">
        <v>329</v>
      </c>
      <c r="G38" t="s">
        <v>131</v>
      </c>
      <c r="H38" t="s">
        <v>331</v>
      </c>
      <c r="I38" t="s">
        <v>15006</v>
      </c>
      <c r="J38" t="s">
        <v>77</v>
      </c>
      <c r="K38">
        <v>0</v>
      </c>
      <c r="L38" t="s">
        <v>129</v>
      </c>
      <c r="M38" t="s">
        <v>14972</v>
      </c>
      <c r="N38" t="s">
        <v>14959</v>
      </c>
      <c r="O38" t="s">
        <v>14960</v>
      </c>
      <c r="P38" t="s">
        <v>15087</v>
      </c>
      <c r="Q38" t="s">
        <v>15089</v>
      </c>
    </row>
    <row r="39" spans="1:17" x14ac:dyDescent="0.25">
      <c r="A39">
        <v>7295</v>
      </c>
      <c r="B39" t="s">
        <v>332</v>
      </c>
      <c r="C39" t="s">
        <v>333</v>
      </c>
      <c r="D39" t="s">
        <v>336</v>
      </c>
      <c r="E39" t="s">
        <v>14835</v>
      </c>
      <c r="F39" t="s">
        <v>334</v>
      </c>
      <c r="G39" t="s">
        <v>335</v>
      </c>
      <c r="H39" t="s">
        <v>337</v>
      </c>
      <c r="I39" t="s">
        <v>338</v>
      </c>
      <c r="J39" t="s">
        <v>77</v>
      </c>
      <c r="K39">
        <v>0</v>
      </c>
      <c r="L39" t="s">
        <v>129</v>
      </c>
      <c r="M39" t="s">
        <v>14958</v>
      </c>
      <c r="N39" t="s">
        <v>14963</v>
      </c>
      <c r="O39" t="s">
        <v>14973</v>
      </c>
      <c r="P39" t="s">
        <v>15087</v>
      </c>
      <c r="Q39" t="s">
        <v>15089</v>
      </c>
    </row>
    <row r="40" spans="1:17" x14ac:dyDescent="0.25">
      <c r="A40">
        <v>7332</v>
      </c>
      <c r="B40" t="s">
        <v>339</v>
      </c>
      <c r="C40" t="s">
        <v>340</v>
      </c>
      <c r="D40" t="s">
        <v>342</v>
      </c>
      <c r="E40" t="s">
        <v>14836</v>
      </c>
      <c r="F40" t="s">
        <v>341</v>
      </c>
      <c r="G40" t="s">
        <v>131</v>
      </c>
      <c r="H40" t="s">
        <v>343</v>
      </c>
      <c r="I40" t="s">
        <v>344</v>
      </c>
      <c r="J40" t="s">
        <v>77</v>
      </c>
      <c r="K40">
        <v>0</v>
      </c>
      <c r="L40" t="s">
        <v>171</v>
      </c>
      <c r="M40" t="s">
        <v>14972</v>
      </c>
      <c r="N40" t="s">
        <v>14959</v>
      </c>
      <c r="O40" t="s">
        <v>14960</v>
      </c>
      <c r="P40" t="s">
        <v>15087</v>
      </c>
      <c r="Q40" t="s">
        <v>15089</v>
      </c>
    </row>
    <row r="41" spans="1:17" x14ac:dyDescent="0.25">
      <c r="A41">
        <v>7413</v>
      </c>
      <c r="B41" t="s">
        <v>347</v>
      </c>
      <c r="C41" t="s">
        <v>348</v>
      </c>
      <c r="D41" t="s">
        <v>15007</v>
      </c>
      <c r="E41" t="s">
        <v>14837</v>
      </c>
      <c r="F41" t="s">
        <v>349</v>
      </c>
      <c r="G41" t="s">
        <v>225</v>
      </c>
      <c r="H41" t="s">
        <v>350</v>
      </c>
      <c r="I41" t="s">
        <v>351</v>
      </c>
      <c r="J41" t="s">
        <v>77</v>
      </c>
      <c r="K41">
        <v>0</v>
      </c>
      <c r="L41" t="s">
        <v>129</v>
      </c>
      <c r="M41" t="s">
        <v>14958</v>
      </c>
      <c r="N41" t="s">
        <v>14970</v>
      </c>
      <c r="O41" t="s">
        <v>14973</v>
      </c>
      <c r="P41" t="s">
        <v>15087</v>
      </c>
      <c r="Q41" t="s">
        <v>15089</v>
      </c>
    </row>
    <row r="42" spans="1:17" x14ac:dyDescent="0.25">
      <c r="A42">
        <v>7464</v>
      </c>
      <c r="B42" t="s">
        <v>14697</v>
      </c>
      <c r="C42" t="s">
        <v>14698</v>
      </c>
      <c r="D42" t="s">
        <v>15008</v>
      </c>
      <c r="E42" t="s">
        <v>15009</v>
      </c>
      <c r="F42" t="s">
        <v>15010</v>
      </c>
      <c r="G42" t="s">
        <v>14699</v>
      </c>
      <c r="H42" t="s">
        <v>14700</v>
      </c>
      <c r="I42" t="s">
        <v>14701</v>
      </c>
      <c r="J42" t="s">
        <v>77</v>
      </c>
      <c r="K42">
        <v>0</v>
      </c>
      <c r="L42" t="s">
        <v>367</v>
      </c>
      <c r="M42" t="s">
        <v>15011</v>
      </c>
      <c r="N42" t="s">
        <v>14959</v>
      </c>
      <c r="O42" t="s">
        <v>14960</v>
      </c>
      <c r="P42" t="s">
        <v>15087</v>
      </c>
      <c r="Q42" t="s">
        <v>15089</v>
      </c>
    </row>
    <row r="43" spans="1:17" x14ac:dyDescent="0.25">
      <c r="A43">
        <v>7793</v>
      </c>
      <c r="B43" t="s">
        <v>352</v>
      </c>
      <c r="C43" t="s">
        <v>353</v>
      </c>
      <c r="D43" t="s">
        <v>356</v>
      </c>
      <c r="E43" t="s">
        <v>15012</v>
      </c>
      <c r="F43" t="s">
        <v>354</v>
      </c>
      <c r="G43" t="s">
        <v>355</v>
      </c>
      <c r="H43" t="s">
        <v>357</v>
      </c>
      <c r="I43" t="s">
        <v>358</v>
      </c>
      <c r="J43" t="s">
        <v>77</v>
      </c>
      <c r="K43">
        <v>0</v>
      </c>
      <c r="L43" t="s">
        <v>171</v>
      </c>
      <c r="M43" t="s">
        <v>14958</v>
      </c>
      <c r="N43" t="s">
        <v>14970</v>
      </c>
      <c r="O43" t="s">
        <v>14973</v>
      </c>
      <c r="P43" t="s">
        <v>15087</v>
      </c>
      <c r="Q43" t="s">
        <v>15089</v>
      </c>
    </row>
    <row r="44" spans="1:17" x14ac:dyDescent="0.25">
      <c r="A44">
        <v>7865</v>
      </c>
      <c r="B44" t="s">
        <v>359</v>
      </c>
      <c r="C44" t="s">
        <v>360</v>
      </c>
      <c r="D44" t="s">
        <v>362</v>
      </c>
      <c r="E44" t="s">
        <v>14838</v>
      </c>
      <c r="F44" t="s">
        <v>361</v>
      </c>
      <c r="G44" t="s">
        <v>199</v>
      </c>
      <c r="H44" t="s">
        <v>363</v>
      </c>
      <c r="I44" t="s">
        <v>364</v>
      </c>
      <c r="J44" t="s">
        <v>77</v>
      </c>
      <c r="K44">
        <v>0</v>
      </c>
      <c r="L44" t="s">
        <v>171</v>
      </c>
      <c r="M44" t="s">
        <v>14958</v>
      </c>
      <c r="N44" t="s">
        <v>14959</v>
      </c>
      <c r="O44" t="s">
        <v>14973</v>
      </c>
      <c r="P44" t="s">
        <v>15087</v>
      </c>
      <c r="Q44" t="s">
        <v>15089</v>
      </c>
    </row>
    <row r="45" spans="1:17" x14ac:dyDescent="0.25">
      <c r="A45">
        <v>8050</v>
      </c>
      <c r="B45" t="s">
        <v>365</v>
      </c>
      <c r="C45" t="s">
        <v>366</v>
      </c>
      <c r="D45" t="s">
        <v>370</v>
      </c>
      <c r="E45" t="s">
        <v>15013</v>
      </c>
      <c r="F45" t="s">
        <v>368</v>
      </c>
      <c r="G45" t="s">
        <v>369</v>
      </c>
      <c r="H45" t="s">
        <v>371</v>
      </c>
      <c r="I45" t="s">
        <v>15014</v>
      </c>
      <c r="J45" t="s">
        <v>77</v>
      </c>
      <c r="K45">
        <v>0</v>
      </c>
      <c r="L45" t="s">
        <v>367</v>
      </c>
      <c r="M45" t="s">
        <v>15015</v>
      </c>
      <c r="N45" t="s">
        <v>14970</v>
      </c>
      <c r="O45" t="s">
        <v>14960</v>
      </c>
      <c r="P45" t="s">
        <v>15087</v>
      </c>
      <c r="Q45" t="s">
        <v>15089</v>
      </c>
    </row>
    <row r="46" spans="1:17" x14ac:dyDescent="0.25">
      <c r="A46">
        <v>8198</v>
      </c>
      <c r="B46" t="s">
        <v>372</v>
      </c>
      <c r="C46" t="s">
        <v>373</v>
      </c>
      <c r="D46" t="s">
        <v>375</v>
      </c>
      <c r="E46" t="s">
        <v>15016</v>
      </c>
      <c r="F46" t="s">
        <v>374</v>
      </c>
      <c r="G46" t="s">
        <v>79</v>
      </c>
      <c r="H46" t="s">
        <v>15017</v>
      </c>
      <c r="I46" t="s">
        <v>15018</v>
      </c>
      <c r="J46" t="s">
        <v>77</v>
      </c>
      <c r="K46">
        <v>0</v>
      </c>
      <c r="L46" t="s">
        <v>129</v>
      </c>
      <c r="M46" t="s">
        <v>14958</v>
      </c>
      <c r="N46" t="s">
        <v>14959</v>
      </c>
      <c r="O46" t="s">
        <v>14973</v>
      </c>
      <c r="P46" t="s">
        <v>15087</v>
      </c>
      <c r="Q46" t="s">
        <v>15089</v>
      </c>
    </row>
    <row r="47" spans="1:17" x14ac:dyDescent="0.25">
      <c r="A47">
        <v>8277</v>
      </c>
      <c r="B47" t="s">
        <v>376</v>
      </c>
      <c r="C47" t="s">
        <v>377</v>
      </c>
      <c r="D47" t="s">
        <v>380</v>
      </c>
      <c r="E47" t="s">
        <v>15019</v>
      </c>
      <c r="F47" t="s">
        <v>378</v>
      </c>
      <c r="G47" t="s">
        <v>379</v>
      </c>
      <c r="H47" t="s">
        <v>381</v>
      </c>
      <c r="I47" t="s">
        <v>382</v>
      </c>
      <c r="J47" t="s">
        <v>77</v>
      </c>
      <c r="K47">
        <v>0</v>
      </c>
      <c r="L47" t="s">
        <v>129</v>
      </c>
      <c r="M47" t="s">
        <v>14958</v>
      </c>
      <c r="N47" t="s">
        <v>14970</v>
      </c>
      <c r="O47" t="s">
        <v>14973</v>
      </c>
      <c r="P47" t="s">
        <v>15087</v>
      </c>
      <c r="Q47" t="s">
        <v>15089</v>
      </c>
    </row>
    <row r="48" spans="1:17" x14ac:dyDescent="0.25">
      <c r="A48">
        <v>8421</v>
      </c>
      <c r="B48" t="s">
        <v>383</v>
      </c>
      <c r="C48" t="s">
        <v>384</v>
      </c>
      <c r="D48" t="s">
        <v>15020</v>
      </c>
      <c r="E48" t="s">
        <v>15021</v>
      </c>
      <c r="F48" t="s">
        <v>79</v>
      </c>
      <c r="G48" t="s">
        <v>79</v>
      </c>
      <c r="H48" t="s">
        <v>385</v>
      </c>
      <c r="I48" t="s">
        <v>386</v>
      </c>
      <c r="J48" t="s">
        <v>77</v>
      </c>
      <c r="K48">
        <v>0</v>
      </c>
      <c r="L48" t="s">
        <v>171</v>
      </c>
      <c r="M48" t="s">
        <v>14972</v>
      </c>
      <c r="N48" t="s">
        <v>14959</v>
      </c>
      <c r="O48" t="s">
        <v>14960</v>
      </c>
      <c r="P48" t="s">
        <v>15087</v>
      </c>
      <c r="Q48" t="s">
        <v>15089</v>
      </c>
    </row>
    <row r="49" spans="1:17" x14ac:dyDescent="0.25">
      <c r="A49">
        <v>8472</v>
      </c>
      <c r="B49" t="s">
        <v>387</v>
      </c>
      <c r="C49" t="s">
        <v>388</v>
      </c>
      <c r="D49" t="s">
        <v>389</v>
      </c>
      <c r="E49" t="s">
        <v>14833</v>
      </c>
      <c r="F49" t="s">
        <v>323</v>
      </c>
      <c r="G49" t="s">
        <v>131</v>
      </c>
      <c r="H49" t="s">
        <v>390</v>
      </c>
      <c r="I49" t="s">
        <v>391</v>
      </c>
      <c r="J49" t="s">
        <v>77</v>
      </c>
      <c r="K49">
        <v>0</v>
      </c>
      <c r="L49" t="s">
        <v>171</v>
      </c>
      <c r="M49" t="s">
        <v>14958</v>
      </c>
      <c r="N49" t="s">
        <v>14959</v>
      </c>
      <c r="O49" t="s">
        <v>14973</v>
      </c>
      <c r="P49" t="s">
        <v>15087</v>
      </c>
      <c r="Q49" t="s">
        <v>15089</v>
      </c>
    </row>
    <row r="50" spans="1:17" x14ac:dyDescent="0.25">
      <c r="A50">
        <v>8594</v>
      </c>
      <c r="B50" t="s">
        <v>392</v>
      </c>
      <c r="C50" t="s">
        <v>393</v>
      </c>
      <c r="D50" t="s">
        <v>394</v>
      </c>
      <c r="E50" t="s">
        <v>14838</v>
      </c>
      <c r="F50" t="s">
        <v>361</v>
      </c>
      <c r="G50" t="s">
        <v>199</v>
      </c>
      <c r="H50" t="s">
        <v>395</v>
      </c>
      <c r="I50" t="s">
        <v>396</v>
      </c>
      <c r="J50" t="s">
        <v>77</v>
      </c>
      <c r="K50">
        <v>0</v>
      </c>
      <c r="L50" t="s">
        <v>171</v>
      </c>
      <c r="M50" t="s">
        <v>14958</v>
      </c>
      <c r="N50" t="s">
        <v>14959</v>
      </c>
      <c r="O50" t="s">
        <v>14973</v>
      </c>
      <c r="P50" t="s">
        <v>15087</v>
      </c>
      <c r="Q50" t="s">
        <v>15089</v>
      </c>
    </row>
    <row r="51" spans="1:17" x14ac:dyDescent="0.25">
      <c r="A51">
        <v>8773</v>
      </c>
      <c r="B51" t="s">
        <v>397</v>
      </c>
      <c r="C51" t="s">
        <v>398</v>
      </c>
      <c r="D51" t="s">
        <v>399</v>
      </c>
      <c r="E51" t="s">
        <v>14839</v>
      </c>
      <c r="F51" t="s">
        <v>300</v>
      </c>
      <c r="G51" t="s">
        <v>131</v>
      </c>
      <c r="H51" t="s">
        <v>400</v>
      </c>
      <c r="I51" t="s">
        <v>401</v>
      </c>
      <c r="J51" t="s">
        <v>77</v>
      </c>
      <c r="K51">
        <v>0</v>
      </c>
      <c r="L51" t="s">
        <v>129</v>
      </c>
      <c r="M51" t="s">
        <v>14958</v>
      </c>
      <c r="N51" t="s">
        <v>14959</v>
      </c>
      <c r="O51" t="s">
        <v>14960</v>
      </c>
      <c r="P51" t="s">
        <v>15087</v>
      </c>
      <c r="Q51" t="s">
        <v>15089</v>
      </c>
    </row>
    <row r="52" spans="1:17" x14ac:dyDescent="0.25">
      <c r="A52">
        <v>8812</v>
      </c>
      <c r="B52" t="s">
        <v>402</v>
      </c>
      <c r="C52" t="s">
        <v>403</v>
      </c>
      <c r="D52" t="s">
        <v>405</v>
      </c>
      <c r="E52" t="s">
        <v>15022</v>
      </c>
      <c r="F52" t="s">
        <v>404</v>
      </c>
      <c r="G52" t="s">
        <v>199</v>
      </c>
      <c r="H52" t="s">
        <v>406</v>
      </c>
      <c r="I52" t="s">
        <v>407</v>
      </c>
      <c r="J52" t="s">
        <v>77</v>
      </c>
      <c r="K52">
        <v>0</v>
      </c>
      <c r="L52" t="s">
        <v>171</v>
      </c>
      <c r="M52" t="s">
        <v>14958</v>
      </c>
      <c r="N52" t="s">
        <v>14959</v>
      </c>
      <c r="O52" t="s">
        <v>14973</v>
      </c>
      <c r="P52" t="s">
        <v>15087</v>
      </c>
      <c r="Q52" t="s">
        <v>15089</v>
      </c>
    </row>
    <row r="53" spans="1:17" x14ac:dyDescent="0.25">
      <c r="A53">
        <v>8855</v>
      </c>
      <c r="B53" t="s">
        <v>408</v>
      </c>
      <c r="C53" t="s">
        <v>409</v>
      </c>
      <c r="D53" t="s">
        <v>411</v>
      </c>
      <c r="E53" t="s">
        <v>14840</v>
      </c>
      <c r="F53" t="s">
        <v>410</v>
      </c>
      <c r="G53" t="s">
        <v>218</v>
      </c>
      <c r="H53" t="s">
        <v>412</v>
      </c>
      <c r="I53" t="s">
        <v>413</v>
      </c>
      <c r="J53" t="s">
        <v>77</v>
      </c>
      <c r="K53">
        <v>0</v>
      </c>
      <c r="L53" t="s">
        <v>129</v>
      </c>
      <c r="M53" t="s">
        <v>15023</v>
      </c>
      <c r="N53" t="s">
        <v>14970</v>
      </c>
      <c r="O53" t="s">
        <v>14973</v>
      </c>
      <c r="P53" t="s">
        <v>15087</v>
      </c>
      <c r="Q53" t="s">
        <v>15089</v>
      </c>
    </row>
    <row r="54" spans="1:17" x14ac:dyDescent="0.25">
      <c r="A54">
        <v>8886</v>
      </c>
      <c r="B54" t="s">
        <v>414</v>
      </c>
      <c r="C54" t="s">
        <v>415</v>
      </c>
      <c r="D54" t="s">
        <v>417</v>
      </c>
      <c r="E54" t="s">
        <v>14841</v>
      </c>
      <c r="F54" t="s">
        <v>416</v>
      </c>
      <c r="G54" t="s">
        <v>416</v>
      </c>
      <c r="H54" t="s">
        <v>418</v>
      </c>
      <c r="I54" t="s">
        <v>419</v>
      </c>
      <c r="J54" t="s">
        <v>77</v>
      </c>
      <c r="K54">
        <v>0</v>
      </c>
      <c r="L54" t="s">
        <v>129</v>
      </c>
      <c r="M54" t="s">
        <v>14958</v>
      </c>
      <c r="N54" t="s">
        <v>14963</v>
      </c>
      <c r="O54" t="s">
        <v>14964</v>
      </c>
      <c r="P54" t="s">
        <v>15087</v>
      </c>
      <c r="Q54" t="s">
        <v>15089</v>
      </c>
    </row>
    <row r="55" spans="1:17" x14ac:dyDescent="0.25">
      <c r="A55">
        <v>8907</v>
      </c>
      <c r="B55" t="s">
        <v>420</v>
      </c>
      <c r="C55" t="s">
        <v>421</v>
      </c>
      <c r="D55" t="s">
        <v>422</v>
      </c>
      <c r="E55" t="s">
        <v>14842</v>
      </c>
      <c r="F55" t="s">
        <v>131</v>
      </c>
      <c r="G55" t="s">
        <v>131</v>
      </c>
      <c r="H55" t="s">
        <v>423</v>
      </c>
      <c r="I55" t="s">
        <v>424</v>
      </c>
      <c r="J55" t="s">
        <v>77</v>
      </c>
      <c r="K55">
        <v>0</v>
      </c>
      <c r="L55" t="s">
        <v>171</v>
      </c>
      <c r="M55" t="s">
        <v>14958</v>
      </c>
      <c r="N55" t="s">
        <v>14959</v>
      </c>
      <c r="O55" t="s">
        <v>14960</v>
      </c>
      <c r="P55" t="s">
        <v>15087</v>
      </c>
      <c r="Q55" t="s">
        <v>15089</v>
      </c>
    </row>
    <row r="56" spans="1:17" x14ac:dyDescent="0.25">
      <c r="A56">
        <v>8929</v>
      </c>
      <c r="B56" t="s">
        <v>425</v>
      </c>
      <c r="C56" t="s">
        <v>426</v>
      </c>
      <c r="D56" t="s">
        <v>428</v>
      </c>
      <c r="E56" t="s">
        <v>14843</v>
      </c>
      <c r="F56" t="s">
        <v>427</v>
      </c>
      <c r="G56" t="s">
        <v>131</v>
      </c>
      <c r="H56" t="s">
        <v>429</v>
      </c>
      <c r="I56" t="s">
        <v>430</v>
      </c>
      <c r="J56" t="s">
        <v>77</v>
      </c>
      <c r="K56">
        <v>0</v>
      </c>
      <c r="L56" t="s">
        <v>129</v>
      </c>
      <c r="M56" t="s">
        <v>14958</v>
      </c>
      <c r="N56" t="s">
        <v>14959</v>
      </c>
      <c r="O56" t="s">
        <v>14960</v>
      </c>
      <c r="P56" t="s">
        <v>15087</v>
      </c>
      <c r="Q56" t="s">
        <v>15089</v>
      </c>
    </row>
    <row r="57" spans="1:17" x14ac:dyDescent="0.25">
      <c r="A57">
        <v>8941</v>
      </c>
      <c r="B57" t="s">
        <v>431</v>
      </c>
      <c r="C57" t="s">
        <v>432</v>
      </c>
      <c r="D57" t="s">
        <v>434</v>
      </c>
      <c r="E57" t="s">
        <v>14844</v>
      </c>
      <c r="F57" t="s">
        <v>433</v>
      </c>
      <c r="G57" t="s">
        <v>131</v>
      </c>
      <c r="H57" t="s">
        <v>435</v>
      </c>
      <c r="I57" t="s">
        <v>15024</v>
      </c>
      <c r="J57" t="s">
        <v>77</v>
      </c>
      <c r="K57">
        <v>0</v>
      </c>
      <c r="L57" t="s">
        <v>129</v>
      </c>
      <c r="M57" t="s">
        <v>14972</v>
      </c>
      <c r="N57" t="s">
        <v>14959</v>
      </c>
      <c r="O57" t="s">
        <v>14973</v>
      </c>
      <c r="P57" t="s">
        <v>15087</v>
      </c>
      <c r="Q57" t="s">
        <v>15089</v>
      </c>
    </row>
    <row r="58" spans="1:17" x14ac:dyDescent="0.25">
      <c r="A58">
        <v>9038</v>
      </c>
      <c r="B58" t="s">
        <v>438</v>
      </c>
      <c r="C58" t="s">
        <v>439</v>
      </c>
      <c r="D58" t="s">
        <v>441</v>
      </c>
      <c r="E58" t="s">
        <v>14845</v>
      </c>
      <c r="F58" t="s">
        <v>440</v>
      </c>
      <c r="G58" t="s">
        <v>131</v>
      </c>
      <c r="H58" t="s">
        <v>442</v>
      </c>
      <c r="I58" t="s">
        <v>443</v>
      </c>
      <c r="J58" t="s">
        <v>77</v>
      </c>
      <c r="K58">
        <v>0</v>
      </c>
      <c r="L58" t="s">
        <v>129</v>
      </c>
      <c r="M58" t="s">
        <v>14958</v>
      </c>
      <c r="N58" t="s">
        <v>14959</v>
      </c>
      <c r="O58" t="s">
        <v>14960</v>
      </c>
      <c r="P58" t="s">
        <v>15087</v>
      </c>
      <c r="Q58" t="s">
        <v>15089</v>
      </c>
    </row>
    <row r="59" spans="1:17" x14ac:dyDescent="0.25">
      <c r="A59">
        <v>9041</v>
      </c>
      <c r="B59" t="s">
        <v>444</v>
      </c>
      <c r="C59" t="s">
        <v>445</v>
      </c>
      <c r="D59" t="s">
        <v>447</v>
      </c>
      <c r="E59" t="s">
        <v>14846</v>
      </c>
      <c r="F59" t="s">
        <v>446</v>
      </c>
      <c r="G59" t="s">
        <v>131</v>
      </c>
      <c r="H59" t="s">
        <v>448</v>
      </c>
      <c r="I59" t="s">
        <v>449</v>
      </c>
      <c r="J59" t="s">
        <v>77</v>
      </c>
      <c r="K59">
        <v>0</v>
      </c>
      <c r="L59" t="s">
        <v>129</v>
      </c>
      <c r="M59" t="s">
        <v>14958</v>
      </c>
      <c r="N59" t="s">
        <v>14959</v>
      </c>
      <c r="O59" t="s">
        <v>14973</v>
      </c>
      <c r="P59" t="s">
        <v>15087</v>
      </c>
      <c r="Q59" t="s">
        <v>15089</v>
      </c>
    </row>
    <row r="60" spans="1:17" x14ac:dyDescent="0.25">
      <c r="A60">
        <v>9049</v>
      </c>
      <c r="B60" t="s">
        <v>450</v>
      </c>
      <c r="C60" t="s">
        <v>451</v>
      </c>
      <c r="D60" t="s">
        <v>453</v>
      </c>
      <c r="E60" t="s">
        <v>14847</v>
      </c>
      <c r="F60" t="s">
        <v>452</v>
      </c>
      <c r="G60" t="s">
        <v>199</v>
      </c>
      <c r="H60" t="s">
        <v>454</v>
      </c>
      <c r="I60" t="s">
        <v>455</v>
      </c>
      <c r="J60" t="s">
        <v>77</v>
      </c>
      <c r="K60">
        <v>0</v>
      </c>
      <c r="L60" t="s">
        <v>129</v>
      </c>
      <c r="M60" t="s">
        <v>15025</v>
      </c>
      <c r="N60" t="s">
        <v>14959</v>
      </c>
      <c r="O60" t="s">
        <v>14973</v>
      </c>
      <c r="P60" t="s">
        <v>15087</v>
      </c>
      <c r="Q60" t="s">
        <v>15089</v>
      </c>
    </row>
    <row r="61" spans="1:17" x14ac:dyDescent="0.25">
      <c r="A61">
        <v>9061</v>
      </c>
      <c r="B61" t="s">
        <v>456</v>
      </c>
      <c r="C61" t="s">
        <v>457</v>
      </c>
      <c r="D61" t="s">
        <v>459</v>
      </c>
      <c r="E61" t="s">
        <v>14848</v>
      </c>
      <c r="F61" t="s">
        <v>458</v>
      </c>
      <c r="G61" t="s">
        <v>131</v>
      </c>
      <c r="H61" t="s">
        <v>460</v>
      </c>
      <c r="I61" t="s">
        <v>15026</v>
      </c>
      <c r="J61" t="s">
        <v>77</v>
      </c>
      <c r="K61">
        <v>0</v>
      </c>
      <c r="L61" t="s">
        <v>171</v>
      </c>
      <c r="M61" t="s">
        <v>15004</v>
      </c>
      <c r="N61" t="s">
        <v>14959</v>
      </c>
      <c r="O61" t="s">
        <v>14973</v>
      </c>
      <c r="P61" t="s">
        <v>15087</v>
      </c>
      <c r="Q61" t="s">
        <v>15089</v>
      </c>
    </row>
    <row r="62" spans="1:17" x14ac:dyDescent="0.25">
      <c r="A62">
        <v>9086</v>
      </c>
      <c r="B62" t="s">
        <v>461</v>
      </c>
      <c r="C62" t="s">
        <v>462</v>
      </c>
      <c r="D62" t="s">
        <v>463</v>
      </c>
      <c r="E62" t="s">
        <v>14849</v>
      </c>
      <c r="F62" t="s">
        <v>15027</v>
      </c>
      <c r="G62" t="s">
        <v>131</v>
      </c>
      <c r="H62" t="s">
        <v>464</v>
      </c>
      <c r="I62" t="s">
        <v>465</v>
      </c>
      <c r="J62" t="s">
        <v>77</v>
      </c>
      <c r="K62">
        <v>0</v>
      </c>
      <c r="L62" t="s">
        <v>171</v>
      </c>
      <c r="M62" t="s">
        <v>14958</v>
      </c>
      <c r="N62" t="s">
        <v>14959</v>
      </c>
      <c r="O62" t="s">
        <v>14973</v>
      </c>
      <c r="P62" t="s">
        <v>15087</v>
      </c>
      <c r="Q62" t="s">
        <v>15089</v>
      </c>
    </row>
    <row r="63" spans="1:17" x14ac:dyDescent="0.25">
      <c r="A63">
        <v>9090</v>
      </c>
      <c r="B63" t="s">
        <v>466</v>
      </c>
      <c r="C63" t="s">
        <v>467</v>
      </c>
      <c r="D63" t="s">
        <v>469</v>
      </c>
      <c r="E63" t="s">
        <v>14850</v>
      </c>
      <c r="F63" t="s">
        <v>468</v>
      </c>
      <c r="G63" t="s">
        <v>131</v>
      </c>
      <c r="H63" t="s">
        <v>15028</v>
      </c>
      <c r="I63" t="s">
        <v>470</v>
      </c>
      <c r="J63" t="s">
        <v>77</v>
      </c>
      <c r="K63">
        <v>0</v>
      </c>
      <c r="L63" t="s">
        <v>171</v>
      </c>
      <c r="M63" t="s">
        <v>15004</v>
      </c>
      <c r="N63" t="s">
        <v>14959</v>
      </c>
      <c r="O63" t="s">
        <v>14973</v>
      </c>
      <c r="P63" t="s">
        <v>15087</v>
      </c>
      <c r="Q63" t="s">
        <v>15089</v>
      </c>
    </row>
    <row r="64" spans="1:17" x14ac:dyDescent="0.25">
      <c r="A64">
        <v>9095</v>
      </c>
      <c r="B64" t="s">
        <v>471</v>
      </c>
      <c r="C64" t="s">
        <v>472</v>
      </c>
      <c r="D64" t="s">
        <v>474</v>
      </c>
      <c r="E64" t="s">
        <v>14851</v>
      </c>
      <c r="F64" t="s">
        <v>473</v>
      </c>
      <c r="G64" t="s">
        <v>131</v>
      </c>
      <c r="H64" t="s">
        <v>475</v>
      </c>
      <c r="I64" t="s">
        <v>476</v>
      </c>
      <c r="J64" t="s">
        <v>77</v>
      </c>
      <c r="K64">
        <v>0</v>
      </c>
      <c r="L64" t="s">
        <v>129</v>
      </c>
      <c r="M64" t="s">
        <v>15004</v>
      </c>
      <c r="N64" t="s">
        <v>14959</v>
      </c>
      <c r="O64" t="s">
        <v>14973</v>
      </c>
      <c r="P64" t="s">
        <v>15087</v>
      </c>
      <c r="Q64" t="s">
        <v>15089</v>
      </c>
    </row>
    <row r="65" spans="1:17" x14ac:dyDescent="0.25">
      <c r="A65">
        <v>9107</v>
      </c>
      <c r="B65" t="s">
        <v>477</v>
      </c>
      <c r="C65" t="s">
        <v>478</v>
      </c>
      <c r="D65" t="s">
        <v>480</v>
      </c>
      <c r="E65" t="s">
        <v>14852</v>
      </c>
      <c r="F65" t="s">
        <v>479</v>
      </c>
      <c r="G65" t="s">
        <v>131</v>
      </c>
      <c r="H65" t="s">
        <v>481</v>
      </c>
      <c r="I65" t="s">
        <v>482</v>
      </c>
      <c r="J65" t="s">
        <v>77</v>
      </c>
      <c r="K65">
        <v>0</v>
      </c>
      <c r="L65" t="s">
        <v>129</v>
      </c>
      <c r="M65" t="s">
        <v>14958</v>
      </c>
      <c r="N65" t="s">
        <v>14959</v>
      </c>
      <c r="O65" t="s">
        <v>14960</v>
      </c>
      <c r="P65" t="s">
        <v>15087</v>
      </c>
      <c r="Q65" t="s">
        <v>15089</v>
      </c>
    </row>
    <row r="66" spans="1:17" x14ac:dyDescent="0.25">
      <c r="A66">
        <v>9126</v>
      </c>
      <c r="B66" t="s">
        <v>483</v>
      </c>
      <c r="C66" t="s">
        <v>484</v>
      </c>
      <c r="D66" t="s">
        <v>485</v>
      </c>
      <c r="E66" t="s">
        <v>14818</v>
      </c>
      <c r="F66" t="s">
        <v>183</v>
      </c>
      <c r="G66" t="s">
        <v>131</v>
      </c>
      <c r="H66" t="s">
        <v>486</v>
      </c>
      <c r="I66" t="s">
        <v>487</v>
      </c>
      <c r="J66" t="s">
        <v>77</v>
      </c>
      <c r="K66">
        <v>0</v>
      </c>
      <c r="L66" t="s">
        <v>129</v>
      </c>
      <c r="M66" t="s">
        <v>15004</v>
      </c>
      <c r="N66" t="s">
        <v>14959</v>
      </c>
      <c r="O66" t="s">
        <v>14973</v>
      </c>
      <c r="P66" t="s">
        <v>15087</v>
      </c>
      <c r="Q66" t="s">
        <v>15089</v>
      </c>
    </row>
    <row r="67" spans="1:17" x14ac:dyDescent="0.25">
      <c r="A67">
        <v>9130</v>
      </c>
      <c r="B67" t="s">
        <v>15029</v>
      </c>
      <c r="C67" t="s">
        <v>488</v>
      </c>
      <c r="D67" t="s">
        <v>490</v>
      </c>
      <c r="E67" t="s">
        <v>15030</v>
      </c>
      <c r="F67" t="s">
        <v>489</v>
      </c>
      <c r="G67" t="s">
        <v>215</v>
      </c>
      <c r="H67" t="s">
        <v>491</v>
      </c>
      <c r="I67" t="s">
        <v>15031</v>
      </c>
      <c r="J67" t="s">
        <v>77</v>
      </c>
      <c r="K67">
        <v>0</v>
      </c>
      <c r="L67" t="s">
        <v>129</v>
      </c>
      <c r="M67" t="s">
        <v>14972</v>
      </c>
      <c r="N67" t="s">
        <v>14970</v>
      </c>
      <c r="O67" t="s">
        <v>14964</v>
      </c>
      <c r="P67" t="s">
        <v>15087</v>
      </c>
      <c r="Q67" t="s">
        <v>15089</v>
      </c>
    </row>
    <row r="68" spans="1:17" x14ac:dyDescent="0.25">
      <c r="A68">
        <v>9178</v>
      </c>
      <c r="B68" t="s">
        <v>492</v>
      </c>
      <c r="C68" t="s">
        <v>493</v>
      </c>
      <c r="D68" t="s">
        <v>496</v>
      </c>
      <c r="E68" t="s">
        <v>14853</v>
      </c>
      <c r="F68" t="s">
        <v>494</v>
      </c>
      <c r="G68" t="s">
        <v>495</v>
      </c>
      <c r="H68" t="s">
        <v>497</v>
      </c>
      <c r="I68" t="s">
        <v>498</v>
      </c>
      <c r="J68" t="s">
        <v>77</v>
      </c>
      <c r="K68">
        <v>0</v>
      </c>
      <c r="L68" t="s">
        <v>129</v>
      </c>
      <c r="M68" t="s">
        <v>14958</v>
      </c>
      <c r="N68" t="s">
        <v>14970</v>
      </c>
      <c r="O68" t="s">
        <v>14973</v>
      </c>
      <c r="P68" t="s">
        <v>15087</v>
      </c>
      <c r="Q68" t="s">
        <v>15089</v>
      </c>
    </row>
    <row r="69" spans="1:17" x14ac:dyDescent="0.25">
      <c r="A69">
        <v>9183</v>
      </c>
      <c r="B69" t="s">
        <v>499</v>
      </c>
      <c r="C69" t="s">
        <v>500</v>
      </c>
      <c r="D69" t="s">
        <v>502</v>
      </c>
      <c r="E69" t="s">
        <v>14854</v>
      </c>
      <c r="F69" t="s">
        <v>501</v>
      </c>
      <c r="G69" t="s">
        <v>131</v>
      </c>
      <c r="H69" t="s">
        <v>503</v>
      </c>
      <c r="I69" t="s">
        <v>15032</v>
      </c>
      <c r="J69" t="s">
        <v>77</v>
      </c>
      <c r="K69">
        <v>0</v>
      </c>
      <c r="L69" t="s">
        <v>171</v>
      </c>
      <c r="M69" t="s">
        <v>14958</v>
      </c>
      <c r="N69" t="s">
        <v>14959</v>
      </c>
      <c r="O69" t="s">
        <v>14973</v>
      </c>
      <c r="P69" t="s">
        <v>15087</v>
      </c>
      <c r="Q69" t="s">
        <v>15089</v>
      </c>
    </row>
    <row r="70" spans="1:17" x14ac:dyDescent="0.25">
      <c r="A70">
        <v>9189</v>
      </c>
      <c r="B70" t="s">
        <v>504</v>
      </c>
      <c r="C70" t="s">
        <v>505</v>
      </c>
      <c r="D70" t="s">
        <v>507</v>
      </c>
      <c r="E70" t="s">
        <v>14855</v>
      </c>
      <c r="F70" t="s">
        <v>506</v>
      </c>
      <c r="G70" t="s">
        <v>131</v>
      </c>
      <c r="H70" t="s">
        <v>508</v>
      </c>
      <c r="I70" t="s">
        <v>15033</v>
      </c>
      <c r="J70" t="s">
        <v>77</v>
      </c>
      <c r="K70">
        <v>0</v>
      </c>
      <c r="L70" t="s">
        <v>171</v>
      </c>
      <c r="M70" t="s">
        <v>14958</v>
      </c>
      <c r="N70" t="s">
        <v>14959</v>
      </c>
      <c r="O70" t="s">
        <v>14973</v>
      </c>
      <c r="P70" t="s">
        <v>15087</v>
      </c>
      <c r="Q70" t="s">
        <v>15089</v>
      </c>
    </row>
    <row r="71" spans="1:17" x14ac:dyDescent="0.25">
      <c r="A71">
        <v>9205</v>
      </c>
      <c r="B71" t="s">
        <v>509</v>
      </c>
      <c r="C71" t="s">
        <v>510</v>
      </c>
      <c r="D71" t="s">
        <v>511</v>
      </c>
      <c r="E71" t="s">
        <v>14847</v>
      </c>
      <c r="F71" t="s">
        <v>452</v>
      </c>
      <c r="G71" t="s">
        <v>199</v>
      </c>
      <c r="H71" t="s">
        <v>512</v>
      </c>
      <c r="I71" t="s">
        <v>513</v>
      </c>
      <c r="J71" t="s">
        <v>77</v>
      </c>
      <c r="K71">
        <v>0</v>
      </c>
      <c r="L71" t="s">
        <v>129</v>
      </c>
      <c r="M71" t="s">
        <v>14958</v>
      </c>
      <c r="N71" t="s">
        <v>14959</v>
      </c>
      <c r="O71" t="s">
        <v>14973</v>
      </c>
      <c r="P71" t="s">
        <v>15087</v>
      </c>
      <c r="Q71" t="s">
        <v>15089</v>
      </c>
    </row>
    <row r="72" spans="1:17" x14ac:dyDescent="0.25">
      <c r="A72">
        <v>9245</v>
      </c>
      <c r="B72" t="s">
        <v>76</v>
      </c>
      <c r="C72" t="s">
        <v>514</v>
      </c>
      <c r="D72" t="s">
        <v>515</v>
      </c>
      <c r="E72" t="s">
        <v>15034</v>
      </c>
      <c r="F72" t="s">
        <v>78</v>
      </c>
      <c r="G72" t="s">
        <v>79</v>
      </c>
      <c r="H72" t="s">
        <v>516</v>
      </c>
      <c r="I72" t="s">
        <v>517</v>
      </c>
      <c r="J72" t="s">
        <v>77</v>
      </c>
      <c r="K72">
        <v>0</v>
      </c>
      <c r="L72" t="s">
        <v>171</v>
      </c>
      <c r="M72" t="s">
        <v>14972</v>
      </c>
      <c r="N72" t="s">
        <v>14959</v>
      </c>
      <c r="O72" t="s">
        <v>14973</v>
      </c>
      <c r="P72" t="s">
        <v>15087</v>
      </c>
      <c r="Q72" t="s">
        <v>15089</v>
      </c>
    </row>
    <row r="73" spans="1:17" x14ac:dyDescent="0.25">
      <c r="A73">
        <v>9251</v>
      </c>
      <c r="B73" t="s">
        <v>518</v>
      </c>
      <c r="C73" t="s">
        <v>519</v>
      </c>
      <c r="D73" t="s">
        <v>521</v>
      </c>
      <c r="E73" t="s">
        <v>14856</v>
      </c>
      <c r="F73" t="s">
        <v>520</v>
      </c>
      <c r="G73" t="s">
        <v>131</v>
      </c>
      <c r="H73" t="s">
        <v>522</v>
      </c>
      <c r="I73" t="s">
        <v>523</v>
      </c>
      <c r="J73" t="s">
        <v>77</v>
      </c>
      <c r="K73">
        <v>0</v>
      </c>
      <c r="L73" t="s">
        <v>129</v>
      </c>
      <c r="M73" t="s">
        <v>14958</v>
      </c>
      <c r="N73" t="s">
        <v>14959</v>
      </c>
      <c r="O73" t="s">
        <v>14973</v>
      </c>
      <c r="P73" t="s">
        <v>15087</v>
      </c>
      <c r="Q73" t="s">
        <v>15089</v>
      </c>
    </row>
    <row r="74" spans="1:17" x14ac:dyDescent="0.25">
      <c r="A74">
        <v>9252</v>
      </c>
      <c r="B74" t="s">
        <v>524</v>
      </c>
      <c r="C74" t="s">
        <v>525</v>
      </c>
      <c r="D74" t="s">
        <v>526</v>
      </c>
      <c r="E74" t="s">
        <v>14836</v>
      </c>
      <c r="F74" t="s">
        <v>341</v>
      </c>
      <c r="G74" t="s">
        <v>131</v>
      </c>
      <c r="H74" t="s">
        <v>527</v>
      </c>
      <c r="I74" t="s">
        <v>528</v>
      </c>
      <c r="J74" t="s">
        <v>77</v>
      </c>
      <c r="K74">
        <v>0</v>
      </c>
      <c r="L74" t="s">
        <v>171</v>
      </c>
      <c r="M74" t="s">
        <v>14972</v>
      </c>
      <c r="N74" t="s">
        <v>14959</v>
      </c>
      <c r="O74" t="s">
        <v>14960</v>
      </c>
      <c r="P74" t="s">
        <v>15087</v>
      </c>
      <c r="Q74" t="s">
        <v>15089</v>
      </c>
    </row>
    <row r="75" spans="1:17" x14ac:dyDescent="0.25">
      <c r="A75">
        <v>9257</v>
      </c>
      <c r="B75" t="s">
        <v>529</v>
      </c>
      <c r="C75" t="s">
        <v>530</v>
      </c>
      <c r="D75" t="s">
        <v>532</v>
      </c>
      <c r="E75" t="s">
        <v>14857</v>
      </c>
      <c r="F75" t="s">
        <v>531</v>
      </c>
      <c r="G75" t="s">
        <v>131</v>
      </c>
      <c r="H75" t="s">
        <v>533</v>
      </c>
      <c r="I75" t="s">
        <v>534</v>
      </c>
      <c r="J75" t="s">
        <v>77</v>
      </c>
      <c r="K75">
        <v>0</v>
      </c>
      <c r="L75" t="s">
        <v>171</v>
      </c>
      <c r="M75" t="s">
        <v>14958</v>
      </c>
      <c r="N75" t="s">
        <v>14959</v>
      </c>
      <c r="O75" t="s">
        <v>14960</v>
      </c>
      <c r="P75" t="s">
        <v>15087</v>
      </c>
      <c r="Q75" t="s">
        <v>15089</v>
      </c>
    </row>
    <row r="76" spans="1:17" x14ac:dyDescent="0.25">
      <c r="A76">
        <v>9294</v>
      </c>
      <c r="B76" t="s">
        <v>535</v>
      </c>
      <c r="C76" t="s">
        <v>536</v>
      </c>
      <c r="D76" t="s">
        <v>538</v>
      </c>
      <c r="E76" t="s">
        <v>14858</v>
      </c>
      <c r="F76" t="s">
        <v>537</v>
      </c>
      <c r="G76" t="s">
        <v>131</v>
      </c>
      <c r="H76" t="s">
        <v>539</v>
      </c>
      <c r="I76" t="s">
        <v>540</v>
      </c>
      <c r="J76" t="s">
        <v>77</v>
      </c>
      <c r="K76">
        <v>0</v>
      </c>
      <c r="L76" t="s">
        <v>129</v>
      </c>
      <c r="M76" t="s">
        <v>14958</v>
      </c>
      <c r="N76" t="s">
        <v>14959</v>
      </c>
      <c r="O76" t="s">
        <v>14960</v>
      </c>
      <c r="P76" t="s">
        <v>15087</v>
      </c>
      <c r="Q76" t="s">
        <v>15089</v>
      </c>
    </row>
    <row r="77" spans="1:17" x14ac:dyDescent="0.25">
      <c r="A77">
        <v>9306</v>
      </c>
      <c r="B77" t="s">
        <v>541</v>
      </c>
      <c r="C77" t="s">
        <v>542</v>
      </c>
      <c r="D77" t="s">
        <v>544</v>
      </c>
      <c r="E77" t="s">
        <v>14859</v>
      </c>
      <c r="F77" t="s">
        <v>543</v>
      </c>
      <c r="G77" t="s">
        <v>131</v>
      </c>
      <c r="H77" t="s">
        <v>545</v>
      </c>
      <c r="I77" t="s">
        <v>15035</v>
      </c>
      <c r="J77" t="s">
        <v>77</v>
      </c>
      <c r="K77">
        <v>0</v>
      </c>
      <c r="L77" t="s">
        <v>129</v>
      </c>
      <c r="M77" t="s">
        <v>14958</v>
      </c>
      <c r="N77" t="s">
        <v>14959</v>
      </c>
      <c r="O77" t="s">
        <v>14973</v>
      </c>
      <c r="P77" t="s">
        <v>15087</v>
      </c>
      <c r="Q77" t="s">
        <v>15089</v>
      </c>
    </row>
    <row r="78" spans="1:17" x14ac:dyDescent="0.25">
      <c r="A78">
        <v>9333</v>
      </c>
      <c r="B78" t="s">
        <v>546</v>
      </c>
      <c r="C78" t="s">
        <v>547</v>
      </c>
      <c r="D78" t="s">
        <v>15036</v>
      </c>
      <c r="E78" t="s">
        <v>14860</v>
      </c>
      <c r="F78" t="s">
        <v>548</v>
      </c>
      <c r="G78" t="s">
        <v>131</v>
      </c>
      <c r="H78" t="s">
        <v>549</v>
      </c>
      <c r="I78" t="s">
        <v>550</v>
      </c>
      <c r="J78" t="s">
        <v>77</v>
      </c>
      <c r="K78">
        <v>0</v>
      </c>
      <c r="L78" t="s">
        <v>171</v>
      </c>
      <c r="M78" t="s">
        <v>14958</v>
      </c>
      <c r="N78" t="s">
        <v>14959</v>
      </c>
      <c r="O78" t="s">
        <v>14960</v>
      </c>
      <c r="P78" t="s">
        <v>15087</v>
      </c>
      <c r="Q78" t="s">
        <v>15089</v>
      </c>
    </row>
    <row r="79" spans="1:17" x14ac:dyDescent="0.25">
      <c r="A79">
        <v>9338</v>
      </c>
      <c r="B79" t="s">
        <v>551</v>
      </c>
      <c r="C79" t="s">
        <v>552</v>
      </c>
      <c r="D79" t="s">
        <v>554</v>
      </c>
      <c r="E79" t="s">
        <v>14861</v>
      </c>
      <c r="F79" t="s">
        <v>553</v>
      </c>
      <c r="G79" t="s">
        <v>131</v>
      </c>
      <c r="H79" t="s">
        <v>555</v>
      </c>
      <c r="I79" t="s">
        <v>556</v>
      </c>
      <c r="J79" t="s">
        <v>77</v>
      </c>
      <c r="K79">
        <v>0</v>
      </c>
      <c r="L79" t="s">
        <v>129</v>
      </c>
      <c r="M79" t="s">
        <v>14958</v>
      </c>
      <c r="N79" t="s">
        <v>14959</v>
      </c>
      <c r="O79" t="s">
        <v>14960</v>
      </c>
      <c r="P79" t="s">
        <v>15087</v>
      </c>
      <c r="Q79" t="s">
        <v>15089</v>
      </c>
    </row>
    <row r="80" spans="1:17" x14ac:dyDescent="0.25">
      <c r="A80">
        <v>9460</v>
      </c>
      <c r="B80" t="s">
        <v>557</v>
      </c>
      <c r="C80" t="s">
        <v>558</v>
      </c>
      <c r="D80" t="s">
        <v>561</v>
      </c>
      <c r="E80" t="s">
        <v>14862</v>
      </c>
      <c r="F80" t="s">
        <v>559</v>
      </c>
      <c r="G80" t="s">
        <v>560</v>
      </c>
      <c r="H80" t="s">
        <v>562</v>
      </c>
      <c r="I80" t="s">
        <v>563</v>
      </c>
      <c r="J80" t="s">
        <v>77</v>
      </c>
      <c r="K80">
        <v>0</v>
      </c>
      <c r="L80" t="s">
        <v>171</v>
      </c>
      <c r="M80" t="s">
        <v>14958</v>
      </c>
      <c r="N80" t="s">
        <v>14963</v>
      </c>
      <c r="O80" t="s">
        <v>14973</v>
      </c>
      <c r="P80" t="s">
        <v>15087</v>
      </c>
      <c r="Q80" t="s">
        <v>15089</v>
      </c>
    </row>
    <row r="81" spans="1:17" x14ac:dyDescent="0.25">
      <c r="A81">
        <v>9479</v>
      </c>
      <c r="B81" t="s">
        <v>564</v>
      </c>
      <c r="C81" t="s">
        <v>565</v>
      </c>
      <c r="D81" t="s">
        <v>567</v>
      </c>
      <c r="E81" t="s">
        <v>14860</v>
      </c>
      <c r="F81" t="s">
        <v>566</v>
      </c>
      <c r="G81" t="s">
        <v>131</v>
      </c>
      <c r="H81" t="s">
        <v>549</v>
      </c>
      <c r="I81" t="s">
        <v>550</v>
      </c>
      <c r="J81" t="s">
        <v>77</v>
      </c>
      <c r="K81">
        <v>0</v>
      </c>
      <c r="L81" t="s">
        <v>171</v>
      </c>
      <c r="M81" t="s">
        <v>14958</v>
      </c>
      <c r="N81" t="s">
        <v>14959</v>
      </c>
      <c r="O81" t="s">
        <v>14960</v>
      </c>
      <c r="P81" t="s">
        <v>15087</v>
      </c>
      <c r="Q81" t="s">
        <v>15089</v>
      </c>
    </row>
    <row r="82" spans="1:17" x14ac:dyDescent="0.25">
      <c r="A82">
        <v>9550</v>
      </c>
      <c r="B82" t="s">
        <v>568</v>
      </c>
      <c r="C82" t="s">
        <v>569</v>
      </c>
      <c r="D82" t="s">
        <v>15037</v>
      </c>
      <c r="E82" t="s">
        <v>15038</v>
      </c>
      <c r="F82" t="s">
        <v>15039</v>
      </c>
      <c r="G82" t="s">
        <v>131</v>
      </c>
      <c r="H82" t="s">
        <v>570</v>
      </c>
      <c r="I82" t="s">
        <v>297</v>
      </c>
      <c r="J82" t="s">
        <v>77</v>
      </c>
      <c r="K82">
        <v>0</v>
      </c>
      <c r="L82" t="s">
        <v>171</v>
      </c>
      <c r="M82" t="s">
        <v>14958</v>
      </c>
      <c r="N82" t="s">
        <v>14959</v>
      </c>
      <c r="O82" t="s">
        <v>14960</v>
      </c>
      <c r="P82" t="s">
        <v>15087</v>
      </c>
      <c r="Q82" t="s">
        <v>15089</v>
      </c>
    </row>
    <row r="83" spans="1:17" x14ac:dyDescent="0.25">
      <c r="A83">
        <v>9742</v>
      </c>
      <c r="B83" t="s">
        <v>14693</v>
      </c>
      <c r="C83" t="s">
        <v>14694</v>
      </c>
      <c r="D83" t="s">
        <v>15040</v>
      </c>
      <c r="E83" t="s">
        <v>14863</v>
      </c>
      <c r="F83" t="s">
        <v>15041</v>
      </c>
      <c r="G83" t="s">
        <v>142</v>
      </c>
      <c r="H83" t="s">
        <v>14695</v>
      </c>
      <c r="I83" t="s">
        <v>14696</v>
      </c>
      <c r="J83" t="s">
        <v>77</v>
      </c>
      <c r="K83">
        <v>0</v>
      </c>
      <c r="L83" t="s">
        <v>129</v>
      </c>
      <c r="M83" t="s">
        <v>15004</v>
      </c>
      <c r="N83" t="s">
        <v>14970</v>
      </c>
      <c r="O83" t="s">
        <v>14973</v>
      </c>
      <c r="P83" t="s">
        <v>15087</v>
      </c>
      <c r="Q83" t="s">
        <v>15089</v>
      </c>
    </row>
    <row r="84" spans="1:17" x14ac:dyDescent="0.25">
      <c r="A84">
        <v>9751</v>
      </c>
      <c r="B84" t="s">
        <v>14688</v>
      </c>
      <c r="C84" t="s">
        <v>14689</v>
      </c>
      <c r="D84" t="s">
        <v>14691</v>
      </c>
      <c r="E84" t="s">
        <v>15042</v>
      </c>
      <c r="F84" t="s">
        <v>14690</v>
      </c>
      <c r="G84" t="s">
        <v>303</v>
      </c>
      <c r="H84" t="s">
        <v>14692</v>
      </c>
      <c r="I84" t="s">
        <v>15043</v>
      </c>
      <c r="J84" t="s">
        <v>77</v>
      </c>
      <c r="K84">
        <v>0</v>
      </c>
      <c r="L84" t="s">
        <v>171</v>
      </c>
      <c r="M84" t="s">
        <v>15004</v>
      </c>
      <c r="N84" t="s">
        <v>14959</v>
      </c>
      <c r="O84" t="s">
        <v>14973</v>
      </c>
      <c r="P84" t="s">
        <v>15087</v>
      </c>
      <c r="Q84" t="s">
        <v>15089</v>
      </c>
    </row>
    <row r="85" spans="1:17" x14ac:dyDescent="0.25">
      <c r="A85">
        <v>9761</v>
      </c>
      <c r="B85" t="s">
        <v>594</v>
      </c>
      <c r="C85" t="s">
        <v>595</v>
      </c>
      <c r="D85" t="s">
        <v>597</v>
      </c>
      <c r="E85" t="s">
        <v>14864</v>
      </c>
      <c r="F85" t="s">
        <v>596</v>
      </c>
      <c r="G85" t="s">
        <v>131</v>
      </c>
      <c r="H85" t="s">
        <v>598</v>
      </c>
      <c r="I85" t="s">
        <v>599</v>
      </c>
      <c r="J85" t="s">
        <v>77</v>
      </c>
      <c r="K85">
        <v>0</v>
      </c>
      <c r="L85" t="s">
        <v>129</v>
      </c>
      <c r="M85" t="s">
        <v>14958</v>
      </c>
      <c r="N85" t="s">
        <v>14959</v>
      </c>
      <c r="O85" t="s">
        <v>14973</v>
      </c>
      <c r="P85" t="s">
        <v>15087</v>
      </c>
      <c r="Q85" t="s">
        <v>15089</v>
      </c>
    </row>
    <row r="86" spans="1:17" x14ac:dyDescent="0.25">
      <c r="A86">
        <v>9895</v>
      </c>
      <c r="B86" t="s">
        <v>725</v>
      </c>
      <c r="C86" t="s">
        <v>726</v>
      </c>
      <c r="D86" t="s">
        <v>727</v>
      </c>
      <c r="E86" t="s">
        <v>15044</v>
      </c>
      <c r="F86" t="s">
        <v>379</v>
      </c>
      <c r="G86" t="s">
        <v>379</v>
      </c>
      <c r="H86" t="s">
        <v>728</v>
      </c>
      <c r="I86" t="s">
        <v>729</v>
      </c>
      <c r="J86" t="s">
        <v>77</v>
      </c>
      <c r="K86">
        <v>0</v>
      </c>
      <c r="L86" t="s">
        <v>129</v>
      </c>
      <c r="M86" t="s">
        <v>15004</v>
      </c>
      <c r="N86" t="s">
        <v>14959</v>
      </c>
      <c r="O86" t="s">
        <v>14973</v>
      </c>
      <c r="P86" t="s">
        <v>15087</v>
      </c>
      <c r="Q86" t="s">
        <v>15089</v>
      </c>
    </row>
    <row r="87" spans="1:17" x14ac:dyDescent="0.25">
      <c r="A87">
        <v>9960</v>
      </c>
      <c r="B87" t="s">
        <v>14685</v>
      </c>
      <c r="C87" t="s">
        <v>14686</v>
      </c>
      <c r="D87" t="s">
        <v>14687</v>
      </c>
      <c r="E87" t="s">
        <v>15045</v>
      </c>
      <c r="F87" t="s">
        <v>15046</v>
      </c>
      <c r="G87" t="s">
        <v>242</v>
      </c>
      <c r="H87" t="s">
        <v>345</v>
      </c>
      <c r="I87" t="s">
        <v>346</v>
      </c>
      <c r="J87" t="s">
        <v>77</v>
      </c>
      <c r="K87">
        <v>0</v>
      </c>
      <c r="L87" t="s">
        <v>129</v>
      </c>
      <c r="M87" t="s">
        <v>14958</v>
      </c>
      <c r="N87" t="s">
        <v>14963</v>
      </c>
      <c r="O87" t="s">
        <v>14973</v>
      </c>
      <c r="P87" t="s">
        <v>15087</v>
      </c>
      <c r="Q87" t="s">
        <v>15089</v>
      </c>
    </row>
    <row r="88" spans="1:17" x14ac:dyDescent="0.25">
      <c r="A88">
        <v>9966</v>
      </c>
      <c r="B88" t="s">
        <v>757</v>
      </c>
      <c r="C88" t="s">
        <v>758</v>
      </c>
      <c r="D88" t="s">
        <v>759</v>
      </c>
      <c r="E88" t="s">
        <v>14865</v>
      </c>
      <c r="F88" t="s">
        <v>131</v>
      </c>
      <c r="G88" t="s">
        <v>131</v>
      </c>
      <c r="H88" t="s">
        <v>760</v>
      </c>
      <c r="I88" t="s">
        <v>761</v>
      </c>
      <c r="J88" t="s">
        <v>77</v>
      </c>
      <c r="K88">
        <v>0</v>
      </c>
      <c r="L88" t="s">
        <v>129</v>
      </c>
      <c r="M88" t="s">
        <v>15004</v>
      </c>
      <c r="N88" t="s">
        <v>14959</v>
      </c>
      <c r="O88" t="s">
        <v>14960</v>
      </c>
      <c r="P88" t="s">
        <v>15087</v>
      </c>
      <c r="Q88" t="s">
        <v>15089</v>
      </c>
    </row>
    <row r="89" spans="1:17" x14ac:dyDescent="0.25">
      <c r="A89">
        <v>9974</v>
      </c>
      <c r="B89" t="s">
        <v>14680</v>
      </c>
      <c r="C89" t="s">
        <v>14681</v>
      </c>
      <c r="D89" t="s">
        <v>14683</v>
      </c>
      <c r="E89" t="s">
        <v>14866</v>
      </c>
      <c r="F89" t="s">
        <v>14682</v>
      </c>
      <c r="G89" t="s">
        <v>283</v>
      </c>
      <c r="H89" t="s">
        <v>14684</v>
      </c>
      <c r="I89" t="s">
        <v>14679</v>
      </c>
      <c r="J89" t="s">
        <v>77</v>
      </c>
      <c r="K89">
        <v>0</v>
      </c>
      <c r="L89" t="s">
        <v>171</v>
      </c>
      <c r="M89" t="s">
        <v>14958</v>
      </c>
      <c r="N89" t="s">
        <v>14970</v>
      </c>
      <c r="O89" t="s">
        <v>14973</v>
      </c>
      <c r="P89" t="s">
        <v>15087</v>
      </c>
      <c r="Q89" t="s">
        <v>15089</v>
      </c>
    </row>
    <row r="90" spans="1:17" x14ac:dyDescent="0.25">
      <c r="A90">
        <v>9975</v>
      </c>
      <c r="B90" t="s">
        <v>14674</v>
      </c>
      <c r="C90" t="s">
        <v>14675</v>
      </c>
      <c r="D90" t="s">
        <v>14677</v>
      </c>
      <c r="E90" t="s">
        <v>14867</v>
      </c>
      <c r="F90" t="s">
        <v>14676</v>
      </c>
      <c r="G90" t="s">
        <v>283</v>
      </c>
      <c r="H90" t="s">
        <v>14678</v>
      </c>
      <c r="I90" t="s">
        <v>14679</v>
      </c>
      <c r="J90" t="s">
        <v>77</v>
      </c>
      <c r="K90">
        <v>0</v>
      </c>
      <c r="L90" t="s">
        <v>171</v>
      </c>
      <c r="M90" t="s">
        <v>14958</v>
      </c>
      <c r="N90" t="s">
        <v>14970</v>
      </c>
      <c r="O90" t="s">
        <v>14973</v>
      </c>
      <c r="P90" t="s">
        <v>15087</v>
      </c>
      <c r="Q90" t="s">
        <v>15089</v>
      </c>
    </row>
    <row r="91" spans="1:17" x14ac:dyDescent="0.25">
      <c r="A91">
        <v>9997</v>
      </c>
      <c r="B91" t="s">
        <v>743</v>
      </c>
      <c r="C91" t="s">
        <v>744</v>
      </c>
      <c r="D91" t="s">
        <v>745</v>
      </c>
      <c r="E91" t="s">
        <v>14846</v>
      </c>
      <c r="F91" t="s">
        <v>446</v>
      </c>
      <c r="G91" t="s">
        <v>131</v>
      </c>
      <c r="H91" t="s">
        <v>746</v>
      </c>
      <c r="I91" t="s">
        <v>747</v>
      </c>
      <c r="J91" t="s">
        <v>77</v>
      </c>
      <c r="K91">
        <v>0</v>
      </c>
      <c r="L91" t="s">
        <v>171</v>
      </c>
      <c r="M91" t="s">
        <v>15004</v>
      </c>
      <c r="N91" t="s">
        <v>14959</v>
      </c>
      <c r="O91" t="s">
        <v>14973</v>
      </c>
      <c r="P91" t="s">
        <v>15087</v>
      </c>
      <c r="Q91" t="s">
        <v>15089</v>
      </c>
    </row>
    <row r="92" spans="1:17" x14ac:dyDescent="0.25">
      <c r="A92">
        <v>10047</v>
      </c>
      <c r="B92" t="s">
        <v>754</v>
      </c>
      <c r="C92" t="s">
        <v>755</v>
      </c>
      <c r="D92" t="s">
        <v>756</v>
      </c>
      <c r="E92" t="s">
        <v>14868</v>
      </c>
      <c r="F92" t="s">
        <v>436</v>
      </c>
      <c r="G92" t="s">
        <v>199</v>
      </c>
      <c r="H92" t="s">
        <v>437</v>
      </c>
      <c r="I92" t="s">
        <v>15047</v>
      </c>
      <c r="J92" t="s">
        <v>77</v>
      </c>
      <c r="K92">
        <v>0</v>
      </c>
      <c r="L92" t="s">
        <v>129</v>
      </c>
      <c r="M92" t="s">
        <v>14958</v>
      </c>
      <c r="N92" t="s">
        <v>14959</v>
      </c>
      <c r="O92" t="s">
        <v>14973</v>
      </c>
      <c r="P92" t="s">
        <v>15087</v>
      </c>
      <c r="Q92" t="s">
        <v>15089</v>
      </c>
    </row>
    <row r="93" spans="1:17" x14ac:dyDescent="0.25">
      <c r="A93">
        <v>10048</v>
      </c>
      <c r="B93" t="s">
        <v>748</v>
      </c>
      <c r="C93" t="s">
        <v>749</v>
      </c>
      <c r="D93" t="s">
        <v>750</v>
      </c>
      <c r="E93" t="s">
        <v>15048</v>
      </c>
      <c r="F93" t="s">
        <v>571</v>
      </c>
      <c r="G93" t="s">
        <v>79</v>
      </c>
      <c r="H93" t="s">
        <v>751</v>
      </c>
      <c r="I93" t="s">
        <v>752</v>
      </c>
      <c r="J93" t="s">
        <v>77</v>
      </c>
      <c r="K93">
        <v>0</v>
      </c>
      <c r="L93" t="s">
        <v>171</v>
      </c>
      <c r="M93" t="s">
        <v>14958</v>
      </c>
      <c r="N93" t="s">
        <v>14959</v>
      </c>
      <c r="O93" t="s">
        <v>14973</v>
      </c>
      <c r="P93" t="s">
        <v>15087</v>
      </c>
      <c r="Q93" t="s">
        <v>15089</v>
      </c>
    </row>
    <row r="94" spans="1:17" x14ac:dyDescent="0.25">
      <c r="A94">
        <v>10122</v>
      </c>
      <c r="B94" t="s">
        <v>820</v>
      </c>
      <c r="C94" t="s">
        <v>15049</v>
      </c>
      <c r="D94" t="s">
        <v>15050</v>
      </c>
      <c r="E94" t="s">
        <v>14869</v>
      </c>
      <c r="F94" t="s">
        <v>256</v>
      </c>
      <c r="G94" t="s">
        <v>131</v>
      </c>
      <c r="H94" t="s">
        <v>257</v>
      </c>
      <c r="I94" t="s">
        <v>258</v>
      </c>
      <c r="J94" t="s">
        <v>77</v>
      </c>
      <c r="K94">
        <v>0</v>
      </c>
      <c r="L94" t="s">
        <v>171</v>
      </c>
      <c r="M94" t="s">
        <v>15004</v>
      </c>
      <c r="N94" t="s">
        <v>14959</v>
      </c>
      <c r="O94" t="s">
        <v>14973</v>
      </c>
      <c r="P94" t="s">
        <v>15087</v>
      </c>
      <c r="Q94" t="s">
        <v>15089</v>
      </c>
    </row>
    <row r="95" spans="1:17" x14ac:dyDescent="0.25">
      <c r="A95">
        <v>10137</v>
      </c>
      <c r="B95" t="s">
        <v>821</v>
      </c>
      <c r="C95" t="s">
        <v>822</v>
      </c>
      <c r="D95" t="s">
        <v>823</v>
      </c>
      <c r="E95" t="s">
        <v>14870</v>
      </c>
      <c r="F95" t="s">
        <v>131</v>
      </c>
      <c r="G95" t="s">
        <v>131</v>
      </c>
      <c r="H95" t="s">
        <v>824</v>
      </c>
      <c r="I95" t="s">
        <v>15051</v>
      </c>
      <c r="J95" t="s">
        <v>77</v>
      </c>
      <c r="K95">
        <v>0</v>
      </c>
      <c r="L95" t="s">
        <v>129</v>
      </c>
      <c r="M95" t="s">
        <v>14958</v>
      </c>
      <c r="N95" t="s">
        <v>14959</v>
      </c>
      <c r="O95" t="s">
        <v>14960</v>
      </c>
      <c r="P95" t="s">
        <v>15087</v>
      </c>
      <c r="Q95" t="s">
        <v>15089</v>
      </c>
    </row>
    <row r="96" spans="1:17" x14ac:dyDescent="0.25">
      <c r="A96">
        <v>10193</v>
      </c>
      <c r="B96" t="s">
        <v>14669</v>
      </c>
      <c r="C96" t="s">
        <v>14670</v>
      </c>
      <c r="D96" t="s">
        <v>15052</v>
      </c>
      <c r="E96" t="s">
        <v>15038</v>
      </c>
      <c r="F96" t="s">
        <v>15039</v>
      </c>
      <c r="G96" t="s">
        <v>131</v>
      </c>
      <c r="H96" t="s">
        <v>570</v>
      </c>
      <c r="I96" t="s">
        <v>15053</v>
      </c>
      <c r="J96" t="s">
        <v>77</v>
      </c>
      <c r="K96">
        <v>0</v>
      </c>
      <c r="L96" t="s">
        <v>129</v>
      </c>
      <c r="M96" t="s">
        <v>14958</v>
      </c>
      <c r="N96" t="s">
        <v>14959</v>
      </c>
      <c r="O96" t="s">
        <v>14960</v>
      </c>
      <c r="P96" t="s">
        <v>15087</v>
      </c>
      <c r="Q96" t="s">
        <v>15089</v>
      </c>
    </row>
    <row r="97" spans="1:17" x14ac:dyDescent="0.25">
      <c r="A97">
        <v>10199</v>
      </c>
      <c r="B97" t="s">
        <v>14648</v>
      </c>
      <c r="C97" t="s">
        <v>14649</v>
      </c>
      <c r="D97" t="s">
        <v>14651</v>
      </c>
      <c r="E97" t="s">
        <v>15054</v>
      </c>
      <c r="F97" t="s">
        <v>14650</v>
      </c>
      <c r="G97" t="s">
        <v>14650</v>
      </c>
      <c r="H97" t="s">
        <v>185</v>
      </c>
      <c r="I97" t="s">
        <v>14652</v>
      </c>
      <c r="J97" t="s">
        <v>77</v>
      </c>
      <c r="K97">
        <v>0</v>
      </c>
      <c r="L97" t="s">
        <v>129</v>
      </c>
      <c r="M97" t="s">
        <v>14958</v>
      </c>
      <c r="N97" t="s">
        <v>14963</v>
      </c>
      <c r="O97" t="s">
        <v>14964</v>
      </c>
      <c r="P97" t="s">
        <v>15087</v>
      </c>
      <c r="Q97" t="s">
        <v>15089</v>
      </c>
    </row>
    <row r="98" spans="1:17" x14ac:dyDescent="0.25">
      <c r="A98">
        <v>10442</v>
      </c>
      <c r="B98" t="s">
        <v>15055</v>
      </c>
      <c r="C98" t="s">
        <v>15056</v>
      </c>
      <c r="D98" t="s">
        <v>15057</v>
      </c>
      <c r="E98" t="s">
        <v>14819</v>
      </c>
      <c r="F98" t="s">
        <v>131</v>
      </c>
      <c r="G98" t="s">
        <v>131</v>
      </c>
      <c r="H98" t="s">
        <v>15058</v>
      </c>
      <c r="I98" t="s">
        <v>15059</v>
      </c>
      <c r="J98" t="s">
        <v>15060</v>
      </c>
      <c r="K98">
        <v>0</v>
      </c>
      <c r="L98" t="s">
        <v>129</v>
      </c>
      <c r="M98" t="s">
        <v>14958</v>
      </c>
      <c r="N98" t="s">
        <v>14959</v>
      </c>
      <c r="O98" t="s">
        <v>14973</v>
      </c>
      <c r="P98" t="s">
        <v>15087</v>
      </c>
      <c r="Q98" t="s">
        <v>15088</v>
      </c>
    </row>
    <row r="99" spans="1:17" x14ac:dyDescent="0.25">
      <c r="A99">
        <v>10529</v>
      </c>
      <c r="B99" t="s">
        <v>15061</v>
      </c>
      <c r="C99" t="s">
        <v>15062</v>
      </c>
      <c r="D99" t="s">
        <v>15063</v>
      </c>
      <c r="E99" t="s">
        <v>14833</v>
      </c>
      <c r="F99" t="s">
        <v>323</v>
      </c>
      <c r="G99" t="s">
        <v>131</v>
      </c>
      <c r="H99" t="s">
        <v>15064</v>
      </c>
      <c r="I99" t="s">
        <v>15065</v>
      </c>
      <c r="J99" t="s">
        <v>77</v>
      </c>
      <c r="K99">
        <v>0</v>
      </c>
      <c r="L99" t="s">
        <v>129</v>
      </c>
      <c r="M99" t="s">
        <v>14958</v>
      </c>
      <c r="N99" t="s">
        <v>14959</v>
      </c>
      <c r="O99" t="s">
        <v>14973</v>
      </c>
      <c r="P99" t="s">
        <v>15087</v>
      </c>
      <c r="Q99" t="s">
        <v>15089</v>
      </c>
    </row>
    <row r="100" spans="1:17" x14ac:dyDescent="0.25">
      <c r="A100">
        <v>10618</v>
      </c>
      <c r="B100" t="s">
        <v>15066</v>
      </c>
      <c r="C100" t="s">
        <v>15067</v>
      </c>
      <c r="D100" t="s">
        <v>15068</v>
      </c>
      <c r="E100" t="s">
        <v>14813</v>
      </c>
      <c r="F100" t="s">
        <v>151</v>
      </c>
      <c r="G100" t="s">
        <v>152</v>
      </c>
      <c r="H100" t="s">
        <v>15069</v>
      </c>
      <c r="I100" t="s">
        <v>15070</v>
      </c>
      <c r="J100" t="s">
        <v>77</v>
      </c>
      <c r="K100">
        <v>0</v>
      </c>
      <c r="L100" t="s">
        <v>129</v>
      </c>
      <c r="M100" t="s">
        <v>14972</v>
      </c>
      <c r="N100" t="s">
        <v>14970</v>
      </c>
      <c r="O100" t="s">
        <v>14964</v>
      </c>
      <c r="P100" t="s">
        <v>15087</v>
      </c>
      <c r="Q100" t="s">
        <v>15089</v>
      </c>
    </row>
    <row r="101" spans="1:17" x14ac:dyDescent="0.25">
      <c r="A101">
        <v>10629</v>
      </c>
      <c r="B101" t="s">
        <v>15071</v>
      </c>
      <c r="C101" t="s">
        <v>15072</v>
      </c>
      <c r="D101" t="s">
        <v>15073</v>
      </c>
      <c r="E101" t="s">
        <v>15074</v>
      </c>
      <c r="F101" t="s">
        <v>15075</v>
      </c>
      <c r="G101" t="s">
        <v>131</v>
      </c>
      <c r="H101" t="s">
        <v>15076</v>
      </c>
      <c r="I101" t="s">
        <v>15077</v>
      </c>
      <c r="J101" t="s">
        <v>77</v>
      </c>
      <c r="K101">
        <v>0</v>
      </c>
      <c r="L101" t="s">
        <v>129</v>
      </c>
      <c r="M101" t="s">
        <v>14958</v>
      </c>
      <c r="N101" t="s">
        <v>14959</v>
      </c>
      <c r="O101" t="s">
        <v>14960</v>
      </c>
      <c r="P101" t="s">
        <v>15087</v>
      </c>
      <c r="Q101" t="s">
        <v>15089</v>
      </c>
    </row>
    <row r="102" spans="1:17" x14ac:dyDescent="0.25">
      <c r="A102">
        <v>10630</v>
      </c>
      <c r="B102" t="s">
        <v>15078</v>
      </c>
      <c r="C102" t="s">
        <v>15079</v>
      </c>
      <c r="D102" t="s">
        <v>15080</v>
      </c>
      <c r="E102" t="s">
        <v>14840</v>
      </c>
      <c r="F102" t="s">
        <v>410</v>
      </c>
      <c r="G102" t="s">
        <v>218</v>
      </c>
      <c r="H102" t="s">
        <v>15081</v>
      </c>
      <c r="I102" t="s">
        <v>413</v>
      </c>
      <c r="J102" t="s">
        <v>77</v>
      </c>
      <c r="K102">
        <v>0</v>
      </c>
      <c r="L102" t="s">
        <v>129</v>
      </c>
      <c r="M102" t="s">
        <v>15023</v>
      </c>
      <c r="N102" t="s">
        <v>14970</v>
      </c>
      <c r="O102" t="s">
        <v>14973</v>
      </c>
      <c r="P102" t="s">
        <v>15087</v>
      </c>
      <c r="Q102" t="s">
        <v>15089</v>
      </c>
    </row>
    <row r="103" spans="1:17" x14ac:dyDescent="0.25">
      <c r="A103">
        <v>10697</v>
      </c>
      <c r="B103" t="s">
        <v>15082</v>
      </c>
      <c r="C103" t="s">
        <v>15083</v>
      </c>
      <c r="D103" t="s">
        <v>15084</v>
      </c>
      <c r="E103" t="s">
        <v>14986</v>
      </c>
      <c r="F103" t="s">
        <v>199</v>
      </c>
      <c r="G103" t="s">
        <v>199</v>
      </c>
      <c r="H103" t="s">
        <v>15085</v>
      </c>
      <c r="I103" t="s">
        <v>15086</v>
      </c>
      <c r="J103" t="s">
        <v>77</v>
      </c>
      <c r="K103">
        <v>0</v>
      </c>
      <c r="L103" t="s">
        <v>129</v>
      </c>
      <c r="M103" t="s">
        <v>14958</v>
      </c>
      <c r="N103" t="s">
        <v>14959</v>
      </c>
      <c r="O103" t="s">
        <v>14973</v>
      </c>
      <c r="P103" t="s">
        <v>15087</v>
      </c>
      <c r="Q103" t="s">
        <v>15089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F3C9-1657-4C75-9FC6-7B8BC84E3A09}">
  <dimension ref="A1:B3"/>
  <sheetViews>
    <sheetView workbookViewId="0">
      <selection activeCell="E15" sqref="E15"/>
    </sheetView>
  </sheetViews>
  <sheetFormatPr baseColWidth="10" defaultRowHeight="15" x14ac:dyDescent="0.25"/>
  <cols>
    <col min="2" max="2" width="23.140625" customWidth="1"/>
  </cols>
  <sheetData>
    <row r="1" spans="1:2" x14ac:dyDescent="0.25">
      <c r="A1" s="280" t="s">
        <v>14878</v>
      </c>
      <c r="B1" s="280" t="s">
        <v>14879</v>
      </c>
    </row>
    <row r="2" spans="1:2" x14ac:dyDescent="0.25">
      <c r="A2" s="287">
        <v>3</v>
      </c>
      <c r="B2" s="221" t="s">
        <v>14880</v>
      </c>
    </row>
    <row r="3" spans="1:2" x14ac:dyDescent="0.25">
      <c r="A3" s="287">
        <v>4</v>
      </c>
      <c r="B3" s="221" t="s">
        <v>14881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RESUMEN PEDIDO</vt:lpstr>
      <vt:lpstr>PRODUCTO TÉCNICO</vt:lpstr>
      <vt:lpstr>PRODUCTO REVENTA</vt:lpstr>
      <vt:lpstr>MATERIAL MARKETING</vt:lpstr>
      <vt:lpstr>PRODUCTO OUTLET</vt:lpstr>
      <vt:lpstr>MATERIAL MKT OUTLET</vt:lpstr>
      <vt:lpstr>EAN</vt:lpstr>
      <vt:lpstr>BBDD ACTUALITZADA</vt:lpstr>
      <vt:lpstr>T.P.</vt:lpstr>
      <vt:lpstr>'MATERIAL MARKETING'!Área_de_impresión</vt:lpstr>
      <vt:lpstr>'MATERIAL MKT OUTLET'!Área_de_impresión</vt:lpstr>
      <vt:lpstr>'PRODUCTO OUTLET'!Área_de_impresión</vt:lpstr>
      <vt:lpstr>'PRODUCTO REVENTA'!Área_de_impresión</vt:lpstr>
      <vt:lpstr>'PRODUCTO TÉCNICO'!Área_de_impresión</vt:lpstr>
      <vt:lpstr>'RESUMEN PEDIDO'!Área_de_impresión</vt:lpstr>
      <vt:lpstr>EAN</vt:lpstr>
      <vt:lpstr>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TECNIC1</cp:lastModifiedBy>
  <cp:lastPrinted>2026-02-26T07:53:38Z</cp:lastPrinted>
  <dcterms:created xsi:type="dcterms:W3CDTF">2012-12-11T17:26:57Z</dcterms:created>
  <dcterms:modified xsi:type="dcterms:W3CDTF">2026-02-26T08:37:39Z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;	;	{	}	[@[{0}]]	3082</vt:lpwstr>
  </property>
</Properties>
</file>